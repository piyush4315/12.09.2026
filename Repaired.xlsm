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piyus\Downloads\"/>
    </mc:Choice>
  </mc:AlternateContent>
  <xr:revisionPtr revIDLastSave="0" documentId="8_{81BCAED8-682B-4E40-9F5D-A3A3967608FF}" xr6:coauthVersionLast="47" xr6:coauthVersionMax="47" xr10:uidLastSave="{00000000-0000-0000-0000-000000000000}"/>
  <bookViews>
    <workbookView xWindow="-108" yWindow="-108" windowWidth="23256" windowHeight="12576" tabRatio="500" activeTab="1" xr2:uid="{00000000-000D-0000-FFFF-FFFF00000000}"/>
  </bookViews>
  <sheets>
    <sheet name="Final Calculation Sheet" sheetId="1" r:id="rId1"/>
    <sheet name="Live Search" sheetId="2" r:id="rId2"/>
    <sheet name="Buyer Groups" sheetId="3" r:id="rId3"/>
    <sheet name="Lists" sheetId="4" state="hidden" r:id="rId4"/>
    <sheet name="LS_Backup" sheetId="5" state="hidden" r:id="rId5"/>
  </sheets>
  <definedNames>
    <definedName name="_xlnm._FilterDatabase" localSheetId="0" hidden="1">'Final Calculation Sheet'!$A$3:$AH$43</definedName>
    <definedName name="_xlnm.Print_Titles" localSheetId="1">'Live Search'!$5:$5</definedName>
    <definedName name="SUG_A">Lists!$J$4:INDEX(Lists!$J$4:$J$40,MAX(Lists!$I$4:$I$40))</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F">Lists!$KV$4:INDEX(Lists!$KV$4:$KV$42,MAX(Lists!$KU$4:$KU$40)+2)</definedName>
    <definedName name="SUG_AG">Lists!$KZ$4:INDEX(Lists!$KZ$4:$KZ$42,MAX(Lists!$KY$4:$KY$40)+2)</definedName>
    <definedName name="SUG_AH">Lists!$LD$4:INDEX(Lists!$LD$4:$LD$42,MAX(Lists!$LC$4:$LC$40)+2)</definedName>
    <definedName name="SUG_AI">Lists!$KR$4:INDEX(Lists!$KR$4:$KR$42,MAX(Lists!$KQ$4:$KQ$40)+2)</definedName>
    <definedName name="SUG_B">Lists!$GF$4:INDEX(Lists!$GF$4:$GF$42,MAX(Lists!$GE$4:$GE$40)+2)</definedName>
    <definedName name="SUG_C">Lists!$GJ$4:INDEX(Lists!$GJ$4:$GJ$42,MAX(Lists!$GI$4:$GI$40)+2)</definedName>
    <definedName name="SUG_D">Lists!$GB$4:INDEX(Lists!$GB$4:$GB$42,MAX(Lists!$GA$4:$GA$40)+2)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MAIN">Lists!$E$4:INDEX(Lists!$E$4:$E$114,MAX(Lists!$D$4:$D$114))</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F_A">Lists!$QS$4:INDEX(Lists!$QS$4:$QS$42,MAX(Lists!$QR$4:$QR$40)+2)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F">Lists!$QB$4:INDEX(Lists!$QB$4:$QB$42,MAX(Lists!$QA$4:$QA$40)+2)</definedName>
    <definedName name="SUGN_AG">Lists!$QF$4:INDEX(Lists!$QF$4:$QF$42,MAX(Lists!$QE$4:$QE$40)+2)</definedName>
    <definedName name="SUGN_AH">Lists!$QJ$4:INDEX(Lists!$QJ$4:$QJ$42,MAX(Lists!$QI$4:$QI$40)+2)</definedName>
    <definedName name="SUGN_AI">Lists!$PX$4:INDEX(Lists!$PX$4:$PX$42,MAX(Lists!$PW$4:$PW$40)+2)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s>
  <calcPr calcId="181029" iterateDelta="1E-4"/>
  <fileRecoveryPr repairLoad="1"/>
</workbook>
</file>

<file path=xl/calcChain.xml><?xml version="1.0" encoding="utf-8"?>
<calcChain xmlns="http://schemas.openxmlformats.org/spreadsheetml/2006/main">
  <c r="AI38" i="5" l="1"/>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B38" i="5"/>
  <c r="A38"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B37" i="5"/>
  <c r="A37"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B36" i="5"/>
  <c r="A36"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B35" i="5"/>
  <c r="A35" i="5"/>
  <c r="AI34"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B34" i="5"/>
  <c r="A34"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A33" i="5"/>
  <c r="AI32" i="5"/>
  <c r="AH32" i="5"/>
  <c r="AG32" i="5"/>
  <c r="AF32" i="5"/>
  <c r="AE32"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B32" i="5"/>
  <c r="A32" i="5"/>
  <c r="AI31"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B31" i="5"/>
  <c r="A31" i="5"/>
  <c r="AI30"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B30" i="5"/>
  <c r="A30"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B29" i="5"/>
  <c r="A29"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B28" i="5"/>
  <c r="A28"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B27" i="5"/>
  <c r="A27"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B26" i="5"/>
  <c r="A26"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B25" i="5"/>
  <c r="A25"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B24" i="5"/>
  <c r="A24"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B23" i="5"/>
  <c r="A23"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B22" i="5"/>
  <c r="A22"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B21" i="5"/>
  <c r="A21"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B20" i="5"/>
  <c r="A20"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B19" i="5"/>
  <c r="A19"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B18" i="5"/>
  <c r="A18"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A17"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B16" i="5"/>
  <c r="A16"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B15" i="5"/>
  <c r="A15"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B14" i="5"/>
  <c r="A14"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B13" i="5"/>
  <c r="A13"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B12" i="5"/>
  <c r="A12"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B11" i="5"/>
  <c r="A11"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B10" i="5"/>
  <c r="A10"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E9" i="5"/>
  <c r="D9" i="5"/>
  <c r="C9" i="5"/>
  <c r="B9" i="5"/>
  <c r="A9"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D8" i="5"/>
  <c r="C8" i="5"/>
  <c r="B8" i="5"/>
  <c r="A8" i="5"/>
  <c r="AI7" i="5"/>
  <c r="AH7" i="5"/>
  <c r="AG7" i="5"/>
  <c r="AF7" i="5"/>
  <c r="AE7" i="5"/>
  <c r="AD7" i="5"/>
  <c r="AC7" i="5"/>
  <c r="AB7" i="5"/>
  <c r="AA7" i="5"/>
  <c r="Z7" i="5"/>
  <c r="Y7" i="5"/>
  <c r="X7" i="5"/>
  <c r="W7" i="5"/>
  <c r="V7" i="5"/>
  <c r="U7" i="5"/>
  <c r="T7" i="5"/>
  <c r="S7" i="5"/>
  <c r="R7" i="5"/>
  <c r="Q7" i="5"/>
  <c r="P7" i="5"/>
  <c r="O7" i="5"/>
  <c r="N7" i="5"/>
  <c r="M7" i="5"/>
  <c r="L7" i="5"/>
  <c r="K7" i="5"/>
  <c r="J7" i="5"/>
  <c r="I7" i="5"/>
  <c r="H7" i="5"/>
  <c r="G7" i="5"/>
  <c r="F7" i="5"/>
  <c r="E7" i="5"/>
  <c r="D7" i="5"/>
  <c r="C7" i="5"/>
  <c r="B7" i="5"/>
  <c r="A7"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B6" i="5"/>
  <c r="A6"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B5" i="5"/>
  <c r="A5"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B4" i="5"/>
  <c r="A4" i="5"/>
  <c r="AI3" i="5"/>
  <c r="AH3" i="5"/>
  <c r="AG3" i="5"/>
  <c r="AF3" i="5"/>
  <c r="AE3" i="5"/>
  <c r="AD3" i="5"/>
  <c r="AC3" i="5"/>
  <c r="AB3" i="5"/>
  <c r="AA3" i="5"/>
  <c r="Z3" i="5"/>
  <c r="Y3" i="5"/>
  <c r="X3" i="5"/>
  <c r="W3" i="5"/>
  <c r="V3" i="5"/>
  <c r="U3" i="5"/>
  <c r="T3" i="5"/>
  <c r="S3" i="5"/>
  <c r="R3" i="5"/>
  <c r="Q3" i="5"/>
  <c r="P3" i="5"/>
  <c r="O3" i="5"/>
  <c r="N3" i="5"/>
  <c r="M3" i="5"/>
  <c r="L3" i="5"/>
  <c r="K3" i="5"/>
  <c r="J3" i="5"/>
  <c r="I3" i="5"/>
  <c r="H3" i="5"/>
  <c r="G3" i="5"/>
  <c r="F3" i="5"/>
  <c r="E3" i="5"/>
  <c r="D3" i="5"/>
  <c r="C3" i="5"/>
  <c r="B3" i="5"/>
  <c r="A3" i="5"/>
  <c r="AI2" i="5"/>
  <c r="AH2" i="5"/>
  <c r="AG2" i="5"/>
  <c r="AF2" i="5"/>
  <c r="AE2" i="5"/>
  <c r="AD2" i="5"/>
  <c r="AC2" i="5"/>
  <c r="AB2" i="5"/>
  <c r="AA2" i="5"/>
  <c r="Z2" i="5"/>
  <c r="Y2" i="5"/>
  <c r="X2" i="5"/>
  <c r="W2" i="5"/>
  <c r="V2" i="5"/>
  <c r="U2" i="5"/>
  <c r="T2" i="5"/>
  <c r="S2" i="5"/>
  <c r="R2" i="5"/>
  <c r="Q2" i="5"/>
  <c r="P2" i="5"/>
  <c r="O2" i="5"/>
  <c r="N2" i="5"/>
  <c r="M2" i="5"/>
  <c r="L2" i="5"/>
  <c r="K2" i="5"/>
  <c r="J2" i="5"/>
  <c r="I2" i="5"/>
  <c r="H2" i="5"/>
  <c r="G2" i="5"/>
  <c r="F2" i="5"/>
  <c r="E2" i="5"/>
  <c r="D2" i="5"/>
  <c r="C2" i="5"/>
  <c r="B2" i="5"/>
  <c r="A2" i="5"/>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QK40" i="4"/>
  <c r="QL40" i="4" s="1"/>
  <c r="FV40" i="4"/>
  <c r="FU40" i="4"/>
  <c r="FO40" i="4"/>
  <c r="FP40" i="4" s="1"/>
  <c r="FK40" i="4"/>
  <c r="FJ40" i="4"/>
  <c r="FE40" i="4"/>
  <c r="FF40" i="4" s="1"/>
  <c r="EP40" i="4"/>
  <c r="EK40" i="4"/>
  <c r="EA40" i="4"/>
  <c r="DV40" i="4"/>
  <c r="DL40" i="4"/>
  <c r="DG40" i="4"/>
  <c r="CM40" i="4"/>
  <c r="AT40" i="4"/>
  <c r="AO40" i="4"/>
  <c r="AJ40" i="4"/>
  <c r="AE40" i="4"/>
  <c r="Z40" i="4"/>
  <c r="U40" i="4"/>
  <c r="P40" i="4"/>
  <c r="K40" i="4"/>
  <c r="F40" i="4"/>
  <c r="A40" i="4"/>
  <c r="QK39" i="4"/>
  <c r="QL39" i="4" s="1"/>
  <c r="FV39" i="4"/>
  <c r="FU39" i="4"/>
  <c r="FP39" i="4"/>
  <c r="FO39" i="4"/>
  <c r="FJ39" i="4"/>
  <c r="FK39" i="4" s="1"/>
  <c r="FF39" i="4"/>
  <c r="FE39" i="4"/>
  <c r="EP39" i="4"/>
  <c r="EK39" i="4"/>
  <c r="EA39" i="4"/>
  <c r="DV39" i="4"/>
  <c r="DL39" i="4"/>
  <c r="DG39" i="4"/>
  <c r="CM39" i="4"/>
  <c r="AT39" i="4"/>
  <c r="AO39" i="4"/>
  <c r="AJ39" i="4"/>
  <c r="AE39" i="4"/>
  <c r="Z39" i="4"/>
  <c r="U39" i="4"/>
  <c r="P39" i="4"/>
  <c r="K39" i="4"/>
  <c r="F39" i="4"/>
  <c r="A39" i="4"/>
  <c r="QK38" i="4"/>
  <c r="FV38" i="4"/>
  <c r="FU38" i="4"/>
  <c r="FO38" i="4"/>
  <c r="FJ38" i="4"/>
  <c r="FE38" i="4"/>
  <c r="EQ38" i="4"/>
  <c r="EP38" i="4"/>
  <c r="EK38" i="4"/>
  <c r="EL38" i="4" s="1"/>
  <c r="EA38" i="4"/>
  <c r="DV38" i="4"/>
  <c r="DL38" i="4"/>
  <c r="DG38" i="4"/>
  <c r="CM38" i="4"/>
  <c r="AT38" i="4"/>
  <c r="AO38" i="4"/>
  <c r="AJ38" i="4"/>
  <c r="AE38" i="4"/>
  <c r="Z38" i="4"/>
  <c r="U38" i="4"/>
  <c r="P38" i="4"/>
  <c r="K38" i="4"/>
  <c r="F38" i="4"/>
  <c r="A38" i="4"/>
  <c r="QK37" i="4"/>
  <c r="FV37" i="4"/>
  <c r="FU37" i="4"/>
  <c r="FO37" i="4"/>
  <c r="FJ37" i="4"/>
  <c r="FE37" i="4"/>
  <c r="EQ37" i="4"/>
  <c r="EP37" i="4"/>
  <c r="EK37" i="4"/>
  <c r="EL37" i="4" s="1"/>
  <c r="EA37" i="4"/>
  <c r="DV37" i="4"/>
  <c r="DL37" i="4"/>
  <c r="CM37" i="4"/>
  <c r="AT37" i="4"/>
  <c r="AO37" i="4"/>
  <c r="AJ37" i="4"/>
  <c r="AE37" i="4"/>
  <c r="Z37" i="4"/>
  <c r="U37" i="4"/>
  <c r="P37" i="4"/>
  <c r="K37" i="4"/>
  <c r="F37" i="4"/>
  <c r="A37" i="4"/>
  <c r="QK36" i="4"/>
  <c r="QL36" i="4" s="1"/>
  <c r="FV36" i="4"/>
  <c r="FU36" i="4"/>
  <c r="FP36" i="4"/>
  <c r="FO36" i="4"/>
  <c r="FK36" i="4"/>
  <c r="FJ36" i="4"/>
  <c r="FE36" i="4"/>
  <c r="FF36" i="4" s="1"/>
  <c r="EP36" i="4"/>
  <c r="EQ36" i="4" s="1"/>
  <c r="EK36" i="4"/>
  <c r="EL36" i="4" s="1"/>
  <c r="EA36" i="4"/>
  <c r="DV36" i="4"/>
  <c r="DW36" i="4" s="1"/>
  <c r="DL36" i="4"/>
  <c r="DG36" i="4"/>
  <c r="CM36" i="4"/>
  <c r="AT36" i="4"/>
  <c r="AO36" i="4"/>
  <c r="AJ36" i="4"/>
  <c r="AE36" i="4"/>
  <c r="Z36" i="4"/>
  <c r="U36" i="4"/>
  <c r="P36" i="4"/>
  <c r="K36" i="4"/>
  <c r="F36" i="4"/>
  <c r="A36" i="4"/>
  <c r="QK35" i="4"/>
  <c r="FV35" i="4"/>
  <c r="FU35" i="4"/>
  <c r="FO35" i="4"/>
  <c r="FJ35" i="4"/>
  <c r="FE35" i="4"/>
  <c r="EQ35" i="4"/>
  <c r="EP35" i="4"/>
  <c r="EK35" i="4"/>
  <c r="EL35" i="4" s="1"/>
  <c r="EA35" i="4"/>
  <c r="DV35" i="4"/>
  <c r="DL35" i="4"/>
  <c r="DG35" i="4"/>
  <c r="CM35" i="4"/>
  <c r="AT35" i="4"/>
  <c r="AO35" i="4"/>
  <c r="AJ35" i="4"/>
  <c r="AE35" i="4"/>
  <c r="Z35" i="4"/>
  <c r="U35" i="4"/>
  <c r="P35" i="4"/>
  <c r="K35" i="4"/>
  <c r="F35" i="4"/>
  <c r="A35" i="4"/>
  <c r="QK34" i="4"/>
  <c r="FV34" i="4"/>
  <c r="FU34" i="4"/>
  <c r="FO34" i="4"/>
  <c r="FJ34" i="4"/>
  <c r="FE34" i="4"/>
  <c r="EQ34" i="4"/>
  <c r="EP34" i="4"/>
  <c r="EK34" i="4"/>
  <c r="EL34" i="4" s="1"/>
  <c r="EA34" i="4"/>
  <c r="DV34" i="4"/>
  <c r="DL34" i="4"/>
  <c r="DG34" i="4"/>
  <c r="CM34" i="4"/>
  <c r="AT34" i="4"/>
  <c r="AO34" i="4"/>
  <c r="AJ34" i="4"/>
  <c r="AE34" i="4"/>
  <c r="Z34" i="4"/>
  <c r="U34" i="4"/>
  <c r="P34" i="4"/>
  <c r="K34" i="4"/>
  <c r="F34" i="4"/>
  <c r="A34" i="4"/>
  <c r="QK33" i="4"/>
  <c r="FV33" i="4"/>
  <c r="FU33" i="4"/>
  <c r="FO33" i="4"/>
  <c r="FJ33" i="4"/>
  <c r="FE33" i="4"/>
  <c r="EQ33" i="4"/>
  <c r="EP33" i="4"/>
  <c r="EK33" i="4"/>
  <c r="EL33" i="4" s="1"/>
  <c r="EA33" i="4"/>
  <c r="DV33" i="4"/>
  <c r="DL33" i="4"/>
  <c r="CM33" i="4"/>
  <c r="AT33" i="4"/>
  <c r="AO33" i="4"/>
  <c r="AJ33" i="4"/>
  <c r="AE33" i="4"/>
  <c r="Z33" i="4"/>
  <c r="U33" i="4"/>
  <c r="P33" i="4"/>
  <c r="K33" i="4"/>
  <c r="F33" i="4"/>
  <c r="A33" i="4"/>
  <c r="QK32" i="4"/>
  <c r="FV32" i="4"/>
  <c r="FU32" i="4"/>
  <c r="FO32" i="4"/>
  <c r="FJ32" i="4"/>
  <c r="FE32" i="4"/>
  <c r="EQ32" i="4"/>
  <c r="EP32" i="4"/>
  <c r="EK32" i="4"/>
  <c r="EL32" i="4" s="1"/>
  <c r="EA32" i="4"/>
  <c r="DV32" i="4"/>
  <c r="DL32" i="4"/>
  <c r="CM32" i="4"/>
  <c r="AT32" i="4"/>
  <c r="AO32" i="4"/>
  <c r="AJ32" i="4"/>
  <c r="AE32" i="4"/>
  <c r="Z32" i="4"/>
  <c r="U32" i="4"/>
  <c r="P32" i="4"/>
  <c r="K32" i="4"/>
  <c r="F32" i="4"/>
  <c r="A32" i="4"/>
  <c r="QK31" i="4"/>
  <c r="FV31" i="4"/>
  <c r="FU31" i="4"/>
  <c r="FO31" i="4"/>
  <c r="FJ31" i="4"/>
  <c r="FE31" i="4"/>
  <c r="EQ31" i="4"/>
  <c r="EP31" i="4"/>
  <c r="EK31" i="4"/>
  <c r="EL31" i="4" s="1"/>
  <c r="EA31" i="4"/>
  <c r="DV31" i="4"/>
  <c r="DL31" i="4"/>
  <c r="DG31" i="4"/>
  <c r="CM31" i="4"/>
  <c r="AT31" i="4"/>
  <c r="AO31" i="4"/>
  <c r="AJ31" i="4"/>
  <c r="AE31" i="4"/>
  <c r="Z31" i="4"/>
  <c r="U31" i="4"/>
  <c r="P31" i="4"/>
  <c r="K31" i="4"/>
  <c r="F31" i="4"/>
  <c r="A31" i="4"/>
  <c r="QK30" i="4"/>
  <c r="FV30" i="4"/>
  <c r="FU30" i="4"/>
  <c r="FO30" i="4"/>
  <c r="FJ30" i="4"/>
  <c r="FE30" i="4"/>
  <c r="EQ30" i="4"/>
  <c r="EP30" i="4"/>
  <c r="EK30" i="4"/>
  <c r="EL30" i="4" s="1"/>
  <c r="EA30" i="4"/>
  <c r="DV30" i="4"/>
  <c r="DL30" i="4"/>
  <c r="CM30" i="4"/>
  <c r="AT30" i="4"/>
  <c r="AO30" i="4"/>
  <c r="AJ30" i="4"/>
  <c r="AE30" i="4"/>
  <c r="Z30" i="4"/>
  <c r="U30" i="4"/>
  <c r="P30" i="4"/>
  <c r="K30" i="4"/>
  <c r="F30" i="4"/>
  <c r="A30" i="4"/>
  <c r="QK29" i="4"/>
  <c r="QL29" i="4" s="1"/>
  <c r="FV29" i="4"/>
  <c r="FU29" i="4"/>
  <c r="FO29" i="4"/>
  <c r="FP29" i="4" s="1"/>
  <c r="FK29" i="4"/>
  <c r="FJ29" i="4"/>
  <c r="FE29" i="4"/>
  <c r="FF29" i="4" s="1"/>
  <c r="EQ29" i="4"/>
  <c r="EP29" i="4"/>
  <c r="EK29" i="4"/>
  <c r="EL29" i="4" s="1"/>
  <c r="EA29" i="4"/>
  <c r="DW29" i="4"/>
  <c r="DV29" i="4"/>
  <c r="DL29" i="4"/>
  <c r="DG29" i="4"/>
  <c r="CM29" i="4"/>
  <c r="AT29" i="4"/>
  <c r="AO29" i="4"/>
  <c r="AJ29" i="4"/>
  <c r="AE29" i="4"/>
  <c r="Z29" i="4"/>
  <c r="U29" i="4"/>
  <c r="P29" i="4"/>
  <c r="K29" i="4"/>
  <c r="F29" i="4"/>
  <c r="A29" i="4"/>
  <c r="QK28" i="4"/>
  <c r="FV28" i="4"/>
  <c r="FU28" i="4"/>
  <c r="FO28" i="4"/>
  <c r="FJ28" i="4"/>
  <c r="FE28" i="4"/>
  <c r="EP28" i="4"/>
  <c r="EQ28" i="4" s="1"/>
  <c r="EK28" i="4"/>
  <c r="EL28" i="4" s="1"/>
  <c r="EA28" i="4"/>
  <c r="DV28" i="4"/>
  <c r="DL28" i="4"/>
  <c r="DG28" i="4"/>
  <c r="CM28" i="4"/>
  <c r="AT28" i="4"/>
  <c r="AO28" i="4"/>
  <c r="AJ28" i="4"/>
  <c r="AE28" i="4"/>
  <c r="Z28" i="4"/>
  <c r="U28" i="4"/>
  <c r="P28" i="4"/>
  <c r="K28" i="4"/>
  <c r="F28" i="4"/>
  <c r="A28" i="4"/>
  <c r="QK27" i="4"/>
  <c r="QL27" i="4" s="1"/>
  <c r="FV27" i="4"/>
  <c r="FU27" i="4"/>
  <c r="FP27" i="4"/>
  <c r="FO27" i="4"/>
  <c r="FK27" i="4"/>
  <c r="FJ27" i="4"/>
  <c r="FE27" i="4"/>
  <c r="FF27" i="4" s="1"/>
  <c r="EQ27" i="4"/>
  <c r="EP27" i="4"/>
  <c r="EK27" i="4"/>
  <c r="EL27" i="4" s="1"/>
  <c r="EA27" i="4"/>
  <c r="DW27" i="4"/>
  <c r="DV27" i="4"/>
  <c r="DL27" i="4"/>
  <c r="DG27" i="4"/>
  <c r="CM27" i="4"/>
  <c r="AT27" i="4"/>
  <c r="AO27" i="4"/>
  <c r="AJ27" i="4"/>
  <c r="AE27" i="4"/>
  <c r="Z27" i="4"/>
  <c r="U27" i="4"/>
  <c r="P27" i="4"/>
  <c r="K27" i="4"/>
  <c r="F27" i="4"/>
  <c r="A27" i="4"/>
  <c r="QK26" i="4"/>
  <c r="FV26" i="4"/>
  <c r="FU26" i="4"/>
  <c r="FO26" i="4"/>
  <c r="FJ26" i="4"/>
  <c r="FE26" i="4"/>
  <c r="EQ26" i="4"/>
  <c r="EP26" i="4"/>
  <c r="EK26" i="4"/>
  <c r="EL26" i="4" s="1"/>
  <c r="EA26" i="4"/>
  <c r="DV26" i="4"/>
  <c r="DL26" i="4"/>
  <c r="CM26" i="4"/>
  <c r="AT26" i="4"/>
  <c r="AO26" i="4"/>
  <c r="AJ26" i="4"/>
  <c r="AE26" i="4"/>
  <c r="Z26" i="4"/>
  <c r="U26" i="4"/>
  <c r="P26" i="4"/>
  <c r="K26" i="4"/>
  <c r="F26" i="4"/>
  <c r="A26" i="4"/>
  <c r="QK25" i="4"/>
  <c r="FV25" i="4"/>
  <c r="FU25" i="4"/>
  <c r="FO25" i="4"/>
  <c r="FJ25" i="4"/>
  <c r="FE25" i="4"/>
  <c r="EQ25" i="4"/>
  <c r="EP25" i="4"/>
  <c r="EK25" i="4"/>
  <c r="EL25" i="4" s="1"/>
  <c r="EA25" i="4"/>
  <c r="DV25" i="4"/>
  <c r="DL25" i="4"/>
  <c r="DG25" i="4"/>
  <c r="CM25" i="4"/>
  <c r="AT25" i="4"/>
  <c r="AO25" i="4"/>
  <c r="AJ25" i="4"/>
  <c r="AE25" i="4"/>
  <c r="Z25" i="4"/>
  <c r="U25" i="4"/>
  <c r="P25" i="4"/>
  <c r="K25" i="4"/>
  <c r="F25" i="4"/>
  <c r="A25" i="4"/>
  <c r="QK24" i="4"/>
  <c r="FV24" i="4"/>
  <c r="FU24" i="4"/>
  <c r="FO24" i="4"/>
  <c r="FJ24" i="4"/>
  <c r="FE24" i="4"/>
  <c r="EQ24" i="4"/>
  <c r="EP24" i="4"/>
  <c r="EK24" i="4"/>
  <c r="EL24" i="4" s="1"/>
  <c r="EA24" i="4"/>
  <c r="DV24" i="4"/>
  <c r="DL24" i="4"/>
  <c r="CM24" i="4"/>
  <c r="AT24" i="4"/>
  <c r="AO24" i="4"/>
  <c r="AJ24" i="4"/>
  <c r="AE24" i="4"/>
  <c r="Z24" i="4"/>
  <c r="U24" i="4"/>
  <c r="P24" i="4"/>
  <c r="K24" i="4"/>
  <c r="F24" i="4"/>
  <c r="A24" i="4"/>
  <c r="QK23" i="4"/>
  <c r="FV23" i="4"/>
  <c r="FU23" i="4"/>
  <c r="FO23" i="4"/>
  <c r="FJ23" i="4"/>
  <c r="FE23" i="4"/>
  <c r="EQ23" i="4"/>
  <c r="EP23" i="4"/>
  <c r="EK23" i="4"/>
  <c r="EL23" i="4" s="1"/>
  <c r="EA23" i="4"/>
  <c r="DV23" i="4"/>
  <c r="DL23" i="4"/>
  <c r="DG23" i="4"/>
  <c r="CM23" i="4"/>
  <c r="AT23" i="4"/>
  <c r="AO23" i="4"/>
  <c r="AJ23" i="4"/>
  <c r="AE23" i="4"/>
  <c r="Z23" i="4"/>
  <c r="U23" i="4"/>
  <c r="P23" i="4"/>
  <c r="K23" i="4"/>
  <c r="F23" i="4"/>
  <c r="A23" i="4"/>
  <c r="QK22" i="4"/>
  <c r="FV22" i="4"/>
  <c r="FU22" i="4"/>
  <c r="FO22" i="4"/>
  <c r="FJ22" i="4"/>
  <c r="FE22" i="4"/>
  <c r="EQ22" i="4"/>
  <c r="EP22" i="4"/>
  <c r="EK22" i="4"/>
  <c r="EL22" i="4" s="1"/>
  <c r="EA22" i="4"/>
  <c r="DV22" i="4"/>
  <c r="DL22" i="4"/>
  <c r="CM22" i="4"/>
  <c r="AT22" i="4"/>
  <c r="AO22" i="4"/>
  <c r="AJ22" i="4"/>
  <c r="AE22" i="4"/>
  <c r="Z22" i="4"/>
  <c r="U22" i="4"/>
  <c r="P22" i="4"/>
  <c r="K22" i="4"/>
  <c r="F22" i="4"/>
  <c r="A22" i="4"/>
  <c r="QK21" i="4"/>
  <c r="FV21" i="4"/>
  <c r="FU21" i="4"/>
  <c r="FO21" i="4"/>
  <c r="FJ21" i="4"/>
  <c r="FE21" i="4"/>
  <c r="EQ21" i="4"/>
  <c r="EP21" i="4"/>
  <c r="EK21" i="4"/>
  <c r="EL21" i="4" s="1"/>
  <c r="EA21" i="4"/>
  <c r="DV21" i="4"/>
  <c r="DL21" i="4"/>
  <c r="CM21" i="4"/>
  <c r="AT21" i="4"/>
  <c r="AO21" i="4"/>
  <c r="AJ21" i="4"/>
  <c r="AE21" i="4"/>
  <c r="Z21" i="4"/>
  <c r="U21" i="4"/>
  <c r="P21" i="4"/>
  <c r="K21" i="4"/>
  <c r="F21" i="4"/>
  <c r="A21" i="4"/>
  <c r="QK20" i="4"/>
  <c r="FV20" i="4"/>
  <c r="FU20" i="4"/>
  <c r="FO20" i="4"/>
  <c r="FJ20" i="4"/>
  <c r="FE20" i="4"/>
  <c r="EQ20" i="4"/>
  <c r="EP20" i="4"/>
  <c r="EK20" i="4"/>
  <c r="EL20" i="4" s="1"/>
  <c r="EA20" i="4"/>
  <c r="DV20" i="4"/>
  <c r="DL20" i="4"/>
  <c r="DG20" i="4"/>
  <c r="CM20" i="4"/>
  <c r="AT20" i="4"/>
  <c r="AO20" i="4"/>
  <c r="AJ20" i="4"/>
  <c r="AE20" i="4"/>
  <c r="Z20" i="4"/>
  <c r="U20" i="4"/>
  <c r="P20" i="4"/>
  <c r="K20" i="4"/>
  <c r="F20" i="4"/>
  <c r="A20" i="4"/>
  <c r="QK19" i="4"/>
  <c r="FV19" i="4"/>
  <c r="FU19" i="4"/>
  <c r="FO19" i="4"/>
  <c r="FJ19" i="4"/>
  <c r="FE19" i="4"/>
  <c r="EQ19" i="4"/>
  <c r="EP19" i="4"/>
  <c r="EK19" i="4"/>
  <c r="EL19" i="4" s="1"/>
  <c r="EA19" i="4"/>
  <c r="DV19" i="4"/>
  <c r="DL19" i="4"/>
  <c r="CM19" i="4"/>
  <c r="AT19" i="4"/>
  <c r="AO19" i="4"/>
  <c r="AJ19" i="4"/>
  <c r="AE19" i="4"/>
  <c r="Z19" i="4"/>
  <c r="U19" i="4"/>
  <c r="P19" i="4"/>
  <c r="K19" i="4"/>
  <c r="F19" i="4"/>
  <c r="A19" i="4"/>
  <c r="QK18" i="4"/>
  <c r="FV18" i="4"/>
  <c r="FU18" i="4"/>
  <c r="FO18" i="4"/>
  <c r="FJ18" i="4"/>
  <c r="FE18" i="4"/>
  <c r="EQ18" i="4"/>
  <c r="EP18" i="4"/>
  <c r="EK18" i="4"/>
  <c r="EL18" i="4" s="1"/>
  <c r="EA18" i="4"/>
  <c r="DV18" i="4"/>
  <c r="DL18" i="4"/>
  <c r="CM18" i="4"/>
  <c r="AT18" i="4"/>
  <c r="AO18" i="4"/>
  <c r="AJ18" i="4"/>
  <c r="AE18" i="4"/>
  <c r="Z18" i="4"/>
  <c r="U18" i="4"/>
  <c r="P18" i="4"/>
  <c r="K18" i="4"/>
  <c r="F18" i="4"/>
  <c r="A18" i="4"/>
  <c r="QK17" i="4"/>
  <c r="FV17" i="4"/>
  <c r="FU17" i="4"/>
  <c r="FO17" i="4"/>
  <c r="FJ17" i="4"/>
  <c r="FE17" i="4"/>
  <c r="EQ17" i="4"/>
  <c r="EP17" i="4"/>
  <c r="EK17" i="4"/>
  <c r="EL17" i="4" s="1"/>
  <c r="EA17" i="4"/>
  <c r="DL17" i="4"/>
  <c r="DG17" i="4"/>
  <c r="CM17" i="4"/>
  <c r="AT17" i="4"/>
  <c r="AO17" i="4"/>
  <c r="AJ17" i="4"/>
  <c r="AE17" i="4"/>
  <c r="Z17" i="4"/>
  <c r="U17" i="4"/>
  <c r="P17" i="4"/>
  <c r="K17" i="4"/>
  <c r="F17" i="4"/>
  <c r="A17" i="4"/>
  <c r="QK16" i="4"/>
  <c r="FV16" i="4"/>
  <c r="FU16" i="4"/>
  <c r="FO16" i="4"/>
  <c r="FJ16" i="4"/>
  <c r="FE16" i="4"/>
  <c r="EQ16" i="4"/>
  <c r="EP16" i="4"/>
  <c r="EK16" i="4"/>
  <c r="EL16" i="4" s="1"/>
  <c r="EA16" i="4"/>
  <c r="DV16" i="4"/>
  <c r="DL16" i="4"/>
  <c r="DG16" i="4"/>
  <c r="CM16" i="4"/>
  <c r="AT16" i="4"/>
  <c r="AO16" i="4"/>
  <c r="AJ16" i="4"/>
  <c r="AE16" i="4"/>
  <c r="Z16" i="4"/>
  <c r="U16" i="4"/>
  <c r="P16" i="4"/>
  <c r="K16" i="4"/>
  <c r="F16" i="4"/>
  <c r="A16" i="4"/>
  <c r="QK15" i="4"/>
  <c r="FV15" i="4"/>
  <c r="FU15" i="4"/>
  <c r="FO15" i="4"/>
  <c r="FJ15" i="4"/>
  <c r="FE15" i="4"/>
  <c r="EQ15" i="4"/>
  <c r="EP15" i="4"/>
  <c r="EK15" i="4"/>
  <c r="EL15" i="4" s="1"/>
  <c r="EA15" i="4"/>
  <c r="DV15" i="4"/>
  <c r="DL15" i="4"/>
  <c r="DG15" i="4"/>
  <c r="CM15" i="4"/>
  <c r="AT15" i="4"/>
  <c r="AO15" i="4"/>
  <c r="AJ15" i="4"/>
  <c r="AE15" i="4"/>
  <c r="Z15" i="4"/>
  <c r="U15" i="4"/>
  <c r="P15" i="4"/>
  <c r="K15" i="4"/>
  <c r="F15" i="4"/>
  <c r="A15" i="4"/>
  <c r="QK14" i="4"/>
  <c r="FV14" i="4"/>
  <c r="FU14" i="4"/>
  <c r="FO14" i="4"/>
  <c r="FJ14" i="4"/>
  <c r="FE14" i="4"/>
  <c r="EQ14" i="4"/>
  <c r="EP14" i="4"/>
  <c r="EK14" i="4"/>
  <c r="EL14" i="4" s="1"/>
  <c r="EA14" i="4"/>
  <c r="DV14" i="4"/>
  <c r="DL14" i="4"/>
  <c r="CM14" i="4"/>
  <c r="AT14" i="4"/>
  <c r="AO14" i="4"/>
  <c r="AJ14" i="4"/>
  <c r="AE14" i="4"/>
  <c r="Z14" i="4"/>
  <c r="U14" i="4"/>
  <c r="P14" i="4"/>
  <c r="K14" i="4"/>
  <c r="F14" i="4"/>
  <c r="A14" i="4"/>
  <c r="QK13" i="4"/>
  <c r="FV13" i="4"/>
  <c r="FU13" i="4"/>
  <c r="FO13" i="4"/>
  <c r="FJ13" i="4"/>
  <c r="FE13" i="4"/>
  <c r="EQ13" i="4"/>
  <c r="EP13" i="4"/>
  <c r="EK13" i="4"/>
  <c r="EL13" i="4" s="1"/>
  <c r="EA13" i="4"/>
  <c r="DV13" i="4"/>
  <c r="DL13" i="4"/>
  <c r="DG13" i="4"/>
  <c r="CM13" i="4"/>
  <c r="AT13" i="4"/>
  <c r="AO13" i="4"/>
  <c r="AJ13" i="4"/>
  <c r="AE13" i="4"/>
  <c r="Z13" i="4"/>
  <c r="U13" i="4"/>
  <c r="P13" i="4"/>
  <c r="K13" i="4"/>
  <c r="F13" i="4"/>
  <c r="A13" i="4"/>
  <c r="QK12" i="4"/>
  <c r="FV12" i="4"/>
  <c r="FU12" i="4"/>
  <c r="FO12" i="4"/>
  <c r="FJ12" i="4"/>
  <c r="FE12" i="4"/>
  <c r="EQ12" i="4"/>
  <c r="EP12" i="4"/>
  <c r="EK12" i="4"/>
  <c r="EL12" i="4" s="1"/>
  <c r="EA12" i="4"/>
  <c r="DV12" i="4"/>
  <c r="DL12" i="4"/>
  <c r="CM12" i="4"/>
  <c r="AT12" i="4"/>
  <c r="AO12" i="4"/>
  <c r="AJ12" i="4"/>
  <c r="AE12" i="4"/>
  <c r="Z12" i="4"/>
  <c r="U12" i="4"/>
  <c r="P12" i="4"/>
  <c r="K12" i="4"/>
  <c r="F12" i="4"/>
  <c r="A12" i="4"/>
  <c r="QK11" i="4"/>
  <c r="FV11" i="4"/>
  <c r="FU11" i="4"/>
  <c r="FO11" i="4"/>
  <c r="FJ11" i="4"/>
  <c r="FE11" i="4"/>
  <c r="EQ11" i="4"/>
  <c r="EP11" i="4"/>
  <c r="EK11" i="4"/>
  <c r="EL11" i="4" s="1"/>
  <c r="EA11" i="4"/>
  <c r="DV11" i="4"/>
  <c r="DL11" i="4"/>
  <c r="CM11" i="4"/>
  <c r="AT11" i="4"/>
  <c r="AO11" i="4"/>
  <c r="AJ11" i="4"/>
  <c r="AE11" i="4"/>
  <c r="Z11" i="4"/>
  <c r="U11" i="4"/>
  <c r="P11" i="4"/>
  <c r="K11" i="4"/>
  <c r="F11" i="4"/>
  <c r="A11" i="4"/>
  <c r="QK10" i="4"/>
  <c r="FV10" i="4"/>
  <c r="FU10" i="4"/>
  <c r="FO10" i="4"/>
  <c r="FJ10" i="4"/>
  <c r="FE10" i="4"/>
  <c r="EQ10" i="4"/>
  <c r="EP10" i="4"/>
  <c r="EK10" i="4"/>
  <c r="EL10" i="4" s="1"/>
  <c r="EA10" i="4"/>
  <c r="DV10" i="4"/>
  <c r="DL10" i="4"/>
  <c r="CM10" i="4"/>
  <c r="AT10" i="4"/>
  <c r="AO10" i="4"/>
  <c r="AJ10" i="4"/>
  <c r="AE10" i="4"/>
  <c r="Z10" i="4"/>
  <c r="U10" i="4"/>
  <c r="P10" i="4"/>
  <c r="K10" i="4"/>
  <c r="F10" i="4"/>
  <c r="A10" i="4"/>
  <c r="QK9" i="4"/>
  <c r="FV9" i="4"/>
  <c r="FU9" i="4"/>
  <c r="FO9" i="4"/>
  <c r="FJ9" i="4"/>
  <c r="FE9" i="4"/>
  <c r="EQ9" i="4"/>
  <c r="EP9" i="4"/>
  <c r="EK9" i="4"/>
  <c r="EL9" i="4" s="1"/>
  <c r="EA9" i="4"/>
  <c r="DV9" i="4"/>
  <c r="DL9" i="4"/>
  <c r="CM9" i="4"/>
  <c r="AT9" i="4"/>
  <c r="AO9" i="4"/>
  <c r="AJ9" i="4"/>
  <c r="AE9" i="4"/>
  <c r="Z9" i="4"/>
  <c r="U9" i="4"/>
  <c r="P9" i="4"/>
  <c r="K9" i="4"/>
  <c r="F9" i="4"/>
  <c r="A9" i="4"/>
  <c r="QK8" i="4"/>
  <c r="FV8" i="4"/>
  <c r="FU8" i="4"/>
  <c r="FO8" i="4"/>
  <c r="FJ8" i="4"/>
  <c r="FE8" i="4"/>
  <c r="EQ8" i="4"/>
  <c r="EP8" i="4"/>
  <c r="EK8" i="4"/>
  <c r="EL8" i="4" s="1"/>
  <c r="EA8" i="4"/>
  <c r="DV8" i="4"/>
  <c r="DL8" i="4"/>
  <c r="CM8" i="4"/>
  <c r="AT8" i="4"/>
  <c r="AO8" i="4"/>
  <c r="AJ8" i="4"/>
  <c r="AE8" i="4"/>
  <c r="Z8" i="4"/>
  <c r="U8" i="4"/>
  <c r="P8" i="4"/>
  <c r="K8" i="4"/>
  <c r="F8" i="4"/>
  <c r="A8" i="4"/>
  <c r="QK7" i="4"/>
  <c r="FV7" i="4"/>
  <c r="FU7" i="4"/>
  <c r="FO7" i="4"/>
  <c r="FJ7" i="4"/>
  <c r="FE7" i="4"/>
  <c r="EQ7" i="4"/>
  <c r="EP7" i="4"/>
  <c r="EK7" i="4"/>
  <c r="EL7" i="4" s="1"/>
  <c r="EA7" i="4"/>
  <c r="DL7" i="4"/>
  <c r="DG7" i="4"/>
  <c r="CM7" i="4"/>
  <c r="AT7" i="4"/>
  <c r="AO7" i="4"/>
  <c r="AJ7" i="4"/>
  <c r="AE7" i="4"/>
  <c r="Z7" i="4"/>
  <c r="U7" i="4"/>
  <c r="P7" i="4"/>
  <c r="K7" i="4"/>
  <c r="F7" i="4"/>
  <c r="A7" i="4"/>
  <c r="QK6" i="4"/>
  <c r="QL6" i="4" s="1"/>
  <c r="FV6" i="4"/>
  <c r="FU6" i="4"/>
  <c r="FO6" i="4"/>
  <c r="FJ6" i="4"/>
  <c r="FE6" i="4"/>
  <c r="FF6" i="4" s="1"/>
  <c r="EQ6" i="4"/>
  <c r="EP6" i="4"/>
  <c r="EK6" i="4"/>
  <c r="EL6" i="4" s="1"/>
  <c r="EA6" i="4"/>
  <c r="DL6" i="4"/>
  <c r="DM6" i="4" s="1"/>
  <c r="DG6" i="4"/>
  <c r="CM6" i="4"/>
  <c r="AT6" i="4"/>
  <c r="AO6" i="4"/>
  <c r="AP6" i="4" s="1"/>
  <c r="AJ6" i="4"/>
  <c r="AK6" i="4" s="1"/>
  <c r="AE6" i="4"/>
  <c r="Z6" i="4"/>
  <c r="U6" i="4"/>
  <c r="V6" i="4" s="1"/>
  <c r="P6" i="4"/>
  <c r="Q6" i="4" s="1"/>
  <c r="K6" i="4"/>
  <c r="F6" i="4"/>
  <c r="A6" i="4"/>
  <c r="B6" i="4" s="1"/>
  <c r="QK5" i="4"/>
  <c r="QL5" i="4" s="1"/>
  <c r="FU5" i="4"/>
  <c r="FP5" i="4"/>
  <c r="FO5" i="4"/>
  <c r="FJ5" i="4"/>
  <c r="FE5" i="4"/>
  <c r="FF5" i="4" s="1"/>
  <c r="EQ5" i="4"/>
  <c r="EP5" i="4"/>
  <c r="EK5" i="4"/>
  <c r="EL5" i="4" s="1"/>
  <c r="EB5" i="4"/>
  <c r="EA5" i="4"/>
  <c r="DV5" i="4"/>
  <c r="DL5" i="4"/>
  <c r="DM5" i="4" s="1"/>
  <c r="CN5" i="4"/>
  <c r="CM5" i="4"/>
  <c r="AT5" i="4"/>
  <c r="AO5" i="4"/>
  <c r="AP5" i="4" s="1"/>
  <c r="AJ5" i="4"/>
  <c r="AK5" i="4" s="1"/>
  <c r="AF5" i="4"/>
  <c r="AE5" i="4"/>
  <c r="Z5" i="4"/>
  <c r="U5" i="4"/>
  <c r="V5" i="4" s="1"/>
  <c r="P5" i="4"/>
  <c r="Q5" i="4" s="1"/>
  <c r="L5" i="4"/>
  <c r="K5" i="4"/>
  <c r="F5" i="4"/>
  <c r="A5" i="4"/>
  <c r="B5" i="4" s="1"/>
  <c r="QK4" i="4"/>
  <c r="FU4" i="4"/>
  <c r="FV5" i="4" s="1"/>
  <c r="FP4" i="4"/>
  <c r="FO4" i="4"/>
  <c r="FK4" i="4"/>
  <c r="FJ4" i="4"/>
  <c r="FK8" i="4" s="1"/>
  <c r="FE4" i="4"/>
  <c r="EQ4" i="4"/>
  <c r="EP4" i="4"/>
  <c r="EK4" i="4"/>
  <c r="EB4" i="4"/>
  <c r="EA4" i="4"/>
  <c r="DV4" i="4"/>
  <c r="DL4" i="4"/>
  <c r="DM8" i="4" s="1"/>
  <c r="DG4" i="4"/>
  <c r="CN4" i="4"/>
  <c r="CO4" i="4" s="1"/>
  <c r="CP4" i="4" s="1"/>
  <c r="CM4" i="4"/>
  <c r="AU4" i="4"/>
  <c r="AT4" i="4"/>
  <c r="AU7" i="4" s="1"/>
  <c r="AO4" i="4"/>
  <c r="AJ4" i="4"/>
  <c r="AK7" i="4" s="1"/>
  <c r="AF4" i="4"/>
  <c r="AE4" i="4"/>
  <c r="AA4" i="4"/>
  <c r="Z4" i="4"/>
  <c r="AA7" i="4" s="1"/>
  <c r="U4" i="4"/>
  <c r="P4" i="4"/>
  <c r="Q7" i="4" s="1"/>
  <c r="L4" i="4"/>
  <c r="M4" i="4" s="1"/>
  <c r="N4" i="4" s="1"/>
  <c r="K4" i="4"/>
  <c r="H4" i="4"/>
  <c r="I4" i="4" s="1"/>
  <c r="G4" i="4"/>
  <c r="F4" i="4"/>
  <c r="G7" i="4" s="1"/>
  <c r="A4" i="4"/>
  <c r="AB96" i="3"/>
  <c r="I96" i="3"/>
  <c r="F96" i="3"/>
  <c r="C96" i="3"/>
  <c r="C95" i="3"/>
  <c r="C94" i="3"/>
  <c r="AI93" i="3"/>
  <c r="AH93" i="3"/>
  <c r="AG93" i="3"/>
  <c r="AC93" i="3"/>
  <c r="AB93" i="3"/>
  <c r="Z93" i="3"/>
  <c r="Y93" i="3"/>
  <c r="W93" i="3"/>
  <c r="V93" i="3"/>
  <c r="R93" i="3"/>
  <c r="I93" i="3"/>
  <c r="H93" i="3"/>
  <c r="G93" i="3"/>
  <c r="F93" i="3"/>
  <c r="E93" i="3"/>
  <c r="D93" i="3"/>
  <c r="C93" i="3"/>
  <c r="B93" i="3"/>
  <c r="AI92" i="3"/>
  <c r="AH92" i="3"/>
  <c r="AG92" i="3"/>
  <c r="AC92" i="3"/>
  <c r="AB92" i="3"/>
  <c r="Z92" i="3"/>
  <c r="Y92" i="3"/>
  <c r="W92" i="3"/>
  <c r="V92" i="3"/>
  <c r="R92" i="3"/>
  <c r="I92" i="3"/>
  <c r="H92" i="3"/>
  <c r="G92" i="3"/>
  <c r="F92" i="3"/>
  <c r="E92" i="3"/>
  <c r="D92" i="3"/>
  <c r="C92" i="3"/>
  <c r="B92" i="3"/>
  <c r="AI91" i="3"/>
  <c r="AH91" i="3"/>
  <c r="AG91" i="3"/>
  <c r="AC91" i="3"/>
  <c r="AB91" i="3"/>
  <c r="AB94" i="3" s="1"/>
  <c r="Z91" i="3"/>
  <c r="Y91" i="3"/>
  <c r="Y94" i="3" s="1"/>
  <c r="W91" i="3"/>
  <c r="V91" i="3"/>
  <c r="V94" i="3" s="1"/>
  <c r="R91" i="3"/>
  <c r="I91" i="3"/>
  <c r="I94" i="3" s="1"/>
  <c r="H91" i="3"/>
  <c r="G91" i="3"/>
  <c r="F91" i="3"/>
  <c r="F94" i="3" s="1"/>
  <c r="E91" i="3"/>
  <c r="D91" i="3"/>
  <c r="C91" i="3"/>
  <c r="B91" i="3"/>
  <c r="C90" i="3"/>
  <c r="AI89" i="3"/>
  <c r="AH89" i="3"/>
  <c r="AG89" i="3"/>
  <c r="AC89" i="3"/>
  <c r="AB89" i="3"/>
  <c r="Z89" i="3"/>
  <c r="Y89" i="3"/>
  <c r="W89" i="3"/>
  <c r="V89" i="3"/>
  <c r="R89" i="3"/>
  <c r="I89" i="3"/>
  <c r="H89" i="3"/>
  <c r="G89" i="3"/>
  <c r="F89" i="3"/>
  <c r="E89" i="3"/>
  <c r="D89" i="3"/>
  <c r="C89" i="3"/>
  <c r="B89" i="3"/>
  <c r="AI88" i="3"/>
  <c r="AH88" i="3"/>
  <c r="AG88" i="3"/>
  <c r="AC88" i="3"/>
  <c r="AB88" i="3"/>
  <c r="Z88" i="3"/>
  <c r="Y88" i="3"/>
  <c r="W88" i="3"/>
  <c r="V88" i="3"/>
  <c r="R88" i="3"/>
  <c r="I88" i="3"/>
  <c r="H88" i="3"/>
  <c r="G88" i="3"/>
  <c r="F88" i="3"/>
  <c r="E88" i="3"/>
  <c r="D88" i="3"/>
  <c r="C88" i="3"/>
  <c r="B88" i="3"/>
  <c r="AI87" i="3"/>
  <c r="AH87" i="3"/>
  <c r="AG87" i="3"/>
  <c r="AC87" i="3"/>
  <c r="AB87" i="3"/>
  <c r="Z87" i="3"/>
  <c r="Y87" i="3"/>
  <c r="W87" i="3"/>
  <c r="V87" i="3"/>
  <c r="R87" i="3"/>
  <c r="I87" i="3"/>
  <c r="H87" i="3"/>
  <c r="G87" i="3"/>
  <c r="F87" i="3"/>
  <c r="E87" i="3"/>
  <c r="D87" i="3"/>
  <c r="C87" i="3"/>
  <c r="B87" i="3"/>
  <c r="AI86" i="3"/>
  <c r="AH86" i="3"/>
  <c r="AG86" i="3"/>
  <c r="AC86" i="3"/>
  <c r="AB86" i="3"/>
  <c r="Z86" i="3"/>
  <c r="Y86" i="3"/>
  <c r="W86" i="3"/>
  <c r="V86" i="3"/>
  <c r="R86" i="3"/>
  <c r="I86" i="3"/>
  <c r="H86" i="3"/>
  <c r="G86" i="3"/>
  <c r="F86" i="3"/>
  <c r="E86" i="3"/>
  <c r="D86" i="3"/>
  <c r="C86" i="3"/>
  <c r="B86" i="3"/>
  <c r="AI85" i="3"/>
  <c r="AH85" i="3"/>
  <c r="AG85" i="3"/>
  <c r="AC85" i="3"/>
  <c r="AB85" i="3"/>
  <c r="Z85" i="3"/>
  <c r="W85" i="3"/>
  <c r="V85" i="3"/>
  <c r="R85" i="3"/>
  <c r="I85" i="3"/>
  <c r="H85" i="3"/>
  <c r="G85" i="3"/>
  <c r="F85" i="3"/>
  <c r="E85" i="3"/>
  <c r="D85" i="3"/>
  <c r="C85" i="3"/>
  <c r="B85" i="3"/>
  <c r="AI84" i="3"/>
  <c r="AH84" i="3"/>
  <c r="AG84" i="3"/>
  <c r="AC84" i="3"/>
  <c r="AB84" i="3"/>
  <c r="Z84" i="3"/>
  <c r="Y84" i="3"/>
  <c r="W84" i="3"/>
  <c r="V84" i="3"/>
  <c r="R84" i="3"/>
  <c r="I84" i="3"/>
  <c r="H84" i="3"/>
  <c r="G84" i="3"/>
  <c r="F84" i="3"/>
  <c r="E84" i="3"/>
  <c r="D84" i="3"/>
  <c r="C84" i="3"/>
  <c r="B84" i="3"/>
  <c r="AI83" i="3"/>
  <c r="AH83" i="3"/>
  <c r="AG83" i="3"/>
  <c r="AC83" i="3"/>
  <c r="AB83" i="3"/>
  <c r="AB90" i="3" s="1"/>
  <c r="Z83" i="3"/>
  <c r="Y83" i="3"/>
  <c r="W83" i="3"/>
  <c r="V83" i="3"/>
  <c r="V90" i="3" s="1"/>
  <c r="R83" i="3"/>
  <c r="I83" i="3"/>
  <c r="I90" i="3" s="1"/>
  <c r="H83" i="3"/>
  <c r="G83" i="3"/>
  <c r="F83" i="3"/>
  <c r="F90" i="3" s="1"/>
  <c r="E83" i="3"/>
  <c r="D83" i="3"/>
  <c r="C83" i="3"/>
  <c r="B83" i="3"/>
  <c r="C82" i="3"/>
  <c r="AI81" i="3"/>
  <c r="AH81" i="3"/>
  <c r="AG81" i="3"/>
  <c r="AC81" i="3"/>
  <c r="AB81" i="3"/>
  <c r="Z81" i="3"/>
  <c r="Y81" i="3"/>
  <c r="W81" i="3"/>
  <c r="R81" i="3"/>
  <c r="I81" i="3"/>
  <c r="H81" i="3"/>
  <c r="G81" i="3"/>
  <c r="F81" i="3"/>
  <c r="E81" i="3"/>
  <c r="D81" i="3"/>
  <c r="C81" i="3"/>
  <c r="B81" i="3"/>
  <c r="AI80" i="3"/>
  <c r="AH80" i="3"/>
  <c r="AG80" i="3"/>
  <c r="AC80" i="3"/>
  <c r="AB80" i="3"/>
  <c r="AB82" i="3" s="1"/>
  <c r="Z80" i="3"/>
  <c r="Y80" i="3"/>
  <c r="Y82" i="3" s="1"/>
  <c r="W80" i="3"/>
  <c r="R80" i="3"/>
  <c r="I80" i="3"/>
  <c r="I82" i="3" s="1"/>
  <c r="H80" i="3"/>
  <c r="G80" i="3"/>
  <c r="F80" i="3"/>
  <c r="F82" i="3" s="1"/>
  <c r="E80" i="3"/>
  <c r="D80" i="3"/>
  <c r="C80" i="3"/>
  <c r="B80" i="3"/>
  <c r="Y79" i="3"/>
  <c r="C79" i="3"/>
  <c r="AI78" i="3"/>
  <c r="AH78" i="3"/>
  <c r="AG78" i="3"/>
  <c r="AC78" i="3"/>
  <c r="AB78" i="3"/>
  <c r="AB79" i="3" s="1"/>
  <c r="Z78" i="3"/>
  <c r="Y78" i="3"/>
  <c r="W78" i="3"/>
  <c r="V78" i="3"/>
  <c r="V79" i="3" s="1"/>
  <c r="R78" i="3"/>
  <c r="I78" i="3"/>
  <c r="I79" i="3" s="1"/>
  <c r="H78" i="3"/>
  <c r="G78" i="3"/>
  <c r="F78" i="3"/>
  <c r="F79" i="3" s="1"/>
  <c r="E78" i="3"/>
  <c r="D78" i="3"/>
  <c r="C78" i="3"/>
  <c r="B78" i="3"/>
  <c r="C77" i="3"/>
  <c r="AI76" i="3"/>
  <c r="AH76" i="3"/>
  <c r="AG76" i="3"/>
  <c r="AC76" i="3"/>
  <c r="AB76" i="3"/>
  <c r="Z76" i="3"/>
  <c r="Y76" i="3"/>
  <c r="W76" i="3"/>
  <c r="V76" i="3"/>
  <c r="R76" i="3"/>
  <c r="I76" i="3"/>
  <c r="H76" i="3"/>
  <c r="G76" i="3"/>
  <c r="F76" i="3"/>
  <c r="E76" i="3"/>
  <c r="D76" i="3"/>
  <c r="C76" i="3"/>
  <c r="B76" i="3"/>
  <c r="AI75" i="3"/>
  <c r="AH75" i="3"/>
  <c r="AG75" i="3"/>
  <c r="AC75" i="3"/>
  <c r="AB75" i="3"/>
  <c r="AB77" i="3" s="1"/>
  <c r="Z75" i="3"/>
  <c r="Y75" i="3"/>
  <c r="Y77" i="3" s="1"/>
  <c r="W75" i="3"/>
  <c r="V75" i="3"/>
  <c r="V77" i="3" s="1"/>
  <c r="R75" i="3"/>
  <c r="I75" i="3"/>
  <c r="I77" i="3" s="1"/>
  <c r="H75" i="3"/>
  <c r="G75" i="3"/>
  <c r="F75" i="3"/>
  <c r="F77" i="3" s="1"/>
  <c r="E75" i="3"/>
  <c r="D75" i="3"/>
  <c r="C75" i="3"/>
  <c r="B75" i="3"/>
  <c r="I74" i="3"/>
  <c r="C74" i="3"/>
  <c r="AI73" i="3"/>
  <c r="AH73" i="3"/>
  <c r="AG73" i="3"/>
  <c r="AC73" i="3"/>
  <c r="AB73" i="3"/>
  <c r="Z73" i="3"/>
  <c r="Y73" i="3"/>
  <c r="W73" i="3"/>
  <c r="V73" i="3"/>
  <c r="R73" i="3"/>
  <c r="I73" i="3"/>
  <c r="H73" i="3"/>
  <c r="G73" i="3"/>
  <c r="F73" i="3"/>
  <c r="E73" i="3"/>
  <c r="D73" i="3"/>
  <c r="C73" i="3"/>
  <c r="B73" i="3"/>
  <c r="AI72" i="3"/>
  <c r="AH72" i="3"/>
  <c r="AG72" i="3"/>
  <c r="AC72" i="3"/>
  <c r="AB72" i="3"/>
  <c r="AB74" i="3" s="1"/>
  <c r="Z72" i="3"/>
  <c r="Y72" i="3"/>
  <c r="Y74" i="3" s="1"/>
  <c r="W72" i="3"/>
  <c r="R72" i="3"/>
  <c r="I72" i="3"/>
  <c r="H72" i="3"/>
  <c r="G72" i="3"/>
  <c r="F72" i="3"/>
  <c r="F74" i="3" s="1"/>
  <c r="E72" i="3"/>
  <c r="D72" i="3"/>
  <c r="C72" i="3"/>
  <c r="B72" i="3"/>
  <c r="Y71" i="3"/>
  <c r="C71" i="3"/>
  <c r="AI70" i="3"/>
  <c r="AH70" i="3"/>
  <c r="AG70" i="3"/>
  <c r="AC70" i="3"/>
  <c r="AB70" i="3"/>
  <c r="AB71" i="3" s="1"/>
  <c r="Z70" i="3"/>
  <c r="Y70" i="3"/>
  <c r="W70" i="3"/>
  <c r="R70" i="3"/>
  <c r="I70" i="3"/>
  <c r="I71" i="3" s="1"/>
  <c r="H70" i="3"/>
  <c r="G70" i="3"/>
  <c r="F70" i="3"/>
  <c r="F71" i="3" s="1"/>
  <c r="E70" i="3"/>
  <c r="D70" i="3"/>
  <c r="C70" i="3"/>
  <c r="B70" i="3"/>
  <c r="C69" i="3"/>
  <c r="AI68" i="3"/>
  <c r="AH68" i="3"/>
  <c r="AG68" i="3"/>
  <c r="AC68" i="3"/>
  <c r="AB68" i="3"/>
  <c r="Z68" i="3"/>
  <c r="Y68" i="3"/>
  <c r="W68" i="3"/>
  <c r="R68" i="3"/>
  <c r="I68" i="3"/>
  <c r="H68" i="3"/>
  <c r="G68" i="3"/>
  <c r="F68" i="3"/>
  <c r="E68" i="3"/>
  <c r="D68" i="3"/>
  <c r="C68" i="3"/>
  <c r="B68" i="3"/>
  <c r="AI67" i="3"/>
  <c r="AH67" i="3"/>
  <c r="AG67" i="3"/>
  <c r="AC67" i="3"/>
  <c r="AB67" i="3"/>
  <c r="Z67" i="3"/>
  <c r="Y67" i="3"/>
  <c r="W67" i="3"/>
  <c r="R67" i="3"/>
  <c r="I67" i="3"/>
  <c r="H67" i="3"/>
  <c r="G67" i="3"/>
  <c r="F67" i="3"/>
  <c r="E67" i="3"/>
  <c r="D67" i="3"/>
  <c r="C67" i="3"/>
  <c r="B67" i="3"/>
  <c r="AI66" i="3"/>
  <c r="AH66" i="3"/>
  <c r="AG66" i="3"/>
  <c r="AC66" i="3"/>
  <c r="AB66" i="3"/>
  <c r="Z66" i="3"/>
  <c r="Y66" i="3"/>
  <c r="W66" i="3"/>
  <c r="R66" i="3"/>
  <c r="I66" i="3"/>
  <c r="H66" i="3"/>
  <c r="G66" i="3"/>
  <c r="F66" i="3"/>
  <c r="E66" i="3"/>
  <c r="D66" i="3"/>
  <c r="C66" i="3"/>
  <c r="B66" i="3"/>
  <c r="AI65" i="3"/>
  <c r="AH65" i="3"/>
  <c r="AG65" i="3"/>
  <c r="AC65" i="3"/>
  <c r="AB65" i="3"/>
  <c r="Z65" i="3"/>
  <c r="Y65" i="3"/>
  <c r="W65" i="3"/>
  <c r="R65" i="3"/>
  <c r="I65" i="3"/>
  <c r="H65" i="3"/>
  <c r="G65" i="3"/>
  <c r="F65" i="3"/>
  <c r="E65" i="3"/>
  <c r="D65" i="3"/>
  <c r="C65" i="3"/>
  <c r="B65" i="3"/>
  <c r="AI64" i="3"/>
  <c r="AH64" i="3"/>
  <c r="AG64" i="3"/>
  <c r="AC64" i="3"/>
  <c r="AB64" i="3"/>
  <c r="Z64" i="3"/>
  <c r="Y64" i="3"/>
  <c r="W64" i="3"/>
  <c r="R64" i="3"/>
  <c r="I64" i="3"/>
  <c r="H64" i="3"/>
  <c r="G64" i="3"/>
  <c r="F64" i="3"/>
  <c r="E64" i="3"/>
  <c r="D64" i="3"/>
  <c r="C64" i="3"/>
  <c r="B64" i="3"/>
  <c r="AI63" i="3"/>
  <c r="AH63" i="3"/>
  <c r="AG63" i="3"/>
  <c r="AC63" i="3"/>
  <c r="AB63" i="3"/>
  <c r="Z63" i="3"/>
  <c r="Y63" i="3"/>
  <c r="W63" i="3"/>
  <c r="R63" i="3"/>
  <c r="I63" i="3"/>
  <c r="H63" i="3"/>
  <c r="G63" i="3"/>
  <c r="F63" i="3"/>
  <c r="E63" i="3"/>
  <c r="D63" i="3"/>
  <c r="C63" i="3"/>
  <c r="B63" i="3"/>
  <c r="AI62" i="3"/>
  <c r="AH62" i="3"/>
  <c r="AG62" i="3"/>
  <c r="AC62" i="3"/>
  <c r="AB62" i="3"/>
  <c r="Z62" i="3"/>
  <c r="Y62" i="3"/>
  <c r="W62" i="3"/>
  <c r="R62" i="3"/>
  <c r="I62" i="3"/>
  <c r="H62" i="3"/>
  <c r="G62" i="3"/>
  <c r="F62" i="3"/>
  <c r="E62" i="3"/>
  <c r="D62" i="3"/>
  <c r="C62" i="3"/>
  <c r="B62" i="3"/>
  <c r="AI61" i="3"/>
  <c r="AH61" i="3"/>
  <c r="AG61" i="3"/>
  <c r="AC61" i="3"/>
  <c r="AB61" i="3"/>
  <c r="Z61" i="3"/>
  <c r="Y61" i="3"/>
  <c r="W61" i="3"/>
  <c r="R61" i="3"/>
  <c r="I61" i="3"/>
  <c r="H61" i="3"/>
  <c r="G61" i="3"/>
  <c r="F61" i="3"/>
  <c r="E61" i="3"/>
  <c r="D61" i="3"/>
  <c r="C61" i="3"/>
  <c r="B61" i="3"/>
  <c r="AI60" i="3"/>
  <c r="AH60" i="3"/>
  <c r="AG60" i="3"/>
  <c r="AC60" i="3"/>
  <c r="AB60" i="3"/>
  <c r="Z60" i="3"/>
  <c r="Y60" i="3"/>
  <c r="W60" i="3"/>
  <c r="R60" i="3"/>
  <c r="I60" i="3"/>
  <c r="H60" i="3"/>
  <c r="G60" i="3"/>
  <c r="F60" i="3"/>
  <c r="E60" i="3"/>
  <c r="D60" i="3"/>
  <c r="C60" i="3"/>
  <c r="B60" i="3"/>
  <c r="AI59" i="3"/>
  <c r="AH59" i="3"/>
  <c r="AG59" i="3"/>
  <c r="AC59" i="3"/>
  <c r="AB59" i="3"/>
  <c r="Z59" i="3"/>
  <c r="Y59" i="3"/>
  <c r="W59" i="3"/>
  <c r="R59" i="3"/>
  <c r="I59" i="3"/>
  <c r="H59" i="3"/>
  <c r="G59" i="3"/>
  <c r="F59" i="3"/>
  <c r="E59" i="3"/>
  <c r="D59" i="3"/>
  <c r="C59" i="3"/>
  <c r="B59" i="3"/>
  <c r="AI58" i="3"/>
  <c r="AH58" i="3"/>
  <c r="AG58" i="3"/>
  <c r="AC58" i="3"/>
  <c r="AB58" i="3"/>
  <c r="Z58" i="3"/>
  <c r="Y58" i="3"/>
  <c r="W58" i="3"/>
  <c r="R58" i="3"/>
  <c r="I58" i="3"/>
  <c r="H58" i="3"/>
  <c r="G58" i="3"/>
  <c r="F58" i="3"/>
  <c r="E58" i="3"/>
  <c r="D58" i="3"/>
  <c r="C58" i="3"/>
  <c r="B58" i="3"/>
  <c r="AI57" i="3"/>
  <c r="AH57" i="3"/>
  <c r="AG57" i="3"/>
  <c r="AC57" i="3"/>
  <c r="AB57" i="3"/>
  <c r="Z57" i="3"/>
  <c r="Y57" i="3"/>
  <c r="W57" i="3"/>
  <c r="R57" i="3"/>
  <c r="I57" i="3"/>
  <c r="H57" i="3"/>
  <c r="G57" i="3"/>
  <c r="F57" i="3"/>
  <c r="E57" i="3"/>
  <c r="D57" i="3"/>
  <c r="C57" i="3"/>
  <c r="B57" i="3"/>
  <c r="AI56" i="3"/>
  <c r="AH56" i="3"/>
  <c r="AG56" i="3"/>
  <c r="AC56" i="3"/>
  <c r="AB56" i="3"/>
  <c r="AB69" i="3" s="1"/>
  <c r="Z56" i="3"/>
  <c r="Y56" i="3"/>
  <c r="Y69" i="3" s="1"/>
  <c r="W56" i="3"/>
  <c r="R56" i="3"/>
  <c r="I56" i="3"/>
  <c r="I69" i="3" s="1"/>
  <c r="H56" i="3"/>
  <c r="G56" i="3"/>
  <c r="F56" i="3"/>
  <c r="F69" i="3" s="1"/>
  <c r="E56" i="3"/>
  <c r="D56" i="3"/>
  <c r="C56" i="3"/>
  <c r="B56" i="3"/>
  <c r="Y55" i="3"/>
  <c r="C55" i="3"/>
  <c r="AI54" i="3"/>
  <c r="AH54" i="3"/>
  <c r="AG54" i="3"/>
  <c r="AC54" i="3"/>
  <c r="AB54" i="3"/>
  <c r="AB55" i="3" s="1"/>
  <c r="Z54" i="3"/>
  <c r="Y54" i="3"/>
  <c r="W54" i="3"/>
  <c r="V54" i="3"/>
  <c r="V55" i="3" s="1"/>
  <c r="R54" i="3"/>
  <c r="I54" i="3"/>
  <c r="I55" i="3" s="1"/>
  <c r="H54" i="3"/>
  <c r="G54" i="3"/>
  <c r="F54" i="3"/>
  <c r="F55" i="3" s="1"/>
  <c r="E54" i="3"/>
  <c r="D54" i="3"/>
  <c r="C54" i="3"/>
  <c r="B54" i="3"/>
  <c r="Y53" i="3"/>
  <c r="C53" i="3"/>
  <c r="AI52" i="3"/>
  <c r="AH52" i="3"/>
  <c r="AG52" i="3"/>
  <c r="AC52" i="3"/>
  <c r="AB52" i="3"/>
  <c r="AB53" i="3" s="1"/>
  <c r="Z52" i="3"/>
  <c r="Y52" i="3"/>
  <c r="W52" i="3"/>
  <c r="V52" i="3"/>
  <c r="V53" i="3" s="1"/>
  <c r="R52" i="3"/>
  <c r="I52" i="3"/>
  <c r="I53" i="3" s="1"/>
  <c r="H52" i="3"/>
  <c r="G52" i="3"/>
  <c r="F52" i="3"/>
  <c r="F53" i="3" s="1"/>
  <c r="E52" i="3"/>
  <c r="D52" i="3"/>
  <c r="C52" i="3"/>
  <c r="B52" i="3"/>
  <c r="Y51" i="3"/>
  <c r="C51" i="3"/>
  <c r="AI50" i="3"/>
  <c r="AH50" i="3"/>
  <c r="AG50" i="3"/>
  <c r="AC50" i="3"/>
  <c r="AB50" i="3"/>
  <c r="AB51" i="3" s="1"/>
  <c r="Z50" i="3"/>
  <c r="Y50" i="3"/>
  <c r="W50" i="3"/>
  <c r="V50" i="3"/>
  <c r="V51" i="3" s="1"/>
  <c r="R50" i="3"/>
  <c r="I50" i="3"/>
  <c r="I51" i="3" s="1"/>
  <c r="H50" i="3"/>
  <c r="G50" i="3"/>
  <c r="F50" i="3"/>
  <c r="F51" i="3" s="1"/>
  <c r="E50" i="3"/>
  <c r="D50" i="3"/>
  <c r="C50" i="3"/>
  <c r="B50" i="3"/>
  <c r="C49" i="3"/>
  <c r="AI48" i="3"/>
  <c r="AH48" i="3"/>
  <c r="AG48" i="3"/>
  <c r="AC48" i="3"/>
  <c r="AB48" i="3"/>
  <c r="Z48" i="3"/>
  <c r="W48" i="3"/>
  <c r="V48" i="3"/>
  <c r="R48" i="3"/>
  <c r="I48" i="3"/>
  <c r="H48" i="3"/>
  <c r="G48" i="3"/>
  <c r="F48" i="3"/>
  <c r="E48" i="3"/>
  <c r="D48" i="3"/>
  <c r="C48" i="3"/>
  <c r="B48" i="3"/>
  <c r="AI47" i="3"/>
  <c r="AH47" i="3"/>
  <c r="AG47" i="3"/>
  <c r="AC47" i="3"/>
  <c r="AB47" i="3"/>
  <c r="AB49" i="3" s="1"/>
  <c r="Z47" i="3"/>
  <c r="W47" i="3"/>
  <c r="V47" i="3"/>
  <c r="V49" i="3" s="1"/>
  <c r="R47" i="3"/>
  <c r="I47" i="3"/>
  <c r="I49" i="3" s="1"/>
  <c r="H47" i="3"/>
  <c r="G47" i="3"/>
  <c r="F47" i="3"/>
  <c r="F49" i="3" s="1"/>
  <c r="E47" i="3"/>
  <c r="D47" i="3"/>
  <c r="C47" i="3"/>
  <c r="B47" i="3"/>
  <c r="AB46" i="3"/>
  <c r="AB95" i="3" s="1"/>
  <c r="C46" i="3"/>
  <c r="AI45" i="3"/>
  <c r="AH45" i="3"/>
  <c r="AG45" i="3"/>
  <c r="AC45" i="3"/>
  <c r="AB45" i="3"/>
  <c r="Z45" i="3"/>
  <c r="Y45" i="3"/>
  <c r="Y46" i="3" s="1"/>
  <c r="W45" i="3"/>
  <c r="V45" i="3"/>
  <c r="V46" i="3" s="1"/>
  <c r="R45" i="3"/>
  <c r="I45" i="3"/>
  <c r="I46" i="3" s="1"/>
  <c r="H45" i="3"/>
  <c r="G45" i="3"/>
  <c r="F45" i="3"/>
  <c r="F46" i="3" s="1"/>
  <c r="F95" i="3" s="1"/>
  <c r="E45" i="3"/>
  <c r="D45" i="3"/>
  <c r="C45" i="3"/>
  <c r="B45" i="3"/>
  <c r="AL43" i="3"/>
  <c r="AH43" i="3" s="1"/>
  <c r="AF43" i="3"/>
  <c r="AB43" i="3"/>
  <c r="X43" i="3"/>
  <c r="T43" i="3"/>
  <c r="P43" i="3"/>
  <c r="L43" i="3"/>
  <c r="H43" i="3"/>
  <c r="D43" i="3"/>
  <c r="A43" i="3"/>
  <c r="EN42" i="3"/>
  <c r="EM42" i="3"/>
  <c r="EL42" i="3"/>
  <c r="EK42" i="3"/>
  <c r="EJ42" i="3"/>
  <c r="EI42" i="3"/>
  <c r="EH42" i="3"/>
  <c r="EG42" i="3"/>
  <c r="EF42" i="3"/>
  <c r="EE42" i="3"/>
  <c r="ED42" i="3"/>
  <c r="EC42" i="3"/>
  <c r="EB42" i="3"/>
  <c r="EA42" i="3"/>
  <c r="DZ42" i="3"/>
  <c r="DY42" i="3"/>
  <c r="DX42" i="3"/>
  <c r="DW42" i="3"/>
  <c r="DV42" i="3"/>
  <c r="DU42" i="3"/>
  <c r="DT42" i="3"/>
  <c r="DS42" i="3"/>
  <c r="DR42" i="3"/>
  <c r="DQ42" i="3"/>
  <c r="DP42" i="3"/>
  <c r="DO42" i="3"/>
  <c r="DN42" i="3"/>
  <c r="DM42" i="3"/>
  <c r="DL42" i="3"/>
  <c r="DK42" i="3"/>
  <c r="DJ42" i="3"/>
  <c r="DI42" i="3"/>
  <c r="DH42" i="3"/>
  <c r="LE42" i="4" s="1"/>
  <c r="DG42" i="3"/>
  <c r="AL42" i="3"/>
  <c r="AI42" i="3" s="1"/>
  <c r="AJ42" i="3"/>
  <c r="AH42" i="3"/>
  <c r="AG42" i="3"/>
  <c r="AF42" i="3"/>
  <c r="AD42" i="3"/>
  <c r="AC42" i="3"/>
  <c r="AB42" i="3"/>
  <c r="Z42" i="3"/>
  <c r="Y42" i="3"/>
  <c r="X42" i="3"/>
  <c r="V42" i="3"/>
  <c r="U42" i="3"/>
  <c r="T42" i="3"/>
  <c r="R42" i="3"/>
  <c r="Q42" i="3"/>
  <c r="P42" i="3"/>
  <c r="N42" i="3"/>
  <c r="M42" i="3"/>
  <c r="L42" i="3"/>
  <c r="J42" i="3"/>
  <c r="I42" i="3"/>
  <c r="H42" i="3"/>
  <c r="F42" i="3"/>
  <c r="E42" i="3"/>
  <c r="D42" i="3"/>
  <c r="B42" i="3"/>
  <c r="A42" i="3"/>
  <c r="EN41" i="3"/>
  <c r="EM41" i="3"/>
  <c r="EL41" i="3"/>
  <c r="EK41" i="3"/>
  <c r="EJ41" i="3"/>
  <c r="EI41" i="3"/>
  <c r="EH41" i="3"/>
  <c r="EG41" i="3"/>
  <c r="EF41" i="3"/>
  <c r="EE41" i="3"/>
  <c r="ED41" i="3"/>
  <c r="EC41" i="3"/>
  <c r="EB41" i="3"/>
  <c r="EA41" i="3"/>
  <c r="DZ41" i="3"/>
  <c r="DY41" i="3"/>
  <c r="DX41" i="3"/>
  <c r="DW41" i="3"/>
  <c r="DV41" i="3"/>
  <c r="DU41" i="3"/>
  <c r="DT41" i="3"/>
  <c r="DS41" i="3"/>
  <c r="DR41" i="3"/>
  <c r="DQ41" i="3"/>
  <c r="DP41" i="3"/>
  <c r="DO41" i="3"/>
  <c r="DN41" i="3"/>
  <c r="DM41" i="3"/>
  <c r="DL41" i="3"/>
  <c r="DK41" i="3"/>
  <c r="DJ41" i="3"/>
  <c r="DI41" i="3"/>
  <c r="DH41" i="3"/>
  <c r="LE41" i="4" s="1"/>
  <c r="DG41" i="3"/>
  <c r="AL41" i="3"/>
  <c r="AI41" i="3" s="1"/>
  <c r="AJ41" i="3"/>
  <c r="AH41" i="3"/>
  <c r="AG41" i="3"/>
  <c r="AF41" i="3"/>
  <c r="AD41" i="3"/>
  <c r="AC41" i="3"/>
  <c r="AB41" i="3"/>
  <c r="Z41" i="3"/>
  <c r="Y41" i="3"/>
  <c r="X41" i="3"/>
  <c r="V41" i="3"/>
  <c r="U41" i="3"/>
  <c r="T41" i="3"/>
  <c r="R41" i="3"/>
  <c r="Q41" i="3"/>
  <c r="P41" i="3"/>
  <c r="N41" i="3"/>
  <c r="M41" i="3"/>
  <c r="L41" i="3"/>
  <c r="J41" i="3"/>
  <c r="I41" i="3"/>
  <c r="H41" i="3"/>
  <c r="F41" i="3"/>
  <c r="E41" i="3"/>
  <c r="D41" i="3"/>
  <c r="B41" i="3"/>
  <c r="A41" i="3"/>
  <c r="EN40" i="3"/>
  <c r="EM40" i="3"/>
  <c r="EL40" i="3"/>
  <c r="EK40" i="3"/>
  <c r="EJ40" i="3"/>
  <c r="EI40" i="3"/>
  <c r="EH40" i="3"/>
  <c r="EG40" i="3"/>
  <c r="EF40" i="3"/>
  <c r="EE40" i="3"/>
  <c r="ED40" i="3"/>
  <c r="EC40" i="3"/>
  <c r="EB40" i="3"/>
  <c r="EA40" i="3"/>
  <c r="DZ40" i="3"/>
  <c r="DY40" i="3"/>
  <c r="DX40" i="3"/>
  <c r="DW40" i="3"/>
  <c r="DV40" i="3"/>
  <c r="DU40" i="3"/>
  <c r="DT40" i="3"/>
  <c r="DS40" i="3"/>
  <c r="DR40" i="3"/>
  <c r="DQ40" i="3"/>
  <c r="DP40" i="3"/>
  <c r="DO40" i="3"/>
  <c r="DN40" i="3"/>
  <c r="DM40" i="3"/>
  <c r="DL40" i="3"/>
  <c r="DK40" i="3"/>
  <c r="DJ40" i="3"/>
  <c r="DI40" i="3"/>
  <c r="DH40" i="3"/>
  <c r="LE40" i="4" s="1"/>
  <c r="DG40" i="3"/>
  <c r="AL40" i="3"/>
  <c r="AI40" i="3" s="1"/>
  <c r="AJ40" i="3"/>
  <c r="AH40" i="3"/>
  <c r="AG40" i="3"/>
  <c r="AF40" i="3"/>
  <c r="AD40" i="3"/>
  <c r="AC40" i="3"/>
  <c r="AB40" i="3"/>
  <c r="Z40" i="3"/>
  <c r="Y40" i="3"/>
  <c r="X40" i="3"/>
  <c r="V40" i="3"/>
  <c r="U40" i="3"/>
  <c r="T40" i="3"/>
  <c r="R40" i="3"/>
  <c r="Q40" i="3"/>
  <c r="P40" i="3"/>
  <c r="N40" i="3"/>
  <c r="M40" i="3"/>
  <c r="L40" i="3"/>
  <c r="J40" i="3"/>
  <c r="I40" i="3"/>
  <c r="H40" i="3"/>
  <c r="F40" i="3"/>
  <c r="E40" i="3"/>
  <c r="D40" i="3"/>
  <c r="B40" i="3"/>
  <c r="A40" i="3"/>
  <c r="EN39" i="3"/>
  <c r="EM39" i="3"/>
  <c r="EL39" i="3"/>
  <c r="EK39" i="3"/>
  <c r="EJ39" i="3"/>
  <c r="EI39" i="3"/>
  <c r="EH39" i="3"/>
  <c r="EG39" i="3"/>
  <c r="EF39" i="3"/>
  <c r="EE39" i="3"/>
  <c r="ED39" i="3"/>
  <c r="EC39" i="3"/>
  <c r="EB39" i="3"/>
  <c r="EA39" i="3"/>
  <c r="DZ39" i="3"/>
  <c r="DY39" i="3"/>
  <c r="DX39" i="3"/>
  <c r="DW39" i="3"/>
  <c r="DV39" i="3"/>
  <c r="DU39" i="3"/>
  <c r="DT39" i="3"/>
  <c r="DS39" i="3"/>
  <c r="DR39" i="3"/>
  <c r="DQ39" i="3"/>
  <c r="DP39" i="3"/>
  <c r="DO39" i="3"/>
  <c r="DN39" i="3"/>
  <c r="DM39" i="3"/>
  <c r="DL39" i="3"/>
  <c r="DK39" i="3"/>
  <c r="DJ39" i="3"/>
  <c r="DI39" i="3"/>
  <c r="DH39" i="3"/>
  <c r="LE39" i="4" s="1"/>
  <c r="DG39" i="3"/>
  <c r="AL39" i="3"/>
  <c r="AG39" i="3" s="1"/>
  <c r="AJ39" i="3"/>
  <c r="AH39" i="3"/>
  <c r="AF39" i="3"/>
  <c r="AD39" i="3"/>
  <c r="AB39" i="3"/>
  <c r="Z39" i="3"/>
  <c r="X39" i="3"/>
  <c r="V39" i="3"/>
  <c r="T39" i="3"/>
  <c r="R39" i="3"/>
  <c r="P39" i="3"/>
  <c r="N39" i="3"/>
  <c r="L39" i="3"/>
  <c r="J39" i="3"/>
  <c r="H39" i="3"/>
  <c r="F39" i="3"/>
  <c r="D39" i="3"/>
  <c r="B39" i="3"/>
  <c r="EN38" i="3"/>
  <c r="EM38" i="3"/>
  <c r="EL38" i="3"/>
  <c r="EK38" i="3"/>
  <c r="EJ38" i="3"/>
  <c r="EI38" i="3"/>
  <c r="EH38" i="3"/>
  <c r="EG38" i="3"/>
  <c r="EF38" i="3"/>
  <c r="EE38" i="3"/>
  <c r="ED38" i="3"/>
  <c r="EC38" i="3"/>
  <c r="EB38" i="3"/>
  <c r="EA38" i="3"/>
  <c r="DZ38" i="3"/>
  <c r="DY38" i="3"/>
  <c r="DX38" i="3"/>
  <c r="DW38" i="3"/>
  <c r="DV38" i="3"/>
  <c r="DU38" i="3"/>
  <c r="DT38" i="3"/>
  <c r="DS38" i="3"/>
  <c r="DR38" i="3"/>
  <c r="DQ38" i="3"/>
  <c r="DP38" i="3"/>
  <c r="DO38" i="3"/>
  <c r="DN38" i="3"/>
  <c r="DM38" i="3"/>
  <c r="DL38" i="3"/>
  <c r="DK38" i="3"/>
  <c r="DJ38" i="3"/>
  <c r="DI38" i="3"/>
  <c r="DH38" i="3"/>
  <c r="LE38" i="4" s="1"/>
  <c r="DG38" i="3"/>
  <c r="AL38" i="3"/>
  <c r="AG38" i="3" s="1"/>
  <c r="AJ38" i="3"/>
  <c r="AH38" i="3"/>
  <c r="AF38" i="3"/>
  <c r="AD38" i="3"/>
  <c r="AB38" i="3"/>
  <c r="Z38" i="3"/>
  <c r="X38" i="3"/>
  <c r="V38" i="3"/>
  <c r="T38" i="3"/>
  <c r="R38" i="3"/>
  <c r="P38" i="3"/>
  <c r="N38" i="3"/>
  <c r="L38" i="3"/>
  <c r="J38" i="3"/>
  <c r="H38" i="3"/>
  <c r="F38" i="3"/>
  <c r="D38" i="3"/>
  <c r="B38" i="3"/>
  <c r="EN37" i="3"/>
  <c r="EM37" i="3"/>
  <c r="EL37" i="3"/>
  <c r="EK37" i="3"/>
  <c r="EJ37" i="3"/>
  <c r="EI37" i="3"/>
  <c r="EH37" i="3"/>
  <c r="EG37" i="3"/>
  <c r="EF37" i="3"/>
  <c r="EE37" i="3"/>
  <c r="ED37" i="3"/>
  <c r="EC37" i="3"/>
  <c r="EB37" i="3"/>
  <c r="EA37" i="3"/>
  <c r="DZ37" i="3"/>
  <c r="DY37" i="3"/>
  <c r="DX37" i="3"/>
  <c r="DW37" i="3"/>
  <c r="DV37" i="3"/>
  <c r="DU37" i="3"/>
  <c r="DT37" i="3"/>
  <c r="DS37" i="3"/>
  <c r="DR37" i="3"/>
  <c r="DQ37" i="3"/>
  <c r="DP37" i="3"/>
  <c r="DO37" i="3"/>
  <c r="DN37" i="3"/>
  <c r="DM37" i="3"/>
  <c r="DL37" i="3"/>
  <c r="DK37" i="3"/>
  <c r="DJ37" i="3"/>
  <c r="DI37" i="3"/>
  <c r="DH37" i="3"/>
  <c r="LE37" i="4" s="1"/>
  <c r="DG37" i="3"/>
  <c r="AL37" i="3"/>
  <c r="AG37" i="3" s="1"/>
  <c r="AJ37" i="3"/>
  <c r="AH37" i="3"/>
  <c r="AF37" i="3"/>
  <c r="AD37" i="3"/>
  <c r="AB37" i="3"/>
  <c r="Z37" i="3"/>
  <c r="X37" i="3"/>
  <c r="V37" i="3"/>
  <c r="T37" i="3"/>
  <c r="R37" i="3"/>
  <c r="P37" i="3"/>
  <c r="N37" i="3"/>
  <c r="L37" i="3"/>
  <c r="J37" i="3"/>
  <c r="H37" i="3"/>
  <c r="F37" i="3"/>
  <c r="D37" i="3"/>
  <c r="B37" i="3"/>
  <c r="EN36" i="3"/>
  <c r="EM36" i="3"/>
  <c r="EL36" i="3"/>
  <c r="EK36" i="3"/>
  <c r="EJ36" i="3"/>
  <c r="EI36" i="3"/>
  <c r="EH36" i="3"/>
  <c r="EG36" i="3"/>
  <c r="EF36" i="3"/>
  <c r="EE36" i="3"/>
  <c r="ED36" i="3"/>
  <c r="EC36" i="3"/>
  <c r="EB36" i="3"/>
  <c r="EA36" i="3"/>
  <c r="DZ36" i="3"/>
  <c r="DY36" i="3"/>
  <c r="DX36" i="3"/>
  <c r="DW36" i="3"/>
  <c r="DV36" i="3"/>
  <c r="DU36" i="3"/>
  <c r="DT36" i="3"/>
  <c r="DS36" i="3"/>
  <c r="DR36" i="3"/>
  <c r="DQ36" i="3"/>
  <c r="DP36" i="3"/>
  <c r="DO36" i="3"/>
  <c r="DN36" i="3"/>
  <c r="DM36" i="3"/>
  <c r="DL36" i="3"/>
  <c r="DK36" i="3"/>
  <c r="DJ36" i="3"/>
  <c r="DI36" i="3"/>
  <c r="DH36" i="3"/>
  <c r="LE36" i="4" s="1"/>
  <c r="DG36" i="3"/>
  <c r="AL36" i="3"/>
  <c r="AG36" i="3" s="1"/>
  <c r="AJ36" i="3"/>
  <c r="AH36" i="3"/>
  <c r="AF36" i="3"/>
  <c r="AD36" i="3"/>
  <c r="AB36" i="3"/>
  <c r="Z36" i="3"/>
  <c r="X36" i="3"/>
  <c r="V36" i="3"/>
  <c r="T36" i="3"/>
  <c r="R36" i="3"/>
  <c r="P36" i="3"/>
  <c r="N36" i="3"/>
  <c r="L36" i="3"/>
  <c r="J36" i="3"/>
  <c r="H36" i="3"/>
  <c r="F36" i="3"/>
  <c r="D36" i="3"/>
  <c r="B36" i="3"/>
  <c r="EN35" i="3"/>
  <c r="EM35" i="3"/>
  <c r="EL35" i="3"/>
  <c r="EK35" i="3"/>
  <c r="EJ35" i="3"/>
  <c r="EI35" i="3"/>
  <c r="EH35" i="3"/>
  <c r="EG35" i="3"/>
  <c r="EF35" i="3"/>
  <c r="EE35" i="3"/>
  <c r="ED35" i="3"/>
  <c r="EC35" i="3"/>
  <c r="EB35" i="3"/>
  <c r="EA35" i="3"/>
  <c r="DZ35" i="3"/>
  <c r="DY35" i="3"/>
  <c r="DX35" i="3"/>
  <c r="DW35" i="3"/>
  <c r="DV35" i="3"/>
  <c r="DU35" i="3"/>
  <c r="DT35" i="3"/>
  <c r="DS35" i="3"/>
  <c r="DR35" i="3"/>
  <c r="DQ35" i="3"/>
  <c r="DP35" i="3"/>
  <c r="DO35" i="3"/>
  <c r="DN35" i="3"/>
  <c r="DM35" i="3"/>
  <c r="DL35" i="3"/>
  <c r="DK35" i="3"/>
  <c r="DJ35" i="3"/>
  <c r="DI35" i="3"/>
  <c r="DH35" i="3"/>
  <c r="LE35" i="4" s="1"/>
  <c r="DG35" i="3"/>
  <c r="AL35" i="3"/>
  <c r="AG35" i="3" s="1"/>
  <c r="AJ35" i="3"/>
  <c r="AH35" i="3"/>
  <c r="AF35" i="3"/>
  <c r="AD35" i="3"/>
  <c r="AB35" i="3"/>
  <c r="Z35" i="3"/>
  <c r="X35" i="3"/>
  <c r="V35" i="3"/>
  <c r="T35" i="3"/>
  <c r="R35" i="3"/>
  <c r="P35" i="3"/>
  <c r="N35" i="3"/>
  <c r="L35" i="3"/>
  <c r="J35" i="3"/>
  <c r="H35" i="3"/>
  <c r="F35" i="3"/>
  <c r="D35" i="3"/>
  <c r="B35" i="3"/>
  <c r="EN34" i="3"/>
  <c r="EM34" i="3"/>
  <c r="EL34" i="3"/>
  <c r="EK34" i="3"/>
  <c r="EJ34" i="3"/>
  <c r="EI34" i="3"/>
  <c r="EH34" i="3"/>
  <c r="EG34" i="3"/>
  <c r="EF34" i="3"/>
  <c r="EE34" i="3"/>
  <c r="ED34" i="3"/>
  <c r="EC34" i="3"/>
  <c r="EB34" i="3"/>
  <c r="EA34" i="3"/>
  <c r="DZ34" i="3"/>
  <c r="DY34" i="3"/>
  <c r="DX34" i="3"/>
  <c r="DW34" i="3"/>
  <c r="DV34" i="3"/>
  <c r="DU34" i="3"/>
  <c r="DT34" i="3"/>
  <c r="DS34" i="3"/>
  <c r="DR34" i="3"/>
  <c r="DQ34" i="3"/>
  <c r="DP34" i="3"/>
  <c r="DO34" i="3"/>
  <c r="DN34" i="3"/>
  <c r="DM34" i="3"/>
  <c r="DL34" i="3"/>
  <c r="DK34" i="3"/>
  <c r="DJ34" i="3"/>
  <c r="DI34" i="3"/>
  <c r="DH34" i="3"/>
  <c r="LE34" i="4" s="1"/>
  <c r="DG34" i="3"/>
  <c r="AL34" i="3"/>
  <c r="AG34" i="3" s="1"/>
  <c r="AJ34" i="3"/>
  <c r="AH34" i="3"/>
  <c r="AF34" i="3"/>
  <c r="AD34" i="3"/>
  <c r="AB34" i="3"/>
  <c r="Z34" i="3"/>
  <c r="X34" i="3"/>
  <c r="V34" i="3"/>
  <c r="T34" i="3"/>
  <c r="R34" i="3"/>
  <c r="P34" i="3"/>
  <c r="N34" i="3"/>
  <c r="L34" i="3"/>
  <c r="J34" i="3"/>
  <c r="H34" i="3"/>
  <c r="F34" i="3"/>
  <c r="D34" i="3"/>
  <c r="B34" i="3"/>
  <c r="EN33" i="3"/>
  <c r="EM33" i="3"/>
  <c r="EL33" i="3"/>
  <c r="EK33" i="3"/>
  <c r="EJ33" i="3"/>
  <c r="EI33" i="3"/>
  <c r="EH33" i="3"/>
  <c r="EG33" i="3"/>
  <c r="EF33" i="3"/>
  <c r="EE33" i="3"/>
  <c r="ED33" i="3"/>
  <c r="EC33" i="3"/>
  <c r="EB33" i="3"/>
  <c r="EA33" i="3"/>
  <c r="DZ33" i="3"/>
  <c r="DY33" i="3"/>
  <c r="DX33" i="3"/>
  <c r="DW33" i="3"/>
  <c r="DV33" i="3"/>
  <c r="DU33" i="3"/>
  <c r="DT33" i="3"/>
  <c r="DS33" i="3"/>
  <c r="DR33" i="3"/>
  <c r="DQ33" i="3"/>
  <c r="DP33" i="3"/>
  <c r="DO33" i="3"/>
  <c r="DN33" i="3"/>
  <c r="DM33" i="3"/>
  <c r="DL33" i="3"/>
  <c r="DK33" i="3"/>
  <c r="DJ33" i="3"/>
  <c r="DI33" i="3"/>
  <c r="DH33" i="3"/>
  <c r="LE33" i="4" s="1"/>
  <c r="DG33" i="3"/>
  <c r="AL33" i="3"/>
  <c r="AG33" i="3" s="1"/>
  <c r="AJ33" i="3"/>
  <c r="AH33" i="3"/>
  <c r="AF33" i="3"/>
  <c r="AD33" i="3"/>
  <c r="AB33" i="3"/>
  <c r="Z33" i="3"/>
  <c r="X33" i="3"/>
  <c r="V33" i="3"/>
  <c r="T33" i="3"/>
  <c r="R33" i="3"/>
  <c r="P33" i="3"/>
  <c r="N33" i="3"/>
  <c r="L33" i="3"/>
  <c r="J33" i="3"/>
  <c r="H33" i="3"/>
  <c r="F33" i="3"/>
  <c r="D33" i="3"/>
  <c r="B33" i="3"/>
  <c r="EN32" i="3"/>
  <c r="EM32" i="3"/>
  <c r="EL32" i="3"/>
  <c r="EK32" i="3"/>
  <c r="EJ32" i="3"/>
  <c r="EI32" i="3"/>
  <c r="EH32" i="3"/>
  <c r="EG32" i="3"/>
  <c r="EF32" i="3"/>
  <c r="EE32" i="3"/>
  <c r="ED32" i="3"/>
  <c r="EC32" i="3"/>
  <c r="EB32" i="3"/>
  <c r="EA32" i="3"/>
  <c r="DZ32" i="3"/>
  <c r="DY32" i="3"/>
  <c r="DX32" i="3"/>
  <c r="DW32" i="3"/>
  <c r="DV32" i="3"/>
  <c r="DU32" i="3"/>
  <c r="DT32" i="3"/>
  <c r="DS32" i="3"/>
  <c r="DR32" i="3"/>
  <c r="DQ32" i="3"/>
  <c r="DP32" i="3"/>
  <c r="DO32" i="3"/>
  <c r="DN32" i="3"/>
  <c r="DM32" i="3"/>
  <c r="DL32" i="3"/>
  <c r="DK32" i="3"/>
  <c r="DJ32" i="3"/>
  <c r="DI32" i="3"/>
  <c r="DH32" i="3"/>
  <c r="LE32" i="4" s="1"/>
  <c r="DG32" i="3"/>
  <c r="AL32" i="3"/>
  <c r="AG32" i="3" s="1"/>
  <c r="AJ32" i="3"/>
  <c r="AH32" i="3"/>
  <c r="AF32" i="3"/>
  <c r="AD32" i="3"/>
  <c r="AB32" i="3"/>
  <c r="Z32" i="3"/>
  <c r="X32" i="3"/>
  <c r="V32" i="3"/>
  <c r="T32" i="3"/>
  <c r="R32" i="3"/>
  <c r="P32" i="3"/>
  <c r="N32" i="3"/>
  <c r="L32" i="3"/>
  <c r="J32" i="3"/>
  <c r="H32" i="3"/>
  <c r="F32" i="3"/>
  <c r="D32" i="3"/>
  <c r="B32" i="3"/>
  <c r="EN31" i="3"/>
  <c r="EM31" i="3"/>
  <c r="EL31" i="3"/>
  <c r="EK31" i="3"/>
  <c r="EJ31" i="3"/>
  <c r="EI31" i="3"/>
  <c r="EH31" i="3"/>
  <c r="EG31" i="3"/>
  <c r="EF31" i="3"/>
  <c r="EE31" i="3"/>
  <c r="ED31" i="3"/>
  <c r="EC31" i="3"/>
  <c r="EB31" i="3"/>
  <c r="EA31" i="3"/>
  <c r="DZ31" i="3"/>
  <c r="DY31" i="3"/>
  <c r="DX31" i="3"/>
  <c r="DW31" i="3"/>
  <c r="DV31" i="3"/>
  <c r="DU31" i="3"/>
  <c r="DT31" i="3"/>
  <c r="DS31" i="3"/>
  <c r="DR31" i="3"/>
  <c r="DQ31" i="3"/>
  <c r="DP31" i="3"/>
  <c r="DO31" i="3"/>
  <c r="DN31" i="3"/>
  <c r="DM31" i="3"/>
  <c r="DL31" i="3"/>
  <c r="DK31" i="3"/>
  <c r="DJ31" i="3"/>
  <c r="DI31" i="3"/>
  <c r="DH31" i="3"/>
  <c r="LE31" i="4" s="1"/>
  <c r="DG31" i="3"/>
  <c r="AL31" i="3"/>
  <c r="AG31" i="3" s="1"/>
  <c r="AJ31" i="3"/>
  <c r="AH31" i="3"/>
  <c r="AF31" i="3"/>
  <c r="AD31" i="3"/>
  <c r="AB31" i="3"/>
  <c r="Z31" i="3"/>
  <c r="X31" i="3"/>
  <c r="V31" i="3"/>
  <c r="T31" i="3"/>
  <c r="R31" i="3"/>
  <c r="P31" i="3"/>
  <c r="N31" i="3"/>
  <c r="L31" i="3"/>
  <c r="J31" i="3"/>
  <c r="H31" i="3"/>
  <c r="F31" i="3"/>
  <c r="D31" i="3"/>
  <c r="B31" i="3"/>
  <c r="EN30" i="3"/>
  <c r="EM30" i="3"/>
  <c r="EL30" i="3"/>
  <c r="EK30" i="3"/>
  <c r="EJ30" i="3"/>
  <c r="EI30" i="3"/>
  <c r="EH30" i="3"/>
  <c r="EG30" i="3"/>
  <c r="EF30" i="3"/>
  <c r="EE30" i="3"/>
  <c r="ED30" i="3"/>
  <c r="EC30" i="3"/>
  <c r="EB30" i="3"/>
  <c r="EA30" i="3"/>
  <c r="DZ30" i="3"/>
  <c r="DY30" i="3"/>
  <c r="DX30" i="3"/>
  <c r="DW30" i="3"/>
  <c r="DV30" i="3"/>
  <c r="DU30" i="3"/>
  <c r="DT30" i="3"/>
  <c r="DS30" i="3"/>
  <c r="DR30" i="3"/>
  <c r="DQ30" i="3"/>
  <c r="DP30" i="3"/>
  <c r="DO30" i="3"/>
  <c r="DN30" i="3"/>
  <c r="DM30" i="3"/>
  <c r="DL30" i="3"/>
  <c r="DK30" i="3"/>
  <c r="DJ30" i="3"/>
  <c r="DI30" i="3"/>
  <c r="DH30" i="3"/>
  <c r="LE30" i="4" s="1"/>
  <c r="DG30" i="3"/>
  <c r="AL30" i="3"/>
  <c r="AG30" i="3" s="1"/>
  <c r="AJ30" i="3"/>
  <c r="AH30" i="3"/>
  <c r="AF30" i="3"/>
  <c r="AD30" i="3"/>
  <c r="AB30" i="3"/>
  <c r="Z30" i="3"/>
  <c r="X30" i="3"/>
  <c r="V30" i="3"/>
  <c r="T30" i="3"/>
  <c r="R30" i="3"/>
  <c r="P30" i="3"/>
  <c r="N30" i="3"/>
  <c r="L30" i="3"/>
  <c r="J30" i="3"/>
  <c r="H30" i="3"/>
  <c r="F30" i="3"/>
  <c r="D30" i="3"/>
  <c r="B30" i="3"/>
  <c r="EN29" i="3"/>
  <c r="EM29" i="3"/>
  <c r="EL29" i="3"/>
  <c r="EK29" i="3"/>
  <c r="EJ29" i="3"/>
  <c r="EI29" i="3"/>
  <c r="EH29" i="3"/>
  <c r="EG29" i="3"/>
  <c r="EF29" i="3"/>
  <c r="EE29" i="3"/>
  <c r="ED29" i="3"/>
  <c r="EC29" i="3"/>
  <c r="EB29" i="3"/>
  <c r="EA29" i="3"/>
  <c r="DZ29" i="3"/>
  <c r="DY29" i="3"/>
  <c r="DX29" i="3"/>
  <c r="DW29" i="3"/>
  <c r="DV29" i="3"/>
  <c r="DU29" i="3"/>
  <c r="DT29" i="3"/>
  <c r="DS29" i="3"/>
  <c r="DR29" i="3"/>
  <c r="DQ29" i="3"/>
  <c r="DP29" i="3"/>
  <c r="DO29" i="3"/>
  <c r="DN29" i="3"/>
  <c r="DM29" i="3"/>
  <c r="DL29" i="3"/>
  <c r="DK29" i="3"/>
  <c r="DJ29" i="3"/>
  <c r="DI29" i="3"/>
  <c r="DH29" i="3"/>
  <c r="LE29" i="4" s="1"/>
  <c r="DG29" i="3"/>
  <c r="AL29" i="3"/>
  <c r="AG29" i="3" s="1"/>
  <c r="AJ29" i="3"/>
  <c r="AH29" i="3"/>
  <c r="AF29" i="3"/>
  <c r="AD29" i="3"/>
  <c r="AB29" i="3"/>
  <c r="Z29" i="3"/>
  <c r="X29" i="3"/>
  <c r="V29" i="3"/>
  <c r="T29" i="3"/>
  <c r="R29" i="3"/>
  <c r="P29" i="3"/>
  <c r="N29" i="3"/>
  <c r="L29" i="3"/>
  <c r="J29" i="3"/>
  <c r="H29" i="3"/>
  <c r="F29" i="3"/>
  <c r="D29" i="3"/>
  <c r="B29" i="3"/>
  <c r="EN28" i="3"/>
  <c r="EM28" i="3"/>
  <c r="EL28" i="3"/>
  <c r="EK28" i="3"/>
  <c r="EJ28" i="3"/>
  <c r="EI28" i="3"/>
  <c r="EH28" i="3"/>
  <c r="EG28" i="3"/>
  <c r="EF28" i="3"/>
  <c r="EE28" i="3"/>
  <c r="ED28" i="3"/>
  <c r="EC28" i="3"/>
  <c r="EB28" i="3"/>
  <c r="EA28" i="3"/>
  <c r="DZ28" i="3"/>
  <c r="DY28" i="3"/>
  <c r="DX28" i="3"/>
  <c r="DW28" i="3"/>
  <c r="DV28" i="3"/>
  <c r="DU28" i="3"/>
  <c r="DT28" i="3"/>
  <c r="DS28" i="3"/>
  <c r="DR28" i="3"/>
  <c r="DQ28" i="3"/>
  <c r="DP28" i="3"/>
  <c r="DO28" i="3"/>
  <c r="DN28" i="3"/>
  <c r="DM28" i="3"/>
  <c r="DL28" i="3"/>
  <c r="DK28" i="3"/>
  <c r="DJ28" i="3"/>
  <c r="DI28" i="3"/>
  <c r="DH28" i="3"/>
  <c r="LE28" i="4" s="1"/>
  <c r="DG28" i="3"/>
  <c r="AL28" i="3"/>
  <c r="AH28" i="3" s="1"/>
  <c r="AJ28" i="3"/>
  <c r="AF28" i="3"/>
  <c r="AD28" i="3"/>
  <c r="AB28" i="3"/>
  <c r="X28" i="3"/>
  <c r="V28" i="3"/>
  <c r="T28" i="3"/>
  <c r="P28" i="3"/>
  <c r="N28" i="3"/>
  <c r="L28" i="3"/>
  <c r="H28" i="3"/>
  <c r="F28" i="3"/>
  <c r="D28" i="3"/>
  <c r="EN27" i="3"/>
  <c r="EM27" i="3"/>
  <c r="EL27" i="3"/>
  <c r="EK27" i="3"/>
  <c r="EJ27" i="3"/>
  <c r="EI27" i="3"/>
  <c r="EH27" i="3"/>
  <c r="EG27" i="3"/>
  <c r="EF27" i="3"/>
  <c r="EE27" i="3"/>
  <c r="ED27" i="3"/>
  <c r="EC27" i="3"/>
  <c r="EB27" i="3"/>
  <c r="EA27" i="3"/>
  <c r="DZ27" i="3"/>
  <c r="DY27" i="3"/>
  <c r="DX27" i="3"/>
  <c r="DW27" i="3"/>
  <c r="DV27" i="3"/>
  <c r="DU27" i="3"/>
  <c r="DT27" i="3"/>
  <c r="DS27" i="3"/>
  <c r="DR27" i="3"/>
  <c r="DQ27" i="3"/>
  <c r="DP27" i="3"/>
  <c r="DO27" i="3"/>
  <c r="DN27" i="3"/>
  <c r="DM27" i="3"/>
  <c r="DL27" i="3"/>
  <c r="DK27" i="3"/>
  <c r="DJ27" i="3"/>
  <c r="DI27" i="3"/>
  <c r="DH27" i="3"/>
  <c r="DG27" i="3"/>
  <c r="AL27" i="3"/>
  <c r="AJ27" i="3"/>
  <c r="AH27" i="3"/>
  <c r="AD27" i="3"/>
  <c r="Z27" i="3"/>
  <c r="V27" i="3"/>
  <c r="R27" i="3"/>
  <c r="N27" i="3"/>
  <c r="J27" i="3"/>
  <c r="F27" i="3"/>
  <c r="B27" i="3"/>
  <c r="EN26" i="3"/>
  <c r="EM26" i="3"/>
  <c r="EL26" i="3"/>
  <c r="EK26" i="3"/>
  <c r="EJ26" i="3"/>
  <c r="EI26" i="3"/>
  <c r="EH26" i="3"/>
  <c r="EG26" i="3"/>
  <c r="EF26" i="3"/>
  <c r="EE26" i="3"/>
  <c r="ED26" i="3"/>
  <c r="EC26" i="3"/>
  <c r="EB26" i="3"/>
  <c r="EA26" i="3"/>
  <c r="DZ26" i="3"/>
  <c r="DY26" i="3"/>
  <c r="DX26" i="3"/>
  <c r="DW26" i="3"/>
  <c r="DV26" i="3"/>
  <c r="DU26" i="3"/>
  <c r="DT26" i="3"/>
  <c r="DS26" i="3"/>
  <c r="DR26" i="3"/>
  <c r="DQ26" i="3"/>
  <c r="DP26" i="3"/>
  <c r="DO26" i="3"/>
  <c r="DN26" i="3"/>
  <c r="DM26" i="3"/>
  <c r="DL26" i="3"/>
  <c r="DK26" i="3"/>
  <c r="DJ26" i="3"/>
  <c r="DI26" i="3"/>
  <c r="DH26" i="3"/>
  <c r="DG26" i="3"/>
  <c r="AL26" i="3"/>
  <c r="AJ26" i="3"/>
  <c r="AH26" i="3"/>
  <c r="AF26" i="3"/>
  <c r="AD26" i="3"/>
  <c r="AB26" i="3"/>
  <c r="Z26" i="3"/>
  <c r="X26" i="3"/>
  <c r="V26" i="3"/>
  <c r="T26" i="3"/>
  <c r="R26" i="3"/>
  <c r="P26" i="3"/>
  <c r="N26" i="3"/>
  <c r="L26" i="3"/>
  <c r="J26" i="3"/>
  <c r="H26" i="3"/>
  <c r="F26" i="3"/>
  <c r="D26" i="3"/>
  <c r="B26" i="3"/>
  <c r="EN25" i="3"/>
  <c r="EM25" i="3"/>
  <c r="EL25" i="3"/>
  <c r="EK25" i="3"/>
  <c r="EJ25" i="3"/>
  <c r="EI25" i="3"/>
  <c r="EH25" i="3"/>
  <c r="EG25" i="3"/>
  <c r="EF25" i="3"/>
  <c r="EE25" i="3"/>
  <c r="ED25" i="3"/>
  <c r="EC25" i="3"/>
  <c r="EB25" i="3"/>
  <c r="EA25" i="3"/>
  <c r="DZ25" i="3"/>
  <c r="DY25" i="3"/>
  <c r="DX25" i="3"/>
  <c r="DW25" i="3"/>
  <c r="DV25" i="3"/>
  <c r="DU25" i="3"/>
  <c r="DT25" i="3"/>
  <c r="DS25" i="3"/>
  <c r="DR25" i="3"/>
  <c r="DQ25" i="3"/>
  <c r="DP25" i="3"/>
  <c r="DO25" i="3"/>
  <c r="DN25" i="3"/>
  <c r="DM25" i="3"/>
  <c r="DL25" i="3"/>
  <c r="DK25" i="3"/>
  <c r="DJ25" i="3"/>
  <c r="DI25" i="3"/>
  <c r="DH25" i="3"/>
  <c r="LE25" i="4" s="1"/>
  <c r="DG25" i="3"/>
  <c r="AL25" i="3"/>
  <c r="AB25" i="3" s="1"/>
  <c r="AJ25" i="3"/>
  <c r="AD25" i="3"/>
  <c r="V25" i="3"/>
  <c r="N25" i="3"/>
  <c r="F25" i="3"/>
  <c r="EN24" i="3"/>
  <c r="EM24" i="3"/>
  <c r="EL24" i="3"/>
  <c r="EK24" i="3"/>
  <c r="EJ24" i="3"/>
  <c r="EI24" i="3"/>
  <c r="EH24" i="3"/>
  <c r="EG24" i="3"/>
  <c r="EF24" i="3"/>
  <c r="EE24" i="3"/>
  <c r="ED24" i="3"/>
  <c r="EC24" i="3"/>
  <c r="EB24" i="3"/>
  <c r="EA24" i="3"/>
  <c r="DZ24" i="3"/>
  <c r="DY24" i="3"/>
  <c r="DX24" i="3"/>
  <c r="DW24" i="3"/>
  <c r="DV24" i="3"/>
  <c r="DU24" i="3"/>
  <c r="DT24" i="3"/>
  <c r="DS24" i="3"/>
  <c r="DR24" i="3"/>
  <c r="DQ24" i="3"/>
  <c r="DP24" i="3"/>
  <c r="DO24" i="3"/>
  <c r="DN24" i="3"/>
  <c r="DM24" i="3"/>
  <c r="DL24" i="3"/>
  <c r="DK24" i="3"/>
  <c r="DJ24" i="3"/>
  <c r="DI24" i="3"/>
  <c r="DH24" i="3"/>
  <c r="LE24" i="4" s="1"/>
  <c r="DG24" i="3"/>
  <c r="AL24" i="3"/>
  <c r="AH24" i="3" s="1"/>
  <c r="AJ24" i="3"/>
  <c r="AF24" i="3"/>
  <c r="AD24" i="3"/>
  <c r="AB24" i="3"/>
  <c r="X24" i="3"/>
  <c r="V24" i="3"/>
  <c r="T24" i="3"/>
  <c r="P24" i="3"/>
  <c r="N24" i="3"/>
  <c r="L24" i="3"/>
  <c r="H24" i="3"/>
  <c r="F24" i="3"/>
  <c r="D24" i="3"/>
  <c r="EN23" i="3"/>
  <c r="EM23" i="3"/>
  <c r="EL23" i="3"/>
  <c r="EK23" i="3"/>
  <c r="EJ23" i="3"/>
  <c r="EI23" i="3"/>
  <c r="EH23" i="3"/>
  <c r="EG23" i="3"/>
  <c r="EF23" i="3"/>
  <c r="EE23" i="3"/>
  <c r="ED23" i="3"/>
  <c r="EC23" i="3"/>
  <c r="EB23" i="3"/>
  <c r="EA23" i="3"/>
  <c r="DZ23" i="3"/>
  <c r="DY23" i="3"/>
  <c r="DX23" i="3"/>
  <c r="DW23" i="3"/>
  <c r="DV23" i="3"/>
  <c r="DU23" i="3"/>
  <c r="DT23" i="3"/>
  <c r="DS23" i="3"/>
  <c r="DR23" i="3"/>
  <c r="DQ23" i="3"/>
  <c r="DP23" i="3"/>
  <c r="DO23" i="3"/>
  <c r="DN23" i="3"/>
  <c r="DM23" i="3"/>
  <c r="DL23" i="3"/>
  <c r="DK23" i="3"/>
  <c r="DJ23" i="3"/>
  <c r="DI23" i="3"/>
  <c r="DH23" i="3"/>
  <c r="DG23" i="3"/>
  <c r="AL23" i="3"/>
  <c r="AJ23" i="3"/>
  <c r="AH23" i="3"/>
  <c r="AD23" i="3"/>
  <c r="Z23" i="3"/>
  <c r="V23" i="3"/>
  <c r="R23" i="3"/>
  <c r="N23" i="3"/>
  <c r="J23" i="3"/>
  <c r="F23" i="3"/>
  <c r="B23" i="3"/>
  <c r="EN22" i="3"/>
  <c r="EM22" i="3"/>
  <c r="EL22" i="3"/>
  <c r="EK22" i="3"/>
  <c r="EJ22" i="3"/>
  <c r="EI22" i="3"/>
  <c r="EH22" i="3"/>
  <c r="EG22" i="3"/>
  <c r="EF22" i="3"/>
  <c r="EE22" i="3"/>
  <c r="ED22" i="3"/>
  <c r="EC22" i="3"/>
  <c r="EB22" i="3"/>
  <c r="EA22" i="3"/>
  <c r="DZ22" i="3"/>
  <c r="DY22" i="3"/>
  <c r="DX22" i="3"/>
  <c r="DW22" i="3"/>
  <c r="DV22" i="3"/>
  <c r="DU22" i="3"/>
  <c r="DT22" i="3"/>
  <c r="DS22" i="3"/>
  <c r="DR22" i="3"/>
  <c r="DQ22" i="3"/>
  <c r="DP22" i="3"/>
  <c r="DO22" i="3"/>
  <c r="DN22" i="3"/>
  <c r="DM22" i="3"/>
  <c r="DL22" i="3"/>
  <c r="DK22" i="3"/>
  <c r="DJ22" i="3"/>
  <c r="DI22" i="3"/>
  <c r="DH22" i="3"/>
  <c r="DG22" i="3"/>
  <c r="AL22" i="3"/>
  <c r="AJ22" i="3"/>
  <c r="AH22" i="3"/>
  <c r="AF22" i="3"/>
  <c r="AD22" i="3"/>
  <c r="AB22" i="3"/>
  <c r="Z22" i="3"/>
  <c r="X22" i="3"/>
  <c r="V22" i="3"/>
  <c r="T22" i="3"/>
  <c r="R22" i="3"/>
  <c r="P22" i="3"/>
  <c r="N22" i="3"/>
  <c r="L22" i="3"/>
  <c r="J22" i="3"/>
  <c r="H22" i="3"/>
  <c r="F22" i="3"/>
  <c r="D22" i="3"/>
  <c r="B22" i="3"/>
  <c r="EN21" i="3"/>
  <c r="EM21" i="3"/>
  <c r="EL21" i="3"/>
  <c r="EK21" i="3"/>
  <c r="EJ21" i="3"/>
  <c r="EI21" i="3"/>
  <c r="EH21" i="3"/>
  <c r="EG21" i="3"/>
  <c r="EF21" i="3"/>
  <c r="EE21" i="3"/>
  <c r="ED21" i="3"/>
  <c r="EC21" i="3"/>
  <c r="EB21" i="3"/>
  <c r="EA21" i="3"/>
  <c r="DZ21" i="3"/>
  <c r="DY21" i="3"/>
  <c r="DX21" i="3"/>
  <c r="DW21" i="3"/>
  <c r="DV21" i="3"/>
  <c r="DU21" i="3"/>
  <c r="DT21" i="3"/>
  <c r="DS21" i="3"/>
  <c r="DR21" i="3"/>
  <c r="DQ21" i="3"/>
  <c r="DP21" i="3"/>
  <c r="DO21" i="3"/>
  <c r="DN21" i="3"/>
  <c r="DM21" i="3"/>
  <c r="DL21" i="3"/>
  <c r="DK21" i="3"/>
  <c r="DJ21" i="3"/>
  <c r="DI21" i="3"/>
  <c r="DH21" i="3"/>
  <c r="LE21" i="4" s="1"/>
  <c r="DG21" i="3"/>
  <c r="AL21" i="3"/>
  <c r="AB21" i="3" s="1"/>
  <c r="AJ21" i="3"/>
  <c r="AD21" i="3"/>
  <c r="V21" i="3"/>
  <c r="N21" i="3"/>
  <c r="F21" i="3"/>
  <c r="EN20" i="3"/>
  <c r="EM20" i="3"/>
  <c r="EL20" i="3"/>
  <c r="EK20" i="3"/>
  <c r="EJ20" i="3"/>
  <c r="EI20" i="3"/>
  <c r="EH20" i="3"/>
  <c r="EG20" i="3"/>
  <c r="EF20" i="3"/>
  <c r="EE20" i="3"/>
  <c r="ED20" i="3"/>
  <c r="EC20" i="3"/>
  <c r="EB20" i="3"/>
  <c r="EA20" i="3"/>
  <c r="DZ20" i="3"/>
  <c r="DY20" i="3"/>
  <c r="DX20" i="3"/>
  <c r="DW20" i="3"/>
  <c r="DV20" i="3"/>
  <c r="DU20" i="3"/>
  <c r="DT20" i="3"/>
  <c r="DS20" i="3"/>
  <c r="DR20" i="3"/>
  <c r="DQ20" i="3"/>
  <c r="DP20" i="3"/>
  <c r="DO20" i="3"/>
  <c r="DN20" i="3"/>
  <c r="DM20" i="3"/>
  <c r="DL20" i="3"/>
  <c r="DK20" i="3"/>
  <c r="DJ20" i="3"/>
  <c r="DI20" i="3"/>
  <c r="DH20" i="3"/>
  <c r="LE20" i="4" s="1"/>
  <c r="DG20" i="3"/>
  <c r="AL20" i="3"/>
  <c r="AH20" i="3" s="1"/>
  <c r="AJ20" i="3"/>
  <c r="AF20" i="3"/>
  <c r="AD20" i="3"/>
  <c r="AB20" i="3"/>
  <c r="X20" i="3"/>
  <c r="V20" i="3"/>
  <c r="T20" i="3"/>
  <c r="P20" i="3"/>
  <c r="N20" i="3"/>
  <c r="L20" i="3"/>
  <c r="H20" i="3"/>
  <c r="F20" i="3"/>
  <c r="D20" i="3"/>
  <c r="EN19" i="3"/>
  <c r="EM19" i="3"/>
  <c r="EL19" i="3"/>
  <c r="EK19" i="3"/>
  <c r="EJ19" i="3"/>
  <c r="EI19" i="3"/>
  <c r="EH19" i="3"/>
  <c r="EG19" i="3"/>
  <c r="EF19" i="3"/>
  <c r="EE19" i="3"/>
  <c r="ED19" i="3"/>
  <c r="EC19" i="3"/>
  <c r="EB19" i="3"/>
  <c r="EA19" i="3"/>
  <c r="DZ19" i="3"/>
  <c r="DY19" i="3"/>
  <c r="DX19" i="3"/>
  <c r="DW19" i="3"/>
  <c r="DV19" i="3"/>
  <c r="DU19" i="3"/>
  <c r="DT19" i="3"/>
  <c r="DS19" i="3"/>
  <c r="DR19" i="3"/>
  <c r="DQ19" i="3"/>
  <c r="DP19" i="3"/>
  <c r="DO19" i="3"/>
  <c r="DN19" i="3"/>
  <c r="DM19" i="3"/>
  <c r="DL19" i="3"/>
  <c r="DK19" i="3"/>
  <c r="DJ19" i="3"/>
  <c r="DI19" i="3"/>
  <c r="DH19" i="3"/>
  <c r="DG19" i="3"/>
  <c r="AL19" i="3"/>
  <c r="AJ19" i="3"/>
  <c r="AH19" i="3"/>
  <c r="AD19" i="3"/>
  <c r="Z19" i="3"/>
  <c r="V19" i="3"/>
  <c r="R19" i="3"/>
  <c r="N19" i="3"/>
  <c r="J19" i="3"/>
  <c r="F19" i="3"/>
  <c r="B19" i="3"/>
  <c r="EN18" i="3"/>
  <c r="EM18" i="3"/>
  <c r="EL18" i="3"/>
  <c r="EK18" i="3"/>
  <c r="EJ18" i="3"/>
  <c r="EI18" i="3"/>
  <c r="EH18" i="3"/>
  <c r="EG18" i="3"/>
  <c r="EF18" i="3"/>
  <c r="EE18" i="3"/>
  <c r="ED18" i="3"/>
  <c r="EC18" i="3"/>
  <c r="EB18" i="3"/>
  <c r="EA18" i="3"/>
  <c r="DZ18" i="3"/>
  <c r="DY18" i="3"/>
  <c r="DX18" i="3"/>
  <c r="DW18" i="3"/>
  <c r="DV18" i="3"/>
  <c r="DU18" i="3"/>
  <c r="DT18" i="3"/>
  <c r="DS18" i="3"/>
  <c r="DR18" i="3"/>
  <c r="DQ18" i="3"/>
  <c r="DP18" i="3"/>
  <c r="DO18" i="3"/>
  <c r="DN18" i="3"/>
  <c r="DM18" i="3"/>
  <c r="DL18" i="3"/>
  <c r="DK18" i="3"/>
  <c r="DJ18" i="3"/>
  <c r="DI18" i="3"/>
  <c r="DH18" i="3"/>
  <c r="DG18" i="3"/>
  <c r="AL18" i="3"/>
  <c r="AJ18" i="3"/>
  <c r="AH18" i="3"/>
  <c r="AF18" i="3"/>
  <c r="AD18" i="3"/>
  <c r="AB18" i="3"/>
  <c r="Z18" i="3"/>
  <c r="X18" i="3"/>
  <c r="V18" i="3"/>
  <c r="T18" i="3"/>
  <c r="R18" i="3"/>
  <c r="P18" i="3"/>
  <c r="N18" i="3"/>
  <c r="L18" i="3"/>
  <c r="J18" i="3"/>
  <c r="H18" i="3"/>
  <c r="F18" i="3"/>
  <c r="D18" i="3"/>
  <c r="B18" i="3"/>
  <c r="EN17" i="3"/>
  <c r="EM17" i="3"/>
  <c r="EL17" i="3"/>
  <c r="EK17" i="3"/>
  <c r="EJ17" i="3"/>
  <c r="EI17" i="3"/>
  <c r="EH17" i="3"/>
  <c r="EG17" i="3"/>
  <c r="EF17" i="3"/>
  <c r="EE17" i="3"/>
  <c r="ED17" i="3"/>
  <c r="EC17" i="3"/>
  <c r="EB17" i="3"/>
  <c r="EA17" i="3"/>
  <c r="DZ17" i="3"/>
  <c r="DY17" i="3"/>
  <c r="DX17" i="3"/>
  <c r="DW17" i="3"/>
  <c r="DV17" i="3"/>
  <c r="DU17" i="3"/>
  <c r="DT17" i="3"/>
  <c r="DS17" i="3"/>
  <c r="DR17" i="3"/>
  <c r="DQ17" i="3"/>
  <c r="DP17" i="3"/>
  <c r="DO17" i="3"/>
  <c r="DN17" i="3"/>
  <c r="DM17" i="3"/>
  <c r="DL17" i="3"/>
  <c r="DK17" i="3"/>
  <c r="DJ17" i="3"/>
  <c r="DI17" i="3"/>
  <c r="DH17" i="3"/>
  <c r="LE17" i="4" s="1"/>
  <c r="DG17" i="3"/>
  <c r="AL17" i="3"/>
  <c r="AJ17" i="3"/>
  <c r="AK17" i="3" s="1"/>
  <c r="AG17" i="3"/>
  <c r="AD17" i="3"/>
  <c r="AB17" i="3"/>
  <c r="Y17" i="3"/>
  <c r="V17" i="3"/>
  <c r="T17" i="3"/>
  <c r="Q17" i="3"/>
  <c r="N17" i="3"/>
  <c r="L17" i="3"/>
  <c r="I17" i="3"/>
  <c r="F17" i="3"/>
  <c r="D17" i="3"/>
  <c r="A17" i="3"/>
  <c r="EN16" i="3"/>
  <c r="EM16" i="3"/>
  <c r="EL16" i="3"/>
  <c r="EK16" i="3"/>
  <c r="EJ16" i="3"/>
  <c r="EI16" i="3"/>
  <c r="EH16" i="3"/>
  <c r="EG16" i="3"/>
  <c r="EF16" i="3"/>
  <c r="EE16" i="3"/>
  <c r="ED16" i="3"/>
  <c r="EC16" i="3"/>
  <c r="EB16" i="3"/>
  <c r="EA16" i="3"/>
  <c r="DZ16" i="3"/>
  <c r="DY16" i="3"/>
  <c r="DX16" i="3"/>
  <c r="DW16" i="3"/>
  <c r="DV16" i="3"/>
  <c r="DU16" i="3"/>
  <c r="DT16" i="3"/>
  <c r="DS16" i="3"/>
  <c r="DR16" i="3"/>
  <c r="DQ16" i="3"/>
  <c r="DP16" i="3"/>
  <c r="DO16" i="3"/>
  <c r="DN16" i="3"/>
  <c r="DM16" i="3"/>
  <c r="DL16" i="3"/>
  <c r="DK16" i="3"/>
  <c r="DJ16" i="3"/>
  <c r="DI16" i="3"/>
  <c r="DH16" i="3"/>
  <c r="DG16" i="3"/>
  <c r="AL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B16" i="3"/>
  <c r="A16" i="3"/>
  <c r="EN15" i="3"/>
  <c r="EM15" i="3"/>
  <c r="EL15" i="3"/>
  <c r="EK15" i="3"/>
  <c r="EJ15" i="3"/>
  <c r="EI15" i="3"/>
  <c r="EH15" i="3"/>
  <c r="EG15" i="3"/>
  <c r="EF15" i="3"/>
  <c r="EE15" i="3"/>
  <c r="ED15" i="3"/>
  <c r="EC15" i="3"/>
  <c r="EB15" i="3"/>
  <c r="EA15" i="3"/>
  <c r="DZ15" i="3"/>
  <c r="DY15" i="3"/>
  <c r="DX15" i="3"/>
  <c r="DW15" i="3"/>
  <c r="DV15" i="3"/>
  <c r="DU15" i="3"/>
  <c r="DT15" i="3"/>
  <c r="DS15" i="3"/>
  <c r="DR15" i="3"/>
  <c r="DQ15" i="3"/>
  <c r="DP15" i="3"/>
  <c r="DO15" i="3"/>
  <c r="DN15" i="3"/>
  <c r="DM15" i="3"/>
  <c r="DL15" i="3"/>
  <c r="DK15" i="3"/>
  <c r="DJ15" i="3"/>
  <c r="DI15" i="3"/>
  <c r="DH15" i="3"/>
  <c r="DG15" i="3"/>
  <c r="AL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B15" i="3"/>
  <c r="A15" i="3"/>
  <c r="EN14" i="3"/>
  <c r="EM14" i="3"/>
  <c r="EL14" i="3"/>
  <c r="EK14" i="3"/>
  <c r="EJ14" i="3"/>
  <c r="EI14" i="3"/>
  <c r="EH14" i="3"/>
  <c r="EG14" i="3"/>
  <c r="EF14" i="3"/>
  <c r="EE14" i="3"/>
  <c r="ED14" i="3"/>
  <c r="EC14" i="3"/>
  <c r="EB14" i="3"/>
  <c r="EA14" i="3"/>
  <c r="DZ14" i="3"/>
  <c r="DY14" i="3"/>
  <c r="DX14" i="3"/>
  <c r="DW14" i="3"/>
  <c r="DV14" i="3"/>
  <c r="DU14" i="3"/>
  <c r="DT14" i="3"/>
  <c r="DS14" i="3"/>
  <c r="DR14" i="3"/>
  <c r="DQ14" i="3"/>
  <c r="DP14" i="3"/>
  <c r="DO14" i="3"/>
  <c r="DN14" i="3"/>
  <c r="DM14" i="3"/>
  <c r="DL14" i="3"/>
  <c r="DK14" i="3"/>
  <c r="DJ14" i="3"/>
  <c r="DI14" i="3"/>
  <c r="DH14" i="3"/>
  <c r="DG14" i="3"/>
  <c r="AL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B14" i="3"/>
  <c r="A14" i="3"/>
  <c r="EN13" i="3"/>
  <c r="EM13" i="3"/>
  <c r="EL13" i="3"/>
  <c r="EK13" i="3"/>
  <c r="EJ13" i="3"/>
  <c r="EI13" i="3"/>
  <c r="EH13" i="3"/>
  <c r="EG13" i="3"/>
  <c r="EF13" i="3"/>
  <c r="EE13" i="3"/>
  <c r="ED13" i="3"/>
  <c r="EC13" i="3"/>
  <c r="EB13" i="3"/>
  <c r="EA13" i="3"/>
  <c r="DZ13" i="3"/>
  <c r="DY13" i="3"/>
  <c r="DX13" i="3"/>
  <c r="DW13" i="3"/>
  <c r="DV13" i="3"/>
  <c r="DU13" i="3"/>
  <c r="DT13" i="3"/>
  <c r="DS13" i="3"/>
  <c r="DR13" i="3"/>
  <c r="DQ13" i="3"/>
  <c r="DP13" i="3"/>
  <c r="DO13" i="3"/>
  <c r="DN13" i="3"/>
  <c r="DM13" i="3"/>
  <c r="DL13" i="3"/>
  <c r="DK13" i="3"/>
  <c r="DJ13" i="3"/>
  <c r="DI13" i="3"/>
  <c r="DH13" i="3"/>
  <c r="DG13" i="3"/>
  <c r="AL13" i="3"/>
  <c r="AJ13" i="3"/>
  <c r="AK13" i="3" s="1"/>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13" i="3"/>
  <c r="B13" i="3"/>
  <c r="A13" i="3"/>
  <c r="EN12" i="3"/>
  <c r="EM12" i="3"/>
  <c r="EL12" i="3"/>
  <c r="EK12" i="3"/>
  <c r="EJ12" i="3"/>
  <c r="EI12" i="3"/>
  <c r="EH12" i="3"/>
  <c r="EG12" i="3"/>
  <c r="EF12" i="3"/>
  <c r="EE12" i="3"/>
  <c r="ED12" i="3"/>
  <c r="EC12" i="3"/>
  <c r="EB12" i="3"/>
  <c r="EA12" i="3"/>
  <c r="DZ12" i="3"/>
  <c r="DY12" i="3"/>
  <c r="DX12" i="3"/>
  <c r="DW12" i="3"/>
  <c r="DV12" i="3"/>
  <c r="DU12" i="3"/>
  <c r="DT12" i="3"/>
  <c r="DS12" i="3"/>
  <c r="DR12" i="3"/>
  <c r="DQ12" i="3"/>
  <c r="DP12" i="3"/>
  <c r="DO12" i="3"/>
  <c r="DN12" i="3"/>
  <c r="DM12" i="3"/>
  <c r="DL12" i="3"/>
  <c r="DK12" i="3"/>
  <c r="DJ12" i="3"/>
  <c r="DI12" i="3"/>
  <c r="DH12" i="3"/>
  <c r="DG12" i="3"/>
  <c r="AL12" i="3"/>
  <c r="AJ12" i="3"/>
  <c r="AK12" i="3" s="1"/>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B12" i="3"/>
  <c r="A12" i="3"/>
  <c r="EN11" i="3"/>
  <c r="EM11" i="3"/>
  <c r="EL11" i="3"/>
  <c r="EK11" i="3"/>
  <c r="EJ11" i="3"/>
  <c r="EI11" i="3"/>
  <c r="EH11" i="3"/>
  <c r="EG11" i="3"/>
  <c r="EF11" i="3"/>
  <c r="EE11" i="3"/>
  <c r="ED11" i="3"/>
  <c r="EC11" i="3"/>
  <c r="EB11" i="3"/>
  <c r="EA11" i="3"/>
  <c r="DZ11" i="3"/>
  <c r="DY11" i="3"/>
  <c r="DX11" i="3"/>
  <c r="DW11" i="3"/>
  <c r="DV11" i="3"/>
  <c r="DU11" i="3"/>
  <c r="DT11" i="3"/>
  <c r="DS11" i="3"/>
  <c r="DR11" i="3"/>
  <c r="DQ11" i="3"/>
  <c r="DP11" i="3"/>
  <c r="DO11" i="3"/>
  <c r="DN11" i="3"/>
  <c r="DM11" i="3"/>
  <c r="DL11" i="3"/>
  <c r="DK11" i="3"/>
  <c r="DJ11" i="3"/>
  <c r="DI11" i="3"/>
  <c r="DH11" i="3"/>
  <c r="LE11" i="4" s="1"/>
  <c r="DG11" i="3"/>
  <c r="AL11" i="3"/>
  <c r="AJ11" i="3"/>
  <c r="AK11" i="3" s="1"/>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B11" i="3"/>
  <c r="A11" i="3"/>
  <c r="EN10" i="3"/>
  <c r="EM10" i="3"/>
  <c r="EL10" i="3"/>
  <c r="EK10" i="3"/>
  <c r="EJ10" i="3"/>
  <c r="EI10" i="3"/>
  <c r="EH10" i="3"/>
  <c r="EG10" i="3"/>
  <c r="EF10" i="3"/>
  <c r="EE10" i="3"/>
  <c r="ED10" i="3"/>
  <c r="EC10" i="3"/>
  <c r="EB10" i="3"/>
  <c r="EA10" i="3"/>
  <c r="DZ10" i="3"/>
  <c r="DY10" i="3"/>
  <c r="DX10" i="3"/>
  <c r="DW10" i="3"/>
  <c r="DV10" i="3"/>
  <c r="DU10" i="3"/>
  <c r="DT10" i="3"/>
  <c r="DS10" i="3"/>
  <c r="DR10" i="3"/>
  <c r="DQ10" i="3"/>
  <c r="DP10" i="3"/>
  <c r="DO10" i="3"/>
  <c r="DN10" i="3"/>
  <c r="DM10" i="3"/>
  <c r="DL10" i="3"/>
  <c r="DK10" i="3"/>
  <c r="DJ10" i="3"/>
  <c r="DI10" i="3"/>
  <c r="DH10" i="3"/>
  <c r="LE10" i="4" s="1"/>
  <c r="DG10" i="3"/>
  <c r="AL10" i="3"/>
  <c r="AJ10" i="3"/>
  <c r="AK10" i="3" s="1"/>
  <c r="AI10" i="3"/>
  <c r="AH10" i="3"/>
  <c r="AG10" i="3"/>
  <c r="AF10" i="3"/>
  <c r="AE10" i="3"/>
  <c r="AD10" i="3"/>
  <c r="AC10" i="3"/>
  <c r="AB10" i="3"/>
  <c r="AA10" i="3"/>
  <c r="Z10" i="3"/>
  <c r="Y10" i="3"/>
  <c r="X10" i="3"/>
  <c r="W10" i="3"/>
  <c r="V10" i="3"/>
  <c r="U10" i="3"/>
  <c r="T10" i="3"/>
  <c r="S10" i="3"/>
  <c r="R10" i="3"/>
  <c r="Q10" i="3"/>
  <c r="P10" i="3"/>
  <c r="O10" i="3"/>
  <c r="N10" i="3"/>
  <c r="M10" i="3"/>
  <c r="L10" i="3"/>
  <c r="K10" i="3"/>
  <c r="J10" i="3"/>
  <c r="I10" i="3"/>
  <c r="H10" i="3"/>
  <c r="G10" i="3"/>
  <c r="F10" i="3"/>
  <c r="E10" i="3"/>
  <c r="D10" i="3"/>
  <c r="C10" i="3"/>
  <c r="B10" i="3"/>
  <c r="A10" i="3"/>
  <c r="EN9" i="3"/>
  <c r="EM9" i="3"/>
  <c r="EL9" i="3"/>
  <c r="EK9" i="3"/>
  <c r="EJ9" i="3"/>
  <c r="EI9" i="3"/>
  <c r="EH9" i="3"/>
  <c r="EG9" i="3"/>
  <c r="EF9" i="3"/>
  <c r="EE9" i="3"/>
  <c r="ED9" i="3"/>
  <c r="EC9" i="3"/>
  <c r="EB9" i="3"/>
  <c r="EA9" i="3"/>
  <c r="DZ9" i="3"/>
  <c r="DY9" i="3"/>
  <c r="DX9" i="3"/>
  <c r="DW9" i="3"/>
  <c r="DV9" i="3"/>
  <c r="DU9" i="3"/>
  <c r="DT9" i="3"/>
  <c r="DS9" i="3"/>
  <c r="DR9" i="3"/>
  <c r="DQ9" i="3"/>
  <c r="DP9" i="3"/>
  <c r="DO9" i="3"/>
  <c r="DN9" i="3"/>
  <c r="DM9" i="3"/>
  <c r="DL9" i="3"/>
  <c r="DK9" i="3"/>
  <c r="DJ9" i="3"/>
  <c r="DI9" i="3"/>
  <c r="DH9" i="3"/>
  <c r="LE9" i="4" s="1"/>
  <c r="DG9" i="3"/>
  <c r="AL9" i="3"/>
  <c r="AJ9" i="3"/>
  <c r="AK9" i="3" s="1"/>
  <c r="AI9" i="3"/>
  <c r="AH9" i="3"/>
  <c r="AG9" i="3"/>
  <c r="AF9" i="3"/>
  <c r="AE9" i="3"/>
  <c r="AD9" i="3"/>
  <c r="AC9" i="3"/>
  <c r="AB9" i="3"/>
  <c r="AA9" i="3"/>
  <c r="Z9" i="3"/>
  <c r="Y9" i="3"/>
  <c r="X9" i="3"/>
  <c r="W9" i="3"/>
  <c r="V9" i="3"/>
  <c r="U9" i="3"/>
  <c r="T9" i="3"/>
  <c r="S9" i="3"/>
  <c r="R9" i="3"/>
  <c r="Q9" i="3"/>
  <c r="P9" i="3"/>
  <c r="O9" i="3"/>
  <c r="N9" i="3"/>
  <c r="M9" i="3"/>
  <c r="L9" i="3"/>
  <c r="K9" i="3"/>
  <c r="J9" i="3"/>
  <c r="I9" i="3"/>
  <c r="H9" i="3"/>
  <c r="G9" i="3"/>
  <c r="F9" i="3"/>
  <c r="E9" i="3"/>
  <c r="D9" i="3"/>
  <c r="C9" i="3"/>
  <c r="B9" i="3"/>
  <c r="A9" i="3"/>
  <c r="EN8" i="3"/>
  <c r="EM8" i="3"/>
  <c r="EL8" i="3"/>
  <c r="EK8" i="3"/>
  <c r="EJ8" i="3"/>
  <c r="EI8" i="3"/>
  <c r="EH8" i="3"/>
  <c r="EG8" i="3"/>
  <c r="EF8" i="3"/>
  <c r="EE8" i="3"/>
  <c r="ED8" i="3"/>
  <c r="EC8" i="3"/>
  <c r="EB8" i="3"/>
  <c r="EA8" i="3"/>
  <c r="DZ8" i="3"/>
  <c r="DY8" i="3"/>
  <c r="DX8" i="3"/>
  <c r="DW8" i="3"/>
  <c r="DV8" i="3"/>
  <c r="DU8" i="3"/>
  <c r="DT8" i="3"/>
  <c r="DS8" i="3"/>
  <c r="DR8" i="3"/>
  <c r="DQ8" i="3"/>
  <c r="DP8" i="3"/>
  <c r="DO8" i="3"/>
  <c r="DN8" i="3"/>
  <c r="DM8" i="3"/>
  <c r="DL8" i="3"/>
  <c r="DK8" i="3"/>
  <c r="DJ8" i="3"/>
  <c r="DI8" i="3"/>
  <c r="DH8" i="3"/>
  <c r="LE8" i="4" s="1"/>
  <c r="DG8" i="3"/>
  <c r="AL8" i="3"/>
  <c r="AJ8" i="3"/>
  <c r="AK8" i="3" s="1"/>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E8" i="3"/>
  <c r="D8" i="3"/>
  <c r="C8" i="3"/>
  <c r="B8" i="3"/>
  <c r="A8" i="3"/>
  <c r="EN7" i="3"/>
  <c r="EM7" i="3"/>
  <c r="EL7" i="3"/>
  <c r="EK7" i="3"/>
  <c r="EJ7" i="3"/>
  <c r="EI7" i="3"/>
  <c r="EH7" i="3"/>
  <c r="EG7" i="3"/>
  <c r="EF7" i="3"/>
  <c r="EE7" i="3"/>
  <c r="ED7" i="3"/>
  <c r="EC7" i="3"/>
  <c r="EB7" i="3"/>
  <c r="EA7" i="3"/>
  <c r="DZ7" i="3"/>
  <c r="DY7" i="3"/>
  <c r="DX7" i="3"/>
  <c r="DW7" i="3"/>
  <c r="DV7" i="3"/>
  <c r="DU7" i="3"/>
  <c r="DT7" i="3"/>
  <c r="DS7" i="3"/>
  <c r="DR7" i="3"/>
  <c r="DQ7" i="3"/>
  <c r="DP7" i="3"/>
  <c r="DO7" i="3"/>
  <c r="DN7" i="3"/>
  <c r="DM7" i="3"/>
  <c r="DL7" i="3"/>
  <c r="DK7" i="3"/>
  <c r="DJ7" i="3"/>
  <c r="DI7" i="3"/>
  <c r="DH7" i="3"/>
  <c r="LE7" i="4" s="1"/>
  <c r="DG7" i="3"/>
  <c r="AL7" i="3"/>
  <c r="AG7" i="3" s="1"/>
  <c r="AJ7" i="3"/>
  <c r="AK7" i="3" s="1"/>
  <c r="AI7" i="3"/>
  <c r="AH7" i="3"/>
  <c r="AF7" i="3"/>
  <c r="AE7" i="3"/>
  <c r="AD7" i="3"/>
  <c r="AB7" i="3"/>
  <c r="AA7" i="3"/>
  <c r="Z7" i="3"/>
  <c r="X7" i="3"/>
  <c r="W7" i="3"/>
  <c r="V7" i="3"/>
  <c r="T7" i="3"/>
  <c r="S7" i="3"/>
  <c r="R7" i="3"/>
  <c r="P7" i="3"/>
  <c r="O7" i="3"/>
  <c r="N7" i="3"/>
  <c r="L7" i="3"/>
  <c r="K7" i="3"/>
  <c r="J7" i="3"/>
  <c r="H7" i="3"/>
  <c r="G7" i="3"/>
  <c r="F7" i="3"/>
  <c r="D7" i="3"/>
  <c r="C7" i="3"/>
  <c r="B7" i="3"/>
  <c r="EN6" i="3"/>
  <c r="EM6" i="3"/>
  <c r="EL6" i="3"/>
  <c r="EK6" i="3"/>
  <c r="EJ6" i="3"/>
  <c r="EI6" i="3"/>
  <c r="EH6" i="3"/>
  <c r="EG6" i="3"/>
  <c r="EF6" i="3"/>
  <c r="EE6" i="3"/>
  <c r="ED6" i="3"/>
  <c r="EC6" i="3"/>
  <c r="EB6" i="3"/>
  <c r="EA6" i="3"/>
  <c r="DZ6" i="3"/>
  <c r="DY6" i="3"/>
  <c r="DX6" i="3"/>
  <c r="DW6" i="3"/>
  <c r="DV6" i="3"/>
  <c r="DU6" i="3"/>
  <c r="DT6" i="3"/>
  <c r="DS6" i="3"/>
  <c r="DR6" i="3"/>
  <c r="DQ6" i="3"/>
  <c r="DP6" i="3"/>
  <c r="DO6" i="3"/>
  <c r="DN6" i="3"/>
  <c r="DM6" i="3"/>
  <c r="DL6" i="3"/>
  <c r="DK6" i="3"/>
  <c r="DJ6" i="3"/>
  <c r="DI6" i="3"/>
  <c r="DH6" i="3"/>
  <c r="LE6" i="4" s="1"/>
  <c r="DG6" i="3"/>
  <c r="AK6" i="3"/>
  <c r="AJ6" i="3"/>
  <c r="AK16" i="3" s="1"/>
  <c r="D3" i="3"/>
  <c r="B3" i="3"/>
  <c r="AA41" i="1"/>
  <c r="H41" i="1"/>
  <c r="H42" i="1" s="1"/>
  <c r="BS40" i="1"/>
  <c r="BR40" i="1"/>
  <c r="BQ40" i="1"/>
  <c r="BP40" i="1"/>
  <c r="BO40" i="1"/>
  <c r="BN40" i="1"/>
  <c r="BM40" i="1"/>
  <c r="BL40" i="1"/>
  <c r="BK40" i="1"/>
  <c r="BJ40" i="1"/>
  <c r="BI40" i="1"/>
  <c r="BH40" i="1"/>
  <c r="BG40" i="1"/>
  <c r="BF40" i="1"/>
  <c r="BE40" i="1"/>
  <c r="BD40" i="1"/>
  <c r="BC40" i="1"/>
  <c r="BB40" i="1"/>
  <c r="BA40" i="1"/>
  <c r="AZ40" i="1"/>
  <c r="AY40" i="1"/>
  <c r="AX40" i="1"/>
  <c r="AW40" i="1"/>
  <c r="AV40" i="1"/>
  <c r="AU40" i="1"/>
  <c r="AT40" i="1"/>
  <c r="AS40" i="1"/>
  <c r="AR40" i="1"/>
  <c r="AQ40" i="1"/>
  <c r="AP40" i="1"/>
  <c r="AO40" i="1"/>
  <c r="AN40" i="1"/>
  <c r="AM40" i="1"/>
  <c r="AL40" i="1"/>
  <c r="BT40" i="1" s="1"/>
  <c r="AC40" i="1"/>
  <c r="Z40" i="1"/>
  <c r="T40" i="1"/>
  <c r="R40" i="1"/>
  <c r="W40" i="1" s="1"/>
  <c r="N40" i="1"/>
  <c r="M40" i="1"/>
  <c r="O40" i="1" s="1"/>
  <c r="L40" i="1"/>
  <c r="I40" i="1"/>
  <c r="K40" i="1" s="1"/>
  <c r="BS39" i="1"/>
  <c r="BR39" i="1"/>
  <c r="BQ39" i="1"/>
  <c r="BP39" i="1"/>
  <c r="BO39" i="1"/>
  <c r="BN39" i="1"/>
  <c r="BM39" i="1"/>
  <c r="BL39" i="1"/>
  <c r="BK39" i="1"/>
  <c r="BJ39" i="1"/>
  <c r="BI39" i="1"/>
  <c r="BH39" i="1"/>
  <c r="BG39" i="1"/>
  <c r="BF39" i="1"/>
  <c r="BE39" i="1"/>
  <c r="BD39" i="1"/>
  <c r="BC39" i="1"/>
  <c r="BB39" i="1"/>
  <c r="BA39" i="1"/>
  <c r="AZ39" i="1"/>
  <c r="AY39" i="1"/>
  <c r="AX39" i="1"/>
  <c r="AW39" i="1"/>
  <c r="AV39" i="1"/>
  <c r="AU39" i="1"/>
  <c r="AT39" i="1"/>
  <c r="AS39" i="1"/>
  <c r="AR39" i="1"/>
  <c r="AQ39" i="1"/>
  <c r="AP39" i="1"/>
  <c r="AO39" i="1"/>
  <c r="AN39" i="1"/>
  <c r="AM39" i="1"/>
  <c r="AL39" i="1"/>
  <c r="BT39" i="1" s="1"/>
  <c r="AC39" i="1"/>
  <c r="Z39" i="1"/>
  <c r="W39" i="1"/>
  <c r="T39" i="1"/>
  <c r="R39" i="1"/>
  <c r="N39" i="1"/>
  <c r="M39" i="1"/>
  <c r="L39" i="1"/>
  <c r="I39" i="1"/>
  <c r="BS38" i="1"/>
  <c r="BR38" i="1"/>
  <c r="BQ38" i="1"/>
  <c r="BP38" i="1"/>
  <c r="BO38" i="1"/>
  <c r="BN38" i="1"/>
  <c r="BM38" i="1"/>
  <c r="BL38" i="1"/>
  <c r="BK38" i="1"/>
  <c r="BJ38" i="1"/>
  <c r="BI38" i="1"/>
  <c r="BH38" i="1"/>
  <c r="BG38" i="1"/>
  <c r="BF38" i="1"/>
  <c r="BE38" i="1"/>
  <c r="BD38" i="1"/>
  <c r="BC38" i="1"/>
  <c r="BB38" i="1"/>
  <c r="BA38" i="1"/>
  <c r="AZ38" i="1"/>
  <c r="AY38" i="1"/>
  <c r="AX38" i="1"/>
  <c r="AW38" i="1"/>
  <c r="AV38" i="1"/>
  <c r="AU38" i="1"/>
  <c r="AT38" i="1"/>
  <c r="AS38" i="1"/>
  <c r="AR38" i="1"/>
  <c r="AQ38" i="1"/>
  <c r="AP38" i="1"/>
  <c r="AO38" i="1"/>
  <c r="AN38" i="1"/>
  <c r="BT38" i="1" s="1"/>
  <c r="AM38" i="1"/>
  <c r="AL38" i="1"/>
  <c r="AC38" i="1"/>
  <c r="Z38" i="1"/>
  <c r="W38" i="1"/>
  <c r="T38" i="1"/>
  <c r="R38" i="1"/>
  <c r="O38" i="1"/>
  <c r="P38" i="1" s="1"/>
  <c r="N38" i="1"/>
  <c r="M38" i="1"/>
  <c r="L38" i="1"/>
  <c r="K38" i="1"/>
  <c r="I38" i="1"/>
  <c r="BS37" i="1"/>
  <c r="BR37" i="1"/>
  <c r="BQ37" i="1"/>
  <c r="BP37" i="1"/>
  <c r="BO37" i="1"/>
  <c r="BN37" i="1"/>
  <c r="BM37" i="1"/>
  <c r="BL37" i="1"/>
  <c r="BK37" i="1"/>
  <c r="BJ37" i="1"/>
  <c r="BI37" i="1"/>
  <c r="BH37" i="1"/>
  <c r="BG37" i="1"/>
  <c r="BF37" i="1"/>
  <c r="BE37" i="1"/>
  <c r="BD37" i="1"/>
  <c r="BC37" i="1"/>
  <c r="BB37" i="1"/>
  <c r="BA37" i="1"/>
  <c r="AZ37" i="1"/>
  <c r="AY37" i="1"/>
  <c r="AX37" i="1"/>
  <c r="AW37" i="1"/>
  <c r="AV37" i="1"/>
  <c r="AU37" i="1"/>
  <c r="AT37" i="1"/>
  <c r="AS37" i="1"/>
  <c r="AR37" i="1"/>
  <c r="AQ37" i="1"/>
  <c r="AP37" i="1"/>
  <c r="AO37" i="1"/>
  <c r="AN37" i="1"/>
  <c r="AM37" i="1"/>
  <c r="QP37" i="4" s="1"/>
  <c r="AL37" i="1"/>
  <c r="Z37" i="1"/>
  <c r="T37" i="1"/>
  <c r="U37" i="1" s="1"/>
  <c r="R37" i="1"/>
  <c r="O37" i="1"/>
  <c r="P37" i="1" s="1"/>
  <c r="N37" i="1"/>
  <c r="M37" i="1"/>
  <c r="L37" i="1"/>
  <c r="K37" i="1"/>
  <c r="I37" i="1"/>
  <c r="BS36" i="1"/>
  <c r="BR36" i="1"/>
  <c r="BQ36" i="1"/>
  <c r="BP36" i="1"/>
  <c r="BO36" i="1"/>
  <c r="BN36" i="1"/>
  <c r="BM36" i="1"/>
  <c r="BL36" i="1"/>
  <c r="BK36" i="1"/>
  <c r="BJ36" i="1"/>
  <c r="BI36" i="1"/>
  <c r="BH36" i="1"/>
  <c r="BG36" i="1"/>
  <c r="BF36" i="1"/>
  <c r="BE36" i="1"/>
  <c r="BD36" i="1"/>
  <c r="BC36" i="1"/>
  <c r="BB36" i="1"/>
  <c r="BA36" i="1"/>
  <c r="AZ36" i="1"/>
  <c r="AY36" i="1"/>
  <c r="AX36" i="1"/>
  <c r="AW36" i="1"/>
  <c r="AV36" i="1"/>
  <c r="AU36" i="1"/>
  <c r="AT36" i="1"/>
  <c r="AS36" i="1"/>
  <c r="AR36" i="1"/>
  <c r="AQ36" i="1"/>
  <c r="AP36" i="1"/>
  <c r="AO36" i="1"/>
  <c r="AN36" i="1"/>
  <c r="AM36" i="1"/>
  <c r="QP36" i="4" s="1"/>
  <c r="AL36" i="1"/>
  <c r="AC36" i="1"/>
  <c r="Z36" i="1"/>
  <c r="T36" i="1"/>
  <c r="S36" i="1"/>
  <c r="AD36" i="1" s="1"/>
  <c r="R36" i="1"/>
  <c r="W36" i="1" s="1"/>
  <c r="N36" i="1"/>
  <c r="O36" i="1" s="1"/>
  <c r="M36" i="1"/>
  <c r="L36" i="1"/>
  <c r="K36" i="1"/>
  <c r="J36" i="1"/>
  <c r="I36" i="1"/>
  <c r="BS35" i="1"/>
  <c r="BR35" i="1"/>
  <c r="BQ35" i="1"/>
  <c r="BP35" i="1"/>
  <c r="BO35" i="1"/>
  <c r="BN35" i="1"/>
  <c r="BM35" i="1"/>
  <c r="BL35" i="1"/>
  <c r="BK35" i="1"/>
  <c r="BJ35" i="1"/>
  <c r="BI35" i="1"/>
  <c r="BH35" i="1"/>
  <c r="BG35" i="1"/>
  <c r="BF35" i="1"/>
  <c r="BE35" i="1"/>
  <c r="BD35" i="1"/>
  <c r="BC35" i="1"/>
  <c r="BB35" i="1"/>
  <c r="BA35" i="1"/>
  <c r="AZ35" i="1"/>
  <c r="AY35" i="1"/>
  <c r="AX35" i="1"/>
  <c r="AW35" i="1"/>
  <c r="AV35" i="1"/>
  <c r="AU35" i="1"/>
  <c r="AT35" i="1"/>
  <c r="AS35" i="1"/>
  <c r="AR35" i="1"/>
  <c r="AQ35" i="1"/>
  <c r="AP35" i="1"/>
  <c r="AO35" i="1"/>
  <c r="AN35" i="1"/>
  <c r="AM35" i="1"/>
  <c r="AL35" i="1"/>
  <c r="BT35" i="1" s="1"/>
  <c r="AC35" i="1"/>
  <c r="Z35" i="1"/>
  <c r="T35" i="1"/>
  <c r="R35" i="1"/>
  <c r="W35" i="1" s="1"/>
  <c r="N35" i="1"/>
  <c r="M35" i="1"/>
  <c r="O35" i="1" s="1"/>
  <c r="L35" i="1"/>
  <c r="I35" i="1"/>
  <c r="K35" i="1" s="1"/>
  <c r="BS34" i="1"/>
  <c r="BR34" i="1"/>
  <c r="BQ34" i="1"/>
  <c r="BP34" i="1"/>
  <c r="BO34" i="1"/>
  <c r="BN34" i="1"/>
  <c r="BM34" i="1"/>
  <c r="BL34" i="1"/>
  <c r="BK34" i="1"/>
  <c r="BJ34" i="1"/>
  <c r="BI34" i="1"/>
  <c r="BH34" i="1"/>
  <c r="BG34" i="1"/>
  <c r="BF34" i="1"/>
  <c r="BE34" i="1"/>
  <c r="BD34" i="1"/>
  <c r="BC34" i="1"/>
  <c r="BB34" i="1"/>
  <c r="BA34" i="1"/>
  <c r="AZ34" i="1"/>
  <c r="AY34" i="1"/>
  <c r="AX34" i="1"/>
  <c r="AW34" i="1"/>
  <c r="AV34" i="1"/>
  <c r="AU34" i="1"/>
  <c r="AT34" i="1"/>
  <c r="AS34" i="1"/>
  <c r="AR34" i="1"/>
  <c r="AQ34" i="1"/>
  <c r="AP34" i="1"/>
  <c r="AO34" i="1"/>
  <c r="AN34" i="1"/>
  <c r="AM34" i="1"/>
  <c r="AL34" i="1"/>
  <c r="AC34" i="1"/>
  <c r="Z34" i="1"/>
  <c r="W34" i="1"/>
  <c r="T34" i="1"/>
  <c r="R34" i="1"/>
  <c r="N34" i="1"/>
  <c r="M34" i="1"/>
  <c r="L34" i="1"/>
  <c r="I34" i="1"/>
  <c r="BS33" i="1"/>
  <c r="BR33" i="1"/>
  <c r="BQ33" i="1"/>
  <c r="BP33" i="1"/>
  <c r="BO33" i="1"/>
  <c r="BN33" i="1"/>
  <c r="BM33" i="1"/>
  <c r="BL33" i="1"/>
  <c r="BK33" i="1"/>
  <c r="BJ33" i="1"/>
  <c r="BI33" i="1"/>
  <c r="BH33" i="1"/>
  <c r="BG33" i="1"/>
  <c r="BF33" i="1"/>
  <c r="BE33" i="1"/>
  <c r="BD33" i="1"/>
  <c r="BC33" i="1"/>
  <c r="BB33" i="1"/>
  <c r="BA33" i="1"/>
  <c r="AZ33" i="1"/>
  <c r="AY33" i="1"/>
  <c r="AX33" i="1"/>
  <c r="AW33" i="1"/>
  <c r="AV33" i="1"/>
  <c r="AU33" i="1"/>
  <c r="AT33" i="1"/>
  <c r="AS33" i="1"/>
  <c r="AR33" i="1"/>
  <c r="AQ33" i="1"/>
  <c r="AP33" i="1"/>
  <c r="AO33" i="1"/>
  <c r="AN33" i="1"/>
  <c r="BT33" i="1" s="1"/>
  <c r="AM33" i="1"/>
  <c r="AL33" i="1"/>
  <c r="Z33" i="1"/>
  <c r="U33" i="1"/>
  <c r="AC33" i="1" s="1"/>
  <c r="T33" i="1"/>
  <c r="R33" i="1"/>
  <c r="N33" i="1"/>
  <c r="M33" i="1"/>
  <c r="L33" i="1"/>
  <c r="I33" i="1"/>
  <c r="BS32" i="1"/>
  <c r="BR32" i="1"/>
  <c r="BQ32" i="1"/>
  <c r="BP32" i="1"/>
  <c r="BO32" i="1"/>
  <c r="BN32" i="1"/>
  <c r="BM32" i="1"/>
  <c r="BL32" i="1"/>
  <c r="BK32" i="1"/>
  <c r="BJ32" i="1"/>
  <c r="BI32" i="1"/>
  <c r="BH32" i="1"/>
  <c r="BG32" i="1"/>
  <c r="BF32" i="1"/>
  <c r="BE32" i="1"/>
  <c r="BD32" i="1"/>
  <c r="BC32" i="1"/>
  <c r="BB32" i="1"/>
  <c r="BA32" i="1"/>
  <c r="AZ32" i="1"/>
  <c r="AY32" i="1"/>
  <c r="AX32" i="1"/>
  <c r="AW32" i="1"/>
  <c r="AV32" i="1"/>
  <c r="AU32" i="1"/>
  <c r="AT32" i="1"/>
  <c r="AS32" i="1"/>
  <c r="AR32" i="1"/>
  <c r="AQ32" i="1"/>
  <c r="AP32" i="1"/>
  <c r="AO32" i="1"/>
  <c r="AN32" i="1"/>
  <c r="BT32" i="1" s="1"/>
  <c r="AM32" i="1"/>
  <c r="AL32" i="1"/>
  <c r="Z32" i="1"/>
  <c r="U32" i="1"/>
  <c r="AC32" i="1" s="1"/>
  <c r="T32" i="1"/>
  <c r="R32" i="1"/>
  <c r="N32" i="1"/>
  <c r="M32" i="1"/>
  <c r="L32" i="1"/>
  <c r="I32" i="1"/>
  <c r="BS31" i="1"/>
  <c r="BR31" i="1"/>
  <c r="BQ31" i="1"/>
  <c r="BP31" i="1"/>
  <c r="BO31" i="1"/>
  <c r="BN31" i="1"/>
  <c r="BM31" i="1"/>
  <c r="BL31" i="1"/>
  <c r="BK31" i="1"/>
  <c r="BJ31" i="1"/>
  <c r="BI31" i="1"/>
  <c r="BH31" i="1"/>
  <c r="BG31" i="1"/>
  <c r="BF31" i="1"/>
  <c r="BE31" i="1"/>
  <c r="BD31" i="1"/>
  <c r="BC31" i="1"/>
  <c r="BB31" i="1"/>
  <c r="BA31" i="1"/>
  <c r="AZ31" i="1"/>
  <c r="AY31" i="1"/>
  <c r="AX31" i="1"/>
  <c r="AW31" i="1"/>
  <c r="AV31" i="1"/>
  <c r="AU31" i="1"/>
  <c r="AT31" i="1"/>
  <c r="AS31" i="1"/>
  <c r="AR31" i="1"/>
  <c r="AQ31" i="1"/>
  <c r="AP31" i="1"/>
  <c r="AO31" i="1"/>
  <c r="AN31" i="1"/>
  <c r="BT31" i="1" s="1"/>
  <c r="AM31" i="1"/>
  <c r="AL31" i="1"/>
  <c r="AD31" i="1"/>
  <c r="AE31" i="1" s="1"/>
  <c r="AC31" i="1"/>
  <c r="Z31" i="1"/>
  <c r="W31" i="1"/>
  <c r="T31" i="1"/>
  <c r="S31" i="1"/>
  <c r="R31" i="1"/>
  <c r="O31" i="1"/>
  <c r="P31" i="1" s="1"/>
  <c r="N31" i="1"/>
  <c r="M31" i="1"/>
  <c r="L31" i="1"/>
  <c r="K31" i="1"/>
  <c r="J31" i="1"/>
  <c r="I31" i="1"/>
  <c r="BS30" i="1"/>
  <c r="BR30" i="1"/>
  <c r="BQ30" i="1"/>
  <c r="BP30" i="1"/>
  <c r="BO30" i="1"/>
  <c r="BN30" i="1"/>
  <c r="BM30" i="1"/>
  <c r="BL30" i="1"/>
  <c r="BK30" i="1"/>
  <c r="BJ30" i="1"/>
  <c r="BI30" i="1"/>
  <c r="BH30" i="1"/>
  <c r="BG30" i="1"/>
  <c r="BF30" i="1"/>
  <c r="BE30" i="1"/>
  <c r="BD30" i="1"/>
  <c r="BC30" i="1"/>
  <c r="BB30" i="1"/>
  <c r="BA30" i="1"/>
  <c r="AZ30" i="1"/>
  <c r="AY30" i="1"/>
  <c r="AX30" i="1"/>
  <c r="AW30" i="1"/>
  <c r="AV30" i="1"/>
  <c r="AU30" i="1"/>
  <c r="AT30" i="1"/>
  <c r="AS30" i="1"/>
  <c r="AR30" i="1"/>
  <c r="AQ30" i="1"/>
  <c r="AP30" i="1"/>
  <c r="AO30" i="1"/>
  <c r="AN30" i="1"/>
  <c r="AM30" i="1"/>
  <c r="QP30" i="4" s="1"/>
  <c r="AL30" i="1"/>
  <c r="Z30" i="1"/>
  <c r="T30" i="1"/>
  <c r="U30" i="1" s="1"/>
  <c r="S30" i="1"/>
  <c r="R30" i="1"/>
  <c r="O30" i="1"/>
  <c r="P30" i="1" s="1"/>
  <c r="N30" i="1"/>
  <c r="M30" i="1"/>
  <c r="L30" i="1"/>
  <c r="K30" i="1"/>
  <c r="J30" i="1"/>
  <c r="I30" i="1"/>
  <c r="BS29" i="1"/>
  <c r="BR29" i="1"/>
  <c r="BQ29" i="1"/>
  <c r="BP29" i="1"/>
  <c r="BO29" i="1"/>
  <c r="BN29" i="1"/>
  <c r="BM29" i="1"/>
  <c r="BL29" i="1"/>
  <c r="BK29" i="1"/>
  <c r="BJ29" i="1"/>
  <c r="BI29" i="1"/>
  <c r="BH29" i="1"/>
  <c r="BG29" i="1"/>
  <c r="BF29" i="1"/>
  <c r="BE29" i="1"/>
  <c r="BD29" i="1"/>
  <c r="BC29" i="1"/>
  <c r="BB29" i="1"/>
  <c r="BA29" i="1"/>
  <c r="AZ29" i="1"/>
  <c r="AY29" i="1"/>
  <c r="AX29" i="1"/>
  <c r="AW29" i="1"/>
  <c r="AV29" i="1"/>
  <c r="AU29" i="1"/>
  <c r="AT29" i="1"/>
  <c r="AS29" i="1"/>
  <c r="AR29" i="1"/>
  <c r="AQ29" i="1"/>
  <c r="AP29" i="1"/>
  <c r="AO29" i="1"/>
  <c r="AN29" i="1"/>
  <c r="AM29" i="1"/>
  <c r="QP29" i="4" s="1"/>
  <c r="AL29" i="1"/>
  <c r="AC29" i="1"/>
  <c r="Z29" i="1"/>
  <c r="T29" i="1"/>
  <c r="S29" i="1"/>
  <c r="AD29" i="1" s="1"/>
  <c r="R29" i="1"/>
  <c r="W29" i="1" s="1"/>
  <c r="N29" i="1"/>
  <c r="O29" i="1" s="1"/>
  <c r="M29" i="1"/>
  <c r="L29" i="1"/>
  <c r="K29" i="1"/>
  <c r="J29" i="1"/>
  <c r="I29" i="1"/>
  <c r="BS28" i="1"/>
  <c r="BR28" i="1"/>
  <c r="BQ28" i="1"/>
  <c r="BP28" i="1"/>
  <c r="BO28" i="1"/>
  <c r="BN28" i="1"/>
  <c r="BM28" i="1"/>
  <c r="BL28" i="1"/>
  <c r="BK28" i="1"/>
  <c r="BJ28" i="1"/>
  <c r="BI28" i="1"/>
  <c r="BH28" i="1"/>
  <c r="BG28" i="1"/>
  <c r="BF28" i="1"/>
  <c r="BE28" i="1"/>
  <c r="BD28" i="1"/>
  <c r="BC28" i="1"/>
  <c r="BB28" i="1"/>
  <c r="BA28" i="1"/>
  <c r="AZ28" i="1"/>
  <c r="AY28" i="1"/>
  <c r="AX28" i="1"/>
  <c r="AW28" i="1"/>
  <c r="AV28" i="1"/>
  <c r="AU28" i="1"/>
  <c r="AT28" i="1"/>
  <c r="AS28" i="1"/>
  <c r="AR28" i="1"/>
  <c r="AQ28" i="1"/>
  <c r="AP28" i="1"/>
  <c r="AO28" i="1"/>
  <c r="AN28" i="1"/>
  <c r="AM28" i="1"/>
  <c r="AL28" i="1"/>
  <c r="BT28" i="1" s="1"/>
  <c r="AC28" i="1"/>
  <c r="Z28" i="1"/>
  <c r="T28" i="1"/>
  <c r="R28" i="1"/>
  <c r="W28" i="1" s="1"/>
  <c r="N28" i="1"/>
  <c r="M28" i="1"/>
  <c r="O28" i="1" s="1"/>
  <c r="L28" i="1"/>
  <c r="I28" i="1"/>
  <c r="K28" i="1" s="1"/>
  <c r="BS27" i="1"/>
  <c r="BR27" i="1"/>
  <c r="BQ27" i="1"/>
  <c r="BP27" i="1"/>
  <c r="BO27" i="1"/>
  <c r="BN27" i="1"/>
  <c r="BM27" i="1"/>
  <c r="BL27" i="1"/>
  <c r="BK27" i="1"/>
  <c r="BJ27" i="1"/>
  <c r="BI27" i="1"/>
  <c r="BH27" i="1"/>
  <c r="BG27" i="1"/>
  <c r="BF27" i="1"/>
  <c r="BE27" i="1"/>
  <c r="BD27" i="1"/>
  <c r="BC27" i="1"/>
  <c r="BB27" i="1"/>
  <c r="BA27" i="1"/>
  <c r="AZ27" i="1"/>
  <c r="AY27" i="1"/>
  <c r="AX27" i="1"/>
  <c r="AW27" i="1"/>
  <c r="AV27" i="1"/>
  <c r="AU27" i="1"/>
  <c r="AT27" i="1"/>
  <c r="AS27" i="1"/>
  <c r="AR27" i="1"/>
  <c r="AQ27" i="1"/>
  <c r="AP27" i="1"/>
  <c r="AO27" i="1"/>
  <c r="AN27" i="1"/>
  <c r="AM27" i="1"/>
  <c r="AL27" i="1"/>
  <c r="AC27" i="1"/>
  <c r="Z27" i="1"/>
  <c r="W27" i="1"/>
  <c r="T27" i="1"/>
  <c r="R27" i="1"/>
  <c r="N27" i="1"/>
  <c r="M27" i="1"/>
  <c r="L27" i="1"/>
  <c r="I27" i="1"/>
  <c r="BS26" i="1"/>
  <c r="BR26" i="1"/>
  <c r="BQ26" i="1"/>
  <c r="BP26" i="1"/>
  <c r="BO26" i="1"/>
  <c r="BN26" i="1"/>
  <c r="BM26" i="1"/>
  <c r="BL26" i="1"/>
  <c r="BK26" i="1"/>
  <c r="BJ26" i="1"/>
  <c r="BI26" i="1"/>
  <c r="BH26" i="1"/>
  <c r="BG26" i="1"/>
  <c r="BF26" i="1"/>
  <c r="BE26" i="1"/>
  <c r="BD26" i="1"/>
  <c r="BC26" i="1"/>
  <c r="BB26" i="1"/>
  <c r="BA26" i="1"/>
  <c r="AZ26" i="1"/>
  <c r="AY26" i="1"/>
  <c r="AX26" i="1"/>
  <c r="AW26" i="1"/>
  <c r="AV26" i="1"/>
  <c r="AU26" i="1"/>
  <c r="AT26" i="1"/>
  <c r="AS26" i="1"/>
  <c r="AR26" i="1"/>
  <c r="AQ26" i="1"/>
  <c r="AP26" i="1"/>
  <c r="AO26" i="1"/>
  <c r="AN26" i="1"/>
  <c r="BT26" i="1" s="1"/>
  <c r="AM26" i="1"/>
  <c r="AL26" i="1"/>
  <c r="Z26" i="1"/>
  <c r="U26" i="1"/>
  <c r="AC26" i="1" s="1"/>
  <c r="T26" i="1"/>
  <c r="R26" i="1"/>
  <c r="N26" i="1"/>
  <c r="M26" i="1"/>
  <c r="L26" i="1"/>
  <c r="I26" i="1"/>
  <c r="BS25" i="1"/>
  <c r="BR25" i="1"/>
  <c r="BQ25" i="1"/>
  <c r="BP25" i="1"/>
  <c r="BO25" i="1"/>
  <c r="BN25" i="1"/>
  <c r="BM25" i="1"/>
  <c r="BL25" i="1"/>
  <c r="BK25" i="1"/>
  <c r="BJ25" i="1"/>
  <c r="BI25" i="1"/>
  <c r="BH25" i="1"/>
  <c r="BG25" i="1"/>
  <c r="BF25" i="1"/>
  <c r="BE25" i="1"/>
  <c r="BD25" i="1"/>
  <c r="BC25" i="1"/>
  <c r="BB25" i="1"/>
  <c r="BA25" i="1"/>
  <c r="AZ25" i="1"/>
  <c r="AY25" i="1"/>
  <c r="AX25" i="1"/>
  <c r="AW25" i="1"/>
  <c r="AV25" i="1"/>
  <c r="AU25" i="1"/>
  <c r="AT25" i="1"/>
  <c r="AS25" i="1"/>
  <c r="AR25" i="1"/>
  <c r="AQ25" i="1"/>
  <c r="AP25" i="1"/>
  <c r="AO25" i="1"/>
  <c r="AN25" i="1"/>
  <c r="BT25" i="1" s="1"/>
  <c r="AM25" i="1"/>
  <c r="AL25" i="1"/>
  <c r="AD25" i="1"/>
  <c r="AE25" i="1" s="1"/>
  <c r="AC25" i="1"/>
  <c r="Z25" i="1"/>
  <c r="W25" i="1"/>
  <c r="T25" i="1"/>
  <c r="S25" i="1"/>
  <c r="R25" i="1"/>
  <c r="O25" i="1"/>
  <c r="P25" i="1" s="1"/>
  <c r="N25" i="1"/>
  <c r="M25" i="1"/>
  <c r="L25" i="1"/>
  <c r="K25" i="1"/>
  <c r="J25" i="1"/>
  <c r="I25" i="1"/>
  <c r="BS24" i="1"/>
  <c r="BR24" i="1"/>
  <c r="BQ24" i="1"/>
  <c r="BP24" i="1"/>
  <c r="BO24" i="1"/>
  <c r="BN24" i="1"/>
  <c r="BM24" i="1"/>
  <c r="BL24" i="1"/>
  <c r="BK24" i="1"/>
  <c r="BJ24" i="1"/>
  <c r="BI24" i="1"/>
  <c r="BH24" i="1"/>
  <c r="BG24" i="1"/>
  <c r="BF24" i="1"/>
  <c r="BE24" i="1"/>
  <c r="BD24" i="1"/>
  <c r="BC24" i="1"/>
  <c r="BB24" i="1"/>
  <c r="BA24" i="1"/>
  <c r="AZ24" i="1"/>
  <c r="AY24" i="1"/>
  <c r="AX24" i="1"/>
  <c r="AW24" i="1"/>
  <c r="AV24" i="1"/>
  <c r="AU24" i="1"/>
  <c r="AT24" i="1"/>
  <c r="AS24" i="1"/>
  <c r="AR24" i="1"/>
  <c r="AQ24" i="1"/>
  <c r="AP24" i="1"/>
  <c r="AO24" i="1"/>
  <c r="AN24" i="1"/>
  <c r="AM24" i="1"/>
  <c r="QP24" i="4" s="1"/>
  <c r="AL24" i="1"/>
  <c r="Z24" i="1"/>
  <c r="T24" i="1"/>
  <c r="U24" i="1" s="1"/>
  <c r="S24" i="1"/>
  <c r="R24" i="1"/>
  <c r="O24" i="1"/>
  <c r="P24" i="1" s="1"/>
  <c r="N24" i="1"/>
  <c r="M24" i="1"/>
  <c r="L24" i="1"/>
  <c r="K24" i="1"/>
  <c r="J24" i="1"/>
  <c r="I24" i="1"/>
  <c r="BS23" i="1"/>
  <c r="BR23" i="1"/>
  <c r="BQ23" i="1"/>
  <c r="BP23" i="1"/>
  <c r="BO23" i="1"/>
  <c r="BN23" i="1"/>
  <c r="BM23" i="1"/>
  <c r="BL23" i="1"/>
  <c r="BK23" i="1"/>
  <c r="BJ23" i="1"/>
  <c r="BI23" i="1"/>
  <c r="BH23" i="1"/>
  <c r="BG23" i="1"/>
  <c r="BF23" i="1"/>
  <c r="BE23" i="1"/>
  <c r="BD23" i="1"/>
  <c r="BC23" i="1"/>
  <c r="BB23" i="1"/>
  <c r="BA23" i="1"/>
  <c r="AZ23" i="1"/>
  <c r="AY23" i="1"/>
  <c r="AX23" i="1"/>
  <c r="AW23" i="1"/>
  <c r="AV23" i="1"/>
  <c r="AU23" i="1"/>
  <c r="AT23" i="1"/>
  <c r="AS23" i="1"/>
  <c r="AR23" i="1"/>
  <c r="AQ23" i="1"/>
  <c r="AP23" i="1"/>
  <c r="AO23" i="1"/>
  <c r="AN23" i="1"/>
  <c r="AM23" i="1"/>
  <c r="QP23" i="4" s="1"/>
  <c r="AL23" i="1"/>
  <c r="AC23" i="1"/>
  <c r="Z23" i="1"/>
  <c r="T23" i="1"/>
  <c r="S23" i="1"/>
  <c r="R23" i="1"/>
  <c r="W23" i="1" s="1"/>
  <c r="N23" i="1"/>
  <c r="O23" i="1" s="1"/>
  <c r="M23" i="1"/>
  <c r="L23" i="1"/>
  <c r="K23" i="1"/>
  <c r="J23" i="1"/>
  <c r="I23" i="1"/>
  <c r="BS22" i="1"/>
  <c r="BR22" i="1"/>
  <c r="BQ22" i="1"/>
  <c r="BP22" i="1"/>
  <c r="BO22" i="1"/>
  <c r="BN22" i="1"/>
  <c r="BM22" i="1"/>
  <c r="BL22" i="1"/>
  <c r="BK22" i="1"/>
  <c r="BJ22" i="1"/>
  <c r="BI22" i="1"/>
  <c r="BH22" i="1"/>
  <c r="BG22" i="1"/>
  <c r="BF22" i="1"/>
  <c r="BE22" i="1"/>
  <c r="BD22" i="1"/>
  <c r="BC22" i="1"/>
  <c r="BB22" i="1"/>
  <c r="BA22" i="1"/>
  <c r="AZ22" i="1"/>
  <c r="AY22" i="1"/>
  <c r="AX22" i="1"/>
  <c r="AW22" i="1"/>
  <c r="AV22" i="1"/>
  <c r="AU22" i="1"/>
  <c r="AT22" i="1"/>
  <c r="AS22" i="1"/>
  <c r="AR22" i="1"/>
  <c r="AQ22" i="1"/>
  <c r="AP22" i="1"/>
  <c r="AO22" i="1"/>
  <c r="AN22" i="1"/>
  <c r="AM22" i="1"/>
  <c r="AL22" i="1"/>
  <c r="Z22" i="1"/>
  <c r="T22" i="1"/>
  <c r="S22" i="1"/>
  <c r="R22" i="1"/>
  <c r="N22" i="1"/>
  <c r="M22" i="1"/>
  <c r="L22" i="1"/>
  <c r="K22" i="1"/>
  <c r="J22" i="1"/>
  <c r="I22" i="1"/>
  <c r="BS21" i="1"/>
  <c r="BR21" i="1"/>
  <c r="BQ21" i="1"/>
  <c r="BP21" i="1"/>
  <c r="BO21" i="1"/>
  <c r="BN21" i="1"/>
  <c r="BM21" i="1"/>
  <c r="BL21" i="1"/>
  <c r="BK21" i="1"/>
  <c r="BJ21" i="1"/>
  <c r="BI21" i="1"/>
  <c r="BH21" i="1"/>
  <c r="BG21" i="1"/>
  <c r="BF21" i="1"/>
  <c r="BE21" i="1"/>
  <c r="BD21" i="1"/>
  <c r="BC21" i="1"/>
  <c r="BB21" i="1"/>
  <c r="BA21" i="1"/>
  <c r="AZ21" i="1"/>
  <c r="AY21" i="1"/>
  <c r="AX21" i="1"/>
  <c r="AW21" i="1"/>
  <c r="AV21" i="1"/>
  <c r="AU21" i="1"/>
  <c r="AT21" i="1"/>
  <c r="AS21" i="1"/>
  <c r="AR21" i="1"/>
  <c r="AQ21" i="1"/>
  <c r="AP21" i="1"/>
  <c r="AO21" i="1"/>
  <c r="AN21" i="1"/>
  <c r="AM21" i="1"/>
  <c r="AL21" i="1"/>
  <c r="BT21" i="1" s="1"/>
  <c r="Z21" i="1"/>
  <c r="T21" i="1"/>
  <c r="S21" i="1"/>
  <c r="R21" i="1"/>
  <c r="N21" i="1"/>
  <c r="O21" i="1" s="1"/>
  <c r="M21" i="1"/>
  <c r="L21" i="1"/>
  <c r="K21" i="1"/>
  <c r="J21" i="1"/>
  <c r="I21" i="1"/>
  <c r="BS20" i="1"/>
  <c r="BR20" i="1"/>
  <c r="BQ20" i="1"/>
  <c r="BP20" i="1"/>
  <c r="BO20" i="1"/>
  <c r="BN20" i="1"/>
  <c r="BM20" i="1"/>
  <c r="BL20" i="1"/>
  <c r="BK20" i="1"/>
  <c r="BJ20" i="1"/>
  <c r="BI20" i="1"/>
  <c r="BH20" i="1"/>
  <c r="BG20" i="1"/>
  <c r="BF20" i="1"/>
  <c r="BE20" i="1"/>
  <c r="BD20" i="1"/>
  <c r="BC20" i="1"/>
  <c r="BB20" i="1"/>
  <c r="BA20" i="1"/>
  <c r="AZ20" i="1"/>
  <c r="AY20" i="1"/>
  <c r="AX20" i="1"/>
  <c r="AW20" i="1"/>
  <c r="AV20" i="1"/>
  <c r="AU20" i="1"/>
  <c r="AT20" i="1"/>
  <c r="AS20" i="1"/>
  <c r="AR20" i="1"/>
  <c r="AQ20" i="1"/>
  <c r="AP20" i="1"/>
  <c r="AO20" i="1"/>
  <c r="AN20" i="1"/>
  <c r="AM20" i="1"/>
  <c r="AL20" i="1"/>
  <c r="BT20" i="1" s="1"/>
  <c r="AC20" i="1"/>
  <c r="Z20" i="1"/>
  <c r="T20" i="1"/>
  <c r="R20" i="1"/>
  <c r="N20" i="1"/>
  <c r="M20" i="1"/>
  <c r="O20" i="1" s="1"/>
  <c r="L20" i="1"/>
  <c r="I20" i="1"/>
  <c r="K20" i="1" s="1"/>
  <c r="BS19" i="1"/>
  <c r="BR19" i="1"/>
  <c r="BQ19" i="1"/>
  <c r="BP19" i="1"/>
  <c r="BO19" i="1"/>
  <c r="BN19" i="1"/>
  <c r="BM19" i="1"/>
  <c r="BL19" i="1"/>
  <c r="BK19" i="1"/>
  <c r="BJ19" i="1"/>
  <c r="BI19" i="1"/>
  <c r="BH19" i="1"/>
  <c r="BG19" i="1"/>
  <c r="BF19" i="1"/>
  <c r="BE19" i="1"/>
  <c r="BD19" i="1"/>
  <c r="BC19" i="1"/>
  <c r="BB19" i="1"/>
  <c r="BA19" i="1"/>
  <c r="AZ19" i="1"/>
  <c r="AY19" i="1"/>
  <c r="AX19" i="1"/>
  <c r="AW19" i="1"/>
  <c r="AV19" i="1"/>
  <c r="AU19" i="1"/>
  <c r="AT19" i="1"/>
  <c r="AS19" i="1"/>
  <c r="AR19" i="1"/>
  <c r="AQ19" i="1"/>
  <c r="AP19" i="1"/>
  <c r="AO19" i="1"/>
  <c r="AN19" i="1"/>
  <c r="AM19" i="1"/>
  <c r="AL19" i="1"/>
  <c r="Z19" i="1"/>
  <c r="U19" i="1"/>
  <c r="AC19" i="1" s="1"/>
  <c r="T19" i="1"/>
  <c r="R19" i="1"/>
  <c r="N19" i="1"/>
  <c r="M19" i="1"/>
  <c r="O19" i="1" s="1"/>
  <c r="L19" i="1"/>
  <c r="I19" i="1"/>
  <c r="K19" i="1" s="1"/>
  <c r="BS18" i="1"/>
  <c r="BR18" i="1"/>
  <c r="BQ18" i="1"/>
  <c r="BP18" i="1"/>
  <c r="BO18" i="1"/>
  <c r="BN18" i="1"/>
  <c r="BM18" i="1"/>
  <c r="BL18" i="1"/>
  <c r="BK18" i="1"/>
  <c r="BJ18" i="1"/>
  <c r="BI18" i="1"/>
  <c r="BH18" i="1"/>
  <c r="BG18" i="1"/>
  <c r="BF18" i="1"/>
  <c r="BE18" i="1"/>
  <c r="BD18" i="1"/>
  <c r="BC18" i="1"/>
  <c r="BB18" i="1"/>
  <c r="BA18" i="1"/>
  <c r="AZ18" i="1"/>
  <c r="AY18" i="1"/>
  <c r="AX18" i="1"/>
  <c r="AW18" i="1"/>
  <c r="AV18" i="1"/>
  <c r="AU18" i="1"/>
  <c r="AT18" i="1"/>
  <c r="AS18" i="1"/>
  <c r="AR18" i="1"/>
  <c r="AQ18" i="1"/>
  <c r="AP18" i="1"/>
  <c r="AO18" i="1"/>
  <c r="AN18" i="1"/>
  <c r="AM18" i="1"/>
  <c r="AL18" i="1"/>
  <c r="Z18" i="1"/>
  <c r="U18" i="1"/>
  <c r="AC18" i="1" s="1"/>
  <c r="T18" i="1"/>
  <c r="R18" i="1"/>
  <c r="W18" i="1" s="1"/>
  <c r="N18" i="1"/>
  <c r="M18" i="1"/>
  <c r="L18" i="1"/>
  <c r="I18" i="1"/>
  <c r="K18" i="1" s="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Z17" i="1"/>
  <c r="T17" i="1"/>
  <c r="R17" i="1"/>
  <c r="W17" i="1" s="1"/>
  <c r="N17" i="1"/>
  <c r="M17" i="1"/>
  <c r="L17" i="1"/>
  <c r="I17" i="1"/>
  <c r="K17" i="1" s="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C16" i="1"/>
  <c r="Z16" i="1"/>
  <c r="W16" i="1"/>
  <c r="T16" i="1"/>
  <c r="R16" i="1"/>
  <c r="N16" i="1"/>
  <c r="M16" i="1"/>
  <c r="L16" i="1"/>
  <c r="I16"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BT15" i="1" s="1"/>
  <c r="AM15" i="1"/>
  <c r="AL15" i="1"/>
  <c r="AD15" i="1"/>
  <c r="AE15" i="1" s="1"/>
  <c r="AC15" i="1"/>
  <c r="Z15" i="1"/>
  <c r="W15" i="1"/>
  <c r="T15" i="1"/>
  <c r="S15" i="1"/>
  <c r="R15" i="1"/>
  <c r="O15" i="1"/>
  <c r="P15" i="1" s="1"/>
  <c r="N15" i="1"/>
  <c r="M15" i="1"/>
  <c r="L15" i="1"/>
  <c r="K15" i="1"/>
  <c r="J15" i="1"/>
  <c r="I15"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QP14" i="4" s="1"/>
  <c r="AL14" i="1"/>
  <c r="Z14" i="1"/>
  <c r="T14" i="1"/>
  <c r="U14" i="1" s="1"/>
  <c r="S14" i="1"/>
  <c r="R14" i="1"/>
  <c r="O14" i="1"/>
  <c r="P14" i="1" s="1"/>
  <c r="N14" i="1"/>
  <c r="M14" i="1"/>
  <c r="L14" i="1"/>
  <c r="K14" i="1"/>
  <c r="J14" i="1"/>
  <c r="I14"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QP13" i="4" s="1"/>
  <c r="AL13" i="1"/>
  <c r="AC13" i="1"/>
  <c r="Z13" i="1"/>
  <c r="T13" i="1"/>
  <c r="S13" i="1"/>
  <c r="AD13" i="1" s="1"/>
  <c r="R13" i="1"/>
  <c r="W13" i="1" s="1"/>
  <c r="N13" i="1"/>
  <c r="M13" i="1"/>
  <c r="L13" i="1"/>
  <c r="K13" i="1"/>
  <c r="J13" i="1"/>
  <c r="I13"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BT12" i="1" s="1"/>
  <c r="Z12" i="1"/>
  <c r="T12" i="1"/>
  <c r="S12" i="1"/>
  <c r="R12" i="1"/>
  <c r="N12" i="1"/>
  <c r="O12" i="1" s="1"/>
  <c r="M12" i="1"/>
  <c r="L12" i="1"/>
  <c r="K12" i="1"/>
  <c r="J12" i="1"/>
  <c r="I12"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BT11" i="1" s="1"/>
  <c r="Z11" i="1"/>
  <c r="T11" i="1"/>
  <c r="S11" i="1"/>
  <c r="R11" i="1"/>
  <c r="N11" i="1"/>
  <c r="O11" i="1" s="1"/>
  <c r="M11" i="1"/>
  <c r="L11" i="1"/>
  <c r="K11" i="1"/>
  <c r="J11" i="1"/>
  <c r="I11"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BT10" i="1" s="1"/>
  <c r="Z10" i="1"/>
  <c r="T10" i="1"/>
  <c r="S10" i="1"/>
  <c r="R10" i="1"/>
  <c r="N10" i="1"/>
  <c r="O10" i="1" s="1"/>
  <c r="M10" i="1"/>
  <c r="L10" i="1"/>
  <c r="K10" i="1"/>
  <c r="J10" i="1"/>
  <c r="I10"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Z9" i="1"/>
  <c r="T9" i="1"/>
  <c r="S9" i="1"/>
  <c r="R9" i="1"/>
  <c r="N9" i="1"/>
  <c r="M9" i="1"/>
  <c r="L9" i="1"/>
  <c r="K9" i="1"/>
  <c r="J9" i="1"/>
  <c r="I9"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BT8" i="1" s="1"/>
  <c r="Z8" i="1"/>
  <c r="T8" i="1"/>
  <c r="S8" i="1"/>
  <c r="R8" i="1"/>
  <c r="N8" i="1"/>
  <c r="O8" i="1" s="1"/>
  <c r="M8" i="1"/>
  <c r="L8" i="1"/>
  <c r="K8" i="1"/>
  <c r="J8" i="1"/>
  <c r="I8"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BT7" i="1" s="1"/>
  <c r="Z7" i="1"/>
  <c r="T7" i="1"/>
  <c r="S7" i="1"/>
  <c r="R7" i="1"/>
  <c r="W7" i="1" s="1"/>
  <c r="N7" i="1"/>
  <c r="O7" i="1" s="1"/>
  <c r="M7" i="1"/>
  <c r="L7" i="1"/>
  <c r="K7" i="1"/>
  <c r="J7" i="1"/>
  <c r="I7" i="1"/>
  <c r="BS6" i="1"/>
  <c r="BR6" i="1"/>
  <c r="BQ6" i="1"/>
  <c r="BP6" i="1"/>
  <c r="BO6" i="1"/>
  <c r="BN6" i="1"/>
  <c r="BM6" i="1"/>
  <c r="BL6" i="1"/>
  <c r="BK6" i="1"/>
  <c r="BJ6" i="1"/>
  <c r="BI6" i="1"/>
  <c r="BH6" i="1"/>
  <c r="BG6" i="1"/>
  <c r="BF6" i="1"/>
  <c r="BE6" i="1"/>
  <c r="BD6" i="1"/>
  <c r="BC6" i="1"/>
  <c r="BB6" i="1"/>
  <c r="BA6" i="1"/>
  <c r="AZ6" i="1"/>
  <c r="AY6" i="1"/>
  <c r="AX6" i="1"/>
  <c r="AW6" i="1"/>
  <c r="AV6" i="1"/>
  <c r="AU6" i="1"/>
  <c r="AT6" i="1"/>
  <c r="AS6" i="1"/>
  <c r="AR6" i="1"/>
  <c r="AQ6" i="1"/>
  <c r="AP6" i="1"/>
  <c r="AO6" i="1"/>
  <c r="AN6" i="1"/>
  <c r="AM6" i="1"/>
  <c r="AL6" i="1"/>
  <c r="BT6" i="1" s="1"/>
  <c r="Z6" i="1"/>
  <c r="T6" i="1"/>
  <c r="S6" i="1"/>
  <c r="R6" i="1"/>
  <c r="W6" i="1" s="1"/>
  <c r="N6" i="1"/>
  <c r="O6" i="1" s="1"/>
  <c r="M6" i="1"/>
  <c r="L6" i="1"/>
  <c r="K6" i="1"/>
  <c r="J6" i="1"/>
  <c r="I6" i="1"/>
  <c r="BS5" i="1"/>
  <c r="BR5" i="1"/>
  <c r="BQ5" i="1"/>
  <c r="BP5" i="1"/>
  <c r="BO5" i="1"/>
  <c r="BN5" i="1"/>
  <c r="BM5" i="1"/>
  <c r="BL5" i="1"/>
  <c r="BK5" i="1"/>
  <c r="BJ5" i="1"/>
  <c r="BI5" i="1"/>
  <c r="BH5" i="1"/>
  <c r="BG5" i="1"/>
  <c r="BF5" i="1"/>
  <c r="BE5" i="1"/>
  <c r="BD5" i="1"/>
  <c r="BC5" i="1"/>
  <c r="BB5" i="1"/>
  <c r="BA5" i="1"/>
  <c r="AZ5" i="1"/>
  <c r="AY5" i="1"/>
  <c r="AX5" i="1"/>
  <c r="AW5" i="1"/>
  <c r="AV5" i="1"/>
  <c r="AU5" i="1"/>
  <c r="AT5" i="1"/>
  <c r="AS5" i="1"/>
  <c r="AR5" i="1"/>
  <c r="AQ5" i="1"/>
  <c r="AP5" i="1"/>
  <c r="AO5" i="1"/>
  <c r="AN5" i="1"/>
  <c r="AM5" i="1"/>
  <c r="AL5" i="1"/>
  <c r="BT5" i="1" s="1"/>
  <c r="Z5" i="1"/>
  <c r="T5" i="1"/>
  <c r="S5" i="1"/>
  <c r="R5" i="1"/>
  <c r="N5" i="1"/>
  <c r="O5" i="1" s="1"/>
  <c r="M5" i="1"/>
  <c r="L5" i="1"/>
  <c r="K5" i="1"/>
  <c r="J5" i="1"/>
  <c r="I5" i="1"/>
  <c r="BS4" i="1"/>
  <c r="BR4" i="1"/>
  <c r="BQ4" i="1"/>
  <c r="BP4" i="1"/>
  <c r="BO4" i="1"/>
  <c r="BN4" i="1"/>
  <c r="BM4" i="1"/>
  <c r="BL4" i="1"/>
  <c r="BK4" i="1"/>
  <c r="BJ4" i="1"/>
  <c r="BI4" i="1"/>
  <c r="BH4" i="1"/>
  <c r="BG4" i="1"/>
  <c r="BF4" i="1"/>
  <c r="BE4" i="1"/>
  <c r="BD4" i="1"/>
  <c r="BC4" i="1"/>
  <c r="BB4" i="1"/>
  <c r="BA4" i="1"/>
  <c r="AZ4" i="1"/>
  <c r="AY4" i="1"/>
  <c r="AX4" i="1"/>
  <c r="AW4" i="1"/>
  <c r="AV4" i="1"/>
  <c r="AU4" i="1"/>
  <c r="AT4" i="1"/>
  <c r="AS4" i="1"/>
  <c r="AR4" i="1"/>
  <c r="AQ4" i="1"/>
  <c r="AP4" i="1"/>
  <c r="AO4" i="1"/>
  <c r="AN4" i="1"/>
  <c r="AM4" i="1"/>
  <c r="AL4" i="1"/>
  <c r="BT4" i="1" s="1"/>
  <c r="AC4" i="1"/>
  <c r="Z4" i="1"/>
  <c r="Z41" i="1" s="1"/>
  <c r="T4" i="1"/>
  <c r="R4" i="1"/>
  <c r="N4" i="1"/>
  <c r="M4" i="1"/>
  <c r="M41" i="1" s="1"/>
  <c r="L4" i="1"/>
  <c r="I4" i="1"/>
  <c r="AI2" i="1"/>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AZ41" i="2"/>
  <c r="AM41" i="2"/>
  <c r="AK41"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AM40" i="2" s="1"/>
  <c r="AZ40" i="2"/>
  <c r="AK40"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AM39" i="2" s="1"/>
  <c r="AZ39" i="2"/>
  <c r="AK39"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AM38" i="2" s="1"/>
  <c r="BN38" i="2"/>
  <c r="BM38" i="2"/>
  <c r="AZ38" i="2"/>
  <c r="AK38"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AZ37" i="2"/>
  <c r="BA37" i="2" s="1"/>
  <c r="AM37" i="2"/>
  <c r="AK37"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AM36" i="2" s="1"/>
  <c r="AZ36" i="2"/>
  <c r="AK36"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AM35" i="2" s="1"/>
  <c r="AZ35" i="2"/>
  <c r="AK35"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AM34" i="2" s="1"/>
  <c r="BM34" i="2"/>
  <c r="AZ34" i="2"/>
  <c r="AK34"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AZ33" i="2"/>
  <c r="BA33" i="2" s="1"/>
  <c r="AM33" i="2"/>
  <c r="AK33"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AM32" i="2" s="1"/>
  <c r="AZ32" i="2"/>
  <c r="AK32"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AM31" i="2" s="1"/>
  <c r="AZ31" i="2"/>
  <c r="AK31"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AM30" i="2" s="1"/>
  <c r="BM30" i="2"/>
  <c r="AZ30" i="2"/>
  <c r="AK30"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AZ29" i="2"/>
  <c r="BA29" i="2" s="1"/>
  <c r="AM29" i="2"/>
  <c r="AK29"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AZ28" i="2"/>
  <c r="AK28"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AM27" i="2" s="1"/>
  <c r="AZ27" i="2"/>
  <c r="AK27"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AM26" i="2" s="1"/>
  <c r="BM26" i="2"/>
  <c r="AZ26" i="2"/>
  <c r="AK26"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AZ25" i="2"/>
  <c r="BA25" i="2" s="1"/>
  <c r="AM25" i="2"/>
  <c r="AK25"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AM24" i="2" s="1"/>
  <c r="AZ24" i="2"/>
  <c r="BA24" i="2" s="1"/>
  <c r="AK24"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AM23" i="2" s="1"/>
  <c r="AZ23" i="2"/>
  <c r="AK23"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AM22" i="2" s="1"/>
  <c r="BM22" i="2"/>
  <c r="AZ22" i="2"/>
  <c r="AK22"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AZ21" i="2"/>
  <c r="BA21" i="2" s="1"/>
  <c r="AM21" i="2"/>
  <c r="AK21"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AZ20" i="2"/>
  <c r="AK20"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AM19" i="2" s="1"/>
  <c r="AZ19" i="2"/>
  <c r="AK19"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AM18" i="2" s="1"/>
  <c r="BM18" i="2"/>
  <c r="AZ18" i="2"/>
  <c r="AK18"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AZ17" i="2"/>
  <c r="BA17" i="2" s="1"/>
  <c r="AM17" i="2"/>
  <c r="AK17"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AM16" i="2" s="1"/>
  <c r="AZ16" i="2"/>
  <c r="AK16"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AM15" i="2" s="1"/>
  <c r="AZ15" i="2"/>
  <c r="AK15" i="2"/>
  <c r="CU14" i="2"/>
  <c r="CT14" i="2"/>
  <c r="CS14" i="2"/>
  <c r="CR14" i="2"/>
  <c r="CQ14" i="2"/>
  <c r="CP14" i="2"/>
  <c r="CO14" i="2"/>
  <c r="CN14" i="2"/>
  <c r="CM14" i="2"/>
  <c r="CL14" i="2"/>
  <c r="CK14" i="2"/>
  <c r="CJ14" i="2"/>
  <c r="CI14" i="2"/>
  <c r="CH14" i="2"/>
  <c r="CG14" i="2"/>
  <c r="CF14" i="2"/>
  <c r="CE14" i="2"/>
  <c r="CD14" i="2"/>
  <c r="CC14" i="2"/>
  <c r="CB14" i="2"/>
  <c r="CA14" i="2"/>
  <c r="BZ14" i="2"/>
  <c r="BY14" i="2"/>
  <c r="BX14" i="2"/>
  <c r="BW14" i="2"/>
  <c r="BV14" i="2"/>
  <c r="BU14" i="2"/>
  <c r="BT14" i="2"/>
  <c r="BS14" i="2"/>
  <c r="BR14" i="2"/>
  <c r="BQ14" i="2"/>
  <c r="BP14" i="2"/>
  <c r="BO14" i="2"/>
  <c r="BN14" i="2"/>
  <c r="AM14" i="2" s="1"/>
  <c r="BM14" i="2"/>
  <c r="AZ14" i="2"/>
  <c r="AK14"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AM13" i="2" s="1"/>
  <c r="BN13" i="2"/>
  <c r="BM13" i="2"/>
  <c r="AZ13" i="2"/>
  <c r="AK13" i="2"/>
  <c r="CU12" i="2"/>
  <c r="CT12" i="2"/>
  <c r="CS12" i="2"/>
  <c r="CR12" i="2"/>
  <c r="CQ12" i="2"/>
  <c r="CP12" i="2"/>
  <c r="CO12" i="2"/>
  <c r="CN12" i="2"/>
  <c r="CM12" i="2"/>
  <c r="CL12" i="2"/>
  <c r="CK12" i="2"/>
  <c r="CJ12" i="2"/>
  <c r="CI12" i="2"/>
  <c r="CH12" i="2"/>
  <c r="CG12" i="2"/>
  <c r="CF12" i="2"/>
  <c r="CE12" i="2"/>
  <c r="CD12" i="2"/>
  <c r="CC12" i="2"/>
  <c r="CB12" i="2"/>
  <c r="CA12" i="2"/>
  <c r="BZ12" i="2"/>
  <c r="BY12" i="2"/>
  <c r="BX12" i="2"/>
  <c r="BW12" i="2"/>
  <c r="BV12" i="2"/>
  <c r="BU12" i="2"/>
  <c r="BT12" i="2"/>
  <c r="BS12" i="2"/>
  <c r="BR12" i="2"/>
  <c r="BQ12" i="2"/>
  <c r="BP12" i="2"/>
  <c r="BO12" i="2"/>
  <c r="AM12" i="2" s="1"/>
  <c r="BN12" i="2"/>
  <c r="BM12" i="2"/>
  <c r="AZ12" i="2"/>
  <c r="AK12" i="2"/>
  <c r="AJ12" i="2"/>
  <c r="CU11" i="2"/>
  <c r="CT11" i="2"/>
  <c r="CS11" i="2"/>
  <c r="CR11" i="2"/>
  <c r="CQ11" i="2"/>
  <c r="CP11" i="2"/>
  <c r="CO11" i="2"/>
  <c r="CN11" i="2"/>
  <c r="CM11" i="2"/>
  <c r="CL11" i="2"/>
  <c r="CK11" i="2"/>
  <c r="CJ11" i="2"/>
  <c r="CI11" i="2"/>
  <c r="CH11" i="2"/>
  <c r="CG11" i="2"/>
  <c r="CF11" i="2"/>
  <c r="CE11" i="2"/>
  <c r="CD11" i="2"/>
  <c r="CC11" i="2"/>
  <c r="CB11" i="2"/>
  <c r="CA11" i="2"/>
  <c r="BZ11" i="2"/>
  <c r="BY11" i="2"/>
  <c r="BX11" i="2"/>
  <c r="BW11" i="2"/>
  <c r="BV11" i="2"/>
  <c r="BU11" i="2"/>
  <c r="BT11" i="2"/>
  <c r="BS11" i="2"/>
  <c r="BR11" i="2"/>
  <c r="BQ11" i="2"/>
  <c r="BP11" i="2"/>
  <c r="BO11" i="2"/>
  <c r="BN11" i="2"/>
  <c r="BM11" i="2"/>
  <c r="AZ11" i="2"/>
  <c r="BA11" i="2" s="1"/>
  <c r="AM11" i="2"/>
  <c r="AK11" i="2"/>
  <c r="AJ11" i="2"/>
  <c r="CU10" i="2"/>
  <c r="CT10" i="2"/>
  <c r="CS10" i="2"/>
  <c r="CR10" i="2"/>
  <c r="CQ10" i="2"/>
  <c r="CP10" i="2"/>
  <c r="CO10" i="2"/>
  <c r="CN10" i="2"/>
  <c r="CM10" i="2"/>
  <c r="CL10" i="2"/>
  <c r="CK10" i="2"/>
  <c r="CJ10" i="2"/>
  <c r="CI10" i="2"/>
  <c r="CH10" i="2"/>
  <c r="CG10" i="2"/>
  <c r="CF10" i="2"/>
  <c r="CE10" i="2"/>
  <c r="CD10" i="2"/>
  <c r="CC10" i="2"/>
  <c r="CB10" i="2"/>
  <c r="CA10" i="2"/>
  <c r="BZ10" i="2"/>
  <c r="BY10" i="2"/>
  <c r="BX10" i="2"/>
  <c r="BW10" i="2"/>
  <c r="BV10" i="2"/>
  <c r="BU10" i="2"/>
  <c r="BT10" i="2"/>
  <c r="BS10" i="2"/>
  <c r="BR10" i="2"/>
  <c r="BQ10" i="2"/>
  <c r="BP10" i="2"/>
  <c r="BO10" i="2"/>
  <c r="BN10" i="2"/>
  <c r="AM10" i="2" s="1"/>
  <c r="BM10" i="2"/>
  <c r="AZ10" i="2"/>
  <c r="BA10" i="2" s="1"/>
  <c r="AK10" i="2"/>
  <c r="AJ10"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AM9" i="2" s="1"/>
  <c r="BM9" i="2"/>
  <c r="AZ9" i="2"/>
  <c r="AK9" i="2"/>
  <c r="AJ9"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AM8" i="2" s="1"/>
  <c r="AZ8" i="2"/>
  <c r="AK8" i="2"/>
  <c r="AJ8"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AM7" i="2" s="1"/>
  <c r="BN7" i="2"/>
  <c r="BM7" i="2"/>
  <c r="AZ7" i="2"/>
  <c r="AK7" i="2"/>
  <c r="AJ7"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AM6" i="2" s="1"/>
  <c r="BO6" i="2"/>
  <c r="BN6" i="2"/>
  <c r="BM6" i="2"/>
  <c r="AZ6" i="2"/>
  <c r="BA6" i="2" s="1"/>
  <c r="AL6" i="2"/>
  <c r="AL7" i="2" s="1"/>
  <c r="AL8" i="2" s="1"/>
  <c r="AL9" i="2" s="1"/>
  <c r="AL10" i="2" s="1"/>
  <c r="AL11" i="2" s="1"/>
  <c r="AL12" i="2" s="1"/>
  <c r="AL13" i="2" s="1"/>
  <c r="AL14" i="2" s="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AK6" i="2"/>
  <c r="AJ6" i="2"/>
  <c r="CU5" i="2"/>
  <c r="CT5" i="2"/>
  <c r="CS5" i="2"/>
  <c r="CR5" i="2"/>
  <c r="CQ5" i="2"/>
  <c r="CP5" i="2"/>
  <c r="CO5" i="2"/>
  <c r="CN5" i="2"/>
  <c r="CM5" i="2"/>
  <c r="CL5" i="2"/>
  <c r="CK5" i="2"/>
  <c r="CJ5" i="2"/>
  <c r="CI5" i="2"/>
  <c r="CH5" i="2"/>
  <c r="CG5" i="2"/>
  <c r="CF5" i="2"/>
  <c r="CE5" i="2"/>
  <c r="CD5" i="2"/>
  <c r="CC5" i="2"/>
  <c r="CB5" i="2"/>
  <c r="CA5" i="2"/>
  <c r="BZ5" i="2"/>
  <c r="BY5" i="2"/>
  <c r="BX5" i="2"/>
  <c r="BW5" i="2"/>
  <c r="BV5" i="2"/>
  <c r="BU5" i="2"/>
  <c r="BT5" i="2"/>
  <c r="BS5" i="2"/>
  <c r="BR5" i="2"/>
  <c r="BQ5" i="2"/>
  <c r="BP5" i="2"/>
  <c r="BO5" i="2"/>
  <c r="BN5" i="2"/>
  <c r="BM5" i="2"/>
  <c r="AM5" i="2" s="1"/>
  <c r="AZ5" i="2"/>
  <c r="BD8" i="2" s="1"/>
  <c r="AL5" i="2"/>
  <c r="AK5" i="2"/>
  <c r="AJ5" i="2"/>
  <c r="AQ4" i="2"/>
  <c r="AR4" i="2" s="1"/>
  <c r="AJ4" i="2"/>
  <c r="I3" i="2"/>
  <c r="CH15" i="4" l="1"/>
  <c r="Q50" i="3"/>
  <c r="Q51" i="3" s="1"/>
  <c r="EU18" i="4"/>
  <c r="AD60" i="3"/>
  <c r="BI19" i="4"/>
  <c r="L61" i="3"/>
  <c r="CC20" i="4"/>
  <c r="P73" i="3"/>
  <c r="P20" i="1"/>
  <c r="CH25" i="4"/>
  <c r="Q91" i="3"/>
  <c r="EU26" i="4"/>
  <c r="AD64" i="3"/>
  <c r="EZ29" i="4"/>
  <c r="AE87" i="3"/>
  <c r="AF87" i="3"/>
  <c r="AE29" i="1"/>
  <c r="CH30" i="4"/>
  <c r="Q65" i="3"/>
  <c r="CC35" i="4"/>
  <c r="P93" i="3"/>
  <c r="P35" i="1"/>
  <c r="DG37" i="4"/>
  <c r="V68" i="3"/>
  <c r="AC37" i="1"/>
  <c r="BI40" i="4"/>
  <c r="L76" i="3"/>
  <c r="DQ40" i="4"/>
  <c r="X76" i="3"/>
  <c r="AR6" i="2"/>
  <c r="AR9" i="2" s="1"/>
  <c r="AR5" i="2"/>
  <c r="AS4" i="2" s="1"/>
  <c r="AR7" i="2"/>
  <c r="AS8" i="2" s="1"/>
  <c r="BF8" i="2"/>
  <c r="CC5" i="4"/>
  <c r="P56" i="3"/>
  <c r="P5" i="1"/>
  <c r="CC6" i="4"/>
  <c r="P47" i="3"/>
  <c r="P6" i="1"/>
  <c r="CC7" i="4"/>
  <c r="P48" i="3"/>
  <c r="P7" i="1"/>
  <c r="CC8" i="4"/>
  <c r="P72" i="3"/>
  <c r="P74" i="3" s="1"/>
  <c r="P8" i="1"/>
  <c r="CC10" i="4"/>
  <c r="P57" i="3"/>
  <c r="P10" i="1"/>
  <c r="CC11" i="4"/>
  <c r="P58" i="3"/>
  <c r="P11" i="1"/>
  <c r="CC12" i="4"/>
  <c r="P59" i="3"/>
  <c r="P12" i="1"/>
  <c r="BI17" i="4"/>
  <c r="L85" i="3"/>
  <c r="DQ17" i="4"/>
  <c r="X85" i="3"/>
  <c r="X17" i="1"/>
  <c r="CC21" i="4"/>
  <c r="P70" i="3"/>
  <c r="P71" i="3" s="1"/>
  <c r="P21" i="1"/>
  <c r="CC23" i="4"/>
  <c r="P86" i="3"/>
  <c r="P23" i="1"/>
  <c r="CC28" i="4"/>
  <c r="P92" i="3"/>
  <c r="P28" i="1"/>
  <c r="CH31" i="4"/>
  <c r="Q78" i="3"/>
  <c r="Q79" i="3" s="1"/>
  <c r="EU32" i="4"/>
  <c r="AD66" i="3"/>
  <c r="CC36" i="4"/>
  <c r="P89" i="3"/>
  <c r="P36" i="1"/>
  <c r="CH38" i="4"/>
  <c r="Q52" i="3"/>
  <c r="Q53" i="3" s="1"/>
  <c r="DQ6" i="4"/>
  <c r="X47" i="3"/>
  <c r="X49" i="3" s="1"/>
  <c r="X6" i="1"/>
  <c r="X48" i="3"/>
  <c r="DQ7" i="4"/>
  <c r="X7" i="1"/>
  <c r="DQ13" i="4"/>
  <c r="X83" i="3"/>
  <c r="DG14" i="4"/>
  <c r="V81" i="3"/>
  <c r="AC14" i="1"/>
  <c r="BI18" i="4"/>
  <c r="L60" i="3"/>
  <c r="DQ18" i="4"/>
  <c r="X60" i="3"/>
  <c r="CC19" i="4"/>
  <c r="P61" i="3"/>
  <c r="P19" i="1"/>
  <c r="EU19" i="4"/>
  <c r="AD61" i="3"/>
  <c r="BI20" i="4"/>
  <c r="L73" i="3"/>
  <c r="DQ23" i="4"/>
  <c r="X86" i="3"/>
  <c r="DG24" i="4"/>
  <c r="V63" i="3"/>
  <c r="AC24" i="1"/>
  <c r="CC29" i="4"/>
  <c r="P87" i="3"/>
  <c r="P29" i="1"/>
  <c r="BI35" i="4"/>
  <c r="L93" i="3"/>
  <c r="DQ35" i="4"/>
  <c r="X93" i="3"/>
  <c r="DQ36" i="4"/>
  <c r="X89" i="3"/>
  <c r="CH37" i="4"/>
  <c r="Q68" i="3"/>
  <c r="CC40" i="4"/>
  <c r="P76" i="3"/>
  <c r="P40" i="1"/>
  <c r="N42" i="1"/>
  <c r="M42" i="1"/>
  <c r="O42" i="1" s="1"/>
  <c r="P42" i="1" s="1"/>
  <c r="I42" i="1"/>
  <c r="J42" i="1" s="1"/>
  <c r="L42" i="1"/>
  <c r="EZ13" i="4"/>
  <c r="AE83" i="3"/>
  <c r="AF83" i="3"/>
  <c r="AE13" i="1"/>
  <c r="CH14" i="4"/>
  <c r="Q81" i="3"/>
  <c r="CH24" i="4"/>
  <c r="Q63" i="3"/>
  <c r="BI28" i="4"/>
  <c r="L92" i="3"/>
  <c r="DQ28" i="4"/>
  <c r="X92" i="3"/>
  <c r="DQ29" i="4"/>
  <c r="X87" i="3"/>
  <c r="DG30" i="4"/>
  <c r="V65" i="3"/>
  <c r="AC30" i="1"/>
  <c r="EU33" i="4"/>
  <c r="AD67" i="3"/>
  <c r="EZ36" i="4"/>
  <c r="AE89" i="3"/>
  <c r="AF89" i="3"/>
  <c r="AE36" i="1"/>
  <c r="BA9" i="2"/>
  <c r="BD11" i="2"/>
  <c r="LA21" i="4"/>
  <c r="KK21" i="4"/>
  <c r="JU21" i="4"/>
  <c r="JE21" i="4"/>
  <c r="IO21" i="4"/>
  <c r="HY21" i="4"/>
  <c r="HI21" i="4"/>
  <c r="GS21" i="4"/>
  <c r="GC21" i="4"/>
  <c r="KW21" i="4"/>
  <c r="KG21" i="4"/>
  <c r="JQ21" i="4"/>
  <c r="JA21" i="4"/>
  <c r="IK21" i="4"/>
  <c r="HU21" i="4"/>
  <c r="HE21" i="4"/>
  <c r="GO21" i="4"/>
  <c r="FY21" i="4"/>
  <c r="KS21" i="4"/>
  <c r="KC21" i="4"/>
  <c r="JM21" i="4"/>
  <c r="IW21" i="4"/>
  <c r="IG21" i="4"/>
  <c r="HQ21" i="4"/>
  <c r="HA21" i="4"/>
  <c r="GK21" i="4"/>
  <c r="KO21" i="4"/>
  <c r="JY21" i="4"/>
  <c r="JI21" i="4"/>
  <c r="IS21" i="4"/>
  <c r="IC21" i="4"/>
  <c r="HM21" i="4"/>
  <c r="GW21" i="4"/>
  <c r="GG21" i="4"/>
  <c r="BA27" i="2"/>
  <c r="LA29" i="4"/>
  <c r="KK29" i="4"/>
  <c r="JU29" i="4"/>
  <c r="JE29" i="4"/>
  <c r="IO29" i="4"/>
  <c r="HY29" i="4"/>
  <c r="HI29" i="4"/>
  <c r="GS29" i="4"/>
  <c r="GC29" i="4"/>
  <c r="KO29" i="4"/>
  <c r="JY29" i="4"/>
  <c r="JI29" i="4"/>
  <c r="IS29" i="4"/>
  <c r="IC29" i="4"/>
  <c r="HM29" i="4"/>
  <c r="GW29" i="4"/>
  <c r="GG29" i="4"/>
  <c r="KS29" i="4"/>
  <c r="KC29" i="4"/>
  <c r="JM29" i="4"/>
  <c r="IW29" i="4"/>
  <c r="IG29" i="4"/>
  <c r="HQ29" i="4"/>
  <c r="HA29" i="4"/>
  <c r="GK29" i="4"/>
  <c r="KW29" i="4"/>
  <c r="KG29" i="4"/>
  <c r="JQ29" i="4"/>
  <c r="JA29" i="4"/>
  <c r="IK29" i="4"/>
  <c r="HU29" i="4"/>
  <c r="HE29" i="4"/>
  <c r="GO29" i="4"/>
  <c r="FY29" i="4"/>
  <c r="BA39" i="2"/>
  <c r="J96" i="3"/>
  <c r="J45" i="3"/>
  <c r="J46" i="3" s="1"/>
  <c r="AY4" i="4"/>
  <c r="S96" i="3"/>
  <c r="S45" i="3"/>
  <c r="S46" i="3" s="1"/>
  <c r="CR4" i="4"/>
  <c r="EF5" i="4"/>
  <c r="AA56" i="3"/>
  <c r="AA47" i="3"/>
  <c r="EF6" i="4"/>
  <c r="BD7" i="4"/>
  <c r="K48" i="3"/>
  <c r="T48" i="3"/>
  <c r="CW7" i="4"/>
  <c r="EF8" i="4"/>
  <c r="AA72" i="3"/>
  <c r="BD9" i="4"/>
  <c r="K80" i="3"/>
  <c r="BX9" i="4"/>
  <c r="O80" i="3"/>
  <c r="VF9" i="4"/>
  <c r="UP9" i="4"/>
  <c r="TZ9" i="4"/>
  <c r="TJ9" i="4"/>
  <c r="ST9" i="4"/>
  <c r="SD9" i="4"/>
  <c r="RN9" i="4"/>
  <c r="QX9" i="4"/>
  <c r="VJ9" i="4"/>
  <c r="UT9" i="4"/>
  <c r="UD9" i="4"/>
  <c r="TN9" i="4"/>
  <c r="SX9" i="4"/>
  <c r="SH9" i="4"/>
  <c r="RR9" i="4"/>
  <c r="RB9" i="4"/>
  <c r="VN9" i="4"/>
  <c r="UX9" i="4"/>
  <c r="UH9" i="4"/>
  <c r="TR9" i="4"/>
  <c r="TB9" i="4"/>
  <c r="SL9" i="4"/>
  <c r="RV9" i="4"/>
  <c r="RF9" i="4"/>
  <c r="VR9" i="4"/>
  <c r="VB9" i="4"/>
  <c r="UL9" i="4"/>
  <c r="TV9" i="4"/>
  <c r="TF9" i="4"/>
  <c r="SP9" i="4"/>
  <c r="RZ9" i="4"/>
  <c r="RJ9" i="4"/>
  <c r="QT9" i="4"/>
  <c r="CW10" i="4"/>
  <c r="T57" i="3"/>
  <c r="EF11" i="4"/>
  <c r="AA58" i="3"/>
  <c r="CW12" i="4"/>
  <c r="T59" i="3"/>
  <c r="BX13" i="4"/>
  <c r="O83" i="3"/>
  <c r="EU13" i="4"/>
  <c r="AD83" i="3"/>
  <c r="DB15" i="4"/>
  <c r="U50" i="3"/>
  <c r="U51" i="3" s="1"/>
  <c r="BS17" i="4"/>
  <c r="N85" i="3"/>
  <c r="BS18" i="4"/>
  <c r="N60" i="3"/>
  <c r="CR19" i="4"/>
  <c r="S61" i="3"/>
  <c r="CR20" i="4"/>
  <c r="S73" i="3"/>
  <c r="EF21" i="4"/>
  <c r="AA70" i="3"/>
  <c r="AA71" i="3" s="1"/>
  <c r="BD22" i="4"/>
  <c r="K62" i="3"/>
  <c r="BX22" i="4"/>
  <c r="O62" i="3"/>
  <c r="VR22" i="4"/>
  <c r="VN22" i="4"/>
  <c r="VJ22" i="4"/>
  <c r="VF22" i="4"/>
  <c r="VB22" i="4"/>
  <c r="UX22" i="4"/>
  <c r="UT22" i="4"/>
  <c r="UP22" i="4"/>
  <c r="UL22" i="4"/>
  <c r="UH22" i="4"/>
  <c r="UD22" i="4"/>
  <c r="TZ22" i="4"/>
  <c r="TV22" i="4"/>
  <c r="TR22" i="4"/>
  <c r="TN22" i="4"/>
  <c r="TJ22" i="4"/>
  <c r="TF22" i="4"/>
  <c r="TB22" i="4"/>
  <c r="SX22" i="4"/>
  <c r="ST22" i="4"/>
  <c r="SP22" i="4"/>
  <c r="SL22" i="4"/>
  <c r="SH22" i="4"/>
  <c r="SD22" i="4"/>
  <c r="RZ22" i="4"/>
  <c r="RV22" i="4"/>
  <c r="RR22" i="4"/>
  <c r="RN22" i="4"/>
  <c r="RJ22" i="4"/>
  <c r="RF22" i="4"/>
  <c r="RB22" i="4"/>
  <c r="QX22" i="4"/>
  <c r="QT22" i="4"/>
  <c r="CW23" i="4"/>
  <c r="T86" i="3"/>
  <c r="BD7" i="2"/>
  <c r="KW8" i="4"/>
  <c r="KG8" i="4"/>
  <c r="JQ8" i="4"/>
  <c r="JA8" i="4"/>
  <c r="IK8" i="4"/>
  <c r="LA8" i="4"/>
  <c r="KK8" i="4"/>
  <c r="JU8" i="4"/>
  <c r="JE8" i="4"/>
  <c r="IO8" i="4"/>
  <c r="HY8" i="4"/>
  <c r="HI8" i="4"/>
  <c r="GS8" i="4"/>
  <c r="GC8" i="4"/>
  <c r="KO8" i="4"/>
  <c r="JY8" i="4"/>
  <c r="JI8" i="4"/>
  <c r="IS8" i="4"/>
  <c r="IC8" i="4"/>
  <c r="HM8" i="4"/>
  <c r="GW8" i="4"/>
  <c r="GG8" i="4"/>
  <c r="KS8" i="4"/>
  <c r="KC8" i="4"/>
  <c r="JM8" i="4"/>
  <c r="IW8" i="4"/>
  <c r="IG8" i="4"/>
  <c r="HQ8" i="4"/>
  <c r="HA8" i="4"/>
  <c r="GK8" i="4"/>
  <c r="GO8" i="4"/>
  <c r="HE8" i="4"/>
  <c r="HU8" i="4"/>
  <c r="FY8" i="4"/>
  <c r="BD12" i="2"/>
  <c r="BD13" i="2"/>
  <c r="BA16" i="2"/>
  <c r="LA18" i="4"/>
  <c r="KW18" i="4"/>
  <c r="KS18" i="4"/>
  <c r="KO18" i="4"/>
  <c r="KK18" i="4"/>
  <c r="KG18" i="4"/>
  <c r="KC18" i="4"/>
  <c r="JY18" i="4"/>
  <c r="JU18" i="4"/>
  <c r="JQ18" i="4"/>
  <c r="JM18" i="4"/>
  <c r="JI18" i="4"/>
  <c r="JE18" i="4"/>
  <c r="JA18" i="4"/>
  <c r="IW18" i="4"/>
  <c r="IS18" i="4"/>
  <c r="IO18" i="4"/>
  <c r="IK18" i="4"/>
  <c r="IG18" i="4"/>
  <c r="IC18" i="4"/>
  <c r="HY18" i="4"/>
  <c r="HU18" i="4"/>
  <c r="HQ18" i="4"/>
  <c r="HM18" i="4"/>
  <c r="HI18" i="4"/>
  <c r="HE18" i="4"/>
  <c r="HA18" i="4"/>
  <c r="GW18" i="4"/>
  <c r="GS18" i="4"/>
  <c r="GO18" i="4"/>
  <c r="GK18" i="4"/>
  <c r="GG18" i="4"/>
  <c r="GC18" i="4"/>
  <c r="FY18" i="4"/>
  <c r="BA20" i="2"/>
  <c r="LA22" i="4"/>
  <c r="KW22" i="4"/>
  <c r="KS22" i="4"/>
  <c r="KO22" i="4"/>
  <c r="KK22" i="4"/>
  <c r="KG22" i="4"/>
  <c r="KC22" i="4"/>
  <c r="JY22" i="4"/>
  <c r="JU22" i="4"/>
  <c r="JQ22" i="4"/>
  <c r="JM22" i="4"/>
  <c r="JI22" i="4"/>
  <c r="JE22" i="4"/>
  <c r="JA22" i="4"/>
  <c r="IW22" i="4"/>
  <c r="IS22" i="4"/>
  <c r="IO22" i="4"/>
  <c r="IK22" i="4"/>
  <c r="IG22" i="4"/>
  <c r="IC22" i="4"/>
  <c r="HY22" i="4"/>
  <c r="HU22" i="4"/>
  <c r="HQ22" i="4"/>
  <c r="HM22" i="4"/>
  <c r="HI22" i="4"/>
  <c r="HE22" i="4"/>
  <c r="HA22" i="4"/>
  <c r="GW22" i="4"/>
  <c r="GS22" i="4"/>
  <c r="GO22" i="4"/>
  <c r="GK22" i="4"/>
  <c r="GG22" i="4"/>
  <c r="GC22" i="4"/>
  <c r="FY22" i="4"/>
  <c r="LA26" i="4"/>
  <c r="KW26" i="4"/>
  <c r="KS26" i="4"/>
  <c r="KO26" i="4"/>
  <c r="KK26" i="4"/>
  <c r="KG26" i="4"/>
  <c r="KC26" i="4"/>
  <c r="JY26" i="4"/>
  <c r="JU26" i="4"/>
  <c r="JQ26" i="4"/>
  <c r="JM26" i="4"/>
  <c r="JI26" i="4"/>
  <c r="JE26" i="4"/>
  <c r="JA26" i="4"/>
  <c r="IW26" i="4"/>
  <c r="IS26" i="4"/>
  <c r="IO26" i="4"/>
  <c r="IK26" i="4"/>
  <c r="IG26" i="4"/>
  <c r="IC26" i="4"/>
  <c r="HY26" i="4"/>
  <c r="HU26" i="4"/>
  <c r="HQ26" i="4"/>
  <c r="HM26" i="4"/>
  <c r="HI26" i="4"/>
  <c r="HE26" i="4"/>
  <c r="HA26" i="4"/>
  <c r="GW26" i="4"/>
  <c r="GS26" i="4"/>
  <c r="GO26" i="4"/>
  <c r="GK26" i="4"/>
  <c r="GG26" i="4"/>
  <c r="GC26" i="4"/>
  <c r="FY26" i="4"/>
  <c r="BA28" i="2"/>
  <c r="LA30" i="4"/>
  <c r="KS30" i="4"/>
  <c r="KK30" i="4"/>
  <c r="KC30" i="4"/>
  <c r="JU30" i="4"/>
  <c r="JM30" i="4"/>
  <c r="JE30" i="4"/>
  <c r="IW30" i="4"/>
  <c r="IO30" i="4"/>
  <c r="IG30" i="4"/>
  <c r="HY30" i="4"/>
  <c r="HQ30" i="4"/>
  <c r="HI30" i="4"/>
  <c r="HA30" i="4"/>
  <c r="GS30" i="4"/>
  <c r="GK30" i="4"/>
  <c r="GC30" i="4"/>
  <c r="KW30" i="4"/>
  <c r="KO30" i="4"/>
  <c r="KG30" i="4"/>
  <c r="JY30" i="4"/>
  <c r="JQ30" i="4"/>
  <c r="JI30" i="4"/>
  <c r="JA30" i="4"/>
  <c r="IS30" i="4"/>
  <c r="IK30" i="4"/>
  <c r="IC30" i="4"/>
  <c r="HU30" i="4"/>
  <c r="HM30" i="4"/>
  <c r="HE30" i="4"/>
  <c r="GW30" i="4"/>
  <c r="GO30" i="4"/>
  <c r="GG30" i="4"/>
  <c r="FY30" i="4"/>
  <c r="BA32" i="2"/>
  <c r="LA34" i="4"/>
  <c r="KW34" i="4"/>
  <c r="KS34" i="4"/>
  <c r="KO34" i="4"/>
  <c r="KK34" i="4"/>
  <c r="KG34" i="4"/>
  <c r="KC34" i="4"/>
  <c r="JY34" i="4"/>
  <c r="JU34" i="4"/>
  <c r="JQ34" i="4"/>
  <c r="JM34" i="4"/>
  <c r="JI34" i="4"/>
  <c r="JE34" i="4"/>
  <c r="JA34" i="4"/>
  <c r="IW34" i="4"/>
  <c r="IS34" i="4"/>
  <c r="IO34" i="4"/>
  <c r="IK34" i="4"/>
  <c r="IG34" i="4"/>
  <c r="IC34" i="4"/>
  <c r="HY34" i="4"/>
  <c r="HU34" i="4"/>
  <c r="HQ34" i="4"/>
  <c r="HM34" i="4"/>
  <c r="HI34" i="4"/>
  <c r="HE34" i="4"/>
  <c r="HA34" i="4"/>
  <c r="GW34" i="4"/>
  <c r="GS34" i="4"/>
  <c r="GO34" i="4"/>
  <c r="GK34" i="4"/>
  <c r="GG34" i="4"/>
  <c r="GC34" i="4"/>
  <c r="FY34" i="4"/>
  <c r="BA36" i="2"/>
  <c r="HU38" i="4"/>
  <c r="HE38" i="4"/>
  <c r="GO38" i="4"/>
  <c r="GK38" i="4"/>
  <c r="GG38" i="4"/>
  <c r="GC38" i="4"/>
  <c r="FY38" i="4"/>
  <c r="LA38" i="4"/>
  <c r="KS38" i="4"/>
  <c r="KK38" i="4"/>
  <c r="KC38" i="4"/>
  <c r="JU38" i="4"/>
  <c r="JM38" i="4"/>
  <c r="JE38" i="4"/>
  <c r="IW38" i="4"/>
  <c r="IO38" i="4"/>
  <c r="IG38" i="4"/>
  <c r="HY38" i="4"/>
  <c r="HI38" i="4"/>
  <c r="GS38" i="4"/>
  <c r="HM38" i="4"/>
  <c r="GW38" i="4"/>
  <c r="KW38" i="4"/>
  <c r="KO38" i="4"/>
  <c r="KG38" i="4"/>
  <c r="JY38" i="4"/>
  <c r="JQ38" i="4"/>
  <c r="JI38" i="4"/>
  <c r="JA38" i="4"/>
  <c r="IS38" i="4"/>
  <c r="IK38" i="4"/>
  <c r="IC38" i="4"/>
  <c r="HQ38" i="4"/>
  <c r="HA38" i="4"/>
  <c r="BA40" i="2"/>
  <c r="KW42" i="4"/>
  <c r="KC42" i="4"/>
  <c r="JQ42" i="4"/>
  <c r="IW42" i="4"/>
  <c r="IK42" i="4"/>
  <c r="HQ42" i="4"/>
  <c r="HE42" i="4"/>
  <c r="GK42" i="4"/>
  <c r="FY42" i="4"/>
  <c r="KK42" i="4"/>
  <c r="JY42" i="4"/>
  <c r="JE42" i="4"/>
  <c r="IS42" i="4"/>
  <c r="HY42" i="4"/>
  <c r="HM42" i="4"/>
  <c r="GS42" i="4"/>
  <c r="GG42" i="4"/>
  <c r="KS42" i="4"/>
  <c r="KG42" i="4"/>
  <c r="JM42" i="4"/>
  <c r="JA42" i="4"/>
  <c r="IG42" i="4"/>
  <c r="HU42" i="4"/>
  <c r="HA42" i="4"/>
  <c r="GO42" i="4"/>
  <c r="LA42" i="4"/>
  <c r="KO42" i="4"/>
  <c r="JU42" i="4"/>
  <c r="JI42" i="4"/>
  <c r="IO42" i="4"/>
  <c r="IC42" i="4"/>
  <c r="HI42" i="4"/>
  <c r="GW42" i="4"/>
  <c r="GC42" i="4"/>
  <c r="J4" i="1"/>
  <c r="O45" i="3"/>
  <c r="O46" i="3" s="1"/>
  <c r="BX4" i="4"/>
  <c r="O96" i="3"/>
  <c r="S4" i="1"/>
  <c r="AD45" i="3"/>
  <c r="AD46" i="3" s="1"/>
  <c r="EU4" i="4"/>
  <c r="QP4" i="4"/>
  <c r="BI5" i="4"/>
  <c r="L56" i="3"/>
  <c r="DB5" i="4"/>
  <c r="U56" i="3"/>
  <c r="QP5" i="4"/>
  <c r="BI6" i="4"/>
  <c r="L47" i="3"/>
  <c r="DB6" i="4"/>
  <c r="U47" i="3"/>
  <c r="U49" i="3" s="1"/>
  <c r="QP6" i="4"/>
  <c r="L48" i="3"/>
  <c r="BI7" i="4"/>
  <c r="DB7" i="4"/>
  <c r="U48" i="3"/>
  <c r="QP7" i="4"/>
  <c r="BI8" i="4"/>
  <c r="L72" i="3"/>
  <c r="L74" i="3" s="1"/>
  <c r="DB8" i="4"/>
  <c r="U72" i="3"/>
  <c r="QP8" i="4"/>
  <c r="BI9" i="4"/>
  <c r="L80" i="3"/>
  <c r="O9" i="1"/>
  <c r="DB9" i="4"/>
  <c r="U80" i="3"/>
  <c r="QP9" i="4"/>
  <c r="BI10" i="4"/>
  <c r="L57" i="3"/>
  <c r="DB10" i="4"/>
  <c r="U57" i="3"/>
  <c r="QP10" i="4"/>
  <c r="BI11" i="4"/>
  <c r="L58" i="3"/>
  <c r="DB11" i="4"/>
  <c r="U58" i="3"/>
  <c r="QP11" i="4"/>
  <c r="BI12" i="4"/>
  <c r="L59" i="3"/>
  <c r="DB12" i="4"/>
  <c r="U59" i="3"/>
  <c r="QP12" i="4"/>
  <c r="BI13" i="4"/>
  <c r="L83" i="3"/>
  <c r="O13" i="1"/>
  <c r="DB13" i="4"/>
  <c r="U83" i="3"/>
  <c r="BT13" i="1"/>
  <c r="BN14" i="4"/>
  <c r="M81" i="3"/>
  <c r="BT14" i="1"/>
  <c r="BN15" i="4"/>
  <c r="M50" i="3"/>
  <c r="M51" i="3" s="1"/>
  <c r="DQ15" i="4"/>
  <c r="X50" i="3"/>
  <c r="X51" i="3" s="1"/>
  <c r="AY16" i="4"/>
  <c r="J84" i="3"/>
  <c r="BS16" i="4"/>
  <c r="N84" i="3"/>
  <c r="CR16" i="4"/>
  <c r="S84" i="3"/>
  <c r="EF16" i="4"/>
  <c r="AA84" i="3"/>
  <c r="VR16" i="4"/>
  <c r="VN16" i="4"/>
  <c r="VJ16" i="4"/>
  <c r="VF16" i="4"/>
  <c r="VB16" i="4"/>
  <c r="UX16" i="4"/>
  <c r="UT16" i="4"/>
  <c r="UP16" i="4"/>
  <c r="UL16" i="4"/>
  <c r="UH16" i="4"/>
  <c r="UD16" i="4"/>
  <c r="TZ16" i="4"/>
  <c r="TV16" i="4"/>
  <c r="TR16" i="4"/>
  <c r="TN16" i="4"/>
  <c r="TJ16" i="4"/>
  <c r="TF16" i="4"/>
  <c r="TB16" i="4"/>
  <c r="SX16" i="4"/>
  <c r="ST16" i="4"/>
  <c r="SP16" i="4"/>
  <c r="SH16" i="4"/>
  <c r="RR16" i="4"/>
  <c r="RB16" i="4"/>
  <c r="SL16" i="4"/>
  <c r="RV16" i="4"/>
  <c r="RF16" i="4"/>
  <c r="RZ16" i="4"/>
  <c r="RJ16" i="4"/>
  <c r="QT16" i="4"/>
  <c r="SD16" i="4"/>
  <c r="RN16" i="4"/>
  <c r="QX16" i="4"/>
  <c r="J17" i="1"/>
  <c r="BX17" i="4"/>
  <c r="O85" i="3"/>
  <c r="S17" i="1"/>
  <c r="EF17" i="4"/>
  <c r="AA85" i="3"/>
  <c r="VR17" i="4"/>
  <c r="VN17" i="4"/>
  <c r="VJ17" i="4"/>
  <c r="VF17" i="4"/>
  <c r="VB17" i="4"/>
  <c r="UX17" i="4"/>
  <c r="UT17" i="4"/>
  <c r="UP17" i="4"/>
  <c r="UL17" i="4"/>
  <c r="UH17" i="4"/>
  <c r="UD17" i="4"/>
  <c r="TZ17" i="4"/>
  <c r="TV17" i="4"/>
  <c r="TR17" i="4"/>
  <c r="TN17" i="4"/>
  <c r="TJ17" i="4"/>
  <c r="TF17" i="4"/>
  <c r="TB17" i="4"/>
  <c r="SX17" i="4"/>
  <c r="ST17" i="4"/>
  <c r="SP17" i="4"/>
  <c r="SL17" i="4"/>
  <c r="SH17" i="4"/>
  <c r="SD17" i="4"/>
  <c r="RZ17" i="4"/>
  <c r="RV17" i="4"/>
  <c r="RR17" i="4"/>
  <c r="RN17" i="4"/>
  <c r="RJ17" i="4"/>
  <c r="RF17" i="4"/>
  <c r="RB17" i="4"/>
  <c r="QX17" i="4"/>
  <c r="QT17" i="4"/>
  <c r="J18" i="1"/>
  <c r="BX18" i="4"/>
  <c r="O60" i="3"/>
  <c r="S18" i="1"/>
  <c r="EF18" i="4"/>
  <c r="AA60" i="3"/>
  <c r="VR18" i="4"/>
  <c r="VN18" i="4"/>
  <c r="VJ18" i="4"/>
  <c r="VF18" i="4"/>
  <c r="VB18" i="4"/>
  <c r="UX18" i="4"/>
  <c r="UT18" i="4"/>
  <c r="UP18" i="4"/>
  <c r="UL18" i="4"/>
  <c r="UH18" i="4"/>
  <c r="UD18" i="4"/>
  <c r="TZ18" i="4"/>
  <c r="TV18" i="4"/>
  <c r="TR18" i="4"/>
  <c r="TN18" i="4"/>
  <c r="TJ18" i="4"/>
  <c r="TF18" i="4"/>
  <c r="TB18" i="4"/>
  <c r="SX18" i="4"/>
  <c r="ST18" i="4"/>
  <c r="SP18" i="4"/>
  <c r="SL18" i="4"/>
  <c r="SH18" i="4"/>
  <c r="SD18" i="4"/>
  <c r="RZ18" i="4"/>
  <c r="RV18" i="4"/>
  <c r="RR18" i="4"/>
  <c r="RN18" i="4"/>
  <c r="RJ18" i="4"/>
  <c r="RF18" i="4"/>
  <c r="RB18" i="4"/>
  <c r="QX18" i="4"/>
  <c r="QT18" i="4"/>
  <c r="J19" i="1"/>
  <c r="BX19" i="4"/>
  <c r="O61" i="3"/>
  <c r="S19" i="1"/>
  <c r="EF19" i="4"/>
  <c r="AA61" i="3"/>
  <c r="VR19" i="4"/>
  <c r="VB19" i="4"/>
  <c r="UL19" i="4"/>
  <c r="TV19" i="4"/>
  <c r="TF19" i="4"/>
  <c r="SP19" i="4"/>
  <c r="RZ19" i="4"/>
  <c r="RJ19" i="4"/>
  <c r="QT19" i="4"/>
  <c r="VF19" i="4"/>
  <c r="UP19" i="4"/>
  <c r="TZ19" i="4"/>
  <c r="TJ19" i="4"/>
  <c r="ST19" i="4"/>
  <c r="SD19" i="4"/>
  <c r="RN19" i="4"/>
  <c r="QX19" i="4"/>
  <c r="VJ19" i="4"/>
  <c r="UT19" i="4"/>
  <c r="UD19" i="4"/>
  <c r="TN19" i="4"/>
  <c r="SX19" i="4"/>
  <c r="SH19" i="4"/>
  <c r="RR19" i="4"/>
  <c r="RB19" i="4"/>
  <c r="VN19" i="4"/>
  <c r="UX19" i="4"/>
  <c r="UH19" i="4"/>
  <c r="TR19" i="4"/>
  <c r="TB19" i="4"/>
  <c r="SL19" i="4"/>
  <c r="RV19" i="4"/>
  <c r="RF19" i="4"/>
  <c r="J20" i="1"/>
  <c r="BX20" i="4"/>
  <c r="O73" i="3"/>
  <c r="S20" i="1"/>
  <c r="EU20" i="4"/>
  <c r="AD73" i="3"/>
  <c r="QP20" i="4"/>
  <c r="BI21" i="4"/>
  <c r="L70" i="3"/>
  <c r="L71" i="3" s="1"/>
  <c r="DB21" i="4"/>
  <c r="U70" i="3"/>
  <c r="U71" i="3" s="1"/>
  <c r="QP21" i="4"/>
  <c r="BI22" i="4"/>
  <c r="L62" i="3"/>
  <c r="O22" i="1"/>
  <c r="DB22" i="4"/>
  <c r="U62" i="3"/>
  <c r="QP22" i="4"/>
  <c r="BI23" i="4"/>
  <c r="L86" i="3"/>
  <c r="DB23" i="4"/>
  <c r="U86" i="3"/>
  <c r="AD23" i="1"/>
  <c r="BT23" i="1"/>
  <c r="BN24" i="4"/>
  <c r="M63" i="3"/>
  <c r="BT24" i="1"/>
  <c r="BN25" i="4"/>
  <c r="M91" i="3"/>
  <c r="DQ25" i="4"/>
  <c r="X91" i="3"/>
  <c r="X94" i="3" s="1"/>
  <c r="AY26" i="4"/>
  <c r="J64" i="3"/>
  <c r="BS26" i="4"/>
  <c r="N64" i="3"/>
  <c r="CR26" i="4"/>
  <c r="S64" i="3"/>
  <c r="W26" i="1"/>
  <c r="AY27" i="4"/>
  <c r="J54" i="3"/>
  <c r="J55" i="3" s="1"/>
  <c r="BS27" i="4"/>
  <c r="N54" i="3"/>
  <c r="N55" i="3" s="1"/>
  <c r="CR27" i="4"/>
  <c r="S54" i="3"/>
  <c r="S55" i="3" s="1"/>
  <c r="EF27" i="4"/>
  <c r="AA54" i="3"/>
  <c r="AA55" i="3" s="1"/>
  <c r="VR27" i="4"/>
  <c r="VN27" i="4"/>
  <c r="VJ27" i="4"/>
  <c r="VF27" i="4"/>
  <c r="VB27" i="4"/>
  <c r="UX27" i="4"/>
  <c r="UT27" i="4"/>
  <c r="UP27" i="4"/>
  <c r="UL27" i="4"/>
  <c r="UH27" i="4"/>
  <c r="UD27" i="4"/>
  <c r="TZ27" i="4"/>
  <c r="TV27" i="4"/>
  <c r="TR27" i="4"/>
  <c r="TN27" i="4"/>
  <c r="TJ27" i="4"/>
  <c r="TF27" i="4"/>
  <c r="TB27" i="4"/>
  <c r="SX27" i="4"/>
  <c r="ST27" i="4"/>
  <c r="SP27" i="4"/>
  <c r="SL27" i="4"/>
  <c r="SH27" i="4"/>
  <c r="SD27" i="4"/>
  <c r="RZ27" i="4"/>
  <c r="RV27" i="4"/>
  <c r="RR27" i="4"/>
  <c r="RN27" i="4"/>
  <c r="RJ27" i="4"/>
  <c r="RF27" i="4"/>
  <c r="RB27" i="4"/>
  <c r="QX27" i="4"/>
  <c r="QT27" i="4"/>
  <c r="J28" i="1"/>
  <c r="BX28" i="4"/>
  <c r="O92" i="3"/>
  <c r="S28" i="1"/>
  <c r="EU28" i="4"/>
  <c r="AD92" i="3"/>
  <c r="QP28" i="4"/>
  <c r="BI29" i="4"/>
  <c r="L87" i="3"/>
  <c r="DB29" i="4"/>
  <c r="U87" i="3"/>
  <c r="BT29" i="1"/>
  <c r="BN30" i="4"/>
  <c r="M65" i="3"/>
  <c r="BT30" i="1"/>
  <c r="BN31" i="4"/>
  <c r="M78" i="3"/>
  <c r="M79" i="3" s="1"/>
  <c r="DQ31" i="4"/>
  <c r="X78" i="3"/>
  <c r="X79" i="3" s="1"/>
  <c r="AY32" i="4"/>
  <c r="J66" i="3"/>
  <c r="BS32" i="4"/>
  <c r="N66" i="3"/>
  <c r="CR32" i="4"/>
  <c r="S66" i="3"/>
  <c r="W32" i="1"/>
  <c r="AY33" i="4"/>
  <c r="J67" i="3"/>
  <c r="BS33" i="4"/>
  <c r="N67" i="3"/>
  <c r="CR33" i="4"/>
  <c r="S67" i="3"/>
  <c r="W33" i="1"/>
  <c r="AY34" i="4"/>
  <c r="J88" i="3"/>
  <c r="BS34" i="4"/>
  <c r="N88" i="3"/>
  <c r="CR34" i="4"/>
  <c r="S88" i="3"/>
  <c r="EF34" i="4"/>
  <c r="AA88" i="3"/>
  <c r="VF34" i="4"/>
  <c r="UP34" i="4"/>
  <c r="TZ34" i="4"/>
  <c r="VJ34" i="4"/>
  <c r="UT34" i="4"/>
  <c r="UD34" i="4"/>
  <c r="VN34" i="4"/>
  <c r="UX34" i="4"/>
  <c r="UH34" i="4"/>
  <c r="VR34" i="4"/>
  <c r="VB34" i="4"/>
  <c r="UL34" i="4"/>
  <c r="TV34" i="4"/>
  <c r="TR34" i="4"/>
  <c r="TN34" i="4"/>
  <c r="TJ34" i="4"/>
  <c r="TF34" i="4"/>
  <c r="TB34" i="4"/>
  <c r="SX34" i="4"/>
  <c r="ST34" i="4"/>
  <c r="SP34" i="4"/>
  <c r="SL34" i="4"/>
  <c r="SH34" i="4"/>
  <c r="SD34" i="4"/>
  <c r="RZ34" i="4"/>
  <c r="RV34" i="4"/>
  <c r="RR34" i="4"/>
  <c r="RN34" i="4"/>
  <c r="RJ34" i="4"/>
  <c r="RF34" i="4"/>
  <c r="RB34" i="4"/>
  <c r="QX34" i="4"/>
  <c r="QT34" i="4"/>
  <c r="J35" i="1"/>
  <c r="BX35" i="4"/>
  <c r="O93" i="3"/>
  <c r="S35" i="1"/>
  <c r="EU35" i="4"/>
  <c r="AD93" i="3"/>
  <c r="QP35" i="4"/>
  <c r="BI36" i="4"/>
  <c r="L89" i="3"/>
  <c r="DB36" i="4"/>
  <c r="U89" i="3"/>
  <c r="BT36" i="1"/>
  <c r="BN37" i="4"/>
  <c r="M68" i="3"/>
  <c r="BT37" i="1"/>
  <c r="BN38" i="4"/>
  <c r="M52" i="3"/>
  <c r="M53" i="3" s="1"/>
  <c r="DQ38" i="4"/>
  <c r="X52" i="3"/>
  <c r="X53" i="3" s="1"/>
  <c r="AY39" i="4"/>
  <c r="J75" i="3"/>
  <c r="BS39" i="4"/>
  <c r="N75" i="3"/>
  <c r="CR39" i="4"/>
  <c r="S75" i="3"/>
  <c r="BD5" i="2"/>
  <c r="BD9" i="2"/>
  <c r="LA10" i="4"/>
  <c r="KS10" i="4"/>
  <c r="KK10" i="4"/>
  <c r="KC10" i="4"/>
  <c r="JU10" i="4"/>
  <c r="JM10" i="4"/>
  <c r="JE10" i="4"/>
  <c r="IW10" i="4"/>
  <c r="IO10" i="4"/>
  <c r="IG10" i="4"/>
  <c r="HY10" i="4"/>
  <c r="HQ10" i="4"/>
  <c r="HI10" i="4"/>
  <c r="HA10" i="4"/>
  <c r="GS10" i="4"/>
  <c r="GK10" i="4"/>
  <c r="GC10" i="4"/>
  <c r="KW10" i="4"/>
  <c r="KO10" i="4"/>
  <c r="KG10" i="4"/>
  <c r="JY10" i="4"/>
  <c r="JQ10" i="4"/>
  <c r="JI10" i="4"/>
  <c r="JA10" i="4"/>
  <c r="IS10" i="4"/>
  <c r="IK10" i="4"/>
  <c r="IC10" i="4"/>
  <c r="HU10" i="4"/>
  <c r="HM10" i="4"/>
  <c r="HE10" i="4"/>
  <c r="GW10" i="4"/>
  <c r="GO10" i="4"/>
  <c r="GG10" i="4"/>
  <c r="FY10" i="4"/>
  <c r="LA15" i="4"/>
  <c r="KW15" i="4"/>
  <c r="KS15" i="4"/>
  <c r="KO15" i="4"/>
  <c r="KK15" i="4"/>
  <c r="KG15" i="4"/>
  <c r="KC15" i="4"/>
  <c r="JY15" i="4"/>
  <c r="JU15" i="4"/>
  <c r="JQ15" i="4"/>
  <c r="JM15" i="4"/>
  <c r="JI15" i="4"/>
  <c r="JE15" i="4"/>
  <c r="JA15" i="4"/>
  <c r="IW15" i="4"/>
  <c r="IS15" i="4"/>
  <c r="IO15" i="4"/>
  <c r="IK15" i="4"/>
  <c r="IG15" i="4"/>
  <c r="IC15" i="4"/>
  <c r="HY15" i="4"/>
  <c r="HU15" i="4"/>
  <c r="HQ15" i="4"/>
  <c r="HM15" i="4"/>
  <c r="HI15" i="4"/>
  <c r="HE15" i="4"/>
  <c r="HA15" i="4"/>
  <c r="GW15" i="4"/>
  <c r="GS15" i="4"/>
  <c r="GO15" i="4"/>
  <c r="GK15" i="4"/>
  <c r="GG15" i="4"/>
  <c r="GC15" i="4"/>
  <c r="FY15" i="4"/>
  <c r="LA19" i="4"/>
  <c r="KK19" i="4"/>
  <c r="JU19" i="4"/>
  <c r="JE19" i="4"/>
  <c r="IO19" i="4"/>
  <c r="HY19" i="4"/>
  <c r="HI19" i="4"/>
  <c r="GS19" i="4"/>
  <c r="GC19" i="4"/>
  <c r="KO19" i="4"/>
  <c r="JY19" i="4"/>
  <c r="JI19" i="4"/>
  <c r="IS19" i="4"/>
  <c r="IC19" i="4"/>
  <c r="HM19" i="4"/>
  <c r="GW19" i="4"/>
  <c r="GG19" i="4"/>
  <c r="KS19" i="4"/>
  <c r="KC19" i="4"/>
  <c r="JM19" i="4"/>
  <c r="IW19" i="4"/>
  <c r="IG19" i="4"/>
  <c r="HQ19" i="4"/>
  <c r="HA19" i="4"/>
  <c r="GK19" i="4"/>
  <c r="KW19" i="4"/>
  <c r="KG19" i="4"/>
  <c r="JQ19" i="4"/>
  <c r="JA19" i="4"/>
  <c r="IK19" i="4"/>
  <c r="HU19" i="4"/>
  <c r="HE19" i="4"/>
  <c r="GO19" i="4"/>
  <c r="FY19" i="4"/>
  <c r="LA23" i="4"/>
  <c r="KW23" i="4"/>
  <c r="KS23" i="4"/>
  <c r="KO23" i="4"/>
  <c r="KK23" i="4"/>
  <c r="KG23" i="4"/>
  <c r="KC23" i="4"/>
  <c r="JY23" i="4"/>
  <c r="JU23" i="4"/>
  <c r="JQ23" i="4"/>
  <c r="JM23" i="4"/>
  <c r="JI23" i="4"/>
  <c r="JE23" i="4"/>
  <c r="JA23" i="4"/>
  <c r="IW23" i="4"/>
  <c r="IS23" i="4"/>
  <c r="IO23" i="4"/>
  <c r="IK23" i="4"/>
  <c r="IG23" i="4"/>
  <c r="IC23" i="4"/>
  <c r="HY23" i="4"/>
  <c r="HU23" i="4"/>
  <c r="HQ23" i="4"/>
  <c r="HM23" i="4"/>
  <c r="HI23" i="4"/>
  <c r="HE23" i="4"/>
  <c r="HA23" i="4"/>
  <c r="GW23" i="4"/>
  <c r="GS23" i="4"/>
  <c r="GO23" i="4"/>
  <c r="GK23" i="4"/>
  <c r="GG23" i="4"/>
  <c r="GC23" i="4"/>
  <c r="FY23" i="4"/>
  <c r="LA27" i="4"/>
  <c r="KW27" i="4"/>
  <c r="KS27" i="4"/>
  <c r="KO27" i="4"/>
  <c r="KK27" i="4"/>
  <c r="KG27" i="4"/>
  <c r="KC27" i="4"/>
  <c r="JY27" i="4"/>
  <c r="JU27" i="4"/>
  <c r="JQ27" i="4"/>
  <c r="JM27" i="4"/>
  <c r="JI27" i="4"/>
  <c r="JE27" i="4"/>
  <c r="JA27" i="4"/>
  <c r="IW27" i="4"/>
  <c r="IS27" i="4"/>
  <c r="IO27" i="4"/>
  <c r="IK27" i="4"/>
  <c r="IG27" i="4"/>
  <c r="IC27" i="4"/>
  <c r="HY27" i="4"/>
  <c r="HU27" i="4"/>
  <c r="HQ27" i="4"/>
  <c r="HM27" i="4"/>
  <c r="HI27" i="4"/>
  <c r="HE27" i="4"/>
  <c r="HA27" i="4"/>
  <c r="GW27" i="4"/>
  <c r="GS27" i="4"/>
  <c r="GO27" i="4"/>
  <c r="GK27" i="4"/>
  <c r="GG27" i="4"/>
  <c r="GC27" i="4"/>
  <c r="FY27" i="4"/>
  <c r="LA31" i="4"/>
  <c r="KW31" i="4"/>
  <c r="KS31" i="4"/>
  <c r="KO31" i="4"/>
  <c r="KK31" i="4"/>
  <c r="KG31" i="4"/>
  <c r="KC31" i="4"/>
  <c r="JY31" i="4"/>
  <c r="JU31" i="4"/>
  <c r="JQ31" i="4"/>
  <c r="JM31" i="4"/>
  <c r="JI31" i="4"/>
  <c r="JE31" i="4"/>
  <c r="JA31" i="4"/>
  <c r="IW31" i="4"/>
  <c r="IS31" i="4"/>
  <c r="IO31" i="4"/>
  <c r="IK31" i="4"/>
  <c r="IG31" i="4"/>
  <c r="IC31" i="4"/>
  <c r="HY31" i="4"/>
  <c r="HU31" i="4"/>
  <c r="HQ31" i="4"/>
  <c r="HM31" i="4"/>
  <c r="HI31" i="4"/>
  <c r="HE31" i="4"/>
  <c r="HA31" i="4"/>
  <c r="GW31" i="4"/>
  <c r="GS31" i="4"/>
  <c r="GO31" i="4"/>
  <c r="GK31" i="4"/>
  <c r="GG31" i="4"/>
  <c r="GC31" i="4"/>
  <c r="FY31" i="4"/>
  <c r="LA35" i="4"/>
  <c r="KS35" i="4"/>
  <c r="KK35" i="4"/>
  <c r="KC35" i="4"/>
  <c r="JU35" i="4"/>
  <c r="JM35" i="4"/>
  <c r="JE35" i="4"/>
  <c r="IW35" i="4"/>
  <c r="IO35" i="4"/>
  <c r="IG35" i="4"/>
  <c r="HY35" i="4"/>
  <c r="HQ35" i="4"/>
  <c r="HI35" i="4"/>
  <c r="HA35" i="4"/>
  <c r="GS35" i="4"/>
  <c r="GK35" i="4"/>
  <c r="GC35" i="4"/>
  <c r="KW35" i="4"/>
  <c r="KO35" i="4"/>
  <c r="KG35" i="4"/>
  <c r="JY35" i="4"/>
  <c r="JQ35" i="4"/>
  <c r="JI35" i="4"/>
  <c r="JA35" i="4"/>
  <c r="IS35" i="4"/>
  <c r="IK35" i="4"/>
  <c r="IC35" i="4"/>
  <c r="HU35" i="4"/>
  <c r="HM35" i="4"/>
  <c r="HE35" i="4"/>
  <c r="GW35" i="4"/>
  <c r="GO35" i="4"/>
  <c r="GG35" i="4"/>
  <c r="FY35" i="4"/>
  <c r="LA39" i="4"/>
  <c r="KS39" i="4"/>
  <c r="KK39" i="4"/>
  <c r="KC39" i="4"/>
  <c r="JU39" i="4"/>
  <c r="JM39" i="4"/>
  <c r="JE39" i="4"/>
  <c r="IW39" i="4"/>
  <c r="IO39" i="4"/>
  <c r="IG39" i="4"/>
  <c r="HY39" i="4"/>
  <c r="HQ39" i="4"/>
  <c r="HI39" i="4"/>
  <c r="HA39" i="4"/>
  <c r="GS39" i="4"/>
  <c r="GK39" i="4"/>
  <c r="GC39" i="4"/>
  <c r="KW39" i="4"/>
  <c r="KO39" i="4"/>
  <c r="KG39" i="4"/>
  <c r="JY39" i="4"/>
  <c r="JQ39" i="4"/>
  <c r="JI39" i="4"/>
  <c r="JA39" i="4"/>
  <c r="IS39" i="4"/>
  <c r="IK39" i="4"/>
  <c r="IC39" i="4"/>
  <c r="HU39" i="4"/>
  <c r="HM39" i="4"/>
  <c r="HE39" i="4"/>
  <c r="GW39" i="4"/>
  <c r="GO39" i="4"/>
  <c r="GG39" i="4"/>
  <c r="FY39" i="4"/>
  <c r="BA41" i="2"/>
  <c r="K4" i="1"/>
  <c r="O4" i="1"/>
  <c r="DB4" i="4"/>
  <c r="U96" i="3"/>
  <c r="U45" i="3"/>
  <c r="U46" i="3" s="1"/>
  <c r="BN5" i="4"/>
  <c r="M56" i="3"/>
  <c r="U5" i="1"/>
  <c r="BN6" i="4"/>
  <c r="M47" i="3"/>
  <c r="BN7" i="4"/>
  <c r="M48" i="3"/>
  <c r="BN8" i="4"/>
  <c r="M72" i="3"/>
  <c r="U8" i="1"/>
  <c r="BN9" i="4"/>
  <c r="M80" i="3"/>
  <c r="M82" i="3" s="1"/>
  <c r="U9" i="1"/>
  <c r="BT9" i="1"/>
  <c r="BN10" i="4"/>
  <c r="M57" i="3"/>
  <c r="U10" i="1"/>
  <c r="BN11" i="4"/>
  <c r="M58" i="3"/>
  <c r="U11" i="1"/>
  <c r="BN12" i="4"/>
  <c r="M59" i="3"/>
  <c r="U12" i="1"/>
  <c r="BN13" i="4"/>
  <c r="M83" i="3"/>
  <c r="AY14" i="4"/>
  <c r="J81" i="3"/>
  <c r="BS14" i="4"/>
  <c r="N81" i="3"/>
  <c r="CR14" i="4"/>
  <c r="S81" i="3"/>
  <c r="W14" i="1"/>
  <c r="AY15" i="4"/>
  <c r="J50" i="3"/>
  <c r="J51" i="3" s="1"/>
  <c r="BS15" i="4"/>
  <c r="N50" i="3"/>
  <c r="N51" i="3" s="1"/>
  <c r="CR15" i="4"/>
  <c r="S50" i="3"/>
  <c r="S51" i="3" s="1"/>
  <c r="EF15" i="4"/>
  <c r="AA50" i="3"/>
  <c r="AA51" i="3" s="1"/>
  <c r="VR15" i="4"/>
  <c r="VB15" i="4"/>
  <c r="UL15" i="4"/>
  <c r="TV15" i="4"/>
  <c r="TF15" i="4"/>
  <c r="SP15" i="4"/>
  <c r="RZ15" i="4"/>
  <c r="RJ15" i="4"/>
  <c r="QT15" i="4"/>
  <c r="VF15" i="4"/>
  <c r="UP15" i="4"/>
  <c r="TZ15" i="4"/>
  <c r="TJ15" i="4"/>
  <c r="ST15" i="4"/>
  <c r="SD15" i="4"/>
  <c r="RN15" i="4"/>
  <c r="QX15" i="4"/>
  <c r="VJ15" i="4"/>
  <c r="UT15" i="4"/>
  <c r="UD15" i="4"/>
  <c r="TN15" i="4"/>
  <c r="SX15" i="4"/>
  <c r="SH15" i="4"/>
  <c r="RR15" i="4"/>
  <c r="RB15" i="4"/>
  <c r="VN15" i="4"/>
  <c r="UX15" i="4"/>
  <c r="UH15" i="4"/>
  <c r="TR15" i="4"/>
  <c r="TB15" i="4"/>
  <c r="SL15" i="4"/>
  <c r="RV15" i="4"/>
  <c r="RF15" i="4"/>
  <c r="J16" i="1"/>
  <c r="BX16" i="4"/>
  <c r="O84" i="3"/>
  <c r="S16" i="1"/>
  <c r="EU16" i="4"/>
  <c r="AD84" i="3"/>
  <c r="QP16" i="4"/>
  <c r="O17" i="1"/>
  <c r="DB17" i="4"/>
  <c r="U85" i="3"/>
  <c r="QP17" i="4"/>
  <c r="O18" i="1"/>
  <c r="DB18" i="4"/>
  <c r="U60" i="3"/>
  <c r="QP18" i="4"/>
  <c r="DB19" i="4"/>
  <c r="U61" i="3"/>
  <c r="QP19" i="4"/>
  <c r="DB20" i="4"/>
  <c r="U73" i="3"/>
  <c r="BN21" i="4"/>
  <c r="M70" i="3"/>
  <c r="M71" i="3" s="1"/>
  <c r="U21" i="1"/>
  <c r="BN22" i="4"/>
  <c r="M62" i="3"/>
  <c r="U22" i="1"/>
  <c r="BT22" i="1"/>
  <c r="BN23" i="4"/>
  <c r="M86" i="3"/>
  <c r="AY24" i="4"/>
  <c r="J63" i="3"/>
  <c r="BS24" i="4"/>
  <c r="N63" i="3"/>
  <c r="CR24" i="4"/>
  <c r="S63" i="3"/>
  <c r="W24" i="1"/>
  <c r="AY25" i="4"/>
  <c r="J91" i="3"/>
  <c r="BS25" i="4"/>
  <c r="N91" i="3"/>
  <c r="CR25" i="4"/>
  <c r="S91" i="3"/>
  <c r="EF25" i="4"/>
  <c r="AA91" i="3"/>
  <c r="VR25" i="4"/>
  <c r="VN25" i="4"/>
  <c r="VJ25" i="4"/>
  <c r="VF25" i="4"/>
  <c r="VB25" i="4"/>
  <c r="UX25" i="4"/>
  <c r="UT25" i="4"/>
  <c r="UP25" i="4"/>
  <c r="UL25" i="4"/>
  <c r="UH25" i="4"/>
  <c r="UD25" i="4"/>
  <c r="TZ25" i="4"/>
  <c r="TV25" i="4"/>
  <c r="TR25" i="4"/>
  <c r="TN25" i="4"/>
  <c r="TJ25" i="4"/>
  <c r="TF25" i="4"/>
  <c r="TB25" i="4"/>
  <c r="SX25" i="4"/>
  <c r="ST25" i="4"/>
  <c r="SP25" i="4"/>
  <c r="SL25" i="4"/>
  <c r="SH25" i="4"/>
  <c r="SD25" i="4"/>
  <c r="RZ25" i="4"/>
  <c r="RV25" i="4"/>
  <c r="RR25" i="4"/>
  <c r="RN25" i="4"/>
  <c r="RJ25" i="4"/>
  <c r="RF25" i="4"/>
  <c r="RB25" i="4"/>
  <c r="QX25" i="4"/>
  <c r="QT25" i="4"/>
  <c r="J26" i="1"/>
  <c r="BX26" i="4"/>
  <c r="O64" i="3"/>
  <c r="S26" i="1"/>
  <c r="EF26" i="4"/>
  <c r="AA64" i="3"/>
  <c r="VR26" i="4"/>
  <c r="VN26" i="4"/>
  <c r="VJ26" i="4"/>
  <c r="VF26" i="4"/>
  <c r="VB26" i="4"/>
  <c r="UX26" i="4"/>
  <c r="UT26" i="4"/>
  <c r="UP26" i="4"/>
  <c r="UL26" i="4"/>
  <c r="UH26" i="4"/>
  <c r="UD26" i="4"/>
  <c r="TZ26" i="4"/>
  <c r="TV26" i="4"/>
  <c r="TR26" i="4"/>
  <c r="TN26" i="4"/>
  <c r="TJ26" i="4"/>
  <c r="TF26" i="4"/>
  <c r="TB26" i="4"/>
  <c r="SX26" i="4"/>
  <c r="ST26" i="4"/>
  <c r="SP26" i="4"/>
  <c r="SL26" i="4"/>
  <c r="SH26" i="4"/>
  <c r="SD26" i="4"/>
  <c r="RZ26" i="4"/>
  <c r="RV26" i="4"/>
  <c r="RR26" i="4"/>
  <c r="RN26" i="4"/>
  <c r="RJ26" i="4"/>
  <c r="RF26" i="4"/>
  <c r="RB26" i="4"/>
  <c r="QX26" i="4"/>
  <c r="QT26" i="4"/>
  <c r="J27" i="1"/>
  <c r="BX27" i="4"/>
  <c r="O54" i="3"/>
  <c r="O55" i="3" s="1"/>
  <c r="S27" i="1"/>
  <c r="EU27" i="4"/>
  <c r="AD54" i="3"/>
  <c r="AD55" i="3" s="1"/>
  <c r="QP27" i="4"/>
  <c r="DB28" i="4"/>
  <c r="U92" i="3"/>
  <c r="BN29" i="4"/>
  <c r="M87" i="3"/>
  <c r="AY30" i="4"/>
  <c r="J65" i="3"/>
  <c r="BS30" i="4"/>
  <c r="N65" i="3"/>
  <c r="CR30" i="4"/>
  <c r="S65" i="3"/>
  <c r="W30" i="1"/>
  <c r="AY31" i="4"/>
  <c r="J78" i="3"/>
  <c r="J79" i="3" s="1"/>
  <c r="BS31" i="4"/>
  <c r="N78" i="3"/>
  <c r="N79" i="3" s="1"/>
  <c r="CR31" i="4"/>
  <c r="S78" i="3"/>
  <c r="S79" i="3" s="1"/>
  <c r="EF31" i="4"/>
  <c r="AA78" i="3"/>
  <c r="AA79" i="3" s="1"/>
  <c r="VJ31" i="4"/>
  <c r="UT31" i="4"/>
  <c r="UD31" i="4"/>
  <c r="TN31" i="4"/>
  <c r="SX31" i="4"/>
  <c r="SH31" i="4"/>
  <c r="RR31" i="4"/>
  <c r="VN31" i="4"/>
  <c r="UX31" i="4"/>
  <c r="UH31" i="4"/>
  <c r="TR31" i="4"/>
  <c r="TB31" i="4"/>
  <c r="SL31" i="4"/>
  <c r="RV31" i="4"/>
  <c r="VR31" i="4"/>
  <c r="VB31" i="4"/>
  <c r="UL31" i="4"/>
  <c r="TV31" i="4"/>
  <c r="TF31" i="4"/>
  <c r="SP31" i="4"/>
  <c r="RZ31" i="4"/>
  <c r="UP31" i="4"/>
  <c r="SD31" i="4"/>
  <c r="RJ31" i="4"/>
  <c r="QT31" i="4"/>
  <c r="VF31" i="4"/>
  <c r="ST31" i="4"/>
  <c r="RF31" i="4"/>
  <c r="TJ31" i="4"/>
  <c r="RB31" i="4"/>
  <c r="TZ31" i="4"/>
  <c r="RN31" i="4"/>
  <c r="QX31" i="4"/>
  <c r="J32" i="1"/>
  <c r="BX32" i="4"/>
  <c r="O66" i="3"/>
  <c r="S32" i="1"/>
  <c r="EF32" i="4"/>
  <c r="AA66" i="3"/>
  <c r="VR32" i="4"/>
  <c r="VN32" i="4"/>
  <c r="VJ32" i="4"/>
  <c r="VF32" i="4"/>
  <c r="VB32" i="4"/>
  <c r="UX32" i="4"/>
  <c r="UT32" i="4"/>
  <c r="UP32" i="4"/>
  <c r="UL32" i="4"/>
  <c r="UH32" i="4"/>
  <c r="UD32" i="4"/>
  <c r="TZ32" i="4"/>
  <c r="TV32" i="4"/>
  <c r="TR32" i="4"/>
  <c r="TN32" i="4"/>
  <c r="TJ32" i="4"/>
  <c r="TF32" i="4"/>
  <c r="TB32" i="4"/>
  <c r="SX32" i="4"/>
  <c r="ST32" i="4"/>
  <c r="SP32" i="4"/>
  <c r="SL32" i="4"/>
  <c r="SH32" i="4"/>
  <c r="SD32" i="4"/>
  <c r="RZ32" i="4"/>
  <c r="RV32" i="4"/>
  <c r="RR32" i="4"/>
  <c r="RN32" i="4"/>
  <c r="RJ32" i="4"/>
  <c r="RF32" i="4"/>
  <c r="RB32" i="4"/>
  <c r="QX32" i="4"/>
  <c r="QT32" i="4"/>
  <c r="J33" i="1"/>
  <c r="BX33" i="4"/>
  <c r="O67" i="3"/>
  <c r="S33" i="1"/>
  <c r="EF33" i="4"/>
  <c r="AA67" i="3"/>
  <c r="VR33" i="4"/>
  <c r="VN33" i="4"/>
  <c r="VJ33" i="4"/>
  <c r="VF33" i="4"/>
  <c r="VB33" i="4"/>
  <c r="UX33" i="4"/>
  <c r="UT33" i="4"/>
  <c r="UP33" i="4"/>
  <c r="UL33" i="4"/>
  <c r="UH33" i="4"/>
  <c r="UD33" i="4"/>
  <c r="TZ33" i="4"/>
  <c r="TV33" i="4"/>
  <c r="TR33" i="4"/>
  <c r="TN33" i="4"/>
  <c r="TJ33" i="4"/>
  <c r="TF33" i="4"/>
  <c r="TB33" i="4"/>
  <c r="SX33" i="4"/>
  <c r="ST33" i="4"/>
  <c r="SP33" i="4"/>
  <c r="SL33" i="4"/>
  <c r="SH33" i="4"/>
  <c r="SD33" i="4"/>
  <c r="RZ33" i="4"/>
  <c r="RV33" i="4"/>
  <c r="RR33" i="4"/>
  <c r="RN33" i="4"/>
  <c r="RJ33" i="4"/>
  <c r="RF33" i="4"/>
  <c r="RB33" i="4"/>
  <c r="QX33" i="4"/>
  <c r="QT33" i="4"/>
  <c r="J34" i="1"/>
  <c r="BX34" i="4"/>
  <c r="O88" i="3"/>
  <c r="S34" i="1"/>
  <c r="EU34" i="4"/>
  <c r="AD88" i="3"/>
  <c r="QP34" i="4"/>
  <c r="DB35" i="4"/>
  <c r="U93" i="3"/>
  <c r="BN36" i="4"/>
  <c r="M89" i="3"/>
  <c r="AY37" i="4"/>
  <c r="J68" i="3"/>
  <c r="BS37" i="4"/>
  <c r="N68" i="3"/>
  <c r="CR37" i="4"/>
  <c r="S68" i="3"/>
  <c r="W37" i="1"/>
  <c r="AY38" i="4"/>
  <c r="J52" i="3"/>
  <c r="J53" i="3" s="1"/>
  <c r="BS38" i="4"/>
  <c r="N52" i="3"/>
  <c r="N53" i="3" s="1"/>
  <c r="CR38" i="4"/>
  <c r="S52" i="3"/>
  <c r="S53" i="3" s="1"/>
  <c r="EF38" i="4"/>
  <c r="AA52" i="3"/>
  <c r="AA53" i="3" s="1"/>
  <c r="VR38" i="4"/>
  <c r="VN38" i="4"/>
  <c r="VJ38" i="4"/>
  <c r="VF38" i="4"/>
  <c r="VB38" i="4"/>
  <c r="UX38" i="4"/>
  <c r="UT38" i="4"/>
  <c r="UP38" i="4"/>
  <c r="UL38" i="4"/>
  <c r="UH38" i="4"/>
  <c r="UD38" i="4"/>
  <c r="TZ38" i="4"/>
  <c r="TV38" i="4"/>
  <c r="TR38" i="4"/>
  <c r="TN38" i="4"/>
  <c r="TJ38" i="4"/>
  <c r="TF38" i="4"/>
  <c r="TB38" i="4"/>
  <c r="SX38" i="4"/>
  <c r="ST38" i="4"/>
  <c r="SP38" i="4"/>
  <c r="SL38" i="4"/>
  <c r="SH38" i="4"/>
  <c r="SD38" i="4"/>
  <c r="RZ38" i="4"/>
  <c r="RV38" i="4"/>
  <c r="RR38" i="4"/>
  <c r="RN38" i="4"/>
  <c r="RJ38" i="4"/>
  <c r="RF38" i="4"/>
  <c r="RB38" i="4"/>
  <c r="QX38" i="4"/>
  <c r="QT38" i="4"/>
  <c r="J39" i="1"/>
  <c r="BX39" i="4"/>
  <c r="O75" i="3"/>
  <c r="S39" i="1"/>
  <c r="EU39" i="4"/>
  <c r="AD75" i="3"/>
  <c r="QP39" i="4"/>
  <c r="DB40" i="4"/>
  <c r="U76" i="3"/>
  <c r="T41" i="1"/>
  <c r="A7" i="3"/>
  <c r="E7" i="3"/>
  <c r="I7" i="3"/>
  <c r="M7" i="3"/>
  <c r="Q7" i="3"/>
  <c r="U7" i="3"/>
  <c r="Y7" i="3"/>
  <c r="AC7" i="3"/>
  <c r="AK14" i="3"/>
  <c r="AK15" i="3"/>
  <c r="AI17" i="3"/>
  <c r="AE17" i="3"/>
  <c r="AA17" i="3"/>
  <c r="W17" i="3"/>
  <c r="S17" i="3"/>
  <c r="O17" i="3"/>
  <c r="K17" i="3"/>
  <c r="G17" i="3"/>
  <c r="C17" i="3"/>
  <c r="AK18" i="3"/>
  <c r="AG19" i="3"/>
  <c r="AC19" i="3"/>
  <c r="Y19" i="3"/>
  <c r="U19" i="3"/>
  <c r="Q19" i="3"/>
  <c r="M19" i="3"/>
  <c r="I19" i="3"/>
  <c r="E19" i="3"/>
  <c r="A19" i="3"/>
  <c r="AI19" i="3"/>
  <c r="AE19" i="3"/>
  <c r="AA19" i="3"/>
  <c r="W19" i="3"/>
  <c r="S19" i="3"/>
  <c r="O19" i="3"/>
  <c r="K19" i="3"/>
  <c r="G19" i="3"/>
  <c r="C19" i="3"/>
  <c r="LE19" i="4"/>
  <c r="B21" i="3"/>
  <c r="J21" i="3"/>
  <c r="R21" i="3"/>
  <c r="Z21" i="3"/>
  <c r="AH21" i="3"/>
  <c r="AK22" i="3"/>
  <c r="AG23" i="3"/>
  <c r="AC23" i="3"/>
  <c r="Y23" i="3"/>
  <c r="U23" i="3"/>
  <c r="Q23" i="3"/>
  <c r="M23" i="3"/>
  <c r="I23" i="3"/>
  <c r="E23" i="3"/>
  <c r="A23" i="3"/>
  <c r="AI23" i="3"/>
  <c r="AE23" i="3"/>
  <c r="AA23" i="3"/>
  <c r="W23" i="3"/>
  <c r="S23" i="3"/>
  <c r="O23" i="3"/>
  <c r="K23" i="3"/>
  <c r="G23" i="3"/>
  <c r="C23" i="3"/>
  <c r="LE23" i="4"/>
  <c r="B25" i="3"/>
  <c r="J25" i="3"/>
  <c r="R25" i="3"/>
  <c r="Z25" i="3"/>
  <c r="AH25" i="3"/>
  <c r="AK26" i="3"/>
  <c r="AG27" i="3"/>
  <c r="AC27" i="3"/>
  <c r="Y27" i="3"/>
  <c r="U27" i="3"/>
  <c r="Q27" i="3"/>
  <c r="M27" i="3"/>
  <c r="I27" i="3"/>
  <c r="E27" i="3"/>
  <c r="A27" i="3"/>
  <c r="AI27" i="3"/>
  <c r="AE27" i="3"/>
  <c r="AA27" i="3"/>
  <c r="W27" i="3"/>
  <c r="S27" i="3"/>
  <c r="O27" i="3"/>
  <c r="K27" i="3"/>
  <c r="G27" i="3"/>
  <c r="C27" i="3"/>
  <c r="LE27" i="4"/>
  <c r="AK30" i="3"/>
  <c r="AK32" i="3"/>
  <c r="AK34" i="3"/>
  <c r="AK38" i="3"/>
  <c r="I95" i="3"/>
  <c r="BA7" i="2"/>
  <c r="BA8" i="2"/>
  <c r="BD10" i="2"/>
  <c r="LA11" i="4"/>
  <c r="KS11" i="4"/>
  <c r="KK11" i="4"/>
  <c r="KC11" i="4"/>
  <c r="JU11" i="4"/>
  <c r="JM11" i="4"/>
  <c r="JE11" i="4"/>
  <c r="IW11" i="4"/>
  <c r="IO11" i="4"/>
  <c r="IG11" i="4"/>
  <c r="HY11" i="4"/>
  <c r="HQ11" i="4"/>
  <c r="HI11" i="4"/>
  <c r="HA11" i="4"/>
  <c r="GS11" i="4"/>
  <c r="GK11" i="4"/>
  <c r="GC11" i="4"/>
  <c r="KW11" i="4"/>
  <c r="KO11" i="4"/>
  <c r="KG11" i="4"/>
  <c r="JY11" i="4"/>
  <c r="JQ11" i="4"/>
  <c r="JI11" i="4"/>
  <c r="JA11" i="4"/>
  <c r="IS11" i="4"/>
  <c r="IK11" i="4"/>
  <c r="IC11" i="4"/>
  <c r="HU11" i="4"/>
  <c r="HM11" i="4"/>
  <c r="HE11" i="4"/>
  <c r="GW11" i="4"/>
  <c r="GO11" i="4"/>
  <c r="GG11" i="4"/>
  <c r="FY11" i="4"/>
  <c r="BA12" i="2"/>
  <c r="BA13" i="2"/>
  <c r="BA14" i="2"/>
  <c r="KS16" i="4"/>
  <c r="KC16" i="4"/>
  <c r="JM16" i="4"/>
  <c r="IW16" i="4"/>
  <c r="IG16" i="4"/>
  <c r="HQ16" i="4"/>
  <c r="HA16" i="4"/>
  <c r="GK16" i="4"/>
  <c r="KW16" i="4"/>
  <c r="KG16" i="4"/>
  <c r="JQ16" i="4"/>
  <c r="JA16" i="4"/>
  <c r="IK16" i="4"/>
  <c r="HU16" i="4"/>
  <c r="HE16" i="4"/>
  <c r="GO16" i="4"/>
  <c r="FY16" i="4"/>
  <c r="LA16" i="4"/>
  <c r="KK16" i="4"/>
  <c r="JU16" i="4"/>
  <c r="JE16" i="4"/>
  <c r="IO16" i="4"/>
  <c r="HY16" i="4"/>
  <c r="HI16" i="4"/>
  <c r="GS16" i="4"/>
  <c r="GC16" i="4"/>
  <c r="KO16" i="4"/>
  <c r="JY16" i="4"/>
  <c r="JI16" i="4"/>
  <c r="IS16" i="4"/>
  <c r="IC16" i="4"/>
  <c r="HM16" i="4"/>
  <c r="GW16" i="4"/>
  <c r="GG16" i="4"/>
  <c r="BA18" i="2"/>
  <c r="HA20" i="4"/>
  <c r="GK20" i="4"/>
  <c r="LA20" i="4"/>
  <c r="KS20" i="4"/>
  <c r="KK20" i="4"/>
  <c r="KC20" i="4"/>
  <c r="JU20" i="4"/>
  <c r="JM20" i="4"/>
  <c r="JE20" i="4"/>
  <c r="IW20" i="4"/>
  <c r="IO20" i="4"/>
  <c r="IG20" i="4"/>
  <c r="HY20" i="4"/>
  <c r="HQ20" i="4"/>
  <c r="HE20" i="4"/>
  <c r="GO20" i="4"/>
  <c r="FY20" i="4"/>
  <c r="HI20" i="4"/>
  <c r="GS20" i="4"/>
  <c r="GC20" i="4"/>
  <c r="KW20" i="4"/>
  <c r="KO20" i="4"/>
  <c r="KG20" i="4"/>
  <c r="JY20" i="4"/>
  <c r="JQ20" i="4"/>
  <c r="JI20" i="4"/>
  <c r="JA20" i="4"/>
  <c r="IS20" i="4"/>
  <c r="IK20" i="4"/>
  <c r="IC20" i="4"/>
  <c r="HU20" i="4"/>
  <c r="HM20" i="4"/>
  <c r="GW20" i="4"/>
  <c r="GG20" i="4"/>
  <c r="AM20" i="2"/>
  <c r="H3" i="2" s="1"/>
  <c r="BA22" i="2"/>
  <c r="KO24" i="4"/>
  <c r="JY24" i="4"/>
  <c r="JI24" i="4"/>
  <c r="IS24" i="4"/>
  <c r="IC24" i="4"/>
  <c r="HM24" i="4"/>
  <c r="GW24" i="4"/>
  <c r="GG24" i="4"/>
  <c r="KS24" i="4"/>
  <c r="KC24" i="4"/>
  <c r="JM24" i="4"/>
  <c r="IW24" i="4"/>
  <c r="IG24" i="4"/>
  <c r="HQ24" i="4"/>
  <c r="HA24" i="4"/>
  <c r="GK24" i="4"/>
  <c r="KW24" i="4"/>
  <c r="KG24" i="4"/>
  <c r="JQ24" i="4"/>
  <c r="JA24" i="4"/>
  <c r="IK24" i="4"/>
  <c r="HU24" i="4"/>
  <c r="HE24" i="4"/>
  <c r="GO24" i="4"/>
  <c r="FY24" i="4"/>
  <c r="LA24" i="4"/>
  <c r="KK24" i="4"/>
  <c r="JU24" i="4"/>
  <c r="JE24" i="4"/>
  <c r="IO24" i="4"/>
  <c r="HY24" i="4"/>
  <c r="HI24" i="4"/>
  <c r="GS24" i="4"/>
  <c r="GC24" i="4"/>
  <c r="BA26" i="2"/>
  <c r="KO28" i="4"/>
  <c r="JY28" i="4"/>
  <c r="JI28" i="4"/>
  <c r="IS28" i="4"/>
  <c r="KS28" i="4"/>
  <c r="KC28" i="4"/>
  <c r="JM28" i="4"/>
  <c r="IW28" i="4"/>
  <c r="IG28" i="4"/>
  <c r="IC28" i="4"/>
  <c r="HY28" i="4"/>
  <c r="HU28" i="4"/>
  <c r="HQ28" i="4"/>
  <c r="HM28" i="4"/>
  <c r="HI28" i="4"/>
  <c r="HE28" i="4"/>
  <c r="HA28" i="4"/>
  <c r="GW28" i="4"/>
  <c r="GS28" i="4"/>
  <c r="GO28" i="4"/>
  <c r="GK28" i="4"/>
  <c r="GG28" i="4"/>
  <c r="GC28" i="4"/>
  <c r="FY28" i="4"/>
  <c r="KW28" i="4"/>
  <c r="KG28" i="4"/>
  <c r="JQ28" i="4"/>
  <c r="JA28" i="4"/>
  <c r="IK28" i="4"/>
  <c r="LA28" i="4"/>
  <c r="KK28" i="4"/>
  <c r="JU28" i="4"/>
  <c r="JE28" i="4"/>
  <c r="IO28" i="4"/>
  <c r="AM28" i="2"/>
  <c r="BA30" i="2"/>
  <c r="KW32" i="4"/>
  <c r="KO32" i="4"/>
  <c r="KG32" i="4"/>
  <c r="JY32" i="4"/>
  <c r="JQ32" i="4"/>
  <c r="JI32" i="4"/>
  <c r="JA32" i="4"/>
  <c r="IS32" i="4"/>
  <c r="IK32" i="4"/>
  <c r="IC32" i="4"/>
  <c r="HU32" i="4"/>
  <c r="HM32" i="4"/>
  <c r="HE32" i="4"/>
  <c r="GS32" i="4"/>
  <c r="GC32" i="4"/>
  <c r="GW32" i="4"/>
  <c r="GG32" i="4"/>
  <c r="LA32" i="4"/>
  <c r="KS32" i="4"/>
  <c r="KK32" i="4"/>
  <c r="KC32" i="4"/>
  <c r="JU32" i="4"/>
  <c r="JM32" i="4"/>
  <c r="JE32" i="4"/>
  <c r="IW32" i="4"/>
  <c r="IO32" i="4"/>
  <c r="IG32" i="4"/>
  <c r="HY32" i="4"/>
  <c r="HQ32" i="4"/>
  <c r="HI32" i="4"/>
  <c r="HA32" i="4"/>
  <c r="GK32" i="4"/>
  <c r="GO32" i="4"/>
  <c r="FY32" i="4"/>
  <c r="BA34" i="2"/>
  <c r="KO36" i="4"/>
  <c r="JY36" i="4"/>
  <c r="JI36" i="4"/>
  <c r="IS36" i="4"/>
  <c r="IC36" i="4"/>
  <c r="HM36" i="4"/>
  <c r="GW36" i="4"/>
  <c r="GG36" i="4"/>
  <c r="LA36" i="4"/>
  <c r="KK36" i="4"/>
  <c r="JU36" i="4"/>
  <c r="JE36" i="4"/>
  <c r="IO36" i="4"/>
  <c r="HY36" i="4"/>
  <c r="HI36" i="4"/>
  <c r="GS36" i="4"/>
  <c r="GC36" i="4"/>
  <c r="KW36" i="4"/>
  <c r="KG36" i="4"/>
  <c r="JQ36" i="4"/>
  <c r="JA36" i="4"/>
  <c r="IK36" i="4"/>
  <c r="HU36" i="4"/>
  <c r="HE36" i="4"/>
  <c r="GO36" i="4"/>
  <c r="FY36" i="4"/>
  <c r="KS36" i="4"/>
  <c r="KC36" i="4"/>
  <c r="JM36" i="4"/>
  <c r="IW36" i="4"/>
  <c r="IG36" i="4"/>
  <c r="HQ36" i="4"/>
  <c r="HA36" i="4"/>
  <c r="GK36" i="4"/>
  <c r="BA38" i="2"/>
  <c r="LA40" i="4"/>
  <c r="KK40" i="4"/>
  <c r="KO40" i="4"/>
  <c r="JY40" i="4"/>
  <c r="KS40" i="4"/>
  <c r="KC40" i="4"/>
  <c r="KW40" i="4"/>
  <c r="KG40" i="4"/>
  <c r="JM40" i="4"/>
  <c r="IW40" i="4"/>
  <c r="IG40" i="4"/>
  <c r="HQ40" i="4"/>
  <c r="HA40" i="4"/>
  <c r="GK40" i="4"/>
  <c r="GC40" i="4"/>
  <c r="JI40" i="4"/>
  <c r="IS40" i="4"/>
  <c r="IC40" i="4"/>
  <c r="HM40" i="4"/>
  <c r="GW40" i="4"/>
  <c r="JU40" i="4"/>
  <c r="JE40" i="4"/>
  <c r="IO40" i="4"/>
  <c r="HY40" i="4"/>
  <c r="HI40" i="4"/>
  <c r="GS40" i="4"/>
  <c r="GG40" i="4"/>
  <c r="FY40" i="4"/>
  <c r="JQ40" i="4"/>
  <c r="JA40" i="4"/>
  <c r="IK40" i="4"/>
  <c r="HU40" i="4"/>
  <c r="HE40" i="4"/>
  <c r="GO40" i="4"/>
  <c r="BN4" i="4"/>
  <c r="M96" i="3"/>
  <c r="M45" i="3"/>
  <c r="M46" i="3" s="1"/>
  <c r="W4" i="1"/>
  <c r="AY5" i="4"/>
  <c r="J56" i="3"/>
  <c r="BS5" i="4"/>
  <c r="N56" i="3"/>
  <c r="CR5" i="4"/>
  <c r="S56" i="3"/>
  <c r="W5" i="1"/>
  <c r="J47" i="3"/>
  <c r="AY6" i="4"/>
  <c r="N47" i="3"/>
  <c r="BS6" i="4"/>
  <c r="S47" i="3"/>
  <c r="CR6" i="4"/>
  <c r="AY7" i="4"/>
  <c r="J48" i="3"/>
  <c r="BS7" i="4"/>
  <c r="N48" i="3"/>
  <c r="CR7" i="4"/>
  <c r="S48" i="3"/>
  <c r="AY8" i="4"/>
  <c r="J72" i="3"/>
  <c r="BS8" i="4"/>
  <c r="N72" i="3"/>
  <c r="CR8" i="4"/>
  <c r="S72" i="3"/>
  <c r="S74" i="3" s="1"/>
  <c r="W8" i="1"/>
  <c r="AY9" i="4"/>
  <c r="J80" i="3"/>
  <c r="J82" i="3" s="1"/>
  <c r="BS9" i="4"/>
  <c r="N80" i="3"/>
  <c r="N82" i="3" s="1"/>
  <c r="CR9" i="4"/>
  <c r="S80" i="3"/>
  <c r="S82" i="3" s="1"/>
  <c r="W9" i="1"/>
  <c r="AY10" i="4"/>
  <c r="J57" i="3"/>
  <c r="BS10" i="4"/>
  <c r="N57" i="3"/>
  <c r="CR10" i="4"/>
  <c r="S57" i="3"/>
  <c r="W10" i="1"/>
  <c r="AY11" i="4"/>
  <c r="J58" i="3"/>
  <c r="BS11" i="4"/>
  <c r="N58" i="3"/>
  <c r="CR11" i="4"/>
  <c r="S58" i="3"/>
  <c r="W11" i="1"/>
  <c r="AY12" i="4"/>
  <c r="J59" i="3"/>
  <c r="BS12" i="4"/>
  <c r="N59" i="3"/>
  <c r="CR12" i="4"/>
  <c r="S59" i="3"/>
  <c r="W12" i="1"/>
  <c r="AY13" i="4"/>
  <c r="J83" i="3"/>
  <c r="BS13" i="4"/>
  <c r="N83" i="3"/>
  <c r="CR13" i="4"/>
  <c r="S83" i="3"/>
  <c r="EF13" i="4"/>
  <c r="AA83" i="3"/>
  <c r="VR13" i="4"/>
  <c r="VN13" i="4"/>
  <c r="VJ13" i="4"/>
  <c r="VF13" i="4"/>
  <c r="VB13" i="4"/>
  <c r="UX13" i="4"/>
  <c r="UT13" i="4"/>
  <c r="UP13" i="4"/>
  <c r="UL13" i="4"/>
  <c r="UH13" i="4"/>
  <c r="UD13" i="4"/>
  <c r="TZ13" i="4"/>
  <c r="TV13" i="4"/>
  <c r="TR13" i="4"/>
  <c r="TN13" i="4"/>
  <c r="TJ13" i="4"/>
  <c r="TF13" i="4"/>
  <c r="TB13" i="4"/>
  <c r="SX13" i="4"/>
  <c r="ST13" i="4"/>
  <c r="SP13" i="4"/>
  <c r="SL13" i="4"/>
  <c r="SH13" i="4"/>
  <c r="SD13" i="4"/>
  <c r="RZ13" i="4"/>
  <c r="RV13" i="4"/>
  <c r="RR13" i="4"/>
  <c r="RN13" i="4"/>
  <c r="RJ13" i="4"/>
  <c r="RF13" i="4"/>
  <c r="RB13" i="4"/>
  <c r="QX13" i="4"/>
  <c r="QT13" i="4"/>
  <c r="BD14" i="4"/>
  <c r="K81" i="3"/>
  <c r="BX14" i="4"/>
  <c r="O81" i="3"/>
  <c r="CW14" i="4"/>
  <c r="T81" i="3"/>
  <c r="EF14" i="4"/>
  <c r="AA81" i="3"/>
  <c r="VR14" i="4"/>
  <c r="VN14" i="4"/>
  <c r="VJ14" i="4"/>
  <c r="VF14" i="4"/>
  <c r="VB14" i="4"/>
  <c r="UX14" i="4"/>
  <c r="UT14" i="4"/>
  <c r="UP14" i="4"/>
  <c r="UL14" i="4"/>
  <c r="UH14" i="4"/>
  <c r="UD14" i="4"/>
  <c r="TZ14" i="4"/>
  <c r="TV14" i="4"/>
  <c r="TR14" i="4"/>
  <c r="TN14" i="4"/>
  <c r="TJ14" i="4"/>
  <c r="TF14" i="4"/>
  <c r="TB14" i="4"/>
  <c r="SX14" i="4"/>
  <c r="ST14" i="4"/>
  <c r="SP14" i="4"/>
  <c r="SL14" i="4"/>
  <c r="SH14" i="4"/>
  <c r="SD14" i="4"/>
  <c r="RZ14" i="4"/>
  <c r="RV14" i="4"/>
  <c r="RR14" i="4"/>
  <c r="RN14" i="4"/>
  <c r="RJ14" i="4"/>
  <c r="RF14" i="4"/>
  <c r="RB14" i="4"/>
  <c r="QX14" i="4"/>
  <c r="QT14" i="4"/>
  <c r="BD15" i="4"/>
  <c r="K50" i="3"/>
  <c r="K51" i="3" s="1"/>
  <c r="BX15" i="4"/>
  <c r="O50" i="3"/>
  <c r="O51" i="3" s="1"/>
  <c r="CW15" i="4"/>
  <c r="T50" i="3"/>
  <c r="T51" i="3" s="1"/>
  <c r="EU15" i="4"/>
  <c r="AD50" i="3"/>
  <c r="AD51" i="3" s="1"/>
  <c r="QP15" i="4"/>
  <c r="K16" i="1"/>
  <c r="O16" i="1"/>
  <c r="DB16" i="4"/>
  <c r="U84" i="3"/>
  <c r="BT16" i="1"/>
  <c r="BN17" i="4"/>
  <c r="M85" i="3"/>
  <c r="BT17" i="1"/>
  <c r="BN18" i="4"/>
  <c r="M60" i="3"/>
  <c r="DG18" i="4"/>
  <c r="V60" i="3"/>
  <c r="BT18" i="1"/>
  <c r="BN19" i="4"/>
  <c r="M61" i="3"/>
  <c r="DG19" i="4"/>
  <c r="V61" i="3"/>
  <c r="BT19" i="1"/>
  <c r="BN20" i="4"/>
  <c r="M73" i="3"/>
  <c r="W20" i="1"/>
  <c r="AY21" i="4"/>
  <c r="J70" i="3"/>
  <c r="J71" i="3" s="1"/>
  <c r="BS21" i="4"/>
  <c r="N70" i="3"/>
  <c r="N71" i="3" s="1"/>
  <c r="CR21" i="4"/>
  <c r="S70" i="3"/>
  <c r="S71" i="3" s="1"/>
  <c r="W21" i="1"/>
  <c r="AY22" i="4"/>
  <c r="J62" i="3"/>
  <c r="BS22" i="4"/>
  <c r="N62" i="3"/>
  <c r="CR22" i="4"/>
  <c r="S62" i="3"/>
  <c r="W22" i="1"/>
  <c r="AY23" i="4"/>
  <c r="J86" i="3"/>
  <c r="BS23" i="4"/>
  <c r="N86" i="3"/>
  <c r="CR23" i="4"/>
  <c r="S86" i="3"/>
  <c r="EF23" i="4"/>
  <c r="AA86" i="3"/>
  <c r="VN23" i="4"/>
  <c r="VJ23" i="4"/>
  <c r="VF23" i="4"/>
  <c r="VB23" i="4"/>
  <c r="UX23" i="4"/>
  <c r="UT23" i="4"/>
  <c r="UP23" i="4"/>
  <c r="UL23" i="4"/>
  <c r="UH23" i="4"/>
  <c r="UD23" i="4"/>
  <c r="TZ23" i="4"/>
  <c r="TV23" i="4"/>
  <c r="TR23" i="4"/>
  <c r="TN23" i="4"/>
  <c r="TJ23" i="4"/>
  <c r="TF23" i="4"/>
  <c r="TB23" i="4"/>
  <c r="SX23" i="4"/>
  <c r="ST23" i="4"/>
  <c r="SP23" i="4"/>
  <c r="SL23" i="4"/>
  <c r="SH23" i="4"/>
  <c r="SD23" i="4"/>
  <c r="RZ23" i="4"/>
  <c r="RV23" i="4"/>
  <c r="RR23" i="4"/>
  <c r="RN23" i="4"/>
  <c r="RJ23" i="4"/>
  <c r="RF23" i="4"/>
  <c r="RB23" i="4"/>
  <c r="QX23" i="4"/>
  <c r="QT23" i="4"/>
  <c r="VR23" i="4"/>
  <c r="BD24" i="4"/>
  <c r="K63" i="3"/>
  <c r="BX24" i="4"/>
  <c r="O63" i="3"/>
  <c r="CW24" i="4"/>
  <c r="T63" i="3"/>
  <c r="EF24" i="4"/>
  <c r="AA63" i="3"/>
  <c r="VF24" i="4"/>
  <c r="UP24" i="4"/>
  <c r="TZ24" i="4"/>
  <c r="TJ24" i="4"/>
  <c r="ST24" i="4"/>
  <c r="SD24" i="4"/>
  <c r="RN24" i="4"/>
  <c r="QX24" i="4"/>
  <c r="VJ24" i="4"/>
  <c r="UT24" i="4"/>
  <c r="UD24" i="4"/>
  <c r="TN24" i="4"/>
  <c r="SX24" i="4"/>
  <c r="SH24" i="4"/>
  <c r="RR24" i="4"/>
  <c r="RB24" i="4"/>
  <c r="VN24" i="4"/>
  <c r="UX24" i="4"/>
  <c r="UH24" i="4"/>
  <c r="TR24" i="4"/>
  <c r="TB24" i="4"/>
  <c r="SL24" i="4"/>
  <c r="RV24" i="4"/>
  <c r="RF24" i="4"/>
  <c r="VR24" i="4"/>
  <c r="VB24" i="4"/>
  <c r="UL24" i="4"/>
  <c r="TV24" i="4"/>
  <c r="TF24" i="4"/>
  <c r="SP24" i="4"/>
  <c r="RZ24" i="4"/>
  <c r="RJ24" i="4"/>
  <c r="QT24" i="4"/>
  <c r="BD25" i="4"/>
  <c r="K91" i="3"/>
  <c r="BX25" i="4"/>
  <c r="O91" i="3"/>
  <c r="O94" i="3" s="1"/>
  <c r="CW25" i="4"/>
  <c r="T91" i="3"/>
  <c r="EU25" i="4"/>
  <c r="AD91" i="3"/>
  <c r="AD94" i="3" s="1"/>
  <c r="QP25" i="4"/>
  <c r="K26" i="1"/>
  <c r="O26" i="1"/>
  <c r="DB26" i="4"/>
  <c r="U64" i="3"/>
  <c r="QP26" i="4"/>
  <c r="K27" i="1"/>
  <c r="O27" i="1"/>
  <c r="DB27" i="4"/>
  <c r="U54" i="3"/>
  <c r="U55" i="3" s="1"/>
  <c r="BT27" i="1"/>
  <c r="BN28" i="4"/>
  <c r="M92" i="3"/>
  <c r="AY29" i="4"/>
  <c r="J87" i="3"/>
  <c r="BS29" i="4"/>
  <c r="N87" i="3"/>
  <c r="CR29" i="4"/>
  <c r="S87" i="3"/>
  <c r="EF29" i="4"/>
  <c r="AA87" i="3"/>
  <c r="VR29" i="4"/>
  <c r="VB29" i="4"/>
  <c r="UL29" i="4"/>
  <c r="TV29" i="4"/>
  <c r="TF29" i="4"/>
  <c r="SP29" i="4"/>
  <c r="RZ29" i="4"/>
  <c r="RJ29" i="4"/>
  <c r="QT29" i="4"/>
  <c r="VF29" i="4"/>
  <c r="UP29" i="4"/>
  <c r="TZ29" i="4"/>
  <c r="TJ29" i="4"/>
  <c r="ST29" i="4"/>
  <c r="SD29" i="4"/>
  <c r="RN29" i="4"/>
  <c r="QX29" i="4"/>
  <c r="VJ29" i="4"/>
  <c r="UT29" i="4"/>
  <c r="UD29" i="4"/>
  <c r="TN29" i="4"/>
  <c r="SX29" i="4"/>
  <c r="SH29" i="4"/>
  <c r="RR29" i="4"/>
  <c r="RB29" i="4"/>
  <c r="VN29" i="4"/>
  <c r="UX29" i="4"/>
  <c r="UH29" i="4"/>
  <c r="TR29" i="4"/>
  <c r="TB29" i="4"/>
  <c r="SL29" i="4"/>
  <c r="RV29" i="4"/>
  <c r="RF29" i="4"/>
  <c r="BD30" i="4"/>
  <c r="K65" i="3"/>
  <c r="BX30" i="4"/>
  <c r="O65" i="3"/>
  <c r="CW30" i="4"/>
  <c r="T65" i="3"/>
  <c r="EF30" i="4"/>
  <c r="AA65" i="3"/>
  <c r="VN30" i="4"/>
  <c r="VF30" i="4"/>
  <c r="UX30" i="4"/>
  <c r="UP30" i="4"/>
  <c r="UH30" i="4"/>
  <c r="TZ30" i="4"/>
  <c r="TR30" i="4"/>
  <c r="TJ30" i="4"/>
  <c r="TB30" i="4"/>
  <c r="ST30" i="4"/>
  <c r="SL30" i="4"/>
  <c r="SD30" i="4"/>
  <c r="RV30" i="4"/>
  <c r="RN30" i="4"/>
  <c r="RF30" i="4"/>
  <c r="QX30" i="4"/>
  <c r="VR30" i="4"/>
  <c r="VJ30" i="4"/>
  <c r="VB30" i="4"/>
  <c r="UT30" i="4"/>
  <c r="UL30" i="4"/>
  <c r="UD30" i="4"/>
  <c r="TV30" i="4"/>
  <c r="TN30" i="4"/>
  <c r="TF30" i="4"/>
  <c r="SX30" i="4"/>
  <c r="SP30" i="4"/>
  <c r="SH30" i="4"/>
  <c r="RZ30" i="4"/>
  <c r="RR30" i="4"/>
  <c r="RJ30" i="4"/>
  <c r="RB30" i="4"/>
  <c r="QT30" i="4"/>
  <c r="BD31" i="4"/>
  <c r="K78" i="3"/>
  <c r="K79" i="3" s="1"/>
  <c r="BX31" i="4"/>
  <c r="O78" i="3"/>
  <c r="O79" i="3" s="1"/>
  <c r="CW31" i="4"/>
  <c r="T78" i="3"/>
  <c r="T79" i="3" s="1"/>
  <c r="EU31" i="4"/>
  <c r="AD78" i="3"/>
  <c r="AD79" i="3" s="1"/>
  <c r="QP31" i="4"/>
  <c r="K32" i="1"/>
  <c r="O32" i="1"/>
  <c r="DB32" i="4"/>
  <c r="U66" i="3"/>
  <c r="QP32" i="4"/>
  <c r="K33" i="1"/>
  <c r="O33" i="1"/>
  <c r="DB33" i="4"/>
  <c r="U67" i="3"/>
  <c r="QP33" i="4"/>
  <c r="K34" i="1"/>
  <c r="O34" i="1"/>
  <c r="DB34" i="4"/>
  <c r="U88" i="3"/>
  <c r="BT34" i="1"/>
  <c r="BN35" i="4"/>
  <c r="M93" i="3"/>
  <c r="AY36" i="4"/>
  <c r="J89" i="3"/>
  <c r="BS36" i="4"/>
  <c r="N89" i="3"/>
  <c r="CR36" i="4"/>
  <c r="S89" i="3"/>
  <c r="EF36" i="4"/>
  <c r="AA89" i="3"/>
  <c r="VJ36" i="4"/>
  <c r="VN36" i="4"/>
  <c r="VR36" i="4"/>
  <c r="VB36" i="4"/>
  <c r="UX36" i="4"/>
  <c r="UT36" i="4"/>
  <c r="UP36" i="4"/>
  <c r="UL36" i="4"/>
  <c r="UH36" i="4"/>
  <c r="UD36" i="4"/>
  <c r="TZ36" i="4"/>
  <c r="TV36" i="4"/>
  <c r="TR36" i="4"/>
  <c r="TN36" i="4"/>
  <c r="TJ36" i="4"/>
  <c r="TF36" i="4"/>
  <c r="TB36" i="4"/>
  <c r="SX36" i="4"/>
  <c r="ST36" i="4"/>
  <c r="SP36" i="4"/>
  <c r="SL36" i="4"/>
  <c r="SH36" i="4"/>
  <c r="SD36" i="4"/>
  <c r="RZ36" i="4"/>
  <c r="RV36" i="4"/>
  <c r="RR36" i="4"/>
  <c r="RN36" i="4"/>
  <c r="RJ36" i="4"/>
  <c r="RF36" i="4"/>
  <c r="RB36" i="4"/>
  <c r="QX36" i="4"/>
  <c r="QT36" i="4"/>
  <c r="VF36" i="4"/>
  <c r="J37" i="1"/>
  <c r="BX37" i="4"/>
  <c r="O68" i="3"/>
  <c r="S37" i="1"/>
  <c r="EF37" i="4"/>
  <c r="AA68" i="3"/>
  <c r="VR37" i="4"/>
  <c r="VN37" i="4"/>
  <c r="VJ37" i="4"/>
  <c r="VF37" i="4"/>
  <c r="VB37" i="4"/>
  <c r="UX37" i="4"/>
  <c r="UT37" i="4"/>
  <c r="UP37" i="4"/>
  <c r="UL37" i="4"/>
  <c r="UH37" i="4"/>
  <c r="UD37" i="4"/>
  <c r="TZ37" i="4"/>
  <c r="TV37" i="4"/>
  <c r="TR37" i="4"/>
  <c r="TN37" i="4"/>
  <c r="TJ37" i="4"/>
  <c r="TF37" i="4"/>
  <c r="TB37" i="4"/>
  <c r="SX37" i="4"/>
  <c r="ST37" i="4"/>
  <c r="SP37" i="4"/>
  <c r="SL37" i="4"/>
  <c r="SH37" i="4"/>
  <c r="SD37" i="4"/>
  <c r="RZ37" i="4"/>
  <c r="RV37" i="4"/>
  <c r="RR37" i="4"/>
  <c r="RN37" i="4"/>
  <c r="RJ37" i="4"/>
  <c r="RF37" i="4"/>
  <c r="RB37" i="4"/>
  <c r="QX37" i="4"/>
  <c r="QT37" i="4"/>
  <c r="J38" i="1"/>
  <c r="BX38" i="4"/>
  <c r="O52" i="3"/>
  <c r="O53" i="3" s="1"/>
  <c r="S38" i="1"/>
  <c r="EU38" i="4"/>
  <c r="AD52" i="3"/>
  <c r="AD53" i="3" s="1"/>
  <c r="QP38" i="4"/>
  <c r="K39" i="1"/>
  <c r="O39" i="1"/>
  <c r="DB39" i="4"/>
  <c r="U75" i="3"/>
  <c r="U77" i="3" s="1"/>
  <c r="BN40" i="4"/>
  <c r="M76" i="3"/>
  <c r="L41" i="1"/>
  <c r="B17" i="3"/>
  <c r="H17" i="3"/>
  <c r="M17" i="3"/>
  <c r="R17" i="3"/>
  <c r="X17" i="3"/>
  <c r="AC17" i="3"/>
  <c r="AH17" i="3"/>
  <c r="AG18" i="3"/>
  <c r="AC18" i="3"/>
  <c r="Y18" i="3"/>
  <c r="U18" i="3"/>
  <c r="Q18" i="3"/>
  <c r="M18" i="3"/>
  <c r="I18" i="3"/>
  <c r="E18" i="3"/>
  <c r="A18" i="3"/>
  <c r="AI18" i="3"/>
  <c r="AE18" i="3"/>
  <c r="AA18" i="3"/>
  <c r="W18" i="3"/>
  <c r="S18" i="3"/>
  <c r="O18" i="3"/>
  <c r="K18" i="3"/>
  <c r="G18" i="3"/>
  <c r="C18" i="3"/>
  <c r="LE18" i="4"/>
  <c r="H19" i="3"/>
  <c r="P19" i="3"/>
  <c r="X19" i="3"/>
  <c r="AF19" i="3"/>
  <c r="B20" i="3"/>
  <c r="J20" i="3"/>
  <c r="R20" i="3"/>
  <c r="Z20" i="3"/>
  <c r="D21" i="3"/>
  <c r="L21" i="3"/>
  <c r="T21" i="3"/>
  <c r="AK21" i="3"/>
  <c r="AG22" i="3"/>
  <c r="AC22" i="3"/>
  <c r="Y22" i="3"/>
  <c r="U22" i="3"/>
  <c r="Q22" i="3"/>
  <c r="M22" i="3"/>
  <c r="I22" i="3"/>
  <c r="E22" i="3"/>
  <c r="A22" i="3"/>
  <c r="AI22" i="3"/>
  <c r="AE22" i="3"/>
  <c r="AA22" i="3"/>
  <c r="W22" i="3"/>
  <c r="S22" i="3"/>
  <c r="O22" i="3"/>
  <c r="K22" i="3"/>
  <c r="G22" i="3"/>
  <c r="C22" i="3"/>
  <c r="LE22" i="4"/>
  <c r="H23" i="3"/>
  <c r="P23" i="3"/>
  <c r="X23" i="3"/>
  <c r="AF23" i="3"/>
  <c r="B24" i="3"/>
  <c r="J24" i="3"/>
  <c r="R24" i="3"/>
  <c r="Z24" i="3"/>
  <c r="D25" i="3"/>
  <c r="L25" i="3"/>
  <c r="T25" i="3"/>
  <c r="AK25" i="3"/>
  <c r="AG26" i="3"/>
  <c r="AC26" i="3"/>
  <c r="Y26" i="3"/>
  <c r="U26" i="3"/>
  <c r="Q26" i="3"/>
  <c r="M26" i="3"/>
  <c r="I26" i="3"/>
  <c r="E26" i="3"/>
  <c r="A26" i="3"/>
  <c r="AI26" i="3"/>
  <c r="AE26" i="3"/>
  <c r="AA26" i="3"/>
  <c r="W26" i="3"/>
  <c r="S26" i="3"/>
  <c r="O26" i="3"/>
  <c r="K26" i="3"/>
  <c r="G26" i="3"/>
  <c r="C26" i="3"/>
  <c r="LE26" i="4"/>
  <c r="H27" i="3"/>
  <c r="P27" i="3"/>
  <c r="X27" i="3"/>
  <c r="AF27" i="3"/>
  <c r="B28" i="3"/>
  <c r="J28" i="3"/>
  <c r="R28" i="3"/>
  <c r="Z28" i="3"/>
  <c r="AK35" i="3"/>
  <c r="AK39" i="3"/>
  <c r="AK41" i="3"/>
  <c r="BD4" i="2"/>
  <c r="BD6" i="2"/>
  <c r="LA12" i="4"/>
  <c r="KS12" i="4"/>
  <c r="KK12" i="4"/>
  <c r="KC12" i="4"/>
  <c r="JU12" i="4"/>
  <c r="JM12" i="4"/>
  <c r="JE12" i="4"/>
  <c r="IW12" i="4"/>
  <c r="IO12" i="4"/>
  <c r="IG12" i="4"/>
  <c r="HY12" i="4"/>
  <c r="HQ12" i="4"/>
  <c r="HI12" i="4"/>
  <c r="HA12" i="4"/>
  <c r="GS12" i="4"/>
  <c r="GK12" i="4"/>
  <c r="GC12" i="4"/>
  <c r="KW12" i="4"/>
  <c r="KO12" i="4"/>
  <c r="KG12" i="4"/>
  <c r="JY12" i="4"/>
  <c r="JQ12" i="4"/>
  <c r="JI12" i="4"/>
  <c r="JA12" i="4"/>
  <c r="IS12" i="4"/>
  <c r="IK12" i="4"/>
  <c r="IC12" i="4"/>
  <c r="HU12" i="4"/>
  <c r="HM12" i="4"/>
  <c r="HE12" i="4"/>
  <c r="GW12" i="4"/>
  <c r="GO12" i="4"/>
  <c r="GG12" i="4"/>
  <c r="FY12" i="4"/>
  <c r="BA19" i="2"/>
  <c r="BA23" i="2"/>
  <c r="BA31" i="2"/>
  <c r="LA33" i="4"/>
  <c r="KW33" i="4"/>
  <c r="KS33" i="4"/>
  <c r="KO33" i="4"/>
  <c r="KK33" i="4"/>
  <c r="KG33" i="4"/>
  <c r="KC33" i="4"/>
  <c r="JY33" i="4"/>
  <c r="JU33" i="4"/>
  <c r="JQ33" i="4"/>
  <c r="JM33" i="4"/>
  <c r="JI33" i="4"/>
  <c r="JE33" i="4"/>
  <c r="JA33" i="4"/>
  <c r="IW33" i="4"/>
  <c r="IS33" i="4"/>
  <c r="IO33" i="4"/>
  <c r="IK33" i="4"/>
  <c r="IG33" i="4"/>
  <c r="IC33" i="4"/>
  <c r="HY33" i="4"/>
  <c r="HU33" i="4"/>
  <c r="HQ33" i="4"/>
  <c r="HM33" i="4"/>
  <c r="HI33" i="4"/>
  <c r="HE33" i="4"/>
  <c r="HA33" i="4"/>
  <c r="GW33" i="4"/>
  <c r="GS33" i="4"/>
  <c r="GO33" i="4"/>
  <c r="GK33" i="4"/>
  <c r="GG33" i="4"/>
  <c r="GC33" i="4"/>
  <c r="FY33" i="4"/>
  <c r="LA41" i="4"/>
  <c r="KS41" i="4"/>
  <c r="KK41" i="4"/>
  <c r="KC41" i="4"/>
  <c r="JU41" i="4"/>
  <c r="JM41" i="4"/>
  <c r="JE41" i="4"/>
  <c r="IW41" i="4"/>
  <c r="IO41" i="4"/>
  <c r="IG41" i="4"/>
  <c r="HY41" i="4"/>
  <c r="HQ41" i="4"/>
  <c r="HI41" i="4"/>
  <c r="HA41" i="4"/>
  <c r="GS41" i="4"/>
  <c r="GK41" i="4"/>
  <c r="GC41" i="4"/>
  <c r="KW41" i="4"/>
  <c r="KO41" i="4"/>
  <c r="KG41" i="4"/>
  <c r="JY41" i="4"/>
  <c r="JQ41" i="4"/>
  <c r="IK41" i="4"/>
  <c r="HE41" i="4"/>
  <c r="FY41" i="4"/>
  <c r="JI41" i="4"/>
  <c r="IC41" i="4"/>
  <c r="GW41" i="4"/>
  <c r="JA41" i="4"/>
  <c r="HU41" i="4"/>
  <c r="GO41" i="4"/>
  <c r="IS41" i="4"/>
  <c r="HM41" i="4"/>
  <c r="GG41" i="4"/>
  <c r="AA45" i="3"/>
  <c r="AA46" i="3" s="1"/>
  <c r="EF4" i="4"/>
  <c r="AA96" i="3"/>
  <c r="CW5" i="4"/>
  <c r="T56" i="3"/>
  <c r="CW6" i="4"/>
  <c r="T47" i="3"/>
  <c r="T49" i="3" s="1"/>
  <c r="UP6" i="4"/>
  <c r="TZ6" i="4"/>
  <c r="VN6" i="4"/>
  <c r="VF6" i="4"/>
  <c r="UT6" i="4"/>
  <c r="UD6" i="4"/>
  <c r="TN6" i="4"/>
  <c r="TJ6" i="4"/>
  <c r="TF6" i="4"/>
  <c r="TB6" i="4"/>
  <c r="SX6" i="4"/>
  <c r="ST6" i="4"/>
  <c r="SP6" i="4"/>
  <c r="SL6" i="4"/>
  <c r="SH6" i="4"/>
  <c r="SD6" i="4"/>
  <c r="RZ6" i="4"/>
  <c r="RV6" i="4"/>
  <c r="RR6" i="4"/>
  <c r="RN6" i="4"/>
  <c r="RJ6" i="4"/>
  <c r="RF6" i="4"/>
  <c r="RB6" i="4"/>
  <c r="QX6" i="4"/>
  <c r="QT6" i="4"/>
  <c r="UX6" i="4"/>
  <c r="UH6" i="4"/>
  <c r="TR6" i="4"/>
  <c r="VR6" i="4"/>
  <c r="VJ6" i="4"/>
  <c r="VB6" i="4"/>
  <c r="UL6" i="4"/>
  <c r="TV6" i="4"/>
  <c r="BX7" i="4"/>
  <c r="O48" i="3"/>
  <c r="VJ7" i="4"/>
  <c r="UT7" i="4"/>
  <c r="UD7" i="4"/>
  <c r="TN7" i="4"/>
  <c r="SX7" i="4"/>
  <c r="SH7" i="4"/>
  <c r="RR7" i="4"/>
  <c r="RB7" i="4"/>
  <c r="VR7" i="4"/>
  <c r="VB7" i="4"/>
  <c r="UL7" i="4"/>
  <c r="TV7" i="4"/>
  <c r="TF7" i="4"/>
  <c r="SP7" i="4"/>
  <c r="RZ7" i="4"/>
  <c r="RJ7" i="4"/>
  <c r="QT7" i="4"/>
  <c r="VN7" i="4"/>
  <c r="UH7" i="4"/>
  <c r="TB7" i="4"/>
  <c r="RV7" i="4"/>
  <c r="UP7" i="4"/>
  <c r="TJ7" i="4"/>
  <c r="SD7" i="4"/>
  <c r="QX7" i="4"/>
  <c r="UX7" i="4"/>
  <c r="TR7" i="4"/>
  <c r="SL7" i="4"/>
  <c r="RF7" i="4"/>
  <c r="VF7" i="4"/>
  <c r="TZ7" i="4"/>
  <c r="ST7" i="4"/>
  <c r="RN7" i="4"/>
  <c r="K72" i="3"/>
  <c r="BD8" i="4"/>
  <c r="BX8" i="4"/>
  <c r="O72" i="3"/>
  <c r="O74" i="3" s="1"/>
  <c r="VN8" i="4"/>
  <c r="UX8" i="4"/>
  <c r="UH8" i="4"/>
  <c r="TR8" i="4"/>
  <c r="TB8" i="4"/>
  <c r="SL8" i="4"/>
  <c r="RV8" i="4"/>
  <c r="RF8" i="4"/>
  <c r="VR8" i="4"/>
  <c r="VB8" i="4"/>
  <c r="UL8" i="4"/>
  <c r="TV8" i="4"/>
  <c r="TF8" i="4"/>
  <c r="SP8" i="4"/>
  <c r="RZ8" i="4"/>
  <c r="RJ8" i="4"/>
  <c r="QT8" i="4"/>
  <c r="VF8" i="4"/>
  <c r="UP8" i="4"/>
  <c r="TZ8" i="4"/>
  <c r="TJ8" i="4"/>
  <c r="ST8" i="4"/>
  <c r="SD8" i="4"/>
  <c r="RN8" i="4"/>
  <c r="QX8" i="4"/>
  <c r="VJ8" i="4"/>
  <c r="UT8" i="4"/>
  <c r="UD8" i="4"/>
  <c r="TN8" i="4"/>
  <c r="SX8" i="4"/>
  <c r="SH8" i="4"/>
  <c r="RR8" i="4"/>
  <c r="RB8" i="4"/>
  <c r="EF9" i="4"/>
  <c r="AA80" i="3"/>
  <c r="AA82" i="3" s="1"/>
  <c r="EF10" i="4"/>
  <c r="AA57" i="3"/>
  <c r="BD11" i="4"/>
  <c r="K58" i="3"/>
  <c r="BX11" i="4"/>
  <c r="O58" i="3"/>
  <c r="VR11" i="4"/>
  <c r="VN11" i="4"/>
  <c r="VJ11" i="4"/>
  <c r="VF11" i="4"/>
  <c r="VB11" i="4"/>
  <c r="UX11" i="4"/>
  <c r="UT11" i="4"/>
  <c r="UP11" i="4"/>
  <c r="UL11" i="4"/>
  <c r="UH11" i="4"/>
  <c r="UD11" i="4"/>
  <c r="TZ11" i="4"/>
  <c r="TV11" i="4"/>
  <c r="TR11" i="4"/>
  <c r="TN11" i="4"/>
  <c r="TJ11" i="4"/>
  <c r="TF11" i="4"/>
  <c r="TB11" i="4"/>
  <c r="SX11" i="4"/>
  <c r="ST11" i="4"/>
  <c r="SP11" i="4"/>
  <c r="SL11" i="4"/>
  <c r="SH11" i="4"/>
  <c r="SD11" i="4"/>
  <c r="RZ11" i="4"/>
  <c r="RV11" i="4"/>
  <c r="RR11" i="4"/>
  <c r="RN11" i="4"/>
  <c r="RJ11" i="4"/>
  <c r="RF11" i="4"/>
  <c r="RB11" i="4"/>
  <c r="QX11" i="4"/>
  <c r="QT11" i="4"/>
  <c r="BD12" i="4"/>
  <c r="K59" i="3"/>
  <c r="BX12" i="4"/>
  <c r="O59" i="3"/>
  <c r="VR12" i="4"/>
  <c r="VN12" i="4"/>
  <c r="VJ12" i="4"/>
  <c r="VF12" i="4"/>
  <c r="VB12" i="4"/>
  <c r="UX12" i="4"/>
  <c r="UT12" i="4"/>
  <c r="UP12" i="4"/>
  <c r="UL12" i="4"/>
  <c r="UH12" i="4"/>
  <c r="UD12" i="4"/>
  <c r="TZ12" i="4"/>
  <c r="TV12" i="4"/>
  <c r="TR12" i="4"/>
  <c r="TN12" i="4"/>
  <c r="TJ12" i="4"/>
  <c r="TF12" i="4"/>
  <c r="TB12" i="4"/>
  <c r="SX12" i="4"/>
  <c r="ST12" i="4"/>
  <c r="SP12" i="4"/>
  <c r="SL12" i="4"/>
  <c r="SH12" i="4"/>
  <c r="SD12" i="4"/>
  <c r="RZ12" i="4"/>
  <c r="RV12" i="4"/>
  <c r="RR12" i="4"/>
  <c r="RN12" i="4"/>
  <c r="RJ12" i="4"/>
  <c r="RF12" i="4"/>
  <c r="RB12" i="4"/>
  <c r="QX12" i="4"/>
  <c r="QT12" i="4"/>
  <c r="BI14" i="4"/>
  <c r="L81" i="3"/>
  <c r="CC14" i="4"/>
  <c r="P81" i="3"/>
  <c r="BI15" i="4"/>
  <c r="L50" i="3"/>
  <c r="L51" i="3" s="1"/>
  <c r="EZ15" i="4"/>
  <c r="AF50" i="3"/>
  <c r="AE50" i="3"/>
  <c r="AE51" i="3" s="1"/>
  <c r="AF51" i="3" s="1"/>
  <c r="DQ16" i="4"/>
  <c r="X84" i="3"/>
  <c r="AY17" i="4"/>
  <c r="J85" i="3"/>
  <c r="AY18" i="4"/>
  <c r="J60" i="3"/>
  <c r="AY19" i="4"/>
  <c r="J61" i="3"/>
  <c r="W19" i="1"/>
  <c r="AY20" i="4"/>
  <c r="J73" i="3"/>
  <c r="BS20" i="4"/>
  <c r="N73" i="3"/>
  <c r="VR20" i="4"/>
  <c r="VN20" i="4"/>
  <c r="VJ20" i="4"/>
  <c r="VF20" i="4"/>
  <c r="VB20" i="4"/>
  <c r="UX20" i="4"/>
  <c r="UT20" i="4"/>
  <c r="UP20" i="4"/>
  <c r="UL20" i="4"/>
  <c r="UH20" i="4"/>
  <c r="UD20" i="4"/>
  <c r="TZ20" i="4"/>
  <c r="TV20" i="4"/>
  <c r="TR20" i="4"/>
  <c r="TN20" i="4"/>
  <c r="TJ20" i="4"/>
  <c r="TF20" i="4"/>
  <c r="TB20" i="4"/>
  <c r="SX20" i="4"/>
  <c r="ST20" i="4"/>
  <c r="SP20" i="4"/>
  <c r="SL20" i="4"/>
  <c r="SH20" i="4"/>
  <c r="SD20" i="4"/>
  <c r="RZ20" i="4"/>
  <c r="RV20" i="4"/>
  <c r="RR20" i="4"/>
  <c r="RN20" i="4"/>
  <c r="RJ20" i="4"/>
  <c r="RF20" i="4"/>
  <c r="RB20" i="4"/>
  <c r="QX20" i="4"/>
  <c r="QT20" i="4"/>
  <c r="BD21" i="4"/>
  <c r="K70" i="3"/>
  <c r="K71" i="3" s="1"/>
  <c r="BX21" i="4"/>
  <c r="O70" i="3"/>
  <c r="O71" i="3" s="1"/>
  <c r="CW21" i="4"/>
  <c r="T70" i="3"/>
  <c r="T71" i="3" s="1"/>
  <c r="VR21" i="4"/>
  <c r="VN21" i="4"/>
  <c r="VJ21" i="4"/>
  <c r="VF21" i="4"/>
  <c r="VB21" i="4"/>
  <c r="UX21" i="4"/>
  <c r="UT21" i="4"/>
  <c r="UP21" i="4"/>
  <c r="UL21" i="4"/>
  <c r="UH21" i="4"/>
  <c r="UD21" i="4"/>
  <c r="TZ21" i="4"/>
  <c r="TV21" i="4"/>
  <c r="TR21" i="4"/>
  <c r="TN21" i="4"/>
  <c r="TJ21" i="4"/>
  <c r="TF21" i="4"/>
  <c r="TB21" i="4"/>
  <c r="SX21" i="4"/>
  <c r="ST21" i="4"/>
  <c r="SP21" i="4"/>
  <c r="SL21" i="4"/>
  <c r="SH21" i="4"/>
  <c r="SD21" i="4"/>
  <c r="RZ21" i="4"/>
  <c r="RV21" i="4"/>
  <c r="RR21" i="4"/>
  <c r="RN21" i="4"/>
  <c r="RJ21" i="4"/>
  <c r="RF21" i="4"/>
  <c r="RB21" i="4"/>
  <c r="QX21" i="4"/>
  <c r="QT21" i="4"/>
  <c r="CW22" i="4"/>
  <c r="T62" i="3"/>
  <c r="BI24" i="4"/>
  <c r="L63" i="3"/>
  <c r="CC24" i="4"/>
  <c r="P63" i="3"/>
  <c r="DB24" i="4"/>
  <c r="U63" i="3"/>
  <c r="BI25" i="4"/>
  <c r="L91" i="3"/>
  <c r="L94" i="3" s="1"/>
  <c r="CC25" i="4"/>
  <c r="P91" i="3"/>
  <c r="P94" i="3" s="1"/>
  <c r="DB25" i="4"/>
  <c r="U91" i="3"/>
  <c r="U94" i="3" s="1"/>
  <c r="EZ25" i="4"/>
  <c r="AE91" i="3"/>
  <c r="AF91" i="3"/>
  <c r="BN26" i="4"/>
  <c r="M64" i="3"/>
  <c r="DG26" i="4"/>
  <c r="V64" i="3"/>
  <c r="BN27" i="4"/>
  <c r="M54" i="3"/>
  <c r="M55" i="3" s="1"/>
  <c r="DQ27" i="4"/>
  <c r="X54" i="3"/>
  <c r="X55" i="3" s="1"/>
  <c r="AY28" i="4"/>
  <c r="J92" i="3"/>
  <c r="BS28" i="4"/>
  <c r="N92" i="3"/>
  <c r="EF28" i="4"/>
  <c r="AA92" i="3"/>
  <c r="VR28" i="4"/>
  <c r="VN28" i="4"/>
  <c r="VJ28" i="4"/>
  <c r="VF28" i="4"/>
  <c r="VB28" i="4"/>
  <c r="UX28" i="4"/>
  <c r="UT28" i="4"/>
  <c r="UP28" i="4"/>
  <c r="UL28" i="4"/>
  <c r="UH28" i="4"/>
  <c r="UD28" i="4"/>
  <c r="TZ28" i="4"/>
  <c r="TV28" i="4"/>
  <c r="TR28" i="4"/>
  <c r="TN28" i="4"/>
  <c r="TJ28" i="4"/>
  <c r="TF28" i="4"/>
  <c r="TB28" i="4"/>
  <c r="SX28" i="4"/>
  <c r="ST28" i="4"/>
  <c r="SP28" i="4"/>
  <c r="SL28" i="4"/>
  <c r="SH28" i="4"/>
  <c r="SD28" i="4"/>
  <c r="RZ28" i="4"/>
  <c r="RV28" i="4"/>
  <c r="RR28" i="4"/>
  <c r="RN28" i="4"/>
  <c r="RJ28" i="4"/>
  <c r="RF28" i="4"/>
  <c r="RB28" i="4"/>
  <c r="QX28" i="4"/>
  <c r="QT28" i="4"/>
  <c r="BD29" i="4"/>
  <c r="K87" i="3"/>
  <c r="BX29" i="4"/>
  <c r="O87" i="3"/>
  <c r="CW29" i="4"/>
  <c r="T87" i="3"/>
  <c r="EU29" i="4"/>
  <c r="AD87" i="3"/>
  <c r="BI30" i="4"/>
  <c r="L65" i="3"/>
  <c r="CC30" i="4"/>
  <c r="P65" i="3"/>
  <c r="DB30" i="4"/>
  <c r="U65" i="3"/>
  <c r="BI31" i="4"/>
  <c r="L78" i="3"/>
  <c r="L79" i="3" s="1"/>
  <c r="CC31" i="4"/>
  <c r="P78" i="3"/>
  <c r="P79" i="3" s="1"/>
  <c r="DB31" i="4"/>
  <c r="U78" i="3"/>
  <c r="U79" i="3" s="1"/>
  <c r="EZ31" i="4"/>
  <c r="AF78" i="3"/>
  <c r="AE78" i="3"/>
  <c r="AE79" i="3" s="1"/>
  <c r="AF79" i="3" s="1"/>
  <c r="BN32" i="4"/>
  <c r="M66" i="3"/>
  <c r="DG32" i="4"/>
  <c r="V66" i="3"/>
  <c r="BN33" i="4"/>
  <c r="M67" i="3"/>
  <c r="DG33" i="4"/>
  <c r="V67" i="3"/>
  <c r="BN34" i="4"/>
  <c r="M88" i="3"/>
  <c r="DQ34" i="4"/>
  <c r="X88" i="3"/>
  <c r="AY35" i="4"/>
  <c r="J93" i="3"/>
  <c r="BS35" i="4"/>
  <c r="N93" i="3"/>
  <c r="CR35" i="4"/>
  <c r="S93" i="3"/>
  <c r="EF35" i="4"/>
  <c r="AA93" i="3"/>
  <c r="VN35" i="4"/>
  <c r="VF35" i="4"/>
  <c r="UX35" i="4"/>
  <c r="UP35" i="4"/>
  <c r="UH35" i="4"/>
  <c r="TZ35" i="4"/>
  <c r="TR35" i="4"/>
  <c r="TJ35" i="4"/>
  <c r="TB35" i="4"/>
  <c r="ST35" i="4"/>
  <c r="SL35" i="4"/>
  <c r="SD35" i="4"/>
  <c r="RV35" i="4"/>
  <c r="RN35" i="4"/>
  <c r="RF35" i="4"/>
  <c r="QX35" i="4"/>
  <c r="VR35" i="4"/>
  <c r="VJ35" i="4"/>
  <c r="VB35" i="4"/>
  <c r="UT35" i="4"/>
  <c r="UL35" i="4"/>
  <c r="UD35" i="4"/>
  <c r="TV35" i="4"/>
  <c r="TN35" i="4"/>
  <c r="TF35" i="4"/>
  <c r="SX35" i="4"/>
  <c r="SP35" i="4"/>
  <c r="SH35" i="4"/>
  <c r="RZ35" i="4"/>
  <c r="RR35" i="4"/>
  <c r="RJ35" i="4"/>
  <c r="RB35" i="4"/>
  <c r="QT35" i="4"/>
  <c r="BD36" i="4"/>
  <c r="K89" i="3"/>
  <c r="BX36" i="4"/>
  <c r="O89" i="3"/>
  <c r="CW36" i="4"/>
  <c r="T89" i="3"/>
  <c r="EU36" i="4"/>
  <c r="AD89" i="3"/>
  <c r="BI37" i="4"/>
  <c r="L68" i="3"/>
  <c r="CC37" i="4"/>
  <c r="P68" i="3"/>
  <c r="DB37" i="4"/>
  <c r="U68" i="3"/>
  <c r="BI38" i="4"/>
  <c r="L52" i="3"/>
  <c r="L53" i="3" s="1"/>
  <c r="CC38" i="4"/>
  <c r="P52" i="3"/>
  <c r="P53" i="3" s="1"/>
  <c r="DB38" i="4"/>
  <c r="U52" i="3"/>
  <c r="U53" i="3" s="1"/>
  <c r="BN39" i="4"/>
  <c r="M75" i="3"/>
  <c r="M77" i="3" s="1"/>
  <c r="DQ39" i="4"/>
  <c r="X75" i="3"/>
  <c r="X77" i="3" s="1"/>
  <c r="AY40" i="4"/>
  <c r="AZ40" i="4" s="1"/>
  <c r="J76" i="3"/>
  <c r="BS40" i="4"/>
  <c r="N76" i="3"/>
  <c r="CR40" i="4"/>
  <c r="S76" i="3"/>
  <c r="EF40" i="4"/>
  <c r="AA76" i="3"/>
  <c r="VR40" i="4"/>
  <c r="VN40" i="4"/>
  <c r="VJ40" i="4"/>
  <c r="VF40" i="4"/>
  <c r="VB40" i="4"/>
  <c r="UX40" i="4"/>
  <c r="UT40" i="4"/>
  <c r="UP40" i="4"/>
  <c r="UL40" i="4"/>
  <c r="UH40" i="4"/>
  <c r="UD40" i="4"/>
  <c r="TZ40" i="4"/>
  <c r="TV40" i="4"/>
  <c r="TR40" i="4"/>
  <c r="TN40" i="4"/>
  <c r="TJ40" i="4"/>
  <c r="TF40" i="4"/>
  <c r="TB40" i="4"/>
  <c r="SX40" i="4"/>
  <c r="ST40" i="4"/>
  <c r="SP40" i="4"/>
  <c r="SL40" i="4"/>
  <c r="SH40" i="4"/>
  <c r="SD40" i="4"/>
  <c r="RZ40" i="4"/>
  <c r="RV40" i="4"/>
  <c r="RR40" i="4"/>
  <c r="RN40" i="4"/>
  <c r="RJ40" i="4"/>
  <c r="RF40" i="4"/>
  <c r="RB40" i="4"/>
  <c r="QX40" i="4"/>
  <c r="QT40" i="4"/>
  <c r="I41" i="1"/>
  <c r="R41" i="1"/>
  <c r="R42" i="1" s="1"/>
  <c r="S42" i="1" s="1"/>
  <c r="QG6" i="4"/>
  <c r="QC6" i="4"/>
  <c r="PY6" i="4"/>
  <c r="PU6" i="4"/>
  <c r="PQ6" i="4"/>
  <c r="PM6" i="4"/>
  <c r="PI6" i="4"/>
  <c r="PE6" i="4"/>
  <c r="PA6" i="4"/>
  <c r="OW6" i="4"/>
  <c r="OS6" i="4"/>
  <c r="OO6" i="4"/>
  <c r="OK6" i="4"/>
  <c r="OG6" i="4"/>
  <c r="OC6" i="4"/>
  <c r="NY6" i="4"/>
  <c r="NU6" i="4"/>
  <c r="NQ6" i="4"/>
  <c r="NM6" i="4"/>
  <c r="NI6" i="4"/>
  <c r="NE6" i="4"/>
  <c r="NA6" i="4"/>
  <c r="MW6" i="4"/>
  <c r="MS6" i="4"/>
  <c r="MO6" i="4"/>
  <c r="MK6" i="4"/>
  <c r="MG6" i="4"/>
  <c r="MC6" i="4"/>
  <c r="LY6" i="4"/>
  <c r="LU6" i="4"/>
  <c r="LQ6" i="4"/>
  <c r="LM6" i="4"/>
  <c r="LI6" i="4"/>
  <c r="QG7" i="4"/>
  <c r="PQ7" i="4"/>
  <c r="PA7" i="4"/>
  <c r="OK7" i="4"/>
  <c r="NU7" i="4"/>
  <c r="NE7" i="4"/>
  <c r="MO7" i="4"/>
  <c r="LY7" i="4"/>
  <c r="LI7" i="4"/>
  <c r="PY7" i="4"/>
  <c r="PI7" i="4"/>
  <c r="OS7" i="4"/>
  <c r="OC7" i="4"/>
  <c r="NM7" i="4"/>
  <c r="MW7" i="4"/>
  <c r="MG7" i="4"/>
  <c r="LQ7" i="4"/>
  <c r="PU7" i="4"/>
  <c r="OO7" i="4"/>
  <c r="NI7" i="4"/>
  <c r="MC7" i="4"/>
  <c r="QC7" i="4"/>
  <c r="OW7" i="4"/>
  <c r="NQ7" i="4"/>
  <c r="MK7" i="4"/>
  <c r="PE7" i="4"/>
  <c r="NY7" i="4"/>
  <c r="MS7" i="4"/>
  <c r="LM7" i="4"/>
  <c r="PM7" i="4"/>
  <c r="OG7" i="4"/>
  <c r="NA7" i="4"/>
  <c r="LU7" i="4"/>
  <c r="PU8" i="4"/>
  <c r="PE8" i="4"/>
  <c r="OO8" i="4"/>
  <c r="NY8" i="4"/>
  <c r="NI8" i="4"/>
  <c r="MS8" i="4"/>
  <c r="MC8" i="4"/>
  <c r="LM8" i="4"/>
  <c r="PY8" i="4"/>
  <c r="PI8" i="4"/>
  <c r="OS8" i="4"/>
  <c r="OC8" i="4"/>
  <c r="NM8" i="4"/>
  <c r="MW8" i="4"/>
  <c r="MG8" i="4"/>
  <c r="LQ8" i="4"/>
  <c r="QC8" i="4"/>
  <c r="PM8" i="4"/>
  <c r="OW8" i="4"/>
  <c r="OG8" i="4"/>
  <c r="NQ8" i="4"/>
  <c r="NA8" i="4"/>
  <c r="MK8" i="4"/>
  <c r="LU8" i="4"/>
  <c r="QG8" i="4"/>
  <c r="PQ8" i="4"/>
  <c r="PA8" i="4"/>
  <c r="OK8" i="4"/>
  <c r="NU8" i="4"/>
  <c r="NE8" i="4"/>
  <c r="MO8" i="4"/>
  <c r="LY8" i="4"/>
  <c r="LI8" i="4"/>
  <c r="QC9" i="4"/>
  <c r="PM9" i="4"/>
  <c r="OW9" i="4"/>
  <c r="OG9" i="4"/>
  <c r="NQ9" i="4"/>
  <c r="NA9" i="4"/>
  <c r="MK9" i="4"/>
  <c r="LU9" i="4"/>
  <c r="QG9" i="4"/>
  <c r="PQ9" i="4"/>
  <c r="PA9" i="4"/>
  <c r="OK9" i="4"/>
  <c r="NU9" i="4"/>
  <c r="NE9" i="4"/>
  <c r="MO9" i="4"/>
  <c r="LY9" i="4"/>
  <c r="LI9" i="4"/>
  <c r="PU9" i="4"/>
  <c r="PE9" i="4"/>
  <c r="OO9" i="4"/>
  <c r="NY9" i="4"/>
  <c r="NI9" i="4"/>
  <c r="MS9" i="4"/>
  <c r="MC9" i="4"/>
  <c r="LM9" i="4"/>
  <c r="PY9" i="4"/>
  <c r="PI9" i="4"/>
  <c r="OS9" i="4"/>
  <c r="OC9" i="4"/>
  <c r="NM9" i="4"/>
  <c r="MW9" i="4"/>
  <c r="MG9" i="4"/>
  <c r="LQ9" i="4"/>
  <c r="QG10" i="4"/>
  <c r="PY10" i="4"/>
  <c r="PQ10" i="4"/>
  <c r="PI10" i="4"/>
  <c r="PA10" i="4"/>
  <c r="OS10" i="4"/>
  <c r="OK10" i="4"/>
  <c r="OC10" i="4"/>
  <c r="NU10" i="4"/>
  <c r="NM10" i="4"/>
  <c r="NE10" i="4"/>
  <c r="MW10" i="4"/>
  <c r="MO10" i="4"/>
  <c r="MG10" i="4"/>
  <c r="LY10" i="4"/>
  <c r="LQ10" i="4"/>
  <c r="LI10" i="4"/>
  <c r="QC10" i="4"/>
  <c r="PU10" i="4"/>
  <c r="PM10" i="4"/>
  <c r="PE10" i="4"/>
  <c r="OW10" i="4"/>
  <c r="OO10" i="4"/>
  <c r="OG10" i="4"/>
  <c r="NY10" i="4"/>
  <c r="NQ10" i="4"/>
  <c r="NI10" i="4"/>
  <c r="NA10" i="4"/>
  <c r="MS10" i="4"/>
  <c r="MK10" i="4"/>
  <c r="MC10" i="4"/>
  <c r="LU10" i="4"/>
  <c r="LM10" i="4"/>
  <c r="QG11" i="4"/>
  <c r="PY11" i="4"/>
  <c r="PQ11" i="4"/>
  <c r="PI11" i="4"/>
  <c r="PA11" i="4"/>
  <c r="OS11" i="4"/>
  <c r="OK11" i="4"/>
  <c r="OC11" i="4"/>
  <c r="NU11" i="4"/>
  <c r="NM11" i="4"/>
  <c r="NE11" i="4"/>
  <c r="MW11" i="4"/>
  <c r="MO11" i="4"/>
  <c r="MG11" i="4"/>
  <c r="LY11" i="4"/>
  <c r="LQ11" i="4"/>
  <c r="LI11" i="4"/>
  <c r="QC11" i="4"/>
  <c r="PU11" i="4"/>
  <c r="PM11" i="4"/>
  <c r="PE11" i="4"/>
  <c r="OW11" i="4"/>
  <c r="OO11" i="4"/>
  <c r="OG11" i="4"/>
  <c r="NY11" i="4"/>
  <c r="NQ11" i="4"/>
  <c r="NI11" i="4"/>
  <c r="NA11" i="4"/>
  <c r="MS11" i="4"/>
  <c r="MK11" i="4"/>
  <c r="MC11" i="4"/>
  <c r="LU11" i="4"/>
  <c r="LM11" i="4"/>
  <c r="QG12" i="4"/>
  <c r="PY12" i="4"/>
  <c r="PQ12" i="4"/>
  <c r="PI12" i="4"/>
  <c r="PA12" i="4"/>
  <c r="OS12" i="4"/>
  <c r="OK12" i="4"/>
  <c r="OC12" i="4"/>
  <c r="NU12" i="4"/>
  <c r="NM12" i="4"/>
  <c r="NE12" i="4"/>
  <c r="MW12" i="4"/>
  <c r="MO12" i="4"/>
  <c r="MG12" i="4"/>
  <c r="LY12" i="4"/>
  <c r="LQ12" i="4"/>
  <c r="LI12" i="4"/>
  <c r="QC12" i="4"/>
  <c r="PU12" i="4"/>
  <c r="PM12" i="4"/>
  <c r="PE12" i="4"/>
  <c r="OW12" i="4"/>
  <c r="OO12" i="4"/>
  <c r="OG12" i="4"/>
  <c r="NY12" i="4"/>
  <c r="NQ12" i="4"/>
  <c r="NI12" i="4"/>
  <c r="NA12" i="4"/>
  <c r="MS12" i="4"/>
  <c r="MK12" i="4"/>
  <c r="MC12" i="4"/>
  <c r="LU12" i="4"/>
  <c r="LM12" i="4"/>
  <c r="QG13" i="4"/>
  <c r="PY13" i="4"/>
  <c r="PQ13" i="4"/>
  <c r="PI13" i="4"/>
  <c r="PA13" i="4"/>
  <c r="OS13" i="4"/>
  <c r="OK13" i="4"/>
  <c r="OC13" i="4"/>
  <c r="NU13" i="4"/>
  <c r="NM13" i="4"/>
  <c r="NE13" i="4"/>
  <c r="MW13" i="4"/>
  <c r="MO13" i="4"/>
  <c r="MG13" i="4"/>
  <c r="LY13" i="4"/>
  <c r="LQ13" i="4"/>
  <c r="LI13" i="4"/>
  <c r="QC13" i="4"/>
  <c r="PU13" i="4"/>
  <c r="PM13" i="4"/>
  <c r="PE13" i="4"/>
  <c r="OW13" i="4"/>
  <c r="OO13" i="4"/>
  <c r="OG13" i="4"/>
  <c r="NY13" i="4"/>
  <c r="NQ13" i="4"/>
  <c r="NI13" i="4"/>
  <c r="NA13" i="4"/>
  <c r="MS13" i="4"/>
  <c r="MK13" i="4"/>
  <c r="MC13" i="4"/>
  <c r="LU13" i="4"/>
  <c r="LM13" i="4"/>
  <c r="QG14" i="4"/>
  <c r="QC14" i="4"/>
  <c r="PY14" i="4"/>
  <c r="PU14" i="4"/>
  <c r="PQ14" i="4"/>
  <c r="PM14" i="4"/>
  <c r="PI14" i="4"/>
  <c r="PE14" i="4"/>
  <c r="PA14" i="4"/>
  <c r="OW14" i="4"/>
  <c r="OS14" i="4"/>
  <c r="OO14" i="4"/>
  <c r="OK14" i="4"/>
  <c r="OG14" i="4"/>
  <c r="OC14" i="4"/>
  <c r="NY14" i="4"/>
  <c r="NU14" i="4"/>
  <c r="NQ14" i="4"/>
  <c r="NM14" i="4"/>
  <c r="NI14" i="4"/>
  <c r="NE14" i="4"/>
  <c r="NA14" i="4"/>
  <c r="MW14" i="4"/>
  <c r="MS14" i="4"/>
  <c r="MO14" i="4"/>
  <c r="MK14" i="4"/>
  <c r="MG14" i="4"/>
  <c r="MC14" i="4"/>
  <c r="LY14" i="4"/>
  <c r="LU14" i="4"/>
  <c r="LQ14" i="4"/>
  <c r="LM14" i="4"/>
  <c r="LI14" i="4"/>
  <c r="QC15" i="4"/>
  <c r="PY15" i="4"/>
  <c r="PU15" i="4"/>
  <c r="PQ15" i="4"/>
  <c r="PM15" i="4"/>
  <c r="PI15" i="4"/>
  <c r="PE15" i="4"/>
  <c r="PA15" i="4"/>
  <c r="OW15" i="4"/>
  <c r="OS15" i="4"/>
  <c r="OO15" i="4"/>
  <c r="OK15" i="4"/>
  <c r="OG15" i="4"/>
  <c r="OC15" i="4"/>
  <c r="NY15" i="4"/>
  <c r="NU15" i="4"/>
  <c r="NQ15" i="4"/>
  <c r="NM15" i="4"/>
  <c r="NI15" i="4"/>
  <c r="NE15" i="4"/>
  <c r="NA15" i="4"/>
  <c r="MW15" i="4"/>
  <c r="MS15" i="4"/>
  <c r="MO15" i="4"/>
  <c r="MK15" i="4"/>
  <c r="MG15" i="4"/>
  <c r="MC15" i="4"/>
  <c r="LY15" i="4"/>
  <c r="LU15" i="4"/>
  <c r="LQ15" i="4"/>
  <c r="LM15" i="4"/>
  <c r="LI15" i="4"/>
  <c r="QG15" i="4"/>
  <c r="QG16" i="4"/>
  <c r="PQ16" i="4"/>
  <c r="PA16" i="4"/>
  <c r="OK16" i="4"/>
  <c r="NU16" i="4"/>
  <c r="NE16" i="4"/>
  <c r="MO16" i="4"/>
  <c r="LY16" i="4"/>
  <c r="LI16" i="4"/>
  <c r="PU16" i="4"/>
  <c r="PE16" i="4"/>
  <c r="OO16" i="4"/>
  <c r="NY16" i="4"/>
  <c r="NI16" i="4"/>
  <c r="MS16" i="4"/>
  <c r="MC16" i="4"/>
  <c r="LM16" i="4"/>
  <c r="PY16" i="4"/>
  <c r="PI16" i="4"/>
  <c r="OS16" i="4"/>
  <c r="OC16" i="4"/>
  <c r="NM16" i="4"/>
  <c r="MW16" i="4"/>
  <c r="MG16" i="4"/>
  <c r="LQ16" i="4"/>
  <c r="QC16" i="4"/>
  <c r="PM16" i="4"/>
  <c r="OW16" i="4"/>
  <c r="OG16" i="4"/>
  <c r="NQ16" i="4"/>
  <c r="NA16" i="4"/>
  <c r="MK16" i="4"/>
  <c r="LU16" i="4"/>
  <c r="AK20" i="3"/>
  <c r="AG21" i="3"/>
  <c r="AC21" i="3"/>
  <c r="Y21" i="3"/>
  <c r="U21" i="3"/>
  <c r="Q21" i="3"/>
  <c r="M21" i="3"/>
  <c r="I21" i="3"/>
  <c r="E21" i="3"/>
  <c r="A21" i="3"/>
  <c r="AI21" i="3"/>
  <c r="AE21" i="3"/>
  <c r="AA21" i="3"/>
  <c r="W21" i="3"/>
  <c r="S21" i="3"/>
  <c r="O21" i="3"/>
  <c r="K21" i="3"/>
  <c r="G21" i="3"/>
  <c r="C21" i="3"/>
  <c r="AK24" i="3"/>
  <c r="AG25" i="3"/>
  <c r="AC25" i="3"/>
  <c r="Y25" i="3"/>
  <c r="U25" i="3"/>
  <c r="Q25" i="3"/>
  <c r="M25" i="3"/>
  <c r="I25" i="3"/>
  <c r="E25" i="3"/>
  <c r="A25" i="3"/>
  <c r="AI25" i="3"/>
  <c r="AE25" i="3"/>
  <c r="AA25" i="3"/>
  <c r="W25" i="3"/>
  <c r="S25" i="3"/>
  <c r="O25" i="3"/>
  <c r="K25" i="3"/>
  <c r="G25" i="3"/>
  <c r="C25" i="3"/>
  <c r="AK28" i="3"/>
  <c r="AK29" i="3"/>
  <c r="AK31" i="3"/>
  <c r="AK33" i="3"/>
  <c r="AK36" i="3"/>
  <c r="LA6" i="4"/>
  <c r="KW6" i="4"/>
  <c r="KS6" i="4"/>
  <c r="KO6" i="4"/>
  <c r="KK6" i="4"/>
  <c r="KG6" i="4"/>
  <c r="KC6" i="4"/>
  <c r="JY6" i="4"/>
  <c r="JU6" i="4"/>
  <c r="JQ6" i="4"/>
  <c r="JM6" i="4"/>
  <c r="JI6" i="4"/>
  <c r="JE6" i="4"/>
  <c r="JA6" i="4"/>
  <c r="IW6" i="4"/>
  <c r="IS6" i="4"/>
  <c r="IO6" i="4"/>
  <c r="IK6" i="4"/>
  <c r="IG6" i="4"/>
  <c r="IC6" i="4"/>
  <c r="HY6" i="4"/>
  <c r="HU6" i="4"/>
  <c r="HQ6" i="4"/>
  <c r="HM6" i="4"/>
  <c r="HI6" i="4"/>
  <c r="HE6" i="4"/>
  <c r="HA6" i="4"/>
  <c r="GW6" i="4"/>
  <c r="GS6" i="4"/>
  <c r="GO6" i="4"/>
  <c r="GK6" i="4"/>
  <c r="GG6" i="4"/>
  <c r="GC6" i="4"/>
  <c r="FY6" i="4"/>
  <c r="BA5" i="2"/>
  <c r="KS7" i="4"/>
  <c r="KC7" i="4"/>
  <c r="JM7" i="4"/>
  <c r="IW7" i="4"/>
  <c r="IG7" i="4"/>
  <c r="LA7" i="4"/>
  <c r="KK7" i="4"/>
  <c r="JU7" i="4"/>
  <c r="JE7" i="4"/>
  <c r="IO7" i="4"/>
  <c r="HY7" i="4"/>
  <c r="HU7" i="4"/>
  <c r="HQ7" i="4"/>
  <c r="HM7" i="4"/>
  <c r="HI7" i="4"/>
  <c r="HE7" i="4"/>
  <c r="HA7" i="4"/>
  <c r="GW7" i="4"/>
  <c r="GS7" i="4"/>
  <c r="GO7" i="4"/>
  <c r="GK7" i="4"/>
  <c r="GG7" i="4"/>
  <c r="GC7" i="4"/>
  <c r="FY7" i="4"/>
  <c r="KW7" i="4"/>
  <c r="JQ7" i="4"/>
  <c r="IK7" i="4"/>
  <c r="JY7" i="4"/>
  <c r="IS7" i="4"/>
  <c r="KG7" i="4"/>
  <c r="JA7" i="4"/>
  <c r="KO7" i="4"/>
  <c r="JI7" i="4"/>
  <c r="IC7" i="4"/>
  <c r="BA15" i="2"/>
  <c r="LA17" i="4"/>
  <c r="KW17" i="4"/>
  <c r="KS17" i="4"/>
  <c r="KO17" i="4"/>
  <c r="KK17" i="4"/>
  <c r="KG17" i="4"/>
  <c r="KC17" i="4"/>
  <c r="JY17" i="4"/>
  <c r="JU17" i="4"/>
  <c r="JQ17" i="4"/>
  <c r="JM17" i="4"/>
  <c r="JI17" i="4"/>
  <c r="JE17" i="4"/>
  <c r="JA17" i="4"/>
  <c r="IW17" i="4"/>
  <c r="IS17" i="4"/>
  <c r="IO17" i="4"/>
  <c r="IK17" i="4"/>
  <c r="IC17" i="4"/>
  <c r="HU17" i="4"/>
  <c r="HM17" i="4"/>
  <c r="HE17" i="4"/>
  <c r="GW17" i="4"/>
  <c r="GO17" i="4"/>
  <c r="GG17" i="4"/>
  <c r="FY17" i="4"/>
  <c r="IG17" i="4"/>
  <c r="HY17" i="4"/>
  <c r="HQ17" i="4"/>
  <c r="HI17" i="4"/>
  <c r="HA17" i="4"/>
  <c r="GS17" i="4"/>
  <c r="GK17" i="4"/>
  <c r="GC17" i="4"/>
  <c r="KW25" i="4"/>
  <c r="KG25" i="4"/>
  <c r="JQ25" i="4"/>
  <c r="JA25" i="4"/>
  <c r="IK25" i="4"/>
  <c r="HU25" i="4"/>
  <c r="HE25" i="4"/>
  <c r="GO25" i="4"/>
  <c r="FY25" i="4"/>
  <c r="KS25" i="4"/>
  <c r="KC25" i="4"/>
  <c r="JM25" i="4"/>
  <c r="IW25" i="4"/>
  <c r="IG25" i="4"/>
  <c r="HQ25" i="4"/>
  <c r="HA25" i="4"/>
  <c r="GK25" i="4"/>
  <c r="KO25" i="4"/>
  <c r="JY25" i="4"/>
  <c r="JI25" i="4"/>
  <c r="IS25" i="4"/>
  <c r="IC25" i="4"/>
  <c r="HM25" i="4"/>
  <c r="GW25" i="4"/>
  <c r="GG25" i="4"/>
  <c r="LA25" i="4"/>
  <c r="KK25" i="4"/>
  <c r="JU25" i="4"/>
  <c r="JE25" i="4"/>
  <c r="IO25" i="4"/>
  <c r="HY25" i="4"/>
  <c r="HI25" i="4"/>
  <c r="GS25" i="4"/>
  <c r="GC25" i="4"/>
  <c r="BA35" i="2"/>
  <c r="LA37" i="4"/>
  <c r="KW37" i="4"/>
  <c r="KS37" i="4"/>
  <c r="KO37" i="4"/>
  <c r="KK37" i="4"/>
  <c r="KG37" i="4"/>
  <c r="KC37" i="4"/>
  <c r="JY37" i="4"/>
  <c r="JU37" i="4"/>
  <c r="JQ37" i="4"/>
  <c r="JI37" i="4"/>
  <c r="GO37" i="4"/>
  <c r="FY37" i="4"/>
  <c r="JE37" i="4"/>
  <c r="IS37" i="4"/>
  <c r="IK37" i="4"/>
  <c r="IC37" i="4"/>
  <c r="HU37" i="4"/>
  <c r="HM37" i="4"/>
  <c r="HE37" i="4"/>
  <c r="GS37" i="4"/>
  <c r="GC37" i="4"/>
  <c r="JA37" i="4"/>
  <c r="GW37" i="4"/>
  <c r="GG37" i="4"/>
  <c r="JM37" i="4"/>
  <c r="IW37" i="4"/>
  <c r="IO37" i="4"/>
  <c r="IG37" i="4"/>
  <c r="HY37" i="4"/>
  <c r="HQ37" i="4"/>
  <c r="HI37" i="4"/>
  <c r="HA37" i="4"/>
  <c r="GK37" i="4"/>
  <c r="N96" i="3"/>
  <c r="N45" i="3"/>
  <c r="N46" i="3" s="1"/>
  <c r="BS4" i="4"/>
  <c r="VR4" i="4"/>
  <c r="VN4" i="4"/>
  <c r="VJ4" i="4"/>
  <c r="VF4" i="4"/>
  <c r="VB4" i="4"/>
  <c r="UX4" i="4"/>
  <c r="UT4" i="4"/>
  <c r="UP4" i="4"/>
  <c r="UL4" i="4"/>
  <c r="UH4" i="4"/>
  <c r="UD4" i="4"/>
  <c r="TZ4" i="4"/>
  <c r="TV4" i="4"/>
  <c r="TR4" i="4"/>
  <c r="TN4" i="4"/>
  <c r="TJ4" i="4"/>
  <c r="TF4" i="4"/>
  <c r="TB4" i="4"/>
  <c r="SX4" i="4"/>
  <c r="ST4" i="4"/>
  <c r="SP4" i="4"/>
  <c r="SL4" i="4"/>
  <c r="SH4" i="4"/>
  <c r="SD4" i="4"/>
  <c r="RZ4" i="4"/>
  <c r="RV4" i="4"/>
  <c r="RR4" i="4"/>
  <c r="RN4" i="4"/>
  <c r="RJ4" i="4"/>
  <c r="RF4" i="4"/>
  <c r="RB4" i="4"/>
  <c r="QX4" i="4"/>
  <c r="QT4" i="4"/>
  <c r="BD5" i="4"/>
  <c r="K56" i="3"/>
  <c r="BX5" i="4"/>
  <c r="O56" i="3"/>
  <c r="VR5" i="4"/>
  <c r="VN5" i="4"/>
  <c r="VJ5" i="4"/>
  <c r="VF5" i="4"/>
  <c r="VB5" i="4"/>
  <c r="UX5" i="4"/>
  <c r="UT5" i="4"/>
  <c r="UP5" i="4"/>
  <c r="UL5" i="4"/>
  <c r="UH5" i="4"/>
  <c r="UD5" i="4"/>
  <c r="TZ5" i="4"/>
  <c r="TV5" i="4"/>
  <c r="TR5" i="4"/>
  <c r="TN5" i="4"/>
  <c r="TJ5" i="4"/>
  <c r="TF5" i="4"/>
  <c r="TB5" i="4"/>
  <c r="SX5" i="4"/>
  <c r="ST5" i="4"/>
  <c r="SP5" i="4"/>
  <c r="SL5" i="4"/>
  <c r="SH5" i="4"/>
  <c r="SD5" i="4"/>
  <c r="RZ5" i="4"/>
  <c r="RV5" i="4"/>
  <c r="RR5" i="4"/>
  <c r="RN5" i="4"/>
  <c r="RJ5" i="4"/>
  <c r="RF5" i="4"/>
  <c r="RB5" i="4"/>
  <c r="QX5" i="4"/>
  <c r="QT5" i="4"/>
  <c r="K47" i="3"/>
  <c r="K49" i="3" s="1"/>
  <c r="BD6" i="4"/>
  <c r="O47" i="3"/>
  <c r="O49" i="3" s="1"/>
  <c r="BX6" i="4"/>
  <c r="EF7" i="4"/>
  <c r="AA48" i="3"/>
  <c r="T72" i="3"/>
  <c r="CW8" i="4"/>
  <c r="CW9" i="4"/>
  <c r="T80" i="3"/>
  <c r="T82" i="3" s="1"/>
  <c r="BD10" i="4"/>
  <c r="K57" i="3"/>
  <c r="BX10" i="4"/>
  <c r="O57" i="3"/>
  <c r="VR10" i="4"/>
  <c r="VN10" i="4"/>
  <c r="VJ10" i="4"/>
  <c r="VF10" i="4"/>
  <c r="VB10" i="4"/>
  <c r="UX10" i="4"/>
  <c r="UT10" i="4"/>
  <c r="UP10" i="4"/>
  <c r="UL10" i="4"/>
  <c r="UH10" i="4"/>
  <c r="UD10" i="4"/>
  <c r="TZ10" i="4"/>
  <c r="TV10" i="4"/>
  <c r="TR10" i="4"/>
  <c r="TN10" i="4"/>
  <c r="TJ10" i="4"/>
  <c r="TF10" i="4"/>
  <c r="TB10" i="4"/>
  <c r="SX10" i="4"/>
  <c r="ST10" i="4"/>
  <c r="SP10" i="4"/>
  <c r="SL10" i="4"/>
  <c r="SH10" i="4"/>
  <c r="SD10" i="4"/>
  <c r="RZ10" i="4"/>
  <c r="RV10" i="4"/>
  <c r="RR10" i="4"/>
  <c r="RN10" i="4"/>
  <c r="RJ10" i="4"/>
  <c r="RF10" i="4"/>
  <c r="RB10" i="4"/>
  <c r="QX10" i="4"/>
  <c r="QT10" i="4"/>
  <c r="CW11" i="4"/>
  <c r="T58" i="3"/>
  <c r="EF12" i="4"/>
  <c r="AA59" i="3"/>
  <c r="BD13" i="4"/>
  <c r="K83" i="3"/>
  <c r="CW13" i="4"/>
  <c r="T83" i="3"/>
  <c r="DB14" i="4"/>
  <c r="DC14" i="4" s="1"/>
  <c r="U81" i="3"/>
  <c r="CC15" i="4"/>
  <c r="P50" i="3"/>
  <c r="P51" i="3" s="1"/>
  <c r="BN16" i="4"/>
  <c r="BO16" i="4" s="1"/>
  <c r="M84" i="3"/>
  <c r="CR17" i="4"/>
  <c r="S85" i="3"/>
  <c r="CR18" i="4"/>
  <c r="S60" i="3"/>
  <c r="BS19" i="4"/>
  <c r="BT19" i="4" s="1"/>
  <c r="N61" i="3"/>
  <c r="EF20" i="4"/>
  <c r="AA73" i="3"/>
  <c r="EF22" i="4"/>
  <c r="AA62" i="3"/>
  <c r="BD23" i="4"/>
  <c r="K86" i="3"/>
  <c r="BX23" i="4"/>
  <c r="O86" i="3"/>
  <c r="EU23" i="4"/>
  <c r="AD86" i="3"/>
  <c r="CR28" i="4"/>
  <c r="CS28" i="4" s="1"/>
  <c r="S92" i="3"/>
  <c r="KO9" i="4"/>
  <c r="JY9" i="4"/>
  <c r="JI9" i="4"/>
  <c r="IS9" i="4"/>
  <c r="IC9" i="4"/>
  <c r="HM9" i="4"/>
  <c r="GW9" i="4"/>
  <c r="GG9" i="4"/>
  <c r="KS9" i="4"/>
  <c r="KC9" i="4"/>
  <c r="JM9" i="4"/>
  <c r="IW9" i="4"/>
  <c r="IG9" i="4"/>
  <c r="HQ9" i="4"/>
  <c r="HA9" i="4"/>
  <c r="GK9" i="4"/>
  <c r="KW9" i="4"/>
  <c r="KG9" i="4"/>
  <c r="JQ9" i="4"/>
  <c r="JA9" i="4"/>
  <c r="IK9" i="4"/>
  <c r="HU9" i="4"/>
  <c r="HE9" i="4"/>
  <c r="GO9" i="4"/>
  <c r="FY9" i="4"/>
  <c r="LA9" i="4"/>
  <c r="KK9" i="4"/>
  <c r="JU9" i="4"/>
  <c r="JE9" i="4"/>
  <c r="IO9" i="4"/>
  <c r="HY9" i="4"/>
  <c r="HI9" i="4"/>
  <c r="GS9" i="4"/>
  <c r="GC9" i="4"/>
  <c r="LA13" i="4"/>
  <c r="KS13" i="4"/>
  <c r="KK13" i="4"/>
  <c r="KC13" i="4"/>
  <c r="JU13" i="4"/>
  <c r="JM13" i="4"/>
  <c r="JE13" i="4"/>
  <c r="IW13" i="4"/>
  <c r="IO13" i="4"/>
  <c r="IG13" i="4"/>
  <c r="HY13" i="4"/>
  <c r="HQ13" i="4"/>
  <c r="HI13" i="4"/>
  <c r="HA13" i="4"/>
  <c r="GS13" i="4"/>
  <c r="GK13" i="4"/>
  <c r="GC13" i="4"/>
  <c r="KW13" i="4"/>
  <c r="KO13" i="4"/>
  <c r="KG13" i="4"/>
  <c r="JY13" i="4"/>
  <c r="JQ13" i="4"/>
  <c r="JI13" i="4"/>
  <c r="JA13" i="4"/>
  <c r="IS13" i="4"/>
  <c r="IK13" i="4"/>
  <c r="IC13" i="4"/>
  <c r="HU13" i="4"/>
  <c r="HM13" i="4"/>
  <c r="HE13" i="4"/>
  <c r="GW13" i="4"/>
  <c r="GO13" i="4"/>
  <c r="GG13" i="4"/>
  <c r="FY13" i="4"/>
  <c r="LA14" i="4"/>
  <c r="KW14" i="4"/>
  <c r="KS14" i="4"/>
  <c r="KO14" i="4"/>
  <c r="KK14" i="4"/>
  <c r="KG14" i="4"/>
  <c r="KC14" i="4"/>
  <c r="JY14" i="4"/>
  <c r="JU14" i="4"/>
  <c r="JQ14" i="4"/>
  <c r="JM14" i="4"/>
  <c r="JI14" i="4"/>
  <c r="JE14" i="4"/>
  <c r="JA14" i="4"/>
  <c r="IW14" i="4"/>
  <c r="IS14" i="4"/>
  <c r="IO14" i="4"/>
  <c r="IK14" i="4"/>
  <c r="IG14" i="4"/>
  <c r="IC14" i="4"/>
  <c r="HY14" i="4"/>
  <c r="HU14" i="4"/>
  <c r="HQ14" i="4"/>
  <c r="HM14" i="4"/>
  <c r="HI14" i="4"/>
  <c r="HE14" i="4"/>
  <c r="HA14" i="4"/>
  <c r="GW14" i="4"/>
  <c r="GS14" i="4"/>
  <c r="GO14" i="4"/>
  <c r="GK14" i="4"/>
  <c r="GG14" i="4"/>
  <c r="GC14" i="4"/>
  <c r="FY14" i="4"/>
  <c r="EF39" i="4"/>
  <c r="EG39" i="4" s="1"/>
  <c r="AA75" i="3"/>
  <c r="AA77" i="3" s="1"/>
  <c r="VR39" i="4"/>
  <c r="VN39" i="4"/>
  <c r="VJ39" i="4"/>
  <c r="VF39" i="4"/>
  <c r="VB39" i="4"/>
  <c r="UX39" i="4"/>
  <c r="UT39" i="4"/>
  <c r="UP39" i="4"/>
  <c r="UL39" i="4"/>
  <c r="UH39" i="4"/>
  <c r="UD39" i="4"/>
  <c r="TZ39" i="4"/>
  <c r="TV39" i="4"/>
  <c r="TR39" i="4"/>
  <c r="TN39" i="4"/>
  <c r="TJ39" i="4"/>
  <c r="TF39" i="4"/>
  <c r="TB39" i="4"/>
  <c r="SX39" i="4"/>
  <c r="ST39" i="4"/>
  <c r="SP39" i="4"/>
  <c r="SL39" i="4"/>
  <c r="SH39" i="4"/>
  <c r="SD39" i="4"/>
  <c r="RZ39" i="4"/>
  <c r="RV39" i="4"/>
  <c r="RR39" i="4"/>
  <c r="RN39" i="4"/>
  <c r="RJ39" i="4"/>
  <c r="RF39" i="4"/>
  <c r="RB39" i="4"/>
  <c r="QX39" i="4"/>
  <c r="QT39" i="4"/>
  <c r="J40" i="1"/>
  <c r="BX40" i="4"/>
  <c r="BY40" i="4" s="1"/>
  <c r="O76" i="3"/>
  <c r="S40" i="1"/>
  <c r="EU40" i="4"/>
  <c r="AD76" i="3"/>
  <c r="QP40" i="4"/>
  <c r="N41" i="1"/>
  <c r="LE12" i="4"/>
  <c r="LE13" i="4"/>
  <c r="LE14" i="4"/>
  <c r="LE15" i="4"/>
  <c r="LE16" i="4"/>
  <c r="E17" i="3"/>
  <c r="J17" i="3"/>
  <c r="P17" i="3"/>
  <c r="U17" i="3"/>
  <c r="Z17" i="3"/>
  <c r="AF17" i="3"/>
  <c r="D19" i="3"/>
  <c r="L19" i="3"/>
  <c r="T19" i="3"/>
  <c r="AB19" i="3"/>
  <c r="AK19" i="3"/>
  <c r="AG20" i="3"/>
  <c r="AC20" i="3"/>
  <c r="Y20" i="3"/>
  <c r="U20" i="3"/>
  <c r="Q20" i="3"/>
  <c r="M20" i="3"/>
  <c r="I20" i="3"/>
  <c r="E20" i="3"/>
  <c r="A20" i="3"/>
  <c r="AI20" i="3"/>
  <c r="AE20" i="3"/>
  <c r="AA20" i="3"/>
  <c r="W20" i="3"/>
  <c r="S20" i="3"/>
  <c r="O20" i="3"/>
  <c r="K20" i="3"/>
  <c r="G20" i="3"/>
  <c r="C20" i="3"/>
  <c r="H21" i="3"/>
  <c r="P21" i="3"/>
  <c r="X21" i="3"/>
  <c r="AF21" i="3"/>
  <c r="D23" i="3"/>
  <c r="L23" i="3"/>
  <c r="T23" i="3"/>
  <c r="AB23" i="3"/>
  <c r="AK23" i="3"/>
  <c r="AG24" i="3"/>
  <c r="AC24" i="3"/>
  <c r="Y24" i="3"/>
  <c r="U24" i="3"/>
  <c r="Q24" i="3"/>
  <c r="M24" i="3"/>
  <c r="I24" i="3"/>
  <c r="E24" i="3"/>
  <c r="A24" i="3"/>
  <c r="AI24" i="3"/>
  <c r="AE24" i="3"/>
  <c r="AA24" i="3"/>
  <c r="W24" i="3"/>
  <c r="S24" i="3"/>
  <c r="O24" i="3"/>
  <c r="K24" i="3"/>
  <c r="G24" i="3"/>
  <c r="C24" i="3"/>
  <c r="H25" i="3"/>
  <c r="P25" i="3"/>
  <c r="X25" i="3"/>
  <c r="AF25" i="3"/>
  <c r="D27" i="3"/>
  <c r="L27" i="3"/>
  <c r="T27" i="3"/>
  <c r="AB27" i="3"/>
  <c r="AK27" i="3"/>
  <c r="AG28" i="3"/>
  <c r="AC28" i="3"/>
  <c r="Y28" i="3"/>
  <c r="U28" i="3"/>
  <c r="Q28" i="3"/>
  <c r="M28" i="3"/>
  <c r="I28" i="3"/>
  <c r="E28" i="3"/>
  <c r="A28" i="3"/>
  <c r="AI28" i="3"/>
  <c r="AE28" i="3"/>
  <c r="AA28" i="3"/>
  <c r="W28" i="3"/>
  <c r="S28" i="3"/>
  <c r="O28" i="3"/>
  <c r="K28" i="3"/>
  <c r="G28" i="3"/>
  <c r="C28" i="3"/>
  <c r="AK37" i="3"/>
  <c r="AK40" i="3"/>
  <c r="AK42" i="3"/>
  <c r="QG17" i="4"/>
  <c r="QC17" i="4"/>
  <c r="PY17" i="4"/>
  <c r="PU17" i="4"/>
  <c r="PQ17" i="4"/>
  <c r="PM17" i="4"/>
  <c r="PI17" i="4"/>
  <c r="PE17" i="4"/>
  <c r="PA17" i="4"/>
  <c r="OW17" i="4"/>
  <c r="OS17" i="4"/>
  <c r="OO17" i="4"/>
  <c r="OK17" i="4"/>
  <c r="OG17" i="4"/>
  <c r="OC17" i="4"/>
  <c r="NY17" i="4"/>
  <c r="NU17" i="4"/>
  <c r="NQ17" i="4"/>
  <c r="NM17" i="4"/>
  <c r="NI17" i="4"/>
  <c r="NE17" i="4"/>
  <c r="NA17" i="4"/>
  <c r="MW17" i="4"/>
  <c r="MS17" i="4"/>
  <c r="MO17" i="4"/>
  <c r="MK17" i="4"/>
  <c r="MG17" i="4"/>
  <c r="MC17" i="4"/>
  <c r="LY17" i="4"/>
  <c r="LU17" i="4"/>
  <c r="LQ17" i="4"/>
  <c r="LM17" i="4"/>
  <c r="LI17" i="4"/>
  <c r="QG18" i="4"/>
  <c r="QC18" i="4"/>
  <c r="PY18" i="4"/>
  <c r="PU18" i="4"/>
  <c r="PQ18" i="4"/>
  <c r="PM18" i="4"/>
  <c r="PI18" i="4"/>
  <c r="PE18" i="4"/>
  <c r="PA18" i="4"/>
  <c r="OW18" i="4"/>
  <c r="OS18" i="4"/>
  <c r="OO18" i="4"/>
  <c r="OK18" i="4"/>
  <c r="OG18" i="4"/>
  <c r="OC18" i="4"/>
  <c r="NY18" i="4"/>
  <c r="NU18" i="4"/>
  <c r="NQ18" i="4"/>
  <c r="NM18" i="4"/>
  <c r="NI18" i="4"/>
  <c r="NE18" i="4"/>
  <c r="NA18" i="4"/>
  <c r="MW18" i="4"/>
  <c r="MS18" i="4"/>
  <c r="MO18" i="4"/>
  <c r="MK18" i="4"/>
  <c r="MG18" i="4"/>
  <c r="MC18" i="4"/>
  <c r="LY18" i="4"/>
  <c r="LU18" i="4"/>
  <c r="LQ18" i="4"/>
  <c r="LM18" i="4"/>
  <c r="LI18" i="4"/>
  <c r="PY19" i="4"/>
  <c r="PI19" i="4"/>
  <c r="OS19" i="4"/>
  <c r="OC19" i="4"/>
  <c r="NM19" i="4"/>
  <c r="MW19" i="4"/>
  <c r="MG19" i="4"/>
  <c r="LQ19" i="4"/>
  <c r="QC19" i="4"/>
  <c r="PM19" i="4"/>
  <c r="OW19" i="4"/>
  <c r="OG19" i="4"/>
  <c r="NQ19" i="4"/>
  <c r="NA19" i="4"/>
  <c r="MK19" i="4"/>
  <c r="LU19" i="4"/>
  <c r="QG19" i="4"/>
  <c r="PQ19" i="4"/>
  <c r="PA19" i="4"/>
  <c r="OK19" i="4"/>
  <c r="NU19" i="4"/>
  <c r="NE19" i="4"/>
  <c r="MO19" i="4"/>
  <c r="LY19" i="4"/>
  <c r="LI19" i="4"/>
  <c r="PU19" i="4"/>
  <c r="PE19" i="4"/>
  <c r="OO19" i="4"/>
  <c r="NY19" i="4"/>
  <c r="NI19" i="4"/>
  <c r="MS19" i="4"/>
  <c r="MC19" i="4"/>
  <c r="LM19" i="4"/>
  <c r="QG20" i="4"/>
  <c r="PY20" i="4"/>
  <c r="PQ20" i="4"/>
  <c r="PI20" i="4"/>
  <c r="PA20" i="4"/>
  <c r="OS20" i="4"/>
  <c r="OK20" i="4"/>
  <c r="OC20" i="4"/>
  <c r="NU20" i="4"/>
  <c r="NM20" i="4"/>
  <c r="NE20" i="4"/>
  <c r="MW20" i="4"/>
  <c r="MO20" i="4"/>
  <c r="MG20" i="4"/>
  <c r="LY20" i="4"/>
  <c r="LQ20" i="4"/>
  <c r="LI20" i="4"/>
  <c r="QC20" i="4"/>
  <c r="PU20" i="4"/>
  <c r="PM20" i="4"/>
  <c r="PE20" i="4"/>
  <c r="OW20" i="4"/>
  <c r="OO20" i="4"/>
  <c r="OG20" i="4"/>
  <c r="NY20" i="4"/>
  <c r="NQ20" i="4"/>
  <c r="NI20" i="4"/>
  <c r="NA20" i="4"/>
  <c r="MS20" i="4"/>
  <c r="MK20" i="4"/>
  <c r="MC20" i="4"/>
  <c r="LU20" i="4"/>
  <c r="LM20" i="4"/>
  <c r="QG21" i="4"/>
  <c r="QC21" i="4"/>
  <c r="PY21" i="4"/>
  <c r="PU21" i="4"/>
  <c r="PQ21" i="4"/>
  <c r="PM21" i="4"/>
  <c r="PI21" i="4"/>
  <c r="PE21" i="4"/>
  <c r="PA21" i="4"/>
  <c r="OW21" i="4"/>
  <c r="OS21" i="4"/>
  <c r="OO21" i="4"/>
  <c r="OK21" i="4"/>
  <c r="OG21" i="4"/>
  <c r="OC21" i="4"/>
  <c r="NY21" i="4"/>
  <c r="NU21" i="4"/>
  <c r="NQ21" i="4"/>
  <c r="NM21" i="4"/>
  <c r="NI21" i="4"/>
  <c r="NE21" i="4"/>
  <c r="NA21" i="4"/>
  <c r="MW21" i="4"/>
  <c r="MS21" i="4"/>
  <c r="MO21" i="4"/>
  <c r="MK21" i="4"/>
  <c r="MG21" i="4"/>
  <c r="LQ21" i="4"/>
  <c r="MC21" i="4"/>
  <c r="LM21" i="4"/>
  <c r="LY21" i="4"/>
  <c r="LI21" i="4"/>
  <c r="LU21" i="4"/>
  <c r="QG22" i="4"/>
  <c r="QC22" i="4"/>
  <c r="PY22" i="4"/>
  <c r="PU22" i="4"/>
  <c r="PQ22" i="4"/>
  <c r="PM22" i="4"/>
  <c r="PI22" i="4"/>
  <c r="PE22" i="4"/>
  <c r="PA22" i="4"/>
  <c r="OW22" i="4"/>
  <c r="OS22" i="4"/>
  <c r="OO22" i="4"/>
  <c r="OK22" i="4"/>
  <c r="OG22" i="4"/>
  <c r="OC22" i="4"/>
  <c r="NY22" i="4"/>
  <c r="NU22" i="4"/>
  <c r="NQ22" i="4"/>
  <c r="NM22" i="4"/>
  <c r="NI22" i="4"/>
  <c r="NE22" i="4"/>
  <c r="NA22" i="4"/>
  <c r="MW22" i="4"/>
  <c r="MS22" i="4"/>
  <c r="MO22" i="4"/>
  <c r="MK22" i="4"/>
  <c r="MG22" i="4"/>
  <c r="MC22" i="4"/>
  <c r="LY22" i="4"/>
  <c r="LU22" i="4"/>
  <c r="LQ22" i="4"/>
  <c r="LM22" i="4"/>
  <c r="LI22" i="4"/>
  <c r="QG23" i="4"/>
  <c r="QC23" i="4"/>
  <c r="PY23" i="4"/>
  <c r="PU23" i="4"/>
  <c r="PQ23" i="4"/>
  <c r="PM23" i="4"/>
  <c r="PI23" i="4"/>
  <c r="PE23" i="4"/>
  <c r="PA23" i="4"/>
  <c r="OW23" i="4"/>
  <c r="OS23" i="4"/>
  <c r="OO23" i="4"/>
  <c r="OK23" i="4"/>
  <c r="OG23" i="4"/>
  <c r="OC23" i="4"/>
  <c r="NY23" i="4"/>
  <c r="NU23" i="4"/>
  <c r="NQ23" i="4"/>
  <c r="NM23" i="4"/>
  <c r="NI23" i="4"/>
  <c r="NE23" i="4"/>
  <c r="NA23" i="4"/>
  <c r="MW23" i="4"/>
  <c r="MS23" i="4"/>
  <c r="MO23" i="4"/>
  <c r="MK23" i="4"/>
  <c r="MG23" i="4"/>
  <c r="MC23" i="4"/>
  <c r="LY23" i="4"/>
  <c r="LU23" i="4"/>
  <c r="LQ23" i="4"/>
  <c r="LM23" i="4"/>
  <c r="LI23" i="4"/>
  <c r="QC24" i="4"/>
  <c r="PM24" i="4"/>
  <c r="OW24" i="4"/>
  <c r="OG24" i="4"/>
  <c r="NQ24" i="4"/>
  <c r="NA24" i="4"/>
  <c r="MK24" i="4"/>
  <c r="LU24" i="4"/>
  <c r="QG24" i="4"/>
  <c r="PQ24" i="4"/>
  <c r="PA24" i="4"/>
  <c r="OK24" i="4"/>
  <c r="NU24" i="4"/>
  <c r="NE24" i="4"/>
  <c r="MO24" i="4"/>
  <c r="LY24" i="4"/>
  <c r="LI24" i="4"/>
  <c r="PU24" i="4"/>
  <c r="PE24" i="4"/>
  <c r="OO24" i="4"/>
  <c r="NY24" i="4"/>
  <c r="NI24" i="4"/>
  <c r="MS24" i="4"/>
  <c r="MC24" i="4"/>
  <c r="LM24" i="4"/>
  <c r="PY24" i="4"/>
  <c r="PI24" i="4"/>
  <c r="OS24" i="4"/>
  <c r="OC24" i="4"/>
  <c r="NM24" i="4"/>
  <c r="MW24" i="4"/>
  <c r="MG24" i="4"/>
  <c r="LQ24" i="4"/>
  <c r="PU25" i="4"/>
  <c r="PE25" i="4"/>
  <c r="OO25" i="4"/>
  <c r="NY25" i="4"/>
  <c r="NI25" i="4"/>
  <c r="MS25" i="4"/>
  <c r="MC25" i="4"/>
  <c r="LM25" i="4"/>
  <c r="QG25" i="4"/>
  <c r="PQ25" i="4"/>
  <c r="PA25" i="4"/>
  <c r="OK25" i="4"/>
  <c r="NU25" i="4"/>
  <c r="NE25" i="4"/>
  <c r="MO25" i="4"/>
  <c r="LY25" i="4"/>
  <c r="LI25" i="4"/>
  <c r="QC25" i="4"/>
  <c r="PM25" i="4"/>
  <c r="OW25" i="4"/>
  <c r="OG25" i="4"/>
  <c r="NQ25" i="4"/>
  <c r="NA25" i="4"/>
  <c r="MK25" i="4"/>
  <c r="LU25" i="4"/>
  <c r="PY25" i="4"/>
  <c r="PI25" i="4"/>
  <c r="OS25" i="4"/>
  <c r="OC25" i="4"/>
  <c r="NM25" i="4"/>
  <c r="MW25" i="4"/>
  <c r="MG25" i="4"/>
  <c r="LQ25" i="4"/>
  <c r="QG26" i="4"/>
  <c r="QC26" i="4"/>
  <c r="PY26" i="4"/>
  <c r="PU26" i="4"/>
  <c r="PQ26" i="4"/>
  <c r="PM26" i="4"/>
  <c r="PI26" i="4"/>
  <c r="PE26" i="4"/>
  <c r="PA26" i="4"/>
  <c r="OW26" i="4"/>
  <c r="OS26" i="4"/>
  <c r="OO26" i="4"/>
  <c r="OK26" i="4"/>
  <c r="OG26" i="4"/>
  <c r="OC26" i="4"/>
  <c r="NY26" i="4"/>
  <c r="NU26" i="4"/>
  <c r="NQ26" i="4"/>
  <c r="NM26" i="4"/>
  <c r="NI26" i="4"/>
  <c r="NE26" i="4"/>
  <c r="NA26" i="4"/>
  <c r="MW26" i="4"/>
  <c r="MS26" i="4"/>
  <c r="MO26" i="4"/>
  <c r="MK26" i="4"/>
  <c r="MG26" i="4"/>
  <c r="MC26" i="4"/>
  <c r="LY26" i="4"/>
  <c r="LU26" i="4"/>
  <c r="LQ26" i="4"/>
  <c r="LM26" i="4"/>
  <c r="LI26" i="4"/>
  <c r="QG27" i="4"/>
  <c r="QC27" i="4"/>
  <c r="PY27" i="4"/>
  <c r="PU27" i="4"/>
  <c r="PQ27" i="4"/>
  <c r="PM27" i="4"/>
  <c r="PI27" i="4"/>
  <c r="PE27" i="4"/>
  <c r="PA27" i="4"/>
  <c r="OW27" i="4"/>
  <c r="OS27" i="4"/>
  <c r="OO27" i="4"/>
  <c r="OK27" i="4"/>
  <c r="OG27" i="4"/>
  <c r="OC27" i="4"/>
  <c r="NY27" i="4"/>
  <c r="NU27" i="4"/>
  <c r="NQ27" i="4"/>
  <c r="NM27" i="4"/>
  <c r="NI27" i="4"/>
  <c r="NE27" i="4"/>
  <c r="NA27" i="4"/>
  <c r="MW27" i="4"/>
  <c r="MS27" i="4"/>
  <c r="MO27" i="4"/>
  <c r="MK27" i="4"/>
  <c r="MG27" i="4"/>
  <c r="MC27" i="4"/>
  <c r="LY27" i="4"/>
  <c r="LU27" i="4"/>
  <c r="LQ27" i="4"/>
  <c r="LM27" i="4"/>
  <c r="LI27" i="4"/>
  <c r="QG28" i="4"/>
  <c r="QC28" i="4"/>
  <c r="PY28" i="4"/>
  <c r="PU28" i="4"/>
  <c r="PQ28" i="4"/>
  <c r="PM28" i="4"/>
  <c r="PI28" i="4"/>
  <c r="PE28" i="4"/>
  <c r="PA28" i="4"/>
  <c r="OW28" i="4"/>
  <c r="OS28" i="4"/>
  <c r="OO28" i="4"/>
  <c r="OK28" i="4"/>
  <c r="OG28" i="4"/>
  <c r="OC28" i="4"/>
  <c r="NY28" i="4"/>
  <c r="NU28" i="4"/>
  <c r="NQ28" i="4"/>
  <c r="NM28" i="4"/>
  <c r="NI28" i="4"/>
  <c r="NE28" i="4"/>
  <c r="NA28" i="4"/>
  <c r="MW28" i="4"/>
  <c r="MS28" i="4"/>
  <c r="MO28" i="4"/>
  <c r="MK28" i="4"/>
  <c r="MG28" i="4"/>
  <c r="MC28" i="4"/>
  <c r="LY28" i="4"/>
  <c r="LU28" i="4"/>
  <c r="LQ28" i="4"/>
  <c r="LM28" i="4"/>
  <c r="LI28" i="4"/>
  <c r="C29" i="3"/>
  <c r="G29" i="3"/>
  <c r="K29" i="3"/>
  <c r="O29" i="3"/>
  <c r="S29" i="3"/>
  <c r="W29" i="3"/>
  <c r="AA29" i="3"/>
  <c r="AE29" i="3"/>
  <c r="AI29" i="3"/>
  <c r="PY29" i="4"/>
  <c r="PI29" i="4"/>
  <c r="OS29" i="4"/>
  <c r="OC29" i="4"/>
  <c r="NM29" i="4"/>
  <c r="MW29" i="4"/>
  <c r="MG29" i="4"/>
  <c r="LQ29" i="4"/>
  <c r="QC29" i="4"/>
  <c r="PM29" i="4"/>
  <c r="OW29" i="4"/>
  <c r="OG29" i="4"/>
  <c r="NQ29" i="4"/>
  <c r="NA29" i="4"/>
  <c r="MK29" i="4"/>
  <c r="LU29" i="4"/>
  <c r="QG29" i="4"/>
  <c r="PQ29" i="4"/>
  <c r="PA29" i="4"/>
  <c r="OK29" i="4"/>
  <c r="NU29" i="4"/>
  <c r="NE29" i="4"/>
  <c r="MO29" i="4"/>
  <c r="LY29" i="4"/>
  <c r="LI29" i="4"/>
  <c r="PU29" i="4"/>
  <c r="PE29" i="4"/>
  <c r="OO29" i="4"/>
  <c r="NY29" i="4"/>
  <c r="NI29" i="4"/>
  <c r="MS29" i="4"/>
  <c r="MC29" i="4"/>
  <c r="LM29" i="4"/>
  <c r="C30" i="3"/>
  <c r="G30" i="3"/>
  <c r="K30" i="3"/>
  <c r="O30" i="3"/>
  <c r="S30" i="3"/>
  <c r="W30" i="3"/>
  <c r="AA30" i="3"/>
  <c r="AE30" i="3"/>
  <c r="AI30" i="3"/>
  <c r="QG30" i="4"/>
  <c r="PY30" i="4"/>
  <c r="PQ30" i="4"/>
  <c r="PI30" i="4"/>
  <c r="PA30" i="4"/>
  <c r="OS30" i="4"/>
  <c r="OK30" i="4"/>
  <c r="OC30" i="4"/>
  <c r="NU30" i="4"/>
  <c r="NM30" i="4"/>
  <c r="NE30" i="4"/>
  <c r="MW30" i="4"/>
  <c r="MO30" i="4"/>
  <c r="MG30" i="4"/>
  <c r="LY30" i="4"/>
  <c r="LQ30" i="4"/>
  <c r="LI30" i="4"/>
  <c r="QC30" i="4"/>
  <c r="PU30" i="4"/>
  <c r="PM30" i="4"/>
  <c r="PE30" i="4"/>
  <c r="OW30" i="4"/>
  <c r="OO30" i="4"/>
  <c r="OG30" i="4"/>
  <c r="NY30" i="4"/>
  <c r="NQ30" i="4"/>
  <c r="NI30" i="4"/>
  <c r="NA30" i="4"/>
  <c r="MS30" i="4"/>
  <c r="MK30" i="4"/>
  <c r="MC30" i="4"/>
  <c r="LU30" i="4"/>
  <c r="LM30" i="4"/>
  <c r="C31" i="3"/>
  <c r="G31" i="3"/>
  <c r="K31" i="3"/>
  <c r="O31" i="3"/>
  <c r="S31" i="3"/>
  <c r="W31" i="3"/>
  <c r="AA31" i="3"/>
  <c r="AE31" i="3"/>
  <c r="AI31" i="3"/>
  <c r="QG31" i="4"/>
  <c r="QC31" i="4"/>
  <c r="PY31" i="4"/>
  <c r="PU31" i="4"/>
  <c r="PQ31" i="4"/>
  <c r="PM31" i="4"/>
  <c r="PI31" i="4"/>
  <c r="PE31" i="4"/>
  <c r="PA31" i="4"/>
  <c r="OW31" i="4"/>
  <c r="OS31" i="4"/>
  <c r="OO31" i="4"/>
  <c r="OK31" i="4"/>
  <c r="OG31" i="4"/>
  <c r="OC31" i="4"/>
  <c r="NY31" i="4"/>
  <c r="NU31" i="4"/>
  <c r="NQ31" i="4"/>
  <c r="NM31" i="4"/>
  <c r="NI31" i="4"/>
  <c r="NE31" i="4"/>
  <c r="NA31" i="4"/>
  <c r="MW31" i="4"/>
  <c r="MS31" i="4"/>
  <c r="MO31" i="4"/>
  <c r="MK31" i="4"/>
  <c r="MG31" i="4"/>
  <c r="MC31" i="4"/>
  <c r="LY31" i="4"/>
  <c r="LU31" i="4"/>
  <c r="LQ31" i="4"/>
  <c r="LM31" i="4"/>
  <c r="LI31" i="4"/>
  <c r="C32" i="3"/>
  <c r="G32" i="3"/>
  <c r="K32" i="3"/>
  <c r="O32" i="3"/>
  <c r="S32" i="3"/>
  <c r="W32" i="3"/>
  <c r="AA32" i="3"/>
  <c r="AE32" i="3"/>
  <c r="AI32" i="3"/>
  <c r="QC32" i="4"/>
  <c r="PU32" i="4"/>
  <c r="PM32" i="4"/>
  <c r="PE32" i="4"/>
  <c r="OW32" i="4"/>
  <c r="OO32" i="4"/>
  <c r="OG32" i="4"/>
  <c r="NY32" i="4"/>
  <c r="NQ32" i="4"/>
  <c r="NI32" i="4"/>
  <c r="NA32" i="4"/>
  <c r="MS32" i="4"/>
  <c r="MK32" i="4"/>
  <c r="MC32" i="4"/>
  <c r="LU32" i="4"/>
  <c r="LM32" i="4"/>
  <c r="QG32" i="4"/>
  <c r="PY32" i="4"/>
  <c r="PQ32" i="4"/>
  <c r="PI32" i="4"/>
  <c r="PA32" i="4"/>
  <c r="OS32" i="4"/>
  <c r="OK32" i="4"/>
  <c r="OC32" i="4"/>
  <c r="NU32" i="4"/>
  <c r="NM32" i="4"/>
  <c r="NE32" i="4"/>
  <c r="MW32" i="4"/>
  <c r="MO32" i="4"/>
  <c r="MG32" i="4"/>
  <c r="LY32" i="4"/>
  <c r="LQ32" i="4"/>
  <c r="LI32" i="4"/>
  <c r="C33" i="3"/>
  <c r="G33" i="3"/>
  <c r="K33" i="3"/>
  <c r="O33" i="3"/>
  <c r="S33" i="3"/>
  <c r="W33" i="3"/>
  <c r="AA33" i="3"/>
  <c r="AE33" i="3"/>
  <c r="AI33" i="3"/>
  <c r="QG33" i="4"/>
  <c r="QC33" i="4"/>
  <c r="PY33" i="4"/>
  <c r="PU33" i="4"/>
  <c r="PQ33" i="4"/>
  <c r="PM33" i="4"/>
  <c r="PI33" i="4"/>
  <c r="PE33" i="4"/>
  <c r="PA33" i="4"/>
  <c r="OW33" i="4"/>
  <c r="OS33" i="4"/>
  <c r="OO33" i="4"/>
  <c r="OK33" i="4"/>
  <c r="OG33" i="4"/>
  <c r="OC33" i="4"/>
  <c r="NY33" i="4"/>
  <c r="NU33" i="4"/>
  <c r="NQ33" i="4"/>
  <c r="NM33" i="4"/>
  <c r="NI33" i="4"/>
  <c r="NE33" i="4"/>
  <c r="NA33" i="4"/>
  <c r="MW33" i="4"/>
  <c r="MS33" i="4"/>
  <c r="MO33" i="4"/>
  <c r="MK33" i="4"/>
  <c r="MG33" i="4"/>
  <c r="MC33" i="4"/>
  <c r="LY33" i="4"/>
  <c r="LU33" i="4"/>
  <c r="LQ33" i="4"/>
  <c r="LM33" i="4"/>
  <c r="LI33" i="4"/>
  <c r="C34" i="3"/>
  <c r="G34" i="3"/>
  <c r="K34" i="3"/>
  <c r="O34" i="3"/>
  <c r="S34" i="3"/>
  <c r="W34" i="3"/>
  <c r="AA34" i="3"/>
  <c r="AE34" i="3"/>
  <c r="AI34" i="3"/>
  <c r="QG34" i="4"/>
  <c r="QC34" i="4"/>
  <c r="PY34" i="4"/>
  <c r="PU34" i="4"/>
  <c r="PQ34" i="4"/>
  <c r="PM34" i="4"/>
  <c r="PI34" i="4"/>
  <c r="PE34" i="4"/>
  <c r="PA34" i="4"/>
  <c r="OW34" i="4"/>
  <c r="OS34" i="4"/>
  <c r="NU34" i="4"/>
  <c r="NQ34" i="4"/>
  <c r="NM34" i="4"/>
  <c r="NI34" i="4"/>
  <c r="NE34" i="4"/>
  <c r="NA34" i="4"/>
  <c r="MW34" i="4"/>
  <c r="MS34" i="4"/>
  <c r="MO34" i="4"/>
  <c r="MK34" i="4"/>
  <c r="MG34" i="4"/>
  <c r="MC34" i="4"/>
  <c r="LY34" i="4"/>
  <c r="LU34" i="4"/>
  <c r="LQ34" i="4"/>
  <c r="LM34" i="4"/>
  <c r="LI34" i="4"/>
  <c r="OK34" i="4"/>
  <c r="NY34" i="4"/>
  <c r="OC34" i="4"/>
  <c r="OO34" i="4"/>
  <c r="OG34" i="4"/>
  <c r="C35" i="3"/>
  <c r="G35" i="3"/>
  <c r="K35" i="3"/>
  <c r="O35" i="3"/>
  <c r="S35" i="3"/>
  <c r="W35" i="3"/>
  <c r="AA35" i="3"/>
  <c r="AE35" i="3"/>
  <c r="AI35" i="3"/>
  <c r="QG35" i="4"/>
  <c r="PY35" i="4"/>
  <c r="PQ35" i="4"/>
  <c r="PI35" i="4"/>
  <c r="PA35" i="4"/>
  <c r="OS35" i="4"/>
  <c r="OK35" i="4"/>
  <c r="OC35" i="4"/>
  <c r="NU35" i="4"/>
  <c r="NM35" i="4"/>
  <c r="NE35" i="4"/>
  <c r="MW35" i="4"/>
  <c r="MO35" i="4"/>
  <c r="MG35" i="4"/>
  <c r="LY35" i="4"/>
  <c r="LQ35" i="4"/>
  <c r="LI35" i="4"/>
  <c r="QC35" i="4"/>
  <c r="PU35" i="4"/>
  <c r="PM35" i="4"/>
  <c r="PE35" i="4"/>
  <c r="OW35" i="4"/>
  <c r="OO35" i="4"/>
  <c r="OG35" i="4"/>
  <c r="NY35" i="4"/>
  <c r="NQ35" i="4"/>
  <c r="NI35" i="4"/>
  <c r="NA35" i="4"/>
  <c r="MS35" i="4"/>
  <c r="MK35" i="4"/>
  <c r="MC35" i="4"/>
  <c r="LU35" i="4"/>
  <c r="LM35" i="4"/>
  <c r="C36" i="3"/>
  <c r="G36" i="3"/>
  <c r="K36" i="3"/>
  <c r="O36" i="3"/>
  <c r="S36" i="3"/>
  <c r="W36" i="3"/>
  <c r="AA36" i="3"/>
  <c r="AE36" i="3"/>
  <c r="AI36" i="3"/>
  <c r="QC36" i="4"/>
  <c r="PM36" i="4"/>
  <c r="OW36" i="4"/>
  <c r="OG36" i="4"/>
  <c r="NQ36" i="4"/>
  <c r="NA36" i="4"/>
  <c r="MK36" i="4"/>
  <c r="LU36" i="4"/>
  <c r="PY36" i="4"/>
  <c r="PI36" i="4"/>
  <c r="OS36" i="4"/>
  <c r="OC36" i="4"/>
  <c r="NM36" i="4"/>
  <c r="MW36" i="4"/>
  <c r="MG36" i="4"/>
  <c r="LQ36" i="4"/>
  <c r="PU36" i="4"/>
  <c r="PE36" i="4"/>
  <c r="OO36" i="4"/>
  <c r="NY36" i="4"/>
  <c r="NI36" i="4"/>
  <c r="MS36" i="4"/>
  <c r="MC36" i="4"/>
  <c r="LM36" i="4"/>
  <c r="QG36" i="4"/>
  <c r="PQ36" i="4"/>
  <c r="PA36" i="4"/>
  <c r="OK36" i="4"/>
  <c r="NU36" i="4"/>
  <c r="NE36" i="4"/>
  <c r="MO36" i="4"/>
  <c r="LY36" i="4"/>
  <c r="LI36" i="4"/>
  <c r="C37" i="3"/>
  <c r="G37" i="3"/>
  <c r="K37" i="3"/>
  <c r="O37" i="3"/>
  <c r="S37" i="3"/>
  <c r="W37" i="3"/>
  <c r="AA37" i="3"/>
  <c r="AE37" i="3"/>
  <c r="AI37" i="3"/>
  <c r="QG37" i="4"/>
  <c r="QC37" i="4"/>
  <c r="PY37" i="4"/>
  <c r="PU37" i="4"/>
  <c r="PQ37" i="4"/>
  <c r="PM37" i="4"/>
  <c r="PI37" i="4"/>
  <c r="PE37" i="4"/>
  <c r="PA37" i="4"/>
  <c r="OW37" i="4"/>
  <c r="OS37" i="4"/>
  <c r="OO37" i="4"/>
  <c r="OK37" i="4"/>
  <c r="OG37" i="4"/>
  <c r="OC37" i="4"/>
  <c r="NY37" i="4"/>
  <c r="NU37" i="4"/>
  <c r="NQ37" i="4"/>
  <c r="NM37" i="4"/>
  <c r="NI37" i="4"/>
  <c r="NE37" i="4"/>
  <c r="NA37" i="4"/>
  <c r="MW37" i="4"/>
  <c r="MS37" i="4"/>
  <c r="MO37" i="4"/>
  <c r="MK37" i="4"/>
  <c r="MG37" i="4"/>
  <c r="MC37" i="4"/>
  <c r="LY37" i="4"/>
  <c r="LU37" i="4"/>
  <c r="LQ37" i="4"/>
  <c r="LM37" i="4"/>
  <c r="LI37" i="4"/>
  <c r="C38" i="3"/>
  <c r="G38" i="3"/>
  <c r="K38" i="3"/>
  <c r="O38" i="3"/>
  <c r="S38" i="3"/>
  <c r="W38" i="3"/>
  <c r="AA38" i="3"/>
  <c r="AE38" i="3"/>
  <c r="AI38" i="3"/>
  <c r="QG38" i="4"/>
  <c r="PQ38" i="4"/>
  <c r="PA38" i="4"/>
  <c r="OK38" i="4"/>
  <c r="QC38" i="4"/>
  <c r="PM38" i="4"/>
  <c r="OW38" i="4"/>
  <c r="OG38" i="4"/>
  <c r="NU38" i="4"/>
  <c r="NM38" i="4"/>
  <c r="NE38" i="4"/>
  <c r="MW38" i="4"/>
  <c r="MO38" i="4"/>
  <c r="MG38" i="4"/>
  <c r="LY38" i="4"/>
  <c r="LQ38" i="4"/>
  <c r="LI38" i="4"/>
  <c r="PY38" i="4"/>
  <c r="PI38" i="4"/>
  <c r="OS38" i="4"/>
  <c r="OC38" i="4"/>
  <c r="PU38" i="4"/>
  <c r="PE38" i="4"/>
  <c r="OO38" i="4"/>
  <c r="NY38" i="4"/>
  <c r="NQ38" i="4"/>
  <c r="NI38" i="4"/>
  <c r="NA38" i="4"/>
  <c r="MS38" i="4"/>
  <c r="MK38" i="4"/>
  <c r="MC38" i="4"/>
  <c r="LU38" i="4"/>
  <c r="LM38" i="4"/>
  <c r="C39" i="3"/>
  <c r="G39" i="3"/>
  <c r="K39" i="3"/>
  <c r="O39" i="3"/>
  <c r="S39" i="3"/>
  <c r="W39" i="3"/>
  <c r="AA39" i="3"/>
  <c r="AE39" i="3"/>
  <c r="AI39" i="3"/>
  <c r="QG39" i="4"/>
  <c r="PY39" i="4"/>
  <c r="PQ39" i="4"/>
  <c r="PI39" i="4"/>
  <c r="PA39" i="4"/>
  <c r="OS39" i="4"/>
  <c r="OK39" i="4"/>
  <c r="OC39" i="4"/>
  <c r="NU39" i="4"/>
  <c r="NM39" i="4"/>
  <c r="NE39" i="4"/>
  <c r="MW39" i="4"/>
  <c r="MO39" i="4"/>
  <c r="MG39" i="4"/>
  <c r="LY39" i="4"/>
  <c r="LQ39" i="4"/>
  <c r="LI39" i="4"/>
  <c r="QC39" i="4"/>
  <c r="PU39" i="4"/>
  <c r="PM39" i="4"/>
  <c r="PE39" i="4"/>
  <c r="OW39" i="4"/>
  <c r="OO39" i="4"/>
  <c r="OG39" i="4"/>
  <c r="NY39" i="4"/>
  <c r="NQ39" i="4"/>
  <c r="NI39" i="4"/>
  <c r="NA39" i="4"/>
  <c r="MS39" i="4"/>
  <c r="MK39" i="4"/>
  <c r="MC39" i="4"/>
  <c r="LU39" i="4"/>
  <c r="LM39" i="4"/>
  <c r="C40" i="3"/>
  <c r="G40" i="3"/>
  <c r="K40" i="3"/>
  <c r="O40" i="3"/>
  <c r="S40" i="3"/>
  <c r="W40" i="3"/>
  <c r="AA40" i="3"/>
  <c r="AE40" i="3"/>
  <c r="PY40" i="4"/>
  <c r="PI40" i="4"/>
  <c r="OS40" i="4"/>
  <c r="OC40" i="4"/>
  <c r="NM40" i="4"/>
  <c r="MW40" i="4"/>
  <c r="MG40" i="4"/>
  <c r="LQ40" i="4"/>
  <c r="QC40" i="4"/>
  <c r="PM40" i="4"/>
  <c r="OW40" i="4"/>
  <c r="OG40" i="4"/>
  <c r="NQ40" i="4"/>
  <c r="NA40" i="4"/>
  <c r="MK40" i="4"/>
  <c r="LU40" i="4"/>
  <c r="QG40" i="4"/>
  <c r="PQ40" i="4"/>
  <c r="PA40" i="4"/>
  <c r="OK40" i="4"/>
  <c r="NU40" i="4"/>
  <c r="NE40" i="4"/>
  <c r="MO40" i="4"/>
  <c r="LY40" i="4"/>
  <c r="LI40" i="4"/>
  <c r="PU40" i="4"/>
  <c r="PE40" i="4"/>
  <c r="OO40" i="4"/>
  <c r="NY40" i="4"/>
  <c r="NI40" i="4"/>
  <c r="MS40" i="4"/>
  <c r="MC40" i="4"/>
  <c r="LM40" i="4"/>
  <c r="C41" i="3"/>
  <c r="G41" i="3"/>
  <c r="K41" i="3"/>
  <c r="O41" i="3"/>
  <c r="S41" i="3"/>
  <c r="W41" i="3"/>
  <c r="AA41" i="3"/>
  <c r="AE41" i="3"/>
  <c r="QG41" i="4"/>
  <c r="PY41" i="4"/>
  <c r="PQ41" i="4"/>
  <c r="PI41" i="4"/>
  <c r="PA41" i="4"/>
  <c r="OS41" i="4"/>
  <c r="PE41" i="4"/>
  <c r="OK41" i="4"/>
  <c r="OC41" i="4"/>
  <c r="NU41" i="4"/>
  <c r="NM41" i="4"/>
  <c r="NE41" i="4"/>
  <c r="MW41" i="4"/>
  <c r="MO41" i="4"/>
  <c r="MG41" i="4"/>
  <c r="LY41" i="4"/>
  <c r="LQ41" i="4"/>
  <c r="LI41" i="4"/>
  <c r="PM41" i="4"/>
  <c r="PU41" i="4"/>
  <c r="OO41" i="4"/>
  <c r="OG41" i="4"/>
  <c r="NY41" i="4"/>
  <c r="NQ41" i="4"/>
  <c r="NI41" i="4"/>
  <c r="NA41" i="4"/>
  <c r="MS41" i="4"/>
  <c r="MK41" i="4"/>
  <c r="MC41" i="4"/>
  <c r="LU41" i="4"/>
  <c r="LM41" i="4"/>
  <c r="QC41" i="4"/>
  <c r="OW41" i="4"/>
  <c r="C42" i="3"/>
  <c r="G42" i="3"/>
  <c r="K42" i="3"/>
  <c r="O42" i="3"/>
  <c r="S42" i="3"/>
  <c r="W42" i="3"/>
  <c r="AA42" i="3"/>
  <c r="AE42" i="3"/>
  <c r="PU42" i="4"/>
  <c r="PI42" i="4"/>
  <c r="OO42" i="4"/>
  <c r="OC42" i="4"/>
  <c r="NI42" i="4"/>
  <c r="MW42" i="4"/>
  <c r="OS42" i="4"/>
  <c r="OG42" i="4"/>
  <c r="NQ42" i="4"/>
  <c r="MO42" i="4"/>
  <c r="MC42" i="4"/>
  <c r="LI42" i="4"/>
  <c r="QG42" i="4"/>
  <c r="PQ42" i="4"/>
  <c r="PE42" i="4"/>
  <c r="NM42" i="4"/>
  <c r="NA42" i="4"/>
  <c r="MK42" i="4"/>
  <c r="LQ42" i="4"/>
  <c r="QC42" i="4"/>
  <c r="PA42" i="4"/>
  <c r="OK42" i="4"/>
  <c r="NY42" i="4"/>
  <c r="LY42" i="4"/>
  <c r="LM42" i="4"/>
  <c r="PY42" i="4"/>
  <c r="PM42" i="4"/>
  <c r="OW42" i="4"/>
  <c r="NU42" i="4"/>
  <c r="NE42" i="4"/>
  <c r="MS42" i="4"/>
  <c r="MG42" i="4"/>
  <c r="LU42" i="4"/>
  <c r="C43" i="3"/>
  <c r="G43" i="3"/>
  <c r="K43" i="3"/>
  <c r="O43" i="3"/>
  <c r="S43" i="3"/>
  <c r="W43" i="3"/>
  <c r="AA43" i="3"/>
  <c r="AE43" i="3"/>
  <c r="AI43" i="3"/>
  <c r="L40" i="4"/>
  <c r="L39" i="4"/>
  <c r="L36" i="4"/>
  <c r="L34" i="4"/>
  <c r="L33" i="4"/>
  <c r="L31" i="4"/>
  <c r="L28" i="4"/>
  <c r="L27" i="4"/>
  <c r="L23" i="4"/>
  <c r="L22" i="4"/>
  <c r="L26" i="4"/>
  <c r="L25" i="4"/>
  <c r="L21" i="4"/>
  <c r="L13" i="4"/>
  <c r="L12" i="4"/>
  <c r="L11" i="4"/>
  <c r="AF40" i="4"/>
  <c r="AF39" i="4"/>
  <c r="AF36" i="4"/>
  <c r="AG35" i="4"/>
  <c r="AF35" i="4"/>
  <c r="AF34" i="4"/>
  <c r="AG34" i="4"/>
  <c r="AF33" i="4"/>
  <c r="AF31" i="4"/>
  <c r="AF28" i="4"/>
  <c r="AF27" i="4"/>
  <c r="AF23" i="4"/>
  <c r="AF22" i="4"/>
  <c r="AF26" i="4"/>
  <c r="AF25" i="4"/>
  <c r="AF21" i="4"/>
  <c r="AF13" i="4"/>
  <c r="AF12" i="4"/>
  <c r="AF11" i="4"/>
  <c r="CN40" i="4"/>
  <c r="CN39" i="4"/>
  <c r="CO37" i="4"/>
  <c r="CN36" i="4"/>
  <c r="CN35" i="4"/>
  <c r="CN34" i="4"/>
  <c r="CN32" i="4"/>
  <c r="CN31" i="4"/>
  <c r="CN33" i="4"/>
  <c r="CN30" i="4"/>
  <c r="CN28" i="4"/>
  <c r="CN27" i="4"/>
  <c r="CN26" i="4"/>
  <c r="CN23" i="4"/>
  <c r="CN22" i="4"/>
  <c r="CN24" i="4"/>
  <c r="CN21" i="4"/>
  <c r="CN16" i="4"/>
  <c r="CN13" i="4"/>
  <c r="CN12" i="4"/>
  <c r="CN11" i="4"/>
  <c r="EB40" i="4"/>
  <c r="EB39" i="4"/>
  <c r="EB36" i="4"/>
  <c r="EB35" i="4"/>
  <c r="EB34" i="4"/>
  <c r="EB31" i="4"/>
  <c r="EB32" i="4"/>
  <c r="EB33" i="4"/>
  <c r="EB30" i="4"/>
  <c r="EB28" i="4"/>
  <c r="EB27" i="4"/>
  <c r="EB26" i="4"/>
  <c r="EB23" i="4"/>
  <c r="EB22" i="4"/>
  <c r="EB25" i="4"/>
  <c r="EC24" i="4"/>
  <c r="EB21" i="4"/>
  <c r="EB19" i="4"/>
  <c r="EC15" i="4"/>
  <c r="EB9" i="4"/>
  <c r="FP35" i="4"/>
  <c r="FP34" i="4"/>
  <c r="FP33" i="4"/>
  <c r="FP31" i="4"/>
  <c r="FP32" i="4"/>
  <c r="FP30" i="4"/>
  <c r="FP28" i="4"/>
  <c r="FP26" i="4"/>
  <c r="FQ22" i="4"/>
  <c r="FP23" i="4"/>
  <c r="FP22" i="4"/>
  <c r="FP25" i="4"/>
  <c r="FP21" i="4"/>
  <c r="FP19" i="4"/>
  <c r="FQ20" i="4"/>
  <c r="FP9" i="4"/>
  <c r="FP8" i="4"/>
  <c r="G5" i="4"/>
  <c r="H5" i="4" s="1"/>
  <c r="I5" i="4" s="1"/>
  <c r="AA5" i="4"/>
  <c r="AU5" i="4"/>
  <c r="FK5" i="4"/>
  <c r="G6" i="4"/>
  <c r="AA6" i="4"/>
  <c r="AU6" i="4"/>
  <c r="FK6" i="4"/>
  <c r="L7" i="4"/>
  <c r="AF7" i="4"/>
  <c r="CN7" i="4"/>
  <c r="Q8" i="4"/>
  <c r="AK8" i="4"/>
  <c r="EB8" i="4"/>
  <c r="QL8" i="4"/>
  <c r="Q9" i="4"/>
  <c r="AK9" i="4"/>
  <c r="EB11" i="4"/>
  <c r="Q38" i="4"/>
  <c r="Q36" i="4"/>
  <c r="Q35" i="4"/>
  <c r="Q31" i="4"/>
  <c r="Q25" i="4"/>
  <c r="AK38" i="4"/>
  <c r="AK36" i="4"/>
  <c r="AK35" i="4"/>
  <c r="AK31" i="4"/>
  <c r="AK25" i="4"/>
  <c r="DM38" i="4"/>
  <c r="DM35" i="4"/>
  <c r="DM32" i="4"/>
  <c r="DM31" i="4"/>
  <c r="DM24" i="4"/>
  <c r="DM19" i="4"/>
  <c r="DM20" i="4"/>
  <c r="DM9" i="4"/>
  <c r="DM10" i="4"/>
  <c r="QL37" i="4"/>
  <c r="QL35" i="4"/>
  <c r="QL34" i="4"/>
  <c r="QL28" i="4"/>
  <c r="QL31" i="4"/>
  <c r="QL30" i="4"/>
  <c r="QL23" i="4"/>
  <c r="QL18" i="4"/>
  <c r="QL15" i="4"/>
  <c r="H6" i="4"/>
  <c r="L6" i="4"/>
  <c r="M39" i="4" s="1"/>
  <c r="AB6" i="4"/>
  <c r="AF6" i="4"/>
  <c r="AG37" i="4" s="1"/>
  <c r="CN6" i="4"/>
  <c r="CO35" i="4" s="1"/>
  <c r="EB6" i="4"/>
  <c r="EC36" i="4" s="1"/>
  <c r="FP6" i="4"/>
  <c r="FQ40" i="4" s="1"/>
  <c r="EB7" i="4"/>
  <c r="FF7" i="4"/>
  <c r="FK7" i="4"/>
  <c r="QL7" i="4"/>
  <c r="CN8" i="4"/>
  <c r="CO7" i="4" s="1"/>
  <c r="EB10" i="4"/>
  <c r="FP12" i="4"/>
  <c r="FP13" i="4"/>
  <c r="A29" i="3"/>
  <c r="E29" i="3"/>
  <c r="I29" i="3"/>
  <c r="M29" i="3"/>
  <c r="Q29" i="3"/>
  <c r="U29" i="3"/>
  <c r="Y29" i="3"/>
  <c r="AC29" i="3"/>
  <c r="A30" i="3"/>
  <c r="E30" i="3"/>
  <c r="I30" i="3"/>
  <c r="M30" i="3"/>
  <c r="Q30" i="3"/>
  <c r="U30" i="3"/>
  <c r="Y30" i="3"/>
  <c r="AC30" i="3"/>
  <c r="A31" i="3"/>
  <c r="E31" i="3"/>
  <c r="I31" i="3"/>
  <c r="M31" i="3"/>
  <c r="Q31" i="3"/>
  <c r="U31" i="3"/>
  <c r="Y31" i="3"/>
  <c r="AC31" i="3"/>
  <c r="A32" i="3"/>
  <c r="E32" i="3"/>
  <c r="I32" i="3"/>
  <c r="M32" i="3"/>
  <c r="Q32" i="3"/>
  <c r="U32" i="3"/>
  <c r="Y32" i="3"/>
  <c r="AC32" i="3"/>
  <c r="A33" i="3"/>
  <c r="E33" i="3"/>
  <c r="I33" i="3"/>
  <c r="M33" i="3"/>
  <c r="Q33" i="3"/>
  <c r="U33" i="3"/>
  <c r="Y33" i="3"/>
  <c r="AC33" i="3"/>
  <c r="A34" i="3"/>
  <c r="E34" i="3"/>
  <c r="I34" i="3"/>
  <c r="M34" i="3"/>
  <c r="Q34" i="3"/>
  <c r="U34" i="3"/>
  <c r="Y34" i="3"/>
  <c r="AC34" i="3"/>
  <c r="A35" i="3"/>
  <c r="E35" i="3"/>
  <c r="I35" i="3"/>
  <c r="M35" i="3"/>
  <c r="Q35" i="3"/>
  <c r="U35" i="3"/>
  <c r="Y35" i="3"/>
  <c r="AC35" i="3"/>
  <c r="A36" i="3"/>
  <c r="E36" i="3"/>
  <c r="I36" i="3"/>
  <c r="M36" i="3"/>
  <c r="Q36" i="3"/>
  <c r="U36" i="3"/>
  <c r="Y36" i="3"/>
  <c r="AC36" i="3"/>
  <c r="A37" i="3"/>
  <c r="E37" i="3"/>
  <c r="I37" i="3"/>
  <c r="M37" i="3"/>
  <c r="Q37" i="3"/>
  <c r="U37" i="3"/>
  <c r="Y37" i="3"/>
  <c r="AC37" i="3"/>
  <c r="A38" i="3"/>
  <c r="E38" i="3"/>
  <c r="I38" i="3"/>
  <c r="M38" i="3"/>
  <c r="Q38" i="3"/>
  <c r="U38" i="3"/>
  <c r="Y38" i="3"/>
  <c r="AC38" i="3"/>
  <c r="A39" i="3"/>
  <c r="E39" i="3"/>
  <c r="I39" i="3"/>
  <c r="M39" i="3"/>
  <c r="Q39" i="3"/>
  <c r="U39" i="3"/>
  <c r="Y39" i="3"/>
  <c r="AC39" i="3"/>
  <c r="E43" i="3"/>
  <c r="I43" i="3"/>
  <c r="M43" i="3"/>
  <c r="Q43" i="3"/>
  <c r="U43" i="3"/>
  <c r="Y43" i="3"/>
  <c r="AC43" i="3"/>
  <c r="AG43" i="3"/>
  <c r="B112" i="4"/>
  <c r="B111" i="4"/>
  <c r="B66" i="4"/>
  <c r="B107" i="4"/>
  <c r="B103" i="4"/>
  <c r="B99" i="4"/>
  <c r="B95" i="4"/>
  <c r="B91" i="4"/>
  <c r="B87" i="4"/>
  <c r="B83" i="4"/>
  <c r="B79" i="4"/>
  <c r="B75" i="4"/>
  <c r="B71" i="4"/>
  <c r="B67" i="4"/>
  <c r="B104" i="4"/>
  <c r="B64" i="4"/>
  <c r="B108" i="4"/>
  <c r="B100" i="4"/>
  <c r="B96" i="4"/>
  <c r="B92" i="4"/>
  <c r="B88" i="4"/>
  <c r="B84" i="4"/>
  <c r="B80" i="4"/>
  <c r="B76" i="4"/>
  <c r="B72" i="4"/>
  <c r="B68" i="4"/>
  <c r="B62" i="4"/>
  <c r="B58" i="4"/>
  <c r="B54" i="4"/>
  <c r="B50" i="4"/>
  <c r="B46" i="4"/>
  <c r="B41" i="4"/>
  <c r="B40" i="4"/>
  <c r="B39" i="4"/>
  <c r="B29" i="4"/>
  <c r="Q4" i="4"/>
  <c r="R37" i="4" s="1"/>
  <c r="V40" i="4"/>
  <c r="V39" i="4"/>
  <c r="W35" i="4"/>
  <c r="V29" i="4"/>
  <c r="AK4" i="4"/>
  <c r="AL40" i="4" s="1"/>
  <c r="AP40" i="4"/>
  <c r="AP39" i="4"/>
  <c r="AP29" i="4"/>
  <c r="DM4" i="4"/>
  <c r="DN39" i="4" s="1"/>
  <c r="EL39" i="4"/>
  <c r="FV4" i="4"/>
  <c r="FW4" i="4" s="1"/>
  <c r="QL4" i="4"/>
  <c r="QM38" i="4" s="1"/>
  <c r="M5" i="4"/>
  <c r="N5" i="4" s="1"/>
  <c r="CO5" i="4"/>
  <c r="CP5" i="4" s="1"/>
  <c r="M6" i="4"/>
  <c r="CO6" i="4"/>
  <c r="B7" i="4"/>
  <c r="C40" i="4" s="1"/>
  <c r="V7" i="4"/>
  <c r="AP7" i="4"/>
  <c r="DM7" i="4"/>
  <c r="B8" i="4"/>
  <c r="L8" i="4"/>
  <c r="V8" i="4"/>
  <c r="AF8" i="4"/>
  <c r="AG6" i="4" s="1"/>
  <c r="AP8" i="4"/>
  <c r="L10" i="4"/>
  <c r="AF10" i="4"/>
  <c r="CN10" i="4"/>
  <c r="FP11" i="4"/>
  <c r="B43" i="3"/>
  <c r="F43" i="3"/>
  <c r="J43" i="3"/>
  <c r="N43" i="3"/>
  <c r="R43" i="3"/>
  <c r="V43" i="3"/>
  <c r="Z43" i="3"/>
  <c r="AD43" i="3"/>
  <c r="B4" i="4"/>
  <c r="C101" i="4" s="1"/>
  <c r="G38" i="4"/>
  <c r="G37" i="4"/>
  <c r="G35" i="4"/>
  <c r="G34" i="4"/>
  <c r="G33" i="4"/>
  <c r="G31" i="4"/>
  <c r="G32" i="4"/>
  <c r="G30" i="4"/>
  <c r="G29" i="4"/>
  <c r="G27" i="4"/>
  <c r="G26" i="4"/>
  <c r="G24" i="4"/>
  <c r="G23" i="4"/>
  <c r="G22" i="4"/>
  <c r="G21" i="4"/>
  <c r="G25" i="4"/>
  <c r="G20" i="4"/>
  <c r="G19" i="4"/>
  <c r="G18" i="4"/>
  <c r="G17" i="4"/>
  <c r="G16" i="4"/>
  <c r="G15" i="4"/>
  <c r="G14" i="4"/>
  <c r="G9" i="4"/>
  <c r="G13" i="4"/>
  <c r="G12" i="4"/>
  <c r="G11" i="4"/>
  <c r="H11" i="4" s="1"/>
  <c r="G10" i="4"/>
  <c r="G8" i="4"/>
  <c r="H40" i="4" s="1"/>
  <c r="H7" i="4"/>
  <c r="R4" i="4"/>
  <c r="S4" i="4" s="1"/>
  <c r="V4" i="4"/>
  <c r="W6" i="4" s="1"/>
  <c r="AA38" i="4"/>
  <c r="AA37" i="4"/>
  <c r="AA35" i="4"/>
  <c r="AA34" i="4"/>
  <c r="AA33" i="4"/>
  <c r="AA31" i="4"/>
  <c r="AB33" i="4"/>
  <c r="AA32" i="4"/>
  <c r="AA30" i="4"/>
  <c r="AA29" i="4"/>
  <c r="AA27" i="4"/>
  <c r="AA26" i="4"/>
  <c r="AA24" i="4"/>
  <c r="AA23" i="4"/>
  <c r="AA22" i="4"/>
  <c r="AA21" i="4"/>
  <c r="AA25" i="4"/>
  <c r="AA20" i="4"/>
  <c r="AA19" i="4"/>
  <c r="AA18" i="4"/>
  <c r="AA17" i="4"/>
  <c r="AA16" i="4"/>
  <c r="AA15" i="4"/>
  <c r="AA14" i="4"/>
  <c r="AA9" i="4"/>
  <c r="AA13" i="4"/>
  <c r="AA12" i="4"/>
  <c r="AA11" i="4"/>
  <c r="AB11" i="4" s="1"/>
  <c r="AA10" i="4"/>
  <c r="AA8" i="4"/>
  <c r="AB8" i="4" s="1"/>
  <c r="AL4" i="4"/>
  <c r="AM4" i="4" s="1"/>
  <c r="AP4" i="4"/>
  <c r="AQ4" i="4" s="1"/>
  <c r="AR4" i="4" s="1"/>
  <c r="AU38" i="4"/>
  <c r="AU37" i="4"/>
  <c r="AV36" i="4"/>
  <c r="AU35" i="4"/>
  <c r="AU34" i="4"/>
  <c r="AU33" i="4"/>
  <c r="AU31" i="4"/>
  <c r="AU32" i="4"/>
  <c r="AU30" i="4"/>
  <c r="AU29" i="4"/>
  <c r="AU27" i="4"/>
  <c r="AU26" i="4"/>
  <c r="AV24" i="4"/>
  <c r="AU24" i="4"/>
  <c r="AV22" i="4"/>
  <c r="AU23" i="4"/>
  <c r="AU22" i="4"/>
  <c r="AU21" i="4"/>
  <c r="AU25" i="4"/>
  <c r="AU20" i="4"/>
  <c r="AU19" i="4"/>
  <c r="AU18" i="4"/>
  <c r="AU17" i="4"/>
  <c r="AU16" i="4"/>
  <c r="AU15" i="4"/>
  <c r="AU14" i="4"/>
  <c r="AU9" i="4"/>
  <c r="AV11" i="4"/>
  <c r="AU13" i="4"/>
  <c r="AU12" i="4"/>
  <c r="AU11" i="4"/>
  <c r="AU10" i="4"/>
  <c r="AU8" i="4"/>
  <c r="AV40" i="4" s="1"/>
  <c r="EL4" i="4"/>
  <c r="EM6" i="4" s="1"/>
  <c r="EQ40" i="4"/>
  <c r="FF4" i="4"/>
  <c r="FG40" i="4" s="1"/>
  <c r="FK38" i="4"/>
  <c r="FK35" i="4"/>
  <c r="FK37" i="4"/>
  <c r="FL35" i="4"/>
  <c r="FL34" i="4"/>
  <c r="FK34" i="4"/>
  <c r="FK33" i="4"/>
  <c r="FK32" i="4"/>
  <c r="FK31" i="4"/>
  <c r="FK30" i="4"/>
  <c r="FL30" i="4"/>
  <c r="FK26" i="4"/>
  <c r="FK25" i="4"/>
  <c r="FK24" i="4"/>
  <c r="FK23" i="4"/>
  <c r="FK22" i="4"/>
  <c r="FK21" i="4"/>
  <c r="FK19" i="4"/>
  <c r="FK18" i="4"/>
  <c r="FK20" i="4"/>
  <c r="FK17" i="4"/>
  <c r="FL16" i="4"/>
  <c r="FK15" i="4"/>
  <c r="FL17" i="4"/>
  <c r="FK16" i="4"/>
  <c r="FK9" i="4"/>
  <c r="FL39" i="4" s="1"/>
  <c r="FK14" i="4"/>
  <c r="FK13" i="4"/>
  <c r="FK12" i="4"/>
  <c r="FL11" i="4" s="1"/>
  <c r="FK11" i="4"/>
  <c r="FK10" i="4"/>
  <c r="FL7" i="4"/>
  <c r="R5" i="4"/>
  <c r="AL5" i="4"/>
  <c r="DN5" i="4"/>
  <c r="R6" i="4"/>
  <c r="AL6" i="4"/>
  <c r="DN6" i="4"/>
  <c r="C7" i="4"/>
  <c r="W7" i="4"/>
  <c r="FP7" i="4"/>
  <c r="FQ6" i="4" s="1"/>
  <c r="M8" i="4"/>
  <c r="L9" i="4"/>
  <c r="AF9" i="4"/>
  <c r="AG8" i="4" s="1"/>
  <c r="CN9" i="4"/>
  <c r="CO8" i="4" s="1"/>
  <c r="QL9" i="4"/>
  <c r="QM4" i="4" s="1"/>
  <c r="QN4" i="4" s="1"/>
  <c r="Q10" i="4"/>
  <c r="AK10" i="4"/>
  <c r="FP10" i="4"/>
  <c r="EB12" i="4"/>
  <c r="EC6" i="4" s="1"/>
  <c r="EB13" i="4"/>
  <c r="FF8" i="4"/>
  <c r="FG8" i="4" s="1"/>
  <c r="B11" i="4"/>
  <c r="V11" i="4"/>
  <c r="AP11" i="4"/>
  <c r="B12" i="4"/>
  <c r="V12" i="4"/>
  <c r="AP12" i="4"/>
  <c r="B13" i="4"/>
  <c r="V13" i="4"/>
  <c r="AP13" i="4"/>
  <c r="DM14" i="4"/>
  <c r="B15" i="4"/>
  <c r="V15" i="4"/>
  <c r="AP15" i="4"/>
  <c r="DM15" i="4"/>
  <c r="FP15" i="4"/>
  <c r="DM16" i="4"/>
  <c r="FP16" i="4"/>
  <c r="B9" i="4"/>
  <c r="V9" i="4"/>
  <c r="W32" i="4" s="1"/>
  <c r="AP9" i="4"/>
  <c r="AQ7" i="4" s="1"/>
  <c r="FF10" i="4"/>
  <c r="QL10" i="4"/>
  <c r="Q11" i="4"/>
  <c r="AK11" i="4"/>
  <c r="FF11" i="4"/>
  <c r="QL11" i="4"/>
  <c r="Q12" i="4"/>
  <c r="AK12" i="4"/>
  <c r="FF12" i="4"/>
  <c r="QL12" i="4"/>
  <c r="Q13" i="4"/>
  <c r="AK13" i="4"/>
  <c r="FF13" i="4"/>
  <c r="QL13" i="4"/>
  <c r="Q14" i="4"/>
  <c r="AK14" i="4"/>
  <c r="CN14" i="4"/>
  <c r="EB14" i="4"/>
  <c r="EB17" i="4"/>
  <c r="FF9" i="4"/>
  <c r="L15" i="4"/>
  <c r="AF15" i="4"/>
  <c r="CN15" i="4"/>
  <c r="EB15" i="4"/>
  <c r="FF15" i="4"/>
  <c r="L16" i="4"/>
  <c r="AF16" i="4"/>
  <c r="EB16" i="4"/>
  <c r="L17" i="4"/>
  <c r="AF17" i="4"/>
  <c r="CN17" i="4"/>
  <c r="B10" i="4"/>
  <c r="V10" i="4"/>
  <c r="AP10" i="4"/>
  <c r="DM11" i="4"/>
  <c r="DM12" i="4"/>
  <c r="DN4" i="4" s="1"/>
  <c r="DO4" i="4" s="1"/>
  <c r="DM13" i="4"/>
  <c r="B14" i="4"/>
  <c r="L14" i="4"/>
  <c r="V14" i="4"/>
  <c r="AF14" i="4"/>
  <c r="AP14" i="4"/>
  <c r="FF14" i="4"/>
  <c r="FP14" i="4"/>
  <c r="QL14" i="4"/>
  <c r="Q15" i="4"/>
  <c r="AK15" i="4"/>
  <c r="Q16" i="4"/>
  <c r="AK16" i="4"/>
  <c r="QL16" i="4"/>
  <c r="FP17" i="4"/>
  <c r="Q17" i="4"/>
  <c r="AK17" i="4"/>
  <c r="EB18" i="4"/>
  <c r="FF18" i="4"/>
  <c r="L19" i="4"/>
  <c r="AF19" i="4"/>
  <c r="CN19" i="4"/>
  <c r="QL19" i="4"/>
  <c r="Q20" i="4"/>
  <c r="AK20" i="4"/>
  <c r="L18" i="4"/>
  <c r="AF18" i="4"/>
  <c r="CN18" i="4"/>
  <c r="Q19" i="4"/>
  <c r="AK19" i="4"/>
  <c r="FP20" i="4"/>
  <c r="B16" i="4"/>
  <c r="V16" i="4"/>
  <c r="AP16" i="4"/>
  <c r="DM17" i="4"/>
  <c r="QL17" i="4"/>
  <c r="Q18" i="4"/>
  <c r="AK18" i="4"/>
  <c r="DM18" i="4"/>
  <c r="FP18" i="4"/>
  <c r="B19" i="4"/>
  <c r="V19" i="4"/>
  <c r="AP19" i="4"/>
  <c r="FF16" i="4"/>
  <c r="B17" i="4"/>
  <c r="V17" i="4"/>
  <c r="AP17" i="4"/>
  <c r="FF17" i="4"/>
  <c r="B18" i="4"/>
  <c r="V18" i="4"/>
  <c r="AP18" i="4"/>
  <c r="L20" i="4"/>
  <c r="AF20" i="4"/>
  <c r="CN20" i="4"/>
  <c r="EB20" i="4"/>
  <c r="QL20" i="4"/>
  <c r="B21" i="4"/>
  <c r="V21" i="4"/>
  <c r="AP21" i="4"/>
  <c r="B22" i="4"/>
  <c r="V22" i="4"/>
  <c r="AP22" i="4"/>
  <c r="EB24" i="4"/>
  <c r="CN25" i="4"/>
  <c r="FF19" i="4"/>
  <c r="DM21" i="4"/>
  <c r="FF22" i="4"/>
  <c r="FF23" i="4"/>
  <c r="L24" i="4"/>
  <c r="AF24" i="4"/>
  <c r="QL24" i="4"/>
  <c r="B20" i="4"/>
  <c r="V20" i="4"/>
  <c r="AP20" i="4"/>
  <c r="Q21" i="4"/>
  <c r="AK21" i="4"/>
  <c r="FF21" i="4"/>
  <c r="QL22" i="4"/>
  <c r="Q23" i="4"/>
  <c r="AK23" i="4"/>
  <c r="Q24" i="4"/>
  <c r="AK24" i="4"/>
  <c r="FP24" i="4"/>
  <c r="FF20" i="4"/>
  <c r="QL21" i="4"/>
  <c r="Q22" i="4"/>
  <c r="AK22" i="4"/>
  <c r="DM22" i="4"/>
  <c r="B23" i="4"/>
  <c r="V23" i="4"/>
  <c r="AP23" i="4"/>
  <c r="DM23" i="4"/>
  <c r="QL26" i="4"/>
  <c r="Q27" i="4"/>
  <c r="AK27" i="4"/>
  <c r="B28" i="4"/>
  <c r="V28" i="4"/>
  <c r="AP28" i="4"/>
  <c r="DM28" i="4"/>
  <c r="B24" i="4"/>
  <c r="V24" i="4"/>
  <c r="AP24" i="4"/>
  <c r="Q26" i="4"/>
  <c r="AK26" i="4"/>
  <c r="DM26" i="4"/>
  <c r="B27" i="4"/>
  <c r="V27" i="4"/>
  <c r="AP27" i="4"/>
  <c r="DM27" i="4"/>
  <c r="G28" i="4"/>
  <c r="AA28" i="4"/>
  <c r="AU28" i="4"/>
  <c r="FF28" i="4"/>
  <c r="FF24" i="4"/>
  <c r="DM25" i="4"/>
  <c r="FK28" i="4"/>
  <c r="B25" i="4"/>
  <c r="V25" i="4"/>
  <c r="AP25" i="4"/>
  <c r="FF25" i="4"/>
  <c r="QL25" i="4"/>
  <c r="B26" i="4"/>
  <c r="V26" i="4"/>
  <c r="AP26" i="4"/>
  <c r="FF26" i="4"/>
  <c r="Q28" i="4"/>
  <c r="AK28" i="4"/>
  <c r="L29" i="4"/>
  <c r="AF29" i="4"/>
  <c r="Q30" i="4"/>
  <c r="AK30" i="4"/>
  <c r="DM30" i="4"/>
  <c r="CN29" i="4"/>
  <c r="EB29" i="4"/>
  <c r="Q29" i="4"/>
  <c r="AK29" i="4"/>
  <c r="DM29" i="4"/>
  <c r="L30" i="4"/>
  <c r="AF30" i="4"/>
  <c r="FF31" i="4"/>
  <c r="Q32" i="4"/>
  <c r="AK32" i="4"/>
  <c r="FF33" i="4"/>
  <c r="FF34" i="4"/>
  <c r="FF30" i="4"/>
  <c r="B32" i="4"/>
  <c r="V32" i="4"/>
  <c r="AP32" i="4"/>
  <c r="Q33" i="4"/>
  <c r="AK33" i="4"/>
  <c r="B30" i="4"/>
  <c r="V30" i="4"/>
  <c r="AP30" i="4"/>
  <c r="V31" i="4"/>
  <c r="AP31" i="4"/>
  <c r="B31" i="4"/>
  <c r="L32" i="4"/>
  <c r="AF32" i="4"/>
  <c r="FF32" i="4"/>
  <c r="QL33" i="4"/>
  <c r="Q34" i="4"/>
  <c r="AK34" i="4"/>
  <c r="QL32" i="4"/>
  <c r="B33" i="4"/>
  <c r="V33" i="4"/>
  <c r="AP33" i="4"/>
  <c r="B34" i="4"/>
  <c r="V34" i="4"/>
  <c r="AP34" i="4"/>
  <c r="DM34" i="4"/>
  <c r="DM33" i="4"/>
  <c r="L35" i="4"/>
  <c r="DM36" i="4"/>
  <c r="EB37" i="4"/>
  <c r="FF35" i="4"/>
  <c r="L37" i="4"/>
  <c r="AF37" i="4"/>
  <c r="CN37" i="4"/>
  <c r="G36" i="4"/>
  <c r="AA36" i="4"/>
  <c r="AU36" i="4"/>
  <c r="Q37" i="4"/>
  <c r="AK37" i="4"/>
  <c r="DM37" i="4"/>
  <c r="FP37" i="4"/>
  <c r="B35" i="4"/>
  <c r="V35" i="4"/>
  <c r="AP35" i="4"/>
  <c r="B36" i="4"/>
  <c r="V36" i="4"/>
  <c r="AP36" i="4"/>
  <c r="B37" i="4"/>
  <c r="V37" i="4"/>
  <c r="AP37" i="4"/>
  <c r="FF37" i="4"/>
  <c r="L38" i="4"/>
  <c r="AF38" i="4"/>
  <c r="CN38" i="4"/>
  <c r="EB38" i="4"/>
  <c r="FF38" i="4"/>
  <c r="B38" i="4"/>
  <c r="V38" i="4"/>
  <c r="AP38" i="4"/>
  <c r="FP38" i="4"/>
  <c r="QL38" i="4"/>
  <c r="Q39" i="4"/>
  <c r="AK39" i="4"/>
  <c r="G39" i="4"/>
  <c r="AA39" i="4"/>
  <c r="AU39" i="4"/>
  <c r="EQ39" i="4"/>
  <c r="ER39" i="4" s="1"/>
  <c r="G40" i="4"/>
  <c r="AA40" i="4"/>
  <c r="AU40" i="4"/>
  <c r="Q40" i="4"/>
  <c r="AK40" i="4"/>
  <c r="DM39" i="4"/>
  <c r="DM40" i="4"/>
  <c r="EL40" i="4"/>
  <c r="EM7" i="4" s="1"/>
  <c r="B42" i="4"/>
  <c r="B43" i="4"/>
  <c r="B47" i="4"/>
  <c r="B51" i="4"/>
  <c r="B55" i="4"/>
  <c r="B59" i="4"/>
  <c r="B63" i="4"/>
  <c r="B44" i="4"/>
  <c r="B48" i="4"/>
  <c r="B52" i="4"/>
  <c r="B56" i="4"/>
  <c r="B60" i="4"/>
  <c r="B45" i="4"/>
  <c r="B49" i="4"/>
  <c r="B53" i="4"/>
  <c r="B57" i="4"/>
  <c r="B61" i="4"/>
  <c r="B69" i="4"/>
  <c r="B73" i="4"/>
  <c r="B77" i="4"/>
  <c r="B81" i="4"/>
  <c r="B85" i="4"/>
  <c r="B89" i="4"/>
  <c r="B93" i="4"/>
  <c r="B97" i="4"/>
  <c r="B114" i="4"/>
  <c r="B65" i="4"/>
  <c r="B70" i="4"/>
  <c r="B74" i="4"/>
  <c r="B78" i="4"/>
  <c r="B82" i="4"/>
  <c r="B86" i="4"/>
  <c r="B90" i="4"/>
  <c r="B94" i="4"/>
  <c r="B98" i="4"/>
  <c r="B102" i="4"/>
  <c r="B106" i="4"/>
  <c r="B110" i="4"/>
  <c r="B101" i="4"/>
  <c r="B105" i="4"/>
  <c r="B109" i="4"/>
  <c r="B113" i="4"/>
  <c r="DO5" i="4" l="1"/>
  <c r="DO6" i="4" s="1"/>
  <c r="CP6" i="4"/>
  <c r="CP7" i="4" s="1"/>
  <c r="CP8" i="4" s="1"/>
  <c r="N6" i="4"/>
  <c r="AS7" i="2"/>
  <c r="AT8" i="2" s="1"/>
  <c r="AS5" i="2"/>
  <c r="AT4" i="2" s="1"/>
  <c r="AS6" i="2"/>
  <c r="AS9" i="2" s="1"/>
  <c r="QO40" i="4"/>
  <c r="VS40" i="4" s="1"/>
  <c r="QO39" i="4"/>
  <c r="VS39" i="4" s="1"/>
  <c r="QO37" i="4"/>
  <c r="VS37" i="4" s="1"/>
  <c r="QO38" i="4"/>
  <c r="VS38" i="4" s="1"/>
  <c r="QO34" i="4"/>
  <c r="VS34" i="4" s="1"/>
  <c r="QO36" i="4"/>
  <c r="VS36" i="4" s="1"/>
  <c r="QO35" i="4"/>
  <c r="VS35" i="4" s="1"/>
  <c r="QO33" i="4"/>
  <c r="VS33" i="4" s="1"/>
  <c r="QO32" i="4"/>
  <c r="VS32" i="4" s="1"/>
  <c r="QO31" i="4"/>
  <c r="VS31" i="4" s="1"/>
  <c r="QO29" i="4"/>
  <c r="VS29" i="4" s="1"/>
  <c r="QO30" i="4"/>
  <c r="VS30" i="4" s="1"/>
  <c r="QO28" i="4"/>
  <c r="VS28" i="4" s="1"/>
  <c r="QO27" i="4"/>
  <c r="VS27" i="4" s="1"/>
  <c r="QO26" i="4"/>
  <c r="VS26" i="4" s="1"/>
  <c r="QO23" i="4"/>
  <c r="VS23" i="4" s="1"/>
  <c r="QO22" i="4"/>
  <c r="VS22" i="4" s="1"/>
  <c r="QO21" i="4"/>
  <c r="VS21" i="4" s="1"/>
  <c r="QO25" i="4"/>
  <c r="VS25" i="4" s="1"/>
  <c r="QO24" i="4"/>
  <c r="VS24" i="4" s="1"/>
  <c r="QO19" i="4"/>
  <c r="VS19" i="4" s="1"/>
  <c r="QO18" i="4"/>
  <c r="VS18" i="4" s="1"/>
  <c r="QO17" i="4"/>
  <c r="VS17" i="4" s="1"/>
  <c r="QO20" i="4"/>
  <c r="VS20" i="4" s="1"/>
  <c r="QO15" i="4"/>
  <c r="VS15" i="4" s="1"/>
  <c r="QO14" i="4"/>
  <c r="VS14" i="4" s="1"/>
  <c r="QO16" i="4"/>
  <c r="VS16" i="4" s="1"/>
  <c r="QO13" i="4"/>
  <c r="VS13" i="4" s="1"/>
  <c r="QO12" i="4"/>
  <c r="VS12" i="4" s="1"/>
  <c r="QO11" i="4"/>
  <c r="VS11" i="4" s="1"/>
  <c r="QO10" i="4"/>
  <c r="VS10" i="4" s="1"/>
  <c r="QO8" i="4"/>
  <c r="VS8" i="4" s="1"/>
  <c r="QO9" i="4"/>
  <c r="VS9" i="4" s="1"/>
  <c r="QO7" i="4"/>
  <c r="VS7" i="4" s="1"/>
  <c r="QO6" i="4"/>
  <c r="VS6" i="4" s="1"/>
  <c r="QO5" i="4"/>
  <c r="VS5" i="4" s="1"/>
  <c r="QO4" i="4"/>
  <c r="VS4" i="4" s="1"/>
  <c r="VT4" i="4" s="1"/>
  <c r="I6" i="4"/>
  <c r="I7" i="4" s="1"/>
  <c r="QM6" i="4"/>
  <c r="QM5" i="4"/>
  <c r="QN5" i="4" s="1"/>
  <c r="QN6" i="4" s="1"/>
  <c r="QN7" i="4" s="1"/>
  <c r="QN8" i="4" s="1"/>
  <c r="QN9" i="4" s="1"/>
  <c r="QN10" i="4" s="1"/>
  <c r="QN11" i="4" s="1"/>
  <c r="QN12" i="4" s="1"/>
  <c r="QN13" i="4" s="1"/>
  <c r="QN14" i="4" s="1"/>
  <c r="QN15" i="4" s="1"/>
  <c r="QN16" i="4" s="1"/>
  <c r="QN17" i="4" s="1"/>
  <c r="QN18" i="4" s="1"/>
  <c r="QN19" i="4" s="1"/>
  <c r="QN20" i="4" s="1"/>
  <c r="QN21" i="4" s="1"/>
  <c r="QN22" i="4" s="1"/>
  <c r="QN23" i="4" s="1"/>
  <c r="QN24" i="4" s="1"/>
  <c r="QN25" i="4" s="1"/>
  <c r="QN26" i="4" s="1"/>
  <c r="QN27" i="4" s="1"/>
  <c r="QN28" i="4" s="1"/>
  <c r="QN29" i="4" s="1"/>
  <c r="QN30" i="4" s="1"/>
  <c r="QN31" i="4" s="1"/>
  <c r="QN32" i="4" s="1"/>
  <c r="QN33" i="4" s="1"/>
  <c r="QN34" i="4" s="1"/>
  <c r="QN35" i="4" s="1"/>
  <c r="QN36" i="4" s="1"/>
  <c r="QN37" i="4" s="1"/>
  <c r="QN38" i="4" s="1"/>
  <c r="QN39" i="4" s="1"/>
  <c r="QN40" i="4" s="1"/>
  <c r="FL10" i="4"/>
  <c r="FL24" i="4"/>
  <c r="FL22" i="4"/>
  <c r="FL28" i="4"/>
  <c r="FL37" i="4"/>
  <c r="FL40" i="4"/>
  <c r="ER8" i="4"/>
  <c r="ER13" i="4"/>
  <c r="ER15" i="4"/>
  <c r="ER19" i="4"/>
  <c r="ER25" i="4"/>
  <c r="ER30" i="4"/>
  <c r="ER32" i="4"/>
  <c r="ER37" i="4"/>
  <c r="AV10" i="4"/>
  <c r="AV17" i="4"/>
  <c r="AV21" i="4"/>
  <c r="AV33" i="4"/>
  <c r="AV35" i="4"/>
  <c r="AB10" i="4"/>
  <c r="AB17" i="4"/>
  <c r="AB21" i="4"/>
  <c r="AB30" i="4"/>
  <c r="AB35" i="4"/>
  <c r="H10" i="4"/>
  <c r="H17" i="4"/>
  <c r="H21" i="4"/>
  <c r="H30" i="4"/>
  <c r="H35" i="4"/>
  <c r="EC7" i="4"/>
  <c r="FQ5" i="4"/>
  <c r="AG5" i="4"/>
  <c r="FG14" i="4"/>
  <c r="FG13" i="4"/>
  <c r="FG15" i="4"/>
  <c r="FG21" i="4"/>
  <c r="FG25" i="4"/>
  <c r="FG29" i="4"/>
  <c r="FG33" i="4"/>
  <c r="FG36" i="4"/>
  <c r="EM14" i="4"/>
  <c r="EM13" i="4"/>
  <c r="EM15" i="4"/>
  <c r="EM21" i="4"/>
  <c r="EM25" i="4"/>
  <c r="EM29" i="4"/>
  <c r="EM33" i="4"/>
  <c r="EM36" i="4"/>
  <c r="EM40" i="4"/>
  <c r="AQ14" i="4"/>
  <c r="AQ9" i="4"/>
  <c r="AQ18" i="4"/>
  <c r="AQ21" i="4"/>
  <c r="AQ26" i="4"/>
  <c r="AQ33" i="4"/>
  <c r="AQ36" i="4"/>
  <c r="AQ40" i="4"/>
  <c r="W10" i="4"/>
  <c r="W13" i="4"/>
  <c r="W16" i="4"/>
  <c r="W25" i="4"/>
  <c r="W24" i="4"/>
  <c r="W28" i="4"/>
  <c r="W31" i="4"/>
  <c r="W37" i="4"/>
  <c r="W39" i="4"/>
  <c r="C8" i="4"/>
  <c r="C12" i="4"/>
  <c r="C15" i="4"/>
  <c r="C20" i="4"/>
  <c r="C23" i="4"/>
  <c r="C27" i="4"/>
  <c r="C32" i="4"/>
  <c r="C35" i="4"/>
  <c r="C70" i="4"/>
  <c r="C78" i="4"/>
  <c r="C86" i="4"/>
  <c r="C94" i="4"/>
  <c r="C53" i="4"/>
  <c r="C79" i="4"/>
  <c r="C95" i="4"/>
  <c r="C103" i="4"/>
  <c r="C42" i="4"/>
  <c r="C50" i="4"/>
  <c r="C58" i="4"/>
  <c r="C44" i="4"/>
  <c r="C60" i="4"/>
  <c r="C76" i="4"/>
  <c r="C92" i="4"/>
  <c r="C108" i="4"/>
  <c r="C73" i="4"/>
  <c r="C89" i="4"/>
  <c r="C105" i="4"/>
  <c r="C114" i="4"/>
  <c r="H8" i="4"/>
  <c r="QM8" i="4"/>
  <c r="QM12" i="4"/>
  <c r="QM18" i="4"/>
  <c r="QM22" i="4"/>
  <c r="QM25" i="4"/>
  <c r="QM30" i="4"/>
  <c r="QM36" i="4"/>
  <c r="QM39" i="4"/>
  <c r="DN11" i="4"/>
  <c r="DN15" i="4"/>
  <c r="DN18" i="4"/>
  <c r="DN21" i="4"/>
  <c r="DN24" i="4"/>
  <c r="DN28" i="4"/>
  <c r="DN31" i="4"/>
  <c r="DN34" i="4"/>
  <c r="DN40" i="4"/>
  <c r="AL10" i="4"/>
  <c r="AL14" i="4"/>
  <c r="AL18" i="4"/>
  <c r="AL22" i="4"/>
  <c r="AL25" i="4"/>
  <c r="AL29" i="4"/>
  <c r="AL32" i="4"/>
  <c r="AL37" i="4"/>
  <c r="R7" i="4"/>
  <c r="R11" i="4"/>
  <c r="R15" i="4"/>
  <c r="R19" i="4"/>
  <c r="R23" i="4"/>
  <c r="R26" i="4"/>
  <c r="R33" i="4"/>
  <c r="R35" i="4"/>
  <c r="R38" i="4"/>
  <c r="FG5" i="4"/>
  <c r="AQ5" i="4"/>
  <c r="AR5" i="4" s="1"/>
  <c r="C5" i="4"/>
  <c r="FQ12" i="4"/>
  <c r="FQ17" i="4"/>
  <c r="FQ19" i="4"/>
  <c r="FQ23" i="4"/>
  <c r="FQ26" i="4"/>
  <c r="FQ30" i="4"/>
  <c r="FQ36" i="4"/>
  <c r="FQ39" i="4"/>
  <c r="EC8" i="4"/>
  <c r="EC11" i="4"/>
  <c r="EC22" i="4"/>
  <c r="EC28" i="4"/>
  <c r="EC31" i="4"/>
  <c r="EC32" i="4"/>
  <c r="EC37" i="4"/>
  <c r="EC39" i="4"/>
  <c r="CO10" i="4"/>
  <c r="CO13" i="4"/>
  <c r="CO18" i="4"/>
  <c r="CO25" i="4"/>
  <c r="CO27" i="4"/>
  <c r="CO36" i="4"/>
  <c r="AG10" i="4"/>
  <c r="AG13" i="4"/>
  <c r="AG18" i="4"/>
  <c r="AG24" i="4"/>
  <c r="AG27" i="4"/>
  <c r="AG31" i="4"/>
  <c r="AG33" i="4"/>
  <c r="AG38" i="4"/>
  <c r="AG40" i="4"/>
  <c r="M11" i="4"/>
  <c r="M15" i="4"/>
  <c r="M20" i="4"/>
  <c r="M25" i="4"/>
  <c r="M22" i="4"/>
  <c r="M30" i="4"/>
  <c r="M32" i="4"/>
  <c r="M37" i="4"/>
  <c r="BD40" i="4"/>
  <c r="K76" i="3"/>
  <c r="BY23" i="4"/>
  <c r="EG22" i="4"/>
  <c r="CS17" i="4"/>
  <c r="EG12" i="4"/>
  <c r="BY5" i="4"/>
  <c r="BT4" i="4"/>
  <c r="BU40" i="4" s="1"/>
  <c r="FQ4" i="4"/>
  <c r="FR4" i="4" s="1"/>
  <c r="CS40" i="4"/>
  <c r="BO39" i="4"/>
  <c r="DC37" i="4"/>
  <c r="DC30" i="4"/>
  <c r="DC25" i="4"/>
  <c r="AZ20" i="4"/>
  <c r="EG9" i="4"/>
  <c r="BY7" i="4"/>
  <c r="BY37" i="4"/>
  <c r="EG36" i="4"/>
  <c r="BT36" i="4"/>
  <c r="BO35" i="4"/>
  <c r="CC34" i="4"/>
  <c r="P88" i="3"/>
  <c r="P34" i="1"/>
  <c r="DC33" i="4"/>
  <c r="EG29" i="4"/>
  <c r="BT29" i="4"/>
  <c r="BO28" i="4"/>
  <c r="CC27" i="4"/>
  <c r="P54" i="3"/>
  <c r="P55" i="3" s="1"/>
  <c r="P27" i="1"/>
  <c r="DC26" i="4"/>
  <c r="CS22" i="4"/>
  <c r="AZ22" i="4"/>
  <c r="DQ20" i="4"/>
  <c r="X73" i="3"/>
  <c r="BO18" i="4"/>
  <c r="BI16" i="4"/>
  <c r="L84" i="3"/>
  <c r="EG14" i="4"/>
  <c r="BY14" i="4"/>
  <c r="AA90" i="3"/>
  <c r="N90" i="3"/>
  <c r="DQ12" i="4"/>
  <c r="X59" i="3"/>
  <c r="BT12" i="4"/>
  <c r="CS10" i="4"/>
  <c r="AZ10" i="4"/>
  <c r="DQ8" i="4"/>
  <c r="X72" i="3"/>
  <c r="X74" i="3" s="1"/>
  <c r="BT8" i="4"/>
  <c r="CS7" i="4"/>
  <c r="AZ7" i="4"/>
  <c r="N49" i="3"/>
  <c r="S69" i="3"/>
  <c r="J69" i="3"/>
  <c r="ER6" i="4"/>
  <c r="DC40" i="4"/>
  <c r="CW39" i="4"/>
  <c r="T75" i="3"/>
  <c r="AD39" i="1"/>
  <c r="CS38" i="4"/>
  <c r="AZ38" i="4"/>
  <c r="BY33" i="4"/>
  <c r="EG32" i="4"/>
  <c r="BD32" i="4"/>
  <c r="K66" i="3"/>
  <c r="CS30" i="4"/>
  <c r="AZ30" i="4"/>
  <c r="DC28" i="4"/>
  <c r="CW27" i="4"/>
  <c r="T54" i="3"/>
  <c r="T55" i="3" s="1"/>
  <c r="AD27" i="1"/>
  <c r="AA94" i="3"/>
  <c r="N94" i="3"/>
  <c r="DQ24" i="4"/>
  <c r="X63" i="3"/>
  <c r="BT24" i="4"/>
  <c r="BO23" i="4"/>
  <c r="BO22" i="4"/>
  <c r="DC19" i="4"/>
  <c r="CC18" i="4"/>
  <c r="P60" i="3"/>
  <c r="P18" i="1"/>
  <c r="CC17" i="4"/>
  <c r="P85" i="3"/>
  <c r="P17" i="1"/>
  <c r="CW16" i="4"/>
  <c r="T84" i="3"/>
  <c r="AD16" i="1"/>
  <c r="CS15" i="4"/>
  <c r="AZ15" i="4"/>
  <c r="M90" i="3"/>
  <c r="BO11" i="4"/>
  <c r="BO10" i="4"/>
  <c r="BO9" i="4"/>
  <c r="BO6" i="4"/>
  <c r="BI4" i="4"/>
  <c r="BJ37" i="4" s="1"/>
  <c r="L96" i="3"/>
  <c r="L45" i="3"/>
  <c r="L46" i="3" s="1"/>
  <c r="K41" i="1"/>
  <c r="BF9" i="2"/>
  <c r="N77" i="3"/>
  <c r="DQ33" i="4"/>
  <c r="X67" i="3"/>
  <c r="BT33" i="4"/>
  <c r="BO30" i="4"/>
  <c r="BD28" i="4"/>
  <c r="K92" i="3"/>
  <c r="CS26" i="4"/>
  <c r="AZ26" i="4"/>
  <c r="BO25" i="4"/>
  <c r="DC22" i="4"/>
  <c r="CW20" i="4"/>
  <c r="T73" i="3"/>
  <c r="AD20" i="1"/>
  <c r="BY18" i="4"/>
  <c r="EG17" i="4"/>
  <c r="BD17" i="4"/>
  <c r="K85" i="3"/>
  <c r="BO14" i="4"/>
  <c r="CC13" i="4"/>
  <c r="P83" i="3"/>
  <c r="P13" i="1"/>
  <c r="DC9" i="4"/>
  <c r="DC6" i="4"/>
  <c r="U69" i="3"/>
  <c r="U95" i="3" s="1"/>
  <c r="CW4" i="4"/>
  <c r="CX22" i="4" s="1"/>
  <c r="T96" i="3"/>
  <c r="T45" i="3"/>
  <c r="T46" i="3" s="1"/>
  <c r="S41" i="1"/>
  <c r="AD4" i="1"/>
  <c r="K45" i="3"/>
  <c r="K46" i="3" s="1"/>
  <c r="BD4" i="4"/>
  <c r="BE36" i="4" s="1"/>
  <c r="K96" i="3"/>
  <c r="J41" i="1"/>
  <c r="CS20" i="4"/>
  <c r="BT18" i="4"/>
  <c r="DC15" i="4"/>
  <c r="BY13" i="4"/>
  <c r="EG11" i="4"/>
  <c r="O82" i="3"/>
  <c r="AA74" i="3"/>
  <c r="AA69" i="3"/>
  <c r="K42" i="1"/>
  <c r="X90" i="3"/>
  <c r="CH21" i="4"/>
  <c r="Q70" i="3"/>
  <c r="Q71" i="3" s="1"/>
  <c r="CH12" i="4"/>
  <c r="Q59" i="3"/>
  <c r="CH7" i="4"/>
  <c r="Q48" i="3"/>
  <c r="P49" i="3"/>
  <c r="EU37" i="4"/>
  <c r="AD68" i="3"/>
  <c r="CH20" i="4"/>
  <c r="Q73" i="3"/>
  <c r="FL23" i="4"/>
  <c r="FL36" i="4"/>
  <c r="ER10" i="4"/>
  <c r="ER17" i="4"/>
  <c r="ER20" i="4"/>
  <c r="ER24" i="4"/>
  <c r="ER26" i="4"/>
  <c r="ER29" i="4"/>
  <c r="ER34" i="4"/>
  <c r="ER38" i="4"/>
  <c r="AV18" i="4"/>
  <c r="AV25" i="4"/>
  <c r="AV26" i="4"/>
  <c r="AV27" i="4"/>
  <c r="AV29" i="4"/>
  <c r="AV38" i="4"/>
  <c r="AM5" i="4"/>
  <c r="AM6" i="4" s="1"/>
  <c r="AB18" i="4"/>
  <c r="AB25" i="4"/>
  <c r="AB26" i="4"/>
  <c r="AB27" i="4"/>
  <c r="AB29" i="4"/>
  <c r="AB36" i="4"/>
  <c r="AB38" i="4"/>
  <c r="S5" i="4"/>
  <c r="S6" i="4" s="1"/>
  <c r="S7" i="4" s="1"/>
  <c r="H18" i="4"/>
  <c r="H25" i="4"/>
  <c r="H26" i="4"/>
  <c r="H27" i="4"/>
  <c r="H29" i="4"/>
  <c r="H33" i="4"/>
  <c r="H36" i="4"/>
  <c r="H38" i="4"/>
  <c r="EC5" i="4"/>
  <c r="FG10" i="4"/>
  <c r="FG9" i="4"/>
  <c r="FG20" i="4"/>
  <c r="FG22" i="4"/>
  <c r="FG26" i="4"/>
  <c r="FG30" i="4"/>
  <c r="FG34" i="4"/>
  <c r="FG38" i="4"/>
  <c r="EM10" i="4"/>
  <c r="EM9" i="4"/>
  <c r="EM20" i="4"/>
  <c r="EM22" i="4"/>
  <c r="EM26" i="4"/>
  <c r="EM30" i="4"/>
  <c r="EM34" i="4"/>
  <c r="EM38" i="4"/>
  <c r="AQ11" i="4"/>
  <c r="AQ17" i="4"/>
  <c r="AQ19" i="4"/>
  <c r="AQ22" i="4"/>
  <c r="AQ27" i="4"/>
  <c r="AQ30" i="4"/>
  <c r="AQ34" i="4"/>
  <c r="AQ38" i="4"/>
  <c r="W14" i="4"/>
  <c r="W9" i="4"/>
  <c r="W18" i="4"/>
  <c r="W21" i="4"/>
  <c r="W29" i="4"/>
  <c r="W33" i="4"/>
  <c r="W36" i="4"/>
  <c r="W40" i="4"/>
  <c r="C10" i="4"/>
  <c r="C13" i="4"/>
  <c r="C16" i="4"/>
  <c r="C25" i="4"/>
  <c r="C24" i="4"/>
  <c r="C28" i="4"/>
  <c r="C31" i="4"/>
  <c r="C37" i="4"/>
  <c r="C39" i="4"/>
  <c r="C41" i="4"/>
  <c r="C57" i="4"/>
  <c r="C67" i="4"/>
  <c r="C83" i="4"/>
  <c r="C99" i="4"/>
  <c r="C106" i="4"/>
  <c r="C43" i="4"/>
  <c r="C51" i="4"/>
  <c r="C59" i="4"/>
  <c r="C48" i="4"/>
  <c r="C64" i="4"/>
  <c r="C80" i="4"/>
  <c r="C96" i="4"/>
  <c r="C112" i="4"/>
  <c r="C77" i="4"/>
  <c r="C93" i="4"/>
  <c r="C109" i="4"/>
  <c r="FL6" i="4"/>
  <c r="QM9" i="4"/>
  <c r="QM13" i="4"/>
  <c r="QM15" i="4"/>
  <c r="QM19" i="4"/>
  <c r="QM23" i="4"/>
  <c r="QM26" i="4"/>
  <c r="QM31" i="4"/>
  <c r="QM34" i="4"/>
  <c r="QM40" i="4"/>
  <c r="DN8" i="4"/>
  <c r="DN12" i="4"/>
  <c r="DN22" i="4"/>
  <c r="DN25" i="4"/>
  <c r="DN37" i="4"/>
  <c r="AL7" i="4"/>
  <c r="AL11" i="4"/>
  <c r="AL15" i="4"/>
  <c r="AL19" i="4"/>
  <c r="AL23" i="4"/>
  <c r="AL26" i="4"/>
  <c r="AL33" i="4"/>
  <c r="AL35" i="4"/>
  <c r="AL38" i="4"/>
  <c r="R8" i="4"/>
  <c r="R12" i="4"/>
  <c r="R16" i="4"/>
  <c r="R20" i="4"/>
  <c r="R27" i="4"/>
  <c r="R30" i="4"/>
  <c r="R34" i="4"/>
  <c r="R36" i="4"/>
  <c r="R39" i="4"/>
  <c r="EM5" i="4"/>
  <c r="AB5" i="4"/>
  <c r="AB4" i="4"/>
  <c r="AC4" i="4" s="1"/>
  <c r="FQ9" i="4"/>
  <c r="FQ16" i="4"/>
  <c r="FQ13" i="4"/>
  <c r="FQ18" i="4"/>
  <c r="FQ27" i="4"/>
  <c r="FQ31" i="4"/>
  <c r="FQ32" i="4"/>
  <c r="FQ37" i="4"/>
  <c r="FG4" i="4"/>
  <c r="FH4" i="4" s="1"/>
  <c r="EC12" i="4"/>
  <c r="EC17" i="4"/>
  <c r="EC19" i="4"/>
  <c r="EC23" i="4"/>
  <c r="EC25" i="4"/>
  <c r="EC33" i="4"/>
  <c r="EC38" i="4"/>
  <c r="EC40" i="4"/>
  <c r="CO16" i="4"/>
  <c r="CO14" i="4"/>
  <c r="CO19" i="4"/>
  <c r="CO24" i="4"/>
  <c r="CO21" i="4"/>
  <c r="CO28" i="4"/>
  <c r="CO31" i="4"/>
  <c r="CO39" i="4"/>
  <c r="AG9" i="4"/>
  <c r="AG16" i="4"/>
  <c r="AG14" i="4"/>
  <c r="AG19" i="4"/>
  <c r="AG21" i="4"/>
  <c r="AG28" i="4"/>
  <c r="AG32" i="4"/>
  <c r="W4" i="4"/>
  <c r="X4" i="4" s="1"/>
  <c r="M12" i="4"/>
  <c r="M17" i="4"/>
  <c r="M23" i="4"/>
  <c r="M26" i="4"/>
  <c r="M35" i="4"/>
  <c r="M38" i="4"/>
  <c r="M40" i="4"/>
  <c r="EM8" i="4"/>
  <c r="CW40" i="4"/>
  <c r="T76" i="3"/>
  <c r="AD40" i="1"/>
  <c r="BY10" i="4"/>
  <c r="EG7" i="4"/>
  <c r="FG6" i="4"/>
  <c r="CS35" i="4"/>
  <c r="AZ35" i="4"/>
  <c r="BO34" i="4"/>
  <c r="BO33" i="4"/>
  <c r="BO32" i="4"/>
  <c r="BT28" i="4"/>
  <c r="BY21" i="4"/>
  <c r="DQ19" i="4"/>
  <c r="X61" i="3"/>
  <c r="AZ18" i="4"/>
  <c r="BY12" i="4"/>
  <c r="DC39" i="4"/>
  <c r="BY38" i="4"/>
  <c r="EG37" i="4"/>
  <c r="BD37" i="4"/>
  <c r="K68" i="3"/>
  <c r="BI34" i="4"/>
  <c r="L88" i="3"/>
  <c r="CC33" i="4"/>
  <c r="P67" i="3"/>
  <c r="P33" i="1"/>
  <c r="DC32" i="4"/>
  <c r="BI27" i="4"/>
  <c r="L54" i="3"/>
  <c r="L55" i="3" s="1"/>
  <c r="CC26" i="4"/>
  <c r="P64" i="3"/>
  <c r="P26" i="1"/>
  <c r="BY25" i="4"/>
  <c r="CS23" i="4"/>
  <c r="AZ23" i="4"/>
  <c r="DQ21" i="4"/>
  <c r="X70" i="3"/>
  <c r="X71" i="3" s="1"/>
  <c r="BT21" i="4"/>
  <c r="EG13" i="4"/>
  <c r="BT13" i="4"/>
  <c r="CS11" i="4"/>
  <c r="AZ11" i="4"/>
  <c r="DQ9" i="4"/>
  <c r="X80" i="3"/>
  <c r="X82" i="3" s="1"/>
  <c r="BT9" i="4"/>
  <c r="J74" i="3"/>
  <c r="CS6" i="4"/>
  <c r="AZ6" i="4"/>
  <c r="CS5" i="4"/>
  <c r="AZ5" i="4"/>
  <c r="BP36" i="4"/>
  <c r="BO4" i="4"/>
  <c r="BP39" i="4" s="1"/>
  <c r="BF10" i="2"/>
  <c r="O77" i="3"/>
  <c r="DQ37" i="4"/>
  <c r="X68" i="3"/>
  <c r="BT37" i="4"/>
  <c r="BO36" i="4"/>
  <c r="BY34" i="4"/>
  <c r="EG33" i="4"/>
  <c r="BD33" i="4"/>
  <c r="K67" i="3"/>
  <c r="CW32" i="4"/>
  <c r="T66" i="3"/>
  <c r="AD32" i="1"/>
  <c r="CS31" i="4"/>
  <c r="AZ31" i="4"/>
  <c r="BY26" i="4"/>
  <c r="EG25" i="4"/>
  <c r="BT25" i="4"/>
  <c r="DG21" i="4"/>
  <c r="V70" i="3"/>
  <c r="V71" i="3" s="1"/>
  <c r="AC21" i="1"/>
  <c r="DC20" i="4"/>
  <c r="DQ14" i="4"/>
  <c r="X81" i="3"/>
  <c r="BT14" i="4"/>
  <c r="BO13" i="4"/>
  <c r="BO12" i="4"/>
  <c r="DG8" i="4"/>
  <c r="V72" i="3"/>
  <c r="V74" i="3" s="1"/>
  <c r="AC8" i="1"/>
  <c r="V96" i="3"/>
  <c r="DG5" i="4"/>
  <c r="V56" i="3"/>
  <c r="U41" i="1"/>
  <c r="AC5" i="1"/>
  <c r="BF5" i="2"/>
  <c r="BT39" i="4"/>
  <c r="DC36" i="4"/>
  <c r="BY35" i="4"/>
  <c r="EG34" i="4"/>
  <c r="BT34" i="4"/>
  <c r="CS32" i="4"/>
  <c r="AZ32" i="4"/>
  <c r="BO31" i="4"/>
  <c r="CW28" i="4"/>
  <c r="T92" i="3"/>
  <c r="AD28" i="1"/>
  <c r="CS27" i="4"/>
  <c r="AZ27" i="4"/>
  <c r="EZ23" i="4"/>
  <c r="AF86" i="3"/>
  <c r="AE86" i="3"/>
  <c r="AE23" i="1"/>
  <c r="CC22" i="4"/>
  <c r="P62" i="3"/>
  <c r="P22" i="1"/>
  <c r="BY19" i="4"/>
  <c r="EG18" i="4"/>
  <c r="BD18" i="4"/>
  <c r="K60" i="3"/>
  <c r="CW17" i="4"/>
  <c r="T85" i="3"/>
  <c r="CS16" i="4"/>
  <c r="AZ16" i="4"/>
  <c r="BO15" i="4"/>
  <c r="L90" i="3"/>
  <c r="DC12" i="4"/>
  <c r="CC9" i="4"/>
  <c r="P80" i="3"/>
  <c r="P82" i="3" s="1"/>
  <c r="P9" i="1"/>
  <c r="U74" i="3"/>
  <c r="L49" i="3"/>
  <c r="DC5" i="4"/>
  <c r="BF13" i="2"/>
  <c r="BF7" i="2"/>
  <c r="BY9" i="4"/>
  <c r="EG8" i="4"/>
  <c r="EG5" i="4"/>
  <c r="BA36" i="4"/>
  <c r="BA24" i="4"/>
  <c r="BA11" i="4"/>
  <c r="AZ4" i="4"/>
  <c r="BA39" i="4" s="1"/>
  <c r="EU24" i="4"/>
  <c r="AD63" i="3"/>
  <c r="AD24" i="1"/>
  <c r="EU14" i="4"/>
  <c r="AD81" i="3"/>
  <c r="AD14" i="1"/>
  <c r="DV6" i="4"/>
  <c r="Y47" i="3"/>
  <c r="Y96" i="3"/>
  <c r="X41" i="1"/>
  <c r="AC6" i="1"/>
  <c r="CH23" i="4"/>
  <c r="Q86" i="3"/>
  <c r="CH8" i="4"/>
  <c r="Q72" i="3"/>
  <c r="Q74" i="3" s="1"/>
  <c r="FL9" i="4"/>
  <c r="FL12" i="4"/>
  <c r="FL14" i="4"/>
  <c r="FL20" i="4"/>
  <c r="FL18" i="4"/>
  <c r="FL25" i="4"/>
  <c r="FL26" i="4"/>
  <c r="FL29" i="4"/>
  <c r="FL31" i="4"/>
  <c r="FL33" i="4"/>
  <c r="FL38" i="4"/>
  <c r="ER7" i="4"/>
  <c r="ER11" i="4"/>
  <c r="ER16" i="4"/>
  <c r="ER21" i="4"/>
  <c r="ER22" i="4"/>
  <c r="ER27" i="4"/>
  <c r="ER33" i="4"/>
  <c r="ER35" i="4"/>
  <c r="AV7" i="4"/>
  <c r="AV12" i="4"/>
  <c r="AV9" i="4"/>
  <c r="AV14" i="4"/>
  <c r="AV20" i="4"/>
  <c r="AV19" i="4"/>
  <c r="AV28" i="4"/>
  <c r="AV32" i="4"/>
  <c r="AV34" i="4"/>
  <c r="AV39" i="4"/>
  <c r="AB7" i="4"/>
  <c r="AB12" i="4"/>
  <c r="AB9" i="4"/>
  <c r="AB14" i="4"/>
  <c r="AB20" i="4"/>
  <c r="AB19" i="4"/>
  <c r="AB22" i="4"/>
  <c r="AB24" i="4"/>
  <c r="AB28" i="4"/>
  <c r="AB32" i="4"/>
  <c r="AB34" i="4"/>
  <c r="AB39" i="4"/>
  <c r="H12" i="4"/>
  <c r="H9" i="4"/>
  <c r="H14" i="4"/>
  <c r="H20" i="4"/>
  <c r="H19" i="4"/>
  <c r="H22" i="4"/>
  <c r="H24" i="4"/>
  <c r="H28" i="4"/>
  <c r="H34" i="4"/>
  <c r="H39" i="4"/>
  <c r="FG11" i="4"/>
  <c r="FG16" i="4"/>
  <c r="FG18" i="4"/>
  <c r="FG23" i="4"/>
  <c r="FG27" i="4"/>
  <c r="FG31" i="4"/>
  <c r="FG37" i="4"/>
  <c r="FG39" i="4"/>
  <c r="EM11" i="4"/>
  <c r="EM16" i="4"/>
  <c r="EM18" i="4"/>
  <c r="EM23" i="4"/>
  <c r="EM27" i="4"/>
  <c r="EM31" i="4"/>
  <c r="EM35" i="4"/>
  <c r="AQ8" i="4"/>
  <c r="AQ12" i="4"/>
  <c r="AQ15" i="4"/>
  <c r="AQ20" i="4"/>
  <c r="AQ23" i="4"/>
  <c r="AQ28" i="4"/>
  <c r="AQ32" i="4"/>
  <c r="AQ35" i="4"/>
  <c r="W11" i="4"/>
  <c r="W17" i="4"/>
  <c r="W19" i="4"/>
  <c r="W22" i="4"/>
  <c r="W26" i="4"/>
  <c r="W30" i="4"/>
  <c r="W34" i="4"/>
  <c r="W38" i="4"/>
  <c r="C14" i="4"/>
  <c r="C9" i="4"/>
  <c r="C18" i="4"/>
  <c r="C21" i="4"/>
  <c r="C29" i="4"/>
  <c r="C33" i="4"/>
  <c r="C36" i="4"/>
  <c r="C66" i="4"/>
  <c r="C74" i="4"/>
  <c r="C82" i="4"/>
  <c r="C90" i="4"/>
  <c r="C98" i="4"/>
  <c r="C45" i="4"/>
  <c r="C61" i="4"/>
  <c r="C71" i="4"/>
  <c r="C87" i="4"/>
  <c r="C111" i="4"/>
  <c r="C107" i="4"/>
  <c r="C46" i="4"/>
  <c r="C54" i="4"/>
  <c r="C62" i="4"/>
  <c r="C52" i="4"/>
  <c r="C68" i="4"/>
  <c r="C84" i="4"/>
  <c r="C100" i="4"/>
  <c r="C81" i="4"/>
  <c r="C97" i="4"/>
  <c r="C113" i="4"/>
  <c r="AV8" i="4"/>
  <c r="AG7" i="4"/>
  <c r="AV6" i="4"/>
  <c r="QM10" i="4"/>
  <c r="QM14" i="4"/>
  <c r="QM16" i="4"/>
  <c r="QM20" i="4"/>
  <c r="QM27" i="4"/>
  <c r="QM32" i="4"/>
  <c r="QM37" i="4"/>
  <c r="DN9" i="4"/>
  <c r="DN13" i="4"/>
  <c r="DN16" i="4"/>
  <c r="DN19" i="4"/>
  <c r="DN23" i="4"/>
  <c r="DN26" i="4"/>
  <c r="DN29" i="4"/>
  <c r="DN32" i="4"/>
  <c r="DN35" i="4"/>
  <c r="DN38" i="4"/>
  <c r="AL8" i="4"/>
  <c r="AL12" i="4"/>
  <c r="AL16" i="4"/>
  <c r="AL20" i="4"/>
  <c r="AL27" i="4"/>
  <c r="AL30" i="4"/>
  <c r="AL34" i="4"/>
  <c r="AL36" i="4"/>
  <c r="AL39" i="4"/>
  <c r="R9" i="4"/>
  <c r="R13" i="4"/>
  <c r="R17" i="4"/>
  <c r="R21" i="4"/>
  <c r="R24" i="4"/>
  <c r="R28" i="4"/>
  <c r="R31" i="4"/>
  <c r="R40" i="4"/>
  <c r="FQ7" i="4"/>
  <c r="W5" i="4"/>
  <c r="FQ10" i="4"/>
  <c r="FQ14" i="4"/>
  <c r="FQ24" i="4"/>
  <c r="FQ21" i="4"/>
  <c r="FQ28" i="4"/>
  <c r="FQ29" i="4"/>
  <c r="FQ33" i="4"/>
  <c r="FQ38" i="4"/>
  <c r="EM4" i="4"/>
  <c r="EN4" i="4" s="1"/>
  <c r="EC16" i="4"/>
  <c r="EC13" i="4"/>
  <c r="EC18" i="4"/>
  <c r="EC26" i="4"/>
  <c r="EC30" i="4"/>
  <c r="EC34" i="4"/>
  <c r="EC35" i="4"/>
  <c r="CO11" i="4"/>
  <c r="CO15" i="4"/>
  <c r="CO20" i="4"/>
  <c r="CO22" i="4"/>
  <c r="CO29" i="4"/>
  <c r="CO30" i="4"/>
  <c r="CO33" i="4"/>
  <c r="CO38" i="4"/>
  <c r="CO40" i="4"/>
  <c r="AG11" i="4"/>
  <c r="AG15" i="4"/>
  <c r="AG20" i="4"/>
  <c r="AG25" i="4"/>
  <c r="AG22" i="4"/>
  <c r="AG30" i="4"/>
  <c r="AG36" i="4"/>
  <c r="AG39" i="4"/>
  <c r="M10" i="4"/>
  <c r="M13" i="4"/>
  <c r="M18" i="4"/>
  <c r="M24" i="4"/>
  <c r="M27" i="4"/>
  <c r="M29" i="4"/>
  <c r="M33" i="4"/>
  <c r="C4" i="4"/>
  <c r="D4" i="4" s="1"/>
  <c r="AG4" i="4"/>
  <c r="AH4" i="4" s="1"/>
  <c r="EG20" i="4"/>
  <c r="CS18" i="4"/>
  <c r="BY6" i="4"/>
  <c r="EC4" i="4"/>
  <c r="ED4" i="4" s="1"/>
  <c r="EG40" i="4"/>
  <c r="BT40" i="4"/>
  <c r="DC38" i="4"/>
  <c r="BY36" i="4"/>
  <c r="DC31" i="4"/>
  <c r="BY29" i="4"/>
  <c r="DC24" i="4"/>
  <c r="BT20" i="4"/>
  <c r="BY11" i="4"/>
  <c r="EG10" i="4"/>
  <c r="BF6" i="2"/>
  <c r="AQ6" i="4"/>
  <c r="CC39" i="4"/>
  <c r="P75" i="3"/>
  <c r="P77" i="3" s="1"/>
  <c r="P39" i="1"/>
  <c r="BD38" i="4"/>
  <c r="K52" i="3"/>
  <c r="K53" i="3" s="1"/>
  <c r="CW37" i="4"/>
  <c r="T68" i="3"/>
  <c r="AD37" i="1"/>
  <c r="CS36" i="4"/>
  <c r="AZ36" i="4"/>
  <c r="BI33" i="4"/>
  <c r="L67" i="3"/>
  <c r="CC32" i="4"/>
  <c r="P66" i="3"/>
  <c r="P32" i="1"/>
  <c r="BY31" i="4"/>
  <c r="CS29" i="4"/>
  <c r="AZ29" i="4"/>
  <c r="BI26" i="4"/>
  <c r="L64" i="3"/>
  <c r="EG24" i="4"/>
  <c r="BY24" i="4"/>
  <c r="DQ22" i="4"/>
  <c r="X62" i="3"/>
  <c r="BT22" i="4"/>
  <c r="BO20" i="4"/>
  <c r="DC16" i="4"/>
  <c r="S90" i="3"/>
  <c r="J90" i="3"/>
  <c r="CS12" i="4"/>
  <c r="AZ12" i="4"/>
  <c r="DQ10" i="4"/>
  <c r="X57" i="3"/>
  <c r="BT10" i="4"/>
  <c r="CS8" i="4"/>
  <c r="AZ8" i="4"/>
  <c r="BA37" i="4" s="1"/>
  <c r="BT7" i="4"/>
  <c r="S49" i="3"/>
  <c r="J49" i="3"/>
  <c r="N69" i="3"/>
  <c r="N95" i="3" s="1"/>
  <c r="X96" i="3"/>
  <c r="DQ4" i="4"/>
  <c r="X45" i="3"/>
  <c r="X46" i="3" s="1"/>
  <c r="W41" i="1"/>
  <c r="X42" i="1" s="1"/>
  <c r="C6" i="4"/>
  <c r="U42" i="1"/>
  <c r="AD77" i="3"/>
  <c r="BY39" i="4"/>
  <c r="EG38" i="4"/>
  <c r="BT38" i="4"/>
  <c r="BD34" i="4"/>
  <c r="K88" i="3"/>
  <c r="CW33" i="4"/>
  <c r="T67" i="3"/>
  <c r="AD33" i="1"/>
  <c r="DQ30" i="4"/>
  <c r="X65" i="3"/>
  <c r="BT30" i="4"/>
  <c r="BO29" i="4"/>
  <c r="BY27" i="4"/>
  <c r="EG26" i="4"/>
  <c r="BD26" i="4"/>
  <c r="K64" i="3"/>
  <c r="S94" i="3"/>
  <c r="J94" i="3"/>
  <c r="CS24" i="4"/>
  <c r="AZ24" i="4"/>
  <c r="DG22" i="4"/>
  <c r="V62" i="3"/>
  <c r="AC22" i="1"/>
  <c r="BY16" i="4"/>
  <c r="EG15" i="4"/>
  <c r="BT15" i="4"/>
  <c r="DG11" i="4"/>
  <c r="DH18" i="4" s="1"/>
  <c r="V58" i="3"/>
  <c r="AC11" i="1"/>
  <c r="DG10" i="4"/>
  <c r="V57" i="3"/>
  <c r="AC10" i="1"/>
  <c r="DG9" i="4"/>
  <c r="V80" i="3"/>
  <c r="V82" i="3" s="1"/>
  <c r="AC9" i="1"/>
  <c r="M74" i="3"/>
  <c r="BO7" i="4"/>
  <c r="M69" i="3"/>
  <c r="DD36" i="4"/>
  <c r="DC4" i="4"/>
  <c r="DD39" i="4" s="1"/>
  <c r="S77" i="3"/>
  <c r="J77" i="3"/>
  <c r="BO37" i="4"/>
  <c r="BD35" i="4"/>
  <c r="K93" i="3"/>
  <c r="K94" i="3" s="1"/>
  <c r="CS33" i="4"/>
  <c r="AZ33" i="4"/>
  <c r="DQ26" i="4"/>
  <c r="X64" i="3"/>
  <c r="BT26" i="4"/>
  <c r="DC21" i="4"/>
  <c r="BY20" i="4"/>
  <c r="EG19" i="4"/>
  <c r="BD19" i="4"/>
  <c r="K61" i="3"/>
  <c r="K69" i="3" s="1"/>
  <c r="CW18" i="4"/>
  <c r="T60" i="3"/>
  <c r="T69" i="3" s="1"/>
  <c r="AD18" i="1"/>
  <c r="U90" i="3"/>
  <c r="DC11" i="4"/>
  <c r="L82" i="3"/>
  <c r="DC8" i="4"/>
  <c r="BZ22" i="4"/>
  <c r="BY4" i="4"/>
  <c r="BZ40" i="4" s="1"/>
  <c r="BY22" i="4"/>
  <c r="EG21" i="4"/>
  <c r="CS19" i="4"/>
  <c r="BT17" i="4"/>
  <c r="K82" i="3"/>
  <c r="EG6" i="4"/>
  <c r="CT40" i="4"/>
  <c r="CT4" i="4"/>
  <c r="CU4" i="4" s="1"/>
  <c r="CS4" i="4"/>
  <c r="CT39" i="4" s="1"/>
  <c r="J95" i="3"/>
  <c r="BF11" i="2"/>
  <c r="EU30" i="4"/>
  <c r="AD65" i="3"/>
  <c r="AD30" i="1"/>
  <c r="CH29" i="4"/>
  <c r="Q87" i="3"/>
  <c r="CH19" i="4"/>
  <c r="Q61" i="3"/>
  <c r="DV7" i="4"/>
  <c r="Y48" i="3"/>
  <c r="AC7" i="1"/>
  <c r="CH28" i="4"/>
  <c r="Q92" i="3"/>
  <c r="Q94" i="3" s="1"/>
  <c r="CH10" i="4"/>
  <c r="Q57" i="3"/>
  <c r="CH5" i="4"/>
  <c r="Q56" i="3"/>
  <c r="ER5" i="4"/>
  <c r="ER4" i="4"/>
  <c r="ES4" i="4" s="1"/>
  <c r="FL8" i="4"/>
  <c r="FL13" i="4"/>
  <c r="FL15" i="4"/>
  <c r="FL21" i="4"/>
  <c r="FL19" i="4"/>
  <c r="FL27" i="4"/>
  <c r="FL32" i="4"/>
  <c r="ER9" i="4"/>
  <c r="ER12" i="4"/>
  <c r="ER14" i="4"/>
  <c r="ER18" i="4"/>
  <c r="ER23" i="4"/>
  <c r="ER28" i="4"/>
  <c r="ER31" i="4"/>
  <c r="ER36" i="4"/>
  <c r="ER40" i="4"/>
  <c r="AV13" i="4"/>
  <c r="AV16" i="4"/>
  <c r="AV15" i="4"/>
  <c r="AV23" i="4"/>
  <c r="AV30" i="4"/>
  <c r="AV31" i="4"/>
  <c r="AV37" i="4"/>
  <c r="AB13" i="4"/>
  <c r="AB16" i="4"/>
  <c r="AB15" i="4"/>
  <c r="AB23" i="4"/>
  <c r="AB31" i="4"/>
  <c r="AB37" i="4"/>
  <c r="AB40" i="4"/>
  <c r="H13" i="4"/>
  <c r="H16" i="4"/>
  <c r="H15" i="4"/>
  <c r="H23" i="4"/>
  <c r="H31" i="4"/>
  <c r="H32" i="4"/>
  <c r="H37" i="4"/>
  <c r="FG7" i="4"/>
  <c r="FW5" i="4"/>
  <c r="FW6" i="4" s="1"/>
  <c r="FW7" i="4" s="1"/>
  <c r="FW8" i="4" s="1"/>
  <c r="FW9" i="4" s="1"/>
  <c r="FW10" i="4" s="1"/>
  <c r="FW11" i="4" s="1"/>
  <c r="FW12" i="4" s="1"/>
  <c r="FW13" i="4" s="1"/>
  <c r="FW14" i="4" s="1"/>
  <c r="FW15" i="4" s="1"/>
  <c r="FW16" i="4" s="1"/>
  <c r="FW17" i="4" s="1"/>
  <c r="FW18" i="4" s="1"/>
  <c r="FW19" i="4" s="1"/>
  <c r="FW20" i="4" s="1"/>
  <c r="FW21" i="4" s="1"/>
  <c r="FW22" i="4" s="1"/>
  <c r="FW23" i="4" s="1"/>
  <c r="FW24" i="4" s="1"/>
  <c r="FW25" i="4" s="1"/>
  <c r="FW26" i="4" s="1"/>
  <c r="FW27" i="4" s="1"/>
  <c r="FW28" i="4" s="1"/>
  <c r="FW29" i="4" s="1"/>
  <c r="FW30" i="4" s="1"/>
  <c r="FW31" i="4" s="1"/>
  <c r="FW32" i="4" s="1"/>
  <c r="FW33" i="4" s="1"/>
  <c r="FW34" i="4" s="1"/>
  <c r="FW35" i="4" s="1"/>
  <c r="FW36" i="4" s="1"/>
  <c r="FW37" i="4" s="1"/>
  <c r="FW38" i="4" s="1"/>
  <c r="FW39" i="4" s="1"/>
  <c r="FW40" i="4" s="1"/>
  <c r="FX4" i="4"/>
  <c r="FG12" i="4"/>
  <c r="FG17" i="4"/>
  <c r="FG19" i="4"/>
  <c r="FG24" i="4"/>
  <c r="FG28" i="4"/>
  <c r="FG32" i="4"/>
  <c r="FG35" i="4"/>
  <c r="EM12" i="4"/>
  <c r="EM17" i="4"/>
  <c r="EM19" i="4"/>
  <c r="EM24" i="4"/>
  <c r="EM28" i="4"/>
  <c r="EM32" i="4"/>
  <c r="EM37" i="4"/>
  <c r="EM39" i="4"/>
  <c r="AQ10" i="4"/>
  <c r="AQ13" i="4"/>
  <c r="AQ16" i="4"/>
  <c r="AQ25" i="4"/>
  <c r="AQ24" i="4"/>
  <c r="AQ29" i="4"/>
  <c r="AQ31" i="4"/>
  <c r="AQ37" i="4"/>
  <c r="AQ39" i="4"/>
  <c r="W8" i="4"/>
  <c r="W12" i="4"/>
  <c r="W15" i="4"/>
  <c r="W20" i="4"/>
  <c r="W23" i="4"/>
  <c r="W27" i="4"/>
  <c r="C11" i="4"/>
  <c r="C17" i="4"/>
  <c r="C19" i="4"/>
  <c r="C22" i="4"/>
  <c r="C26" i="4"/>
  <c r="C30" i="4"/>
  <c r="C34" i="4"/>
  <c r="C38" i="4"/>
  <c r="C49" i="4"/>
  <c r="C65" i="4"/>
  <c r="C75" i="4"/>
  <c r="C91" i="4"/>
  <c r="C102" i="4"/>
  <c r="C110" i="4"/>
  <c r="C47" i="4"/>
  <c r="C55" i="4"/>
  <c r="C63" i="4"/>
  <c r="C56" i="4"/>
  <c r="C72" i="4"/>
  <c r="C88" i="4"/>
  <c r="C104" i="4"/>
  <c r="C69" i="4"/>
  <c r="C85" i="4"/>
  <c r="M7" i="4"/>
  <c r="QM7" i="4"/>
  <c r="QM11" i="4"/>
  <c r="QM17" i="4"/>
  <c r="QM21" i="4"/>
  <c r="QM24" i="4"/>
  <c r="QM28" i="4"/>
  <c r="QM29" i="4"/>
  <c r="QM33" i="4"/>
  <c r="QM35" i="4"/>
  <c r="DN7" i="4"/>
  <c r="DN10" i="4"/>
  <c r="DN14" i="4"/>
  <c r="DN17" i="4"/>
  <c r="DN20" i="4"/>
  <c r="DN27" i="4"/>
  <c r="DN30" i="4"/>
  <c r="DN33" i="4"/>
  <c r="DN36" i="4"/>
  <c r="AL9" i="4"/>
  <c r="AL13" i="4"/>
  <c r="AL17" i="4"/>
  <c r="AL21" i="4"/>
  <c r="AL24" i="4"/>
  <c r="AL28" i="4"/>
  <c r="AL31" i="4"/>
  <c r="R10" i="4"/>
  <c r="R14" i="4"/>
  <c r="R18" i="4"/>
  <c r="R22" i="4"/>
  <c r="R25" i="4"/>
  <c r="R29" i="4"/>
  <c r="R32" i="4"/>
  <c r="FL5" i="4"/>
  <c r="FL4" i="4"/>
  <c r="FM4" i="4" s="1"/>
  <c r="AV5" i="4"/>
  <c r="AV4" i="4"/>
  <c r="AW4" i="4" s="1"/>
  <c r="FQ8" i="4"/>
  <c r="FQ11" i="4"/>
  <c r="FQ15" i="4"/>
  <c r="FQ25" i="4"/>
  <c r="FQ34" i="4"/>
  <c r="FQ35" i="4"/>
  <c r="EC9" i="4"/>
  <c r="EC10" i="4"/>
  <c r="EC14" i="4"/>
  <c r="EC20" i="4"/>
  <c r="EC21" i="4"/>
  <c r="EC27" i="4"/>
  <c r="EC29" i="4"/>
  <c r="CO9" i="4"/>
  <c r="CO12" i="4"/>
  <c r="CO17" i="4"/>
  <c r="CO23" i="4"/>
  <c r="CO26" i="4"/>
  <c r="CO32" i="4"/>
  <c r="CO34" i="4"/>
  <c r="AG12" i="4"/>
  <c r="AG17" i="4"/>
  <c r="AG23" i="4"/>
  <c r="AG26" i="4"/>
  <c r="AG29" i="4"/>
  <c r="M9" i="4"/>
  <c r="M16" i="4"/>
  <c r="M14" i="4"/>
  <c r="M19" i="4"/>
  <c r="M21" i="4"/>
  <c r="M28" i="4"/>
  <c r="M31" i="4"/>
  <c r="M34" i="4"/>
  <c r="M36" i="4"/>
  <c r="T74" i="3"/>
  <c r="O69" i="3"/>
  <c r="EG35" i="4"/>
  <c r="BT35" i="4"/>
  <c r="EG28" i="4"/>
  <c r="AZ28" i="4"/>
  <c r="BO27" i="4"/>
  <c r="BO26" i="4"/>
  <c r="AZ19" i="4"/>
  <c r="AZ17" i="4"/>
  <c r="BY8" i="4"/>
  <c r="BZ38" i="4" s="1"/>
  <c r="EH38" i="4"/>
  <c r="EH37" i="4"/>
  <c r="EH29" i="4"/>
  <c r="EH25" i="4"/>
  <c r="EH22" i="4"/>
  <c r="EH21" i="4"/>
  <c r="EH17" i="4"/>
  <c r="EH5" i="4"/>
  <c r="EG4" i="4"/>
  <c r="EH40" i="4" s="1"/>
  <c r="BF4" i="2"/>
  <c r="BE5" i="2"/>
  <c r="BE6" i="2" s="1"/>
  <c r="BE7" i="2" s="1"/>
  <c r="BE8" i="2" s="1"/>
  <c r="BE9" i="2" s="1"/>
  <c r="BE10" i="2" s="1"/>
  <c r="BE11" i="2" s="1"/>
  <c r="BE12" i="2" s="1"/>
  <c r="BF12" i="2" s="1"/>
  <c r="BO40" i="4"/>
  <c r="BI39" i="4"/>
  <c r="L75" i="3"/>
  <c r="L77" i="3" s="1"/>
  <c r="CW38" i="4"/>
  <c r="CX38" i="4" s="1"/>
  <c r="T52" i="3"/>
  <c r="T53" i="3" s="1"/>
  <c r="AD38" i="1"/>
  <c r="DC34" i="4"/>
  <c r="BI32" i="4"/>
  <c r="BJ32" i="4" s="1"/>
  <c r="L66" i="3"/>
  <c r="L69" i="3" s="1"/>
  <c r="EG30" i="4"/>
  <c r="BY30" i="4"/>
  <c r="DC27" i="4"/>
  <c r="EG23" i="4"/>
  <c r="EH33" i="4" s="1"/>
  <c r="BT23" i="4"/>
  <c r="CS21" i="4"/>
  <c r="AZ21" i="4"/>
  <c r="BO19" i="4"/>
  <c r="BO17" i="4"/>
  <c r="CC16" i="4"/>
  <c r="P84" i="3"/>
  <c r="P16" i="1"/>
  <c r="BY15" i="4"/>
  <c r="CS13" i="4"/>
  <c r="AZ13" i="4"/>
  <c r="DQ11" i="4"/>
  <c r="DR11" i="4" s="1"/>
  <c r="X58" i="3"/>
  <c r="BT11" i="4"/>
  <c r="CS9" i="4"/>
  <c r="CT36" i="4" s="1"/>
  <c r="AZ9" i="4"/>
  <c r="N74" i="3"/>
  <c r="BT6" i="4"/>
  <c r="DQ5" i="4"/>
  <c r="DR31" i="4" s="1"/>
  <c r="X56" i="3"/>
  <c r="BT5" i="4"/>
  <c r="BD39" i="4"/>
  <c r="K75" i="3"/>
  <c r="K77" i="3" s="1"/>
  <c r="CS37" i="4"/>
  <c r="AZ37" i="4"/>
  <c r="DC35" i="4"/>
  <c r="CW34" i="4"/>
  <c r="T88" i="3"/>
  <c r="T90" i="3" s="1"/>
  <c r="AD34" i="1"/>
  <c r="BY32" i="4"/>
  <c r="EG31" i="4"/>
  <c r="BT31" i="4"/>
  <c r="BD27" i="4"/>
  <c r="K54" i="3"/>
  <c r="K55" i="3" s="1"/>
  <c r="CW26" i="4"/>
  <c r="T64" i="3"/>
  <c r="AD26" i="1"/>
  <c r="CS25" i="4"/>
  <c r="AZ25" i="4"/>
  <c r="BO21" i="4"/>
  <c r="DC18" i="4"/>
  <c r="DC17" i="4"/>
  <c r="BD16" i="4"/>
  <c r="BE23" i="4" s="1"/>
  <c r="K84" i="3"/>
  <c r="K90" i="3" s="1"/>
  <c r="CS14" i="4"/>
  <c r="AZ14" i="4"/>
  <c r="DG12" i="4"/>
  <c r="DH12" i="4" s="1"/>
  <c r="V59" i="3"/>
  <c r="AC12" i="1"/>
  <c r="BO8" i="4"/>
  <c r="M49" i="3"/>
  <c r="M95" i="3" s="1"/>
  <c r="BO5" i="4"/>
  <c r="BP40" i="4" s="1"/>
  <c r="CC4" i="4"/>
  <c r="CD15" i="4" s="1"/>
  <c r="P96" i="3"/>
  <c r="P45" i="3"/>
  <c r="P46" i="3" s="1"/>
  <c r="P4" i="1"/>
  <c r="O41" i="1"/>
  <c r="CS39" i="4"/>
  <c r="AZ39" i="4"/>
  <c r="BO38" i="4"/>
  <c r="CW35" i="4"/>
  <c r="T93" i="3"/>
  <c r="T94" i="3" s="1"/>
  <c r="AD35" i="1"/>
  <c r="CS34" i="4"/>
  <c r="AZ34" i="4"/>
  <c r="DQ32" i="4"/>
  <c r="X66" i="3"/>
  <c r="BT32" i="4"/>
  <c r="DC29" i="4"/>
  <c r="BY28" i="4"/>
  <c r="EG27" i="4"/>
  <c r="BT27" i="4"/>
  <c r="M94" i="3"/>
  <c r="BO24" i="4"/>
  <c r="DC23" i="4"/>
  <c r="BD20" i="4"/>
  <c r="BE20" i="4" s="1"/>
  <c r="K73" i="3"/>
  <c r="K74" i="3" s="1"/>
  <c r="CW19" i="4"/>
  <c r="T61" i="3"/>
  <c r="AD19" i="1"/>
  <c r="BY17" i="4"/>
  <c r="EG16" i="4"/>
  <c r="EH34" i="4" s="1"/>
  <c r="BT16" i="4"/>
  <c r="DR15" i="4"/>
  <c r="DC13" i="4"/>
  <c r="DC10" i="4"/>
  <c r="U82" i="3"/>
  <c r="DC7" i="4"/>
  <c r="DD40" i="4" s="1"/>
  <c r="BJ5" i="4"/>
  <c r="O95" i="3"/>
  <c r="O90" i="3"/>
  <c r="AA49" i="3"/>
  <c r="AA95" i="3" s="1"/>
  <c r="S95" i="3"/>
  <c r="CH40" i="4"/>
  <c r="Q76" i="3"/>
  <c r="DH24" i="4"/>
  <c r="DR6" i="4"/>
  <c r="CH36" i="4"/>
  <c r="Q89" i="3"/>
  <c r="CD23" i="4"/>
  <c r="DV17" i="4"/>
  <c r="DW17" i="4" s="1"/>
  <c r="Y85" i="3"/>
  <c r="Y90" i="3" s="1"/>
  <c r="AC17" i="1"/>
  <c r="BJ17" i="4"/>
  <c r="CH11" i="4"/>
  <c r="Q58" i="3"/>
  <c r="CD8" i="4"/>
  <c r="CH6" i="4"/>
  <c r="Q47" i="3"/>
  <c r="Q49" i="3" s="1"/>
  <c r="P69" i="3"/>
  <c r="BJ40" i="4"/>
  <c r="CH35" i="4"/>
  <c r="Q93" i="3"/>
  <c r="BB26" i="2" l="1"/>
  <c r="BB22" i="2"/>
  <c r="BB18" i="2"/>
  <c r="BB7" i="2"/>
  <c r="BB38" i="2"/>
  <c r="BB13" i="2"/>
  <c r="BB8" i="2"/>
  <c r="BB37" i="2"/>
  <c r="BB33" i="2"/>
  <c r="BB29" i="2"/>
  <c r="BB25" i="2"/>
  <c r="BB21" i="2"/>
  <c r="BB17" i="2"/>
  <c r="BB11" i="2"/>
  <c r="BB39" i="2"/>
  <c r="BB34" i="2"/>
  <c r="BB30" i="2"/>
  <c r="BB14" i="2"/>
  <c r="BB12" i="2"/>
  <c r="BB6" i="2"/>
  <c r="BB15" i="2"/>
  <c r="BB32" i="2"/>
  <c r="BB9" i="2"/>
  <c r="BB27" i="2"/>
  <c r="BB28" i="2"/>
  <c r="BB35" i="2"/>
  <c r="BB20" i="2"/>
  <c r="BB40" i="2"/>
  <c r="BB24" i="2"/>
  <c r="BB5" i="2"/>
  <c r="BB31" i="2"/>
  <c r="BB16" i="2"/>
  <c r="BB41" i="2"/>
  <c r="BB23" i="2"/>
  <c r="BB10" i="2"/>
  <c r="BB19" i="2"/>
  <c r="BB36" i="2"/>
  <c r="BG4" i="2"/>
  <c r="AR6" i="4"/>
  <c r="AR7" i="4" s="1"/>
  <c r="AR8" i="4" s="1"/>
  <c r="AR9" i="4" s="1"/>
  <c r="AR10" i="4" s="1"/>
  <c r="AR11" i="4" s="1"/>
  <c r="AR12" i="4" s="1"/>
  <c r="AR13" i="4" s="1"/>
  <c r="AR14" i="4" s="1"/>
  <c r="AR15" i="4" s="1"/>
  <c r="AR16" i="4" s="1"/>
  <c r="AR17" i="4" s="1"/>
  <c r="AR18" i="4" s="1"/>
  <c r="AR19" i="4" s="1"/>
  <c r="AR20" i="4" s="1"/>
  <c r="AR21" i="4" s="1"/>
  <c r="AR22" i="4" s="1"/>
  <c r="AR23" i="4" s="1"/>
  <c r="AR24" i="4" s="1"/>
  <c r="AR25" i="4" s="1"/>
  <c r="AR26" i="4" s="1"/>
  <c r="AR27" i="4" s="1"/>
  <c r="AR28" i="4" s="1"/>
  <c r="AR29" i="4" s="1"/>
  <c r="AR30" i="4" s="1"/>
  <c r="AR31" i="4" s="1"/>
  <c r="AR32" i="4" s="1"/>
  <c r="AR33" i="4" s="1"/>
  <c r="AR34" i="4" s="1"/>
  <c r="AR35" i="4" s="1"/>
  <c r="AR36" i="4" s="1"/>
  <c r="AR37" i="4" s="1"/>
  <c r="AR38" i="4" s="1"/>
  <c r="AR39" i="4" s="1"/>
  <c r="AR40" i="4" s="1"/>
  <c r="AT5" i="2"/>
  <c r="AT7" i="2"/>
  <c r="AU8" i="2" s="1"/>
  <c r="AU4" i="2"/>
  <c r="AT6" i="2"/>
  <c r="AT9" i="2" s="1"/>
  <c r="EZ19" i="4"/>
  <c r="AE61" i="3"/>
  <c r="AF61" i="3"/>
  <c r="AE19" i="1"/>
  <c r="EZ35" i="4"/>
  <c r="AE93" i="3"/>
  <c r="AF93" i="3"/>
  <c r="AE35" i="1"/>
  <c r="EU17" i="4"/>
  <c r="AD85" i="3"/>
  <c r="AD90" i="3" s="1"/>
  <c r="DH14" i="4"/>
  <c r="BJ12" i="4"/>
  <c r="CX19" i="4"/>
  <c r="BJ22" i="4"/>
  <c r="CX35" i="4"/>
  <c r="CX26" i="4"/>
  <c r="BE25" i="4"/>
  <c r="EZ38" i="4"/>
  <c r="AF52" i="3"/>
  <c r="AE52" i="3"/>
  <c r="AE53" i="3" s="1"/>
  <c r="AF53" i="3" s="1"/>
  <c r="AE38" i="1"/>
  <c r="BJ39" i="4"/>
  <c r="EH7" i="4"/>
  <c r="EH11" i="4"/>
  <c r="EH15" i="4"/>
  <c r="EH19" i="4"/>
  <c r="EH23" i="4"/>
  <c r="EH27" i="4"/>
  <c r="EH31" i="4"/>
  <c r="EH35" i="4"/>
  <c r="EH39" i="4"/>
  <c r="BE12" i="4"/>
  <c r="CX21" i="4"/>
  <c r="BE10" i="4"/>
  <c r="AW5" i="4"/>
  <c r="AW6" i="4" s="1"/>
  <c r="AW7" i="4" s="1"/>
  <c r="AW8" i="4" s="1"/>
  <c r="AW9" i="4" s="1"/>
  <c r="AW10" i="4" s="1"/>
  <c r="AW11" i="4" s="1"/>
  <c r="AW12" i="4" s="1"/>
  <c r="AW13" i="4" s="1"/>
  <c r="AW14" i="4" s="1"/>
  <c r="AW15" i="4" s="1"/>
  <c r="AW16" i="4" s="1"/>
  <c r="AW17" i="4" s="1"/>
  <c r="AW18" i="4" s="1"/>
  <c r="AW19" i="4" s="1"/>
  <c r="AW20" i="4" s="1"/>
  <c r="AW21" i="4" s="1"/>
  <c r="AW22" i="4" s="1"/>
  <c r="AW23" i="4" s="1"/>
  <c r="AW24" i="4" s="1"/>
  <c r="AW25" i="4" s="1"/>
  <c r="AW26" i="4" s="1"/>
  <c r="AW27" i="4" s="1"/>
  <c r="AW28" i="4" s="1"/>
  <c r="AW29" i="4" s="1"/>
  <c r="AW30" i="4" s="1"/>
  <c r="AW31" i="4" s="1"/>
  <c r="AW32" i="4" s="1"/>
  <c r="AW33" i="4" s="1"/>
  <c r="AW34" i="4" s="1"/>
  <c r="AW35" i="4" s="1"/>
  <c r="AW36" i="4" s="1"/>
  <c r="AW37" i="4" s="1"/>
  <c r="AW38" i="4" s="1"/>
  <c r="AW39" i="4" s="1"/>
  <c r="AW40" i="4" s="1"/>
  <c r="FX6" i="4"/>
  <c r="FX10" i="4"/>
  <c r="FX8" i="4"/>
  <c r="FX17" i="4"/>
  <c r="FX24" i="4"/>
  <c r="FX25" i="4"/>
  <c r="FX29" i="4"/>
  <c r="FX33" i="4"/>
  <c r="FX37" i="4"/>
  <c r="DW7" i="4"/>
  <c r="EZ30" i="4"/>
  <c r="AE65" i="3"/>
  <c r="AF65" i="3"/>
  <c r="AE30" i="1"/>
  <c r="CT5" i="4"/>
  <c r="CT9" i="4"/>
  <c r="CT13" i="4"/>
  <c r="CT17" i="4"/>
  <c r="CT21" i="4"/>
  <c r="CT25" i="4"/>
  <c r="CT29" i="4"/>
  <c r="CT33" i="4"/>
  <c r="CT37" i="4"/>
  <c r="CX12" i="4"/>
  <c r="BZ7" i="4"/>
  <c r="BZ11" i="4"/>
  <c r="BZ15" i="4"/>
  <c r="BZ19" i="4"/>
  <c r="BZ23" i="4"/>
  <c r="BZ27" i="4"/>
  <c r="BZ31" i="4"/>
  <c r="BZ35" i="4"/>
  <c r="BZ39" i="4"/>
  <c r="BJ6" i="4"/>
  <c r="BJ13" i="4"/>
  <c r="CX18" i="4"/>
  <c r="DD5" i="4"/>
  <c r="DD8" i="4"/>
  <c r="DD13" i="4"/>
  <c r="DD17" i="4"/>
  <c r="DD21" i="4"/>
  <c r="DD25" i="4"/>
  <c r="DD30" i="4"/>
  <c r="DD32" i="4"/>
  <c r="DD37" i="4"/>
  <c r="DH10" i="4"/>
  <c r="CX33" i="4"/>
  <c r="DR4" i="4"/>
  <c r="DS40" i="4" s="1"/>
  <c r="CX14" i="4"/>
  <c r="BJ26" i="4"/>
  <c r="EZ37" i="4"/>
  <c r="AF68" i="3"/>
  <c r="AE68" i="3"/>
  <c r="AE37" i="1"/>
  <c r="BE38" i="4"/>
  <c r="CD39" i="4"/>
  <c r="BJ31" i="4"/>
  <c r="CD37" i="4"/>
  <c r="AH5" i="4"/>
  <c r="AH6" i="4" s="1"/>
  <c r="AH7" i="4" s="1"/>
  <c r="AH8" i="4" s="1"/>
  <c r="AH9" i="4" s="1"/>
  <c r="AH10" i="4" s="1"/>
  <c r="AH11" i="4" s="1"/>
  <c r="AH12" i="4" s="1"/>
  <c r="AH13" i="4" s="1"/>
  <c r="AH14" i="4" s="1"/>
  <c r="AH15" i="4" s="1"/>
  <c r="AH16" i="4" s="1"/>
  <c r="AH17" i="4" s="1"/>
  <c r="AH18" i="4" s="1"/>
  <c r="AH19" i="4" s="1"/>
  <c r="AH20" i="4" s="1"/>
  <c r="AH21" i="4" s="1"/>
  <c r="AH22" i="4" s="1"/>
  <c r="AH23" i="4" s="1"/>
  <c r="AH24" i="4" s="1"/>
  <c r="AH25" i="4" s="1"/>
  <c r="AH26" i="4" s="1"/>
  <c r="AH27" i="4" s="1"/>
  <c r="AH28" i="4" s="1"/>
  <c r="AH29" i="4" s="1"/>
  <c r="AH30" i="4" s="1"/>
  <c r="AH31" i="4" s="1"/>
  <c r="AH32" i="4" s="1"/>
  <c r="AH33" i="4" s="1"/>
  <c r="AH34" i="4" s="1"/>
  <c r="AH35" i="4" s="1"/>
  <c r="AH36" i="4" s="1"/>
  <c r="AH37" i="4" s="1"/>
  <c r="AH38" i="4" s="1"/>
  <c r="AH39" i="4" s="1"/>
  <c r="AH40" i="4" s="1"/>
  <c r="AI4" i="4"/>
  <c r="CD35" i="4"/>
  <c r="DR13" i="4"/>
  <c r="BA5" i="4"/>
  <c r="BA9" i="4"/>
  <c r="BA13" i="4"/>
  <c r="BA18" i="4"/>
  <c r="BA21" i="4"/>
  <c r="BA26" i="4"/>
  <c r="BA29" i="4"/>
  <c r="BA34" i="4"/>
  <c r="BA38" i="4"/>
  <c r="BE7" i="4"/>
  <c r="BJ10" i="4"/>
  <c r="CX17" i="4"/>
  <c r="BJ23" i="4"/>
  <c r="V69" i="3"/>
  <c r="V95" i="3" s="1"/>
  <c r="EU21" i="4"/>
  <c r="AD70" i="3"/>
  <c r="AD71" i="3" s="1"/>
  <c r="AD21" i="1"/>
  <c r="EZ32" i="4"/>
  <c r="AF66" i="3"/>
  <c r="AE66" i="3"/>
  <c r="AE32" i="1"/>
  <c r="BE33" i="4"/>
  <c r="BP5" i="4"/>
  <c r="BP10" i="4"/>
  <c r="BP13" i="4"/>
  <c r="BP16" i="4"/>
  <c r="BP20" i="4"/>
  <c r="BP24" i="4"/>
  <c r="BP29" i="4"/>
  <c r="BP31" i="4"/>
  <c r="BP37" i="4"/>
  <c r="BE15" i="4"/>
  <c r="CD26" i="4"/>
  <c r="CX30" i="4"/>
  <c r="CD33" i="4"/>
  <c r="BE37" i="4"/>
  <c r="CX5" i="4"/>
  <c r="CY4" i="4" s="1"/>
  <c r="CZ4" i="4" s="1"/>
  <c r="EZ40" i="4"/>
  <c r="AF76" i="3"/>
  <c r="AE76" i="3"/>
  <c r="AE40" i="1"/>
  <c r="AD40" i="4"/>
  <c r="AD37" i="4"/>
  <c r="AD36" i="4"/>
  <c r="AD33" i="4"/>
  <c r="AD32" i="4"/>
  <c r="AD29" i="4"/>
  <c r="AD28" i="4"/>
  <c r="AD25" i="4"/>
  <c r="AD24" i="4"/>
  <c r="AD21" i="4"/>
  <c r="AD20" i="4"/>
  <c r="AD17" i="4"/>
  <c r="AD16" i="4"/>
  <c r="AD13" i="4"/>
  <c r="AD12" i="4"/>
  <c r="AD9" i="4"/>
  <c r="AD8" i="4"/>
  <c r="AD5" i="4"/>
  <c r="AD4" i="4"/>
  <c r="AC5" i="4"/>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T12" i="4"/>
  <c r="T28" i="4"/>
  <c r="AM7" i="4"/>
  <c r="CD5" i="4"/>
  <c r="CD10" i="4"/>
  <c r="CD19" i="4"/>
  <c r="BE22" i="4"/>
  <c r="K95" i="3"/>
  <c r="BJ7" i="4"/>
  <c r="CH13" i="4"/>
  <c r="Q83" i="3"/>
  <c r="EZ20" i="4"/>
  <c r="AE73" i="3"/>
  <c r="AF73" i="3"/>
  <c r="AE20" i="1"/>
  <c r="CX16" i="4"/>
  <c r="CH18" i="4"/>
  <c r="Q60" i="3"/>
  <c r="Q69" i="3" s="1"/>
  <c r="DR24" i="4"/>
  <c r="T77" i="3"/>
  <c r="T95" i="3" s="1"/>
  <c r="DR12" i="4"/>
  <c r="BE24" i="4"/>
  <c r="CH34" i="4"/>
  <c r="Q88" i="3"/>
  <c r="BE11" i="4"/>
  <c r="BE29" i="4"/>
  <c r="CD31" i="4"/>
  <c r="BU5" i="4"/>
  <c r="BU10" i="4"/>
  <c r="BU13" i="4"/>
  <c r="BU17" i="4"/>
  <c r="BU25" i="4"/>
  <c r="BU23" i="4"/>
  <c r="BU29" i="4"/>
  <c r="BU33" i="4"/>
  <c r="BU37" i="4"/>
  <c r="CH4" i="4"/>
  <c r="CI28" i="4" s="1"/>
  <c r="Q96" i="3"/>
  <c r="Q45" i="3"/>
  <c r="Q46" i="3" s="1"/>
  <c r="P41" i="1"/>
  <c r="BE27" i="4"/>
  <c r="BE39" i="4"/>
  <c r="DR35" i="4"/>
  <c r="DR5" i="4"/>
  <c r="CH16" i="4"/>
  <c r="Q84" i="3"/>
  <c r="BJ20" i="4"/>
  <c r="CX23" i="4"/>
  <c r="BJ9" i="4"/>
  <c r="BJ36" i="4"/>
  <c r="CD4" i="4"/>
  <c r="CE28" i="4" s="1"/>
  <c r="EU12" i="4"/>
  <c r="AD59" i="3"/>
  <c r="AD12" i="1"/>
  <c r="CX34" i="4"/>
  <c r="CD16" i="4"/>
  <c r="CX25" i="4"/>
  <c r="EH4" i="4"/>
  <c r="EI4" i="4" s="1"/>
  <c r="EH8" i="4"/>
  <c r="EH12" i="4"/>
  <c r="EH16" i="4"/>
  <c r="EH20" i="4"/>
  <c r="EH24" i="4"/>
  <c r="EH28" i="4"/>
  <c r="EH32" i="4"/>
  <c r="EH36" i="4"/>
  <c r="DH32" i="4"/>
  <c r="FX7" i="4"/>
  <c r="FX11" i="4"/>
  <c r="FX14" i="4"/>
  <c r="FX20" i="4"/>
  <c r="FX21" i="4"/>
  <c r="FX26" i="4"/>
  <c r="FX30" i="4"/>
  <c r="FX34" i="4"/>
  <c r="FX38" i="4"/>
  <c r="CD20" i="4"/>
  <c r="CD12" i="4"/>
  <c r="DR18" i="4"/>
  <c r="CT6" i="4"/>
  <c r="CT10" i="4"/>
  <c r="CT14" i="4"/>
  <c r="CT18" i="4"/>
  <c r="CT22" i="4"/>
  <c r="CT26" i="4"/>
  <c r="CT30" i="4"/>
  <c r="CT34" i="4"/>
  <c r="CT38" i="4"/>
  <c r="CX7" i="4"/>
  <c r="BZ4" i="4"/>
  <c r="CA4" i="4" s="1"/>
  <c r="BZ8" i="4"/>
  <c r="BZ12" i="4"/>
  <c r="BZ16" i="4"/>
  <c r="BZ20" i="4"/>
  <c r="BZ24" i="4"/>
  <c r="BZ28" i="4"/>
  <c r="BZ32" i="4"/>
  <c r="BZ36" i="4"/>
  <c r="DR26" i="4"/>
  <c r="BE35" i="4"/>
  <c r="DD6" i="4"/>
  <c r="DD10" i="4"/>
  <c r="DD16" i="4"/>
  <c r="DD20" i="4"/>
  <c r="DD24" i="4"/>
  <c r="DD26" i="4"/>
  <c r="DD29" i="4"/>
  <c r="DD34" i="4"/>
  <c r="DD38" i="4"/>
  <c r="DH9" i="4"/>
  <c r="EU11" i="4"/>
  <c r="AD58" i="3"/>
  <c r="AD11" i="1"/>
  <c r="DH22" i="4"/>
  <c r="DR30" i="4"/>
  <c r="CH32" i="4"/>
  <c r="Q66" i="3"/>
  <c r="BJ33" i="4"/>
  <c r="BJ24" i="4"/>
  <c r="BJ38" i="4"/>
  <c r="CX8" i="4"/>
  <c r="D5" i="4"/>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EO38" i="4"/>
  <c r="EO37" i="4"/>
  <c r="EO34" i="4"/>
  <c r="EO33" i="4"/>
  <c r="EO31" i="4"/>
  <c r="EO29" i="4"/>
  <c r="EO26" i="4"/>
  <c r="EO25" i="4"/>
  <c r="EO21" i="4"/>
  <c r="EO24" i="4"/>
  <c r="EO18" i="4"/>
  <c r="EO17" i="4"/>
  <c r="EO13" i="4"/>
  <c r="EO12" i="4"/>
  <c r="EO16" i="4"/>
  <c r="EO9" i="4"/>
  <c r="EO5" i="4"/>
  <c r="EO4" i="4"/>
  <c r="EN5" i="4"/>
  <c r="EN6" i="4" s="1"/>
  <c r="EN7" i="4" s="1"/>
  <c r="EN8" i="4" s="1"/>
  <c r="EN9" i="4" s="1"/>
  <c r="EN10" i="4" s="1"/>
  <c r="EN11" i="4" s="1"/>
  <c r="EN12" i="4" s="1"/>
  <c r="EN13" i="4" s="1"/>
  <c r="EN14" i="4" s="1"/>
  <c r="EN15" i="4" s="1"/>
  <c r="EN16" i="4" s="1"/>
  <c r="EN17" i="4" s="1"/>
  <c r="EN18" i="4" s="1"/>
  <c r="EN19" i="4" s="1"/>
  <c r="EN20" i="4" s="1"/>
  <c r="EN21" i="4" s="1"/>
  <c r="EN22" i="4" s="1"/>
  <c r="EN23" i="4" s="1"/>
  <c r="EN24" i="4" s="1"/>
  <c r="EN25" i="4" s="1"/>
  <c r="EN26" i="4" s="1"/>
  <c r="EN27" i="4" s="1"/>
  <c r="EN28" i="4" s="1"/>
  <c r="EN29" i="4" s="1"/>
  <c r="EN30" i="4" s="1"/>
  <c r="EN31" i="4" s="1"/>
  <c r="EN32" i="4" s="1"/>
  <c r="EN33" i="4" s="1"/>
  <c r="EN34" i="4" s="1"/>
  <c r="EN35" i="4" s="1"/>
  <c r="EN36" i="4" s="1"/>
  <c r="EN37" i="4" s="1"/>
  <c r="EN38" i="4" s="1"/>
  <c r="EN39" i="4" s="1"/>
  <c r="EN40" i="4" s="1"/>
  <c r="DR40" i="4"/>
  <c r="CD11" i="4"/>
  <c r="EZ14" i="4"/>
  <c r="AE81" i="3"/>
  <c r="AF81" i="3"/>
  <c r="AE14" i="1"/>
  <c r="DR23" i="4"/>
  <c r="BJ35" i="4"/>
  <c r="BA6" i="4"/>
  <c r="BA16" i="4"/>
  <c r="BA14" i="4"/>
  <c r="BA19" i="4"/>
  <c r="BA22" i="4"/>
  <c r="BA27" i="4"/>
  <c r="BA31" i="4"/>
  <c r="BA35" i="4"/>
  <c r="CH9" i="4"/>
  <c r="CI7" i="4" s="1"/>
  <c r="Q80" i="3"/>
  <c r="Q82" i="3" s="1"/>
  <c r="CH22" i="4"/>
  <c r="Q62" i="3"/>
  <c r="CX28" i="4"/>
  <c r="DI4" i="4"/>
  <c r="DJ4" i="4" s="1"/>
  <c r="DH5" i="4"/>
  <c r="DI31" i="4" s="1"/>
  <c r="DH4" i="4"/>
  <c r="DH39" i="4"/>
  <c r="DI27" i="4"/>
  <c r="DH27" i="4"/>
  <c r="DH23" i="4"/>
  <c r="DI15" i="4"/>
  <c r="DI11" i="4"/>
  <c r="DH13" i="4"/>
  <c r="DH29" i="4"/>
  <c r="DH38" i="4"/>
  <c r="DI40" i="4"/>
  <c r="DH36" i="4"/>
  <c r="DI29" i="4"/>
  <c r="DH25" i="4"/>
  <c r="DH20" i="4"/>
  <c r="DI9" i="4" s="1"/>
  <c r="DI5" i="4"/>
  <c r="DH7" i="4"/>
  <c r="DI34" i="4" s="1"/>
  <c r="DH16" i="4"/>
  <c r="DI39" i="4"/>
  <c r="DI37" i="4"/>
  <c r="DH35" i="4"/>
  <c r="DI25" i="4"/>
  <c r="DI22" i="4"/>
  <c r="DH15" i="4"/>
  <c r="DH40" i="4"/>
  <c r="DI36" i="4"/>
  <c r="DH34" i="4"/>
  <c r="DH31" i="4"/>
  <c r="DH28" i="4"/>
  <c r="DI13" i="4" s="1"/>
  <c r="DI17" i="4"/>
  <c r="DI12" i="4"/>
  <c r="DH6" i="4"/>
  <c r="DI7" i="4"/>
  <c r="DH17" i="4"/>
  <c r="DH8" i="4"/>
  <c r="BP6" i="4"/>
  <c r="BP9" i="4"/>
  <c r="BP14" i="4"/>
  <c r="BP21" i="4"/>
  <c r="BP25" i="4"/>
  <c r="BP26" i="4"/>
  <c r="BP30" i="4"/>
  <c r="BP34" i="4"/>
  <c r="BP38" i="4"/>
  <c r="CX15" i="4"/>
  <c r="DR21" i="4"/>
  <c r="DH26" i="4"/>
  <c r="CX9" i="4"/>
  <c r="T5" i="4"/>
  <c r="T17" i="4"/>
  <c r="T21" i="4"/>
  <c r="T32" i="4"/>
  <c r="T37" i="4"/>
  <c r="CD28" i="4"/>
  <c r="CD29" i="4"/>
  <c r="AE45" i="3"/>
  <c r="AE46" i="3" s="1"/>
  <c r="EZ4" i="4"/>
  <c r="AE96" i="3"/>
  <c r="AF96" i="3" s="1"/>
  <c r="AF45" i="3"/>
  <c r="AE4" i="1"/>
  <c r="CY36" i="4"/>
  <c r="CX4" i="4"/>
  <c r="CY39" i="4" s="1"/>
  <c r="BJ8" i="4"/>
  <c r="P90" i="3"/>
  <c r="P95" i="3" s="1"/>
  <c r="BE17" i="4"/>
  <c r="BE28" i="4"/>
  <c r="BK38" i="4"/>
  <c r="BK11" i="4"/>
  <c r="BJ4" i="4"/>
  <c r="BK39" i="4" s="1"/>
  <c r="CH17" i="4"/>
  <c r="Q85" i="3"/>
  <c r="CX27" i="4"/>
  <c r="CX39" i="4"/>
  <c r="DR20" i="4"/>
  <c r="CX24" i="4"/>
  <c r="CD27" i="4"/>
  <c r="BE31" i="4"/>
  <c r="CD14" i="4"/>
  <c r="CD24" i="4"/>
  <c r="CX29" i="4"/>
  <c r="FS40" i="4"/>
  <c r="FS39" i="4"/>
  <c r="FS38" i="4"/>
  <c r="FS37" i="4"/>
  <c r="FS36" i="4"/>
  <c r="FS35" i="4"/>
  <c r="FS34" i="4"/>
  <c r="FS33" i="4"/>
  <c r="FS31" i="4"/>
  <c r="FS30" i="4"/>
  <c r="FS32" i="4"/>
  <c r="FS29" i="4"/>
  <c r="FS28" i="4"/>
  <c r="FS27" i="4"/>
  <c r="FS26" i="4"/>
  <c r="FS25" i="4"/>
  <c r="FS24" i="4"/>
  <c r="FS23" i="4"/>
  <c r="FS22" i="4"/>
  <c r="FS21" i="4"/>
  <c r="FS20" i="4"/>
  <c r="FS18" i="4"/>
  <c r="FS19" i="4"/>
  <c r="FS17" i="4"/>
  <c r="FS16" i="4"/>
  <c r="FS15" i="4"/>
  <c r="FS13" i="4"/>
  <c r="FS12" i="4"/>
  <c r="FS11" i="4"/>
  <c r="FS10" i="4"/>
  <c r="FS9" i="4"/>
  <c r="FS14" i="4"/>
  <c r="FR5" i="4"/>
  <c r="FR6" i="4" s="1"/>
  <c r="FR7" i="4" s="1"/>
  <c r="FR8" i="4" s="1"/>
  <c r="FR9" i="4" s="1"/>
  <c r="FR10" i="4" s="1"/>
  <c r="FR11" i="4" s="1"/>
  <c r="FR12" i="4" s="1"/>
  <c r="FR13" i="4" s="1"/>
  <c r="FR14" i="4" s="1"/>
  <c r="FR15" i="4" s="1"/>
  <c r="FR16" i="4" s="1"/>
  <c r="FR17" i="4" s="1"/>
  <c r="FR18" i="4" s="1"/>
  <c r="FR19" i="4" s="1"/>
  <c r="FR20" i="4" s="1"/>
  <c r="FR21" i="4" s="1"/>
  <c r="FR22" i="4" s="1"/>
  <c r="FR23" i="4" s="1"/>
  <c r="FR24" i="4" s="1"/>
  <c r="FR25" i="4" s="1"/>
  <c r="FR26" i="4" s="1"/>
  <c r="FR27" i="4" s="1"/>
  <c r="FR28" i="4" s="1"/>
  <c r="FR29" i="4" s="1"/>
  <c r="FR30" i="4" s="1"/>
  <c r="FR31" i="4" s="1"/>
  <c r="FR32" i="4" s="1"/>
  <c r="FR33" i="4" s="1"/>
  <c r="FR34" i="4" s="1"/>
  <c r="FR35" i="4" s="1"/>
  <c r="FR36" i="4" s="1"/>
  <c r="FR37" i="4" s="1"/>
  <c r="FR38" i="4" s="1"/>
  <c r="FR39" i="4" s="1"/>
  <c r="FR40" i="4" s="1"/>
  <c r="FS8" i="4"/>
  <c r="FS7" i="4"/>
  <c r="FS6" i="4"/>
  <c r="FS5" i="4"/>
  <c r="FS4" i="4"/>
  <c r="BU6" i="4"/>
  <c r="BU9" i="4"/>
  <c r="BU14" i="4"/>
  <c r="BU18" i="4"/>
  <c r="BU24" i="4"/>
  <c r="BU26" i="4"/>
  <c r="BU30" i="4"/>
  <c r="BU34" i="4"/>
  <c r="BU38" i="4"/>
  <c r="BE6" i="4"/>
  <c r="BE40" i="4"/>
  <c r="I8" i="4"/>
  <c r="N7" i="4"/>
  <c r="X69" i="3"/>
  <c r="EH9" i="4"/>
  <c r="EH13" i="4"/>
  <c r="CX6" i="4"/>
  <c r="CY33" i="4" s="1"/>
  <c r="DH33" i="4"/>
  <c r="FN38" i="4"/>
  <c r="FN34" i="4"/>
  <c r="FN30" i="4"/>
  <c r="FN26" i="4"/>
  <c r="FN22" i="4"/>
  <c r="FN18" i="4"/>
  <c r="FN14" i="4"/>
  <c r="FN10" i="4"/>
  <c r="FN6" i="4"/>
  <c r="FM5" i="4"/>
  <c r="FM6" i="4" s="1"/>
  <c r="FM7" i="4" s="1"/>
  <c r="FM8" i="4" s="1"/>
  <c r="FM9" i="4" s="1"/>
  <c r="FM10" i="4" s="1"/>
  <c r="FM11" i="4" s="1"/>
  <c r="FM12" i="4" s="1"/>
  <c r="FM13" i="4" s="1"/>
  <c r="FM14" i="4" s="1"/>
  <c r="FM15" i="4" s="1"/>
  <c r="FM16" i="4" s="1"/>
  <c r="FM17" i="4" s="1"/>
  <c r="FM18" i="4" s="1"/>
  <c r="FM19" i="4" s="1"/>
  <c r="FM20" i="4" s="1"/>
  <c r="FM21" i="4" s="1"/>
  <c r="FM22" i="4" s="1"/>
  <c r="FM23" i="4" s="1"/>
  <c r="FM24" i="4" s="1"/>
  <c r="FM25" i="4" s="1"/>
  <c r="FM26" i="4" s="1"/>
  <c r="FM27" i="4" s="1"/>
  <c r="FM28" i="4" s="1"/>
  <c r="FM29" i="4" s="1"/>
  <c r="FM30" i="4" s="1"/>
  <c r="FM31" i="4" s="1"/>
  <c r="FM32" i="4" s="1"/>
  <c r="FM33" i="4" s="1"/>
  <c r="FM34" i="4" s="1"/>
  <c r="FM35" i="4" s="1"/>
  <c r="FM36" i="4" s="1"/>
  <c r="FM37" i="4" s="1"/>
  <c r="FM38" i="4" s="1"/>
  <c r="FM39" i="4" s="1"/>
  <c r="FM40" i="4" s="1"/>
  <c r="KP4" i="4"/>
  <c r="KQ4" i="4" s="1"/>
  <c r="PV4" i="4"/>
  <c r="PW4" i="4" s="1"/>
  <c r="DA4" i="3"/>
  <c r="FX12" i="4"/>
  <c r="FX15" i="4"/>
  <c r="FX18" i="4"/>
  <c r="FX22" i="4"/>
  <c r="FX27" i="4"/>
  <c r="FX31" i="4"/>
  <c r="FX35" i="4"/>
  <c r="FX39" i="4"/>
  <c r="ET40" i="4"/>
  <c r="ET39" i="4"/>
  <c r="ET38" i="4"/>
  <c r="ET37" i="4"/>
  <c r="ET36" i="4"/>
  <c r="ET35" i="4"/>
  <c r="ET34" i="4"/>
  <c r="ET33" i="4"/>
  <c r="ET32" i="4"/>
  <c r="ET31" i="4"/>
  <c r="ET30" i="4"/>
  <c r="ET29" i="4"/>
  <c r="ET28" i="4"/>
  <c r="ET27" i="4"/>
  <c r="ET26" i="4"/>
  <c r="ET25" i="4"/>
  <c r="ET24" i="4"/>
  <c r="ET23" i="4"/>
  <c r="ET22" i="4"/>
  <c r="ET21" i="4"/>
  <c r="ET20" i="4"/>
  <c r="ET19" i="4"/>
  <c r="ET18" i="4"/>
  <c r="ET17" i="4"/>
  <c r="ET16" i="4"/>
  <c r="ET15" i="4"/>
  <c r="ET14" i="4"/>
  <c r="ET13" i="4"/>
  <c r="ET12" i="4"/>
  <c r="ET11" i="4"/>
  <c r="ET10" i="4"/>
  <c r="ET9" i="4"/>
  <c r="ET8" i="4"/>
  <c r="ET7" i="4"/>
  <c r="ET6" i="4"/>
  <c r="ET5" i="4"/>
  <c r="ET4" i="4"/>
  <c r="ES5" i="4"/>
  <c r="ES6" i="4" s="1"/>
  <c r="ES7" i="4" s="1"/>
  <c r="ES8" i="4" s="1"/>
  <c r="ES9" i="4" s="1"/>
  <c r="ES10" i="4" s="1"/>
  <c r="ES11" i="4" s="1"/>
  <c r="ES12" i="4" s="1"/>
  <c r="ES13" i="4" s="1"/>
  <c r="ES14" i="4" s="1"/>
  <c r="ES15" i="4" s="1"/>
  <c r="ES16" i="4" s="1"/>
  <c r="ES17" i="4" s="1"/>
  <c r="ES18" i="4" s="1"/>
  <c r="ES19" i="4" s="1"/>
  <c r="ES20" i="4" s="1"/>
  <c r="ES21" i="4" s="1"/>
  <c r="ES22" i="4" s="1"/>
  <c r="ES23" i="4" s="1"/>
  <c r="ES24" i="4" s="1"/>
  <c r="ES25" i="4" s="1"/>
  <c r="ES26" i="4" s="1"/>
  <c r="ES27" i="4" s="1"/>
  <c r="ES28" i="4" s="1"/>
  <c r="ES29" i="4" s="1"/>
  <c r="ES30" i="4" s="1"/>
  <c r="ES31" i="4" s="1"/>
  <c r="ES32" i="4" s="1"/>
  <c r="ES33" i="4" s="1"/>
  <c r="ES34" i="4" s="1"/>
  <c r="ES35" i="4" s="1"/>
  <c r="ES36" i="4" s="1"/>
  <c r="ES37" i="4" s="1"/>
  <c r="ES38" i="4" s="1"/>
  <c r="ES39" i="4" s="1"/>
  <c r="ES40" i="4" s="1"/>
  <c r="CD7" i="4"/>
  <c r="CD21" i="4"/>
  <c r="EU7" i="4"/>
  <c r="AD48" i="3"/>
  <c r="AD7" i="1"/>
  <c r="BJ28" i="4"/>
  <c r="CT7" i="4"/>
  <c r="CT11" i="4"/>
  <c r="CT15" i="4"/>
  <c r="CT19" i="4"/>
  <c r="CT23" i="4"/>
  <c r="CT27" i="4"/>
  <c r="CT31" i="4"/>
  <c r="CT35" i="4"/>
  <c r="BZ5" i="4"/>
  <c r="BZ9" i="4"/>
  <c r="BZ13" i="4"/>
  <c r="BZ17" i="4"/>
  <c r="BZ21" i="4"/>
  <c r="BZ25" i="4"/>
  <c r="BZ29" i="4"/>
  <c r="BZ33" i="4"/>
  <c r="BZ37" i="4"/>
  <c r="EZ18" i="4"/>
  <c r="AF60" i="3"/>
  <c r="AE60" i="3"/>
  <c r="AE18" i="1"/>
  <c r="BE19" i="4"/>
  <c r="DR25" i="4"/>
  <c r="DD7" i="4"/>
  <c r="DD11" i="4"/>
  <c r="DD14" i="4"/>
  <c r="DD18" i="4"/>
  <c r="DD22" i="4"/>
  <c r="DD27" i="4"/>
  <c r="DD33" i="4"/>
  <c r="DD35" i="4"/>
  <c r="EU10" i="4"/>
  <c r="AD57" i="3"/>
  <c r="AD10" i="1"/>
  <c r="EZ33" i="4"/>
  <c r="AE67" i="3"/>
  <c r="AF67" i="3"/>
  <c r="AE33" i="1"/>
  <c r="BE34" i="4"/>
  <c r="DR10" i="4"/>
  <c r="DR22" i="4"/>
  <c r="CX37" i="4"/>
  <c r="CH39" i="4"/>
  <c r="Q75" i="3"/>
  <c r="Q77" i="3" s="1"/>
  <c r="BJ14" i="4"/>
  <c r="EE38" i="4"/>
  <c r="EE37" i="4"/>
  <c r="EE34" i="4"/>
  <c r="EE33" i="4"/>
  <c r="EE32" i="4"/>
  <c r="EE29" i="4"/>
  <c r="EE26" i="4"/>
  <c r="EE25" i="4"/>
  <c r="EE22" i="4"/>
  <c r="EE21" i="4"/>
  <c r="EE19" i="4"/>
  <c r="EE17" i="4"/>
  <c r="EE14" i="4"/>
  <c r="EE13" i="4"/>
  <c r="EE10" i="4"/>
  <c r="EE9" i="4"/>
  <c r="ED5" i="4"/>
  <c r="ED6" i="4" s="1"/>
  <c r="ED7" i="4" s="1"/>
  <c r="ED8" i="4" s="1"/>
  <c r="ED9" i="4" s="1"/>
  <c r="ED10" i="4" s="1"/>
  <c r="ED11" i="4" s="1"/>
  <c r="ED12" i="4" s="1"/>
  <c r="ED13" i="4" s="1"/>
  <c r="ED14" i="4" s="1"/>
  <c r="ED15" i="4" s="1"/>
  <c r="ED16" i="4" s="1"/>
  <c r="ED17" i="4" s="1"/>
  <c r="ED18" i="4" s="1"/>
  <c r="ED19" i="4" s="1"/>
  <c r="ED20" i="4" s="1"/>
  <c r="ED21" i="4" s="1"/>
  <c r="ED22" i="4" s="1"/>
  <c r="ED23" i="4" s="1"/>
  <c r="ED24" i="4" s="1"/>
  <c r="ED25" i="4" s="1"/>
  <c r="ED26" i="4" s="1"/>
  <c r="ED27" i="4" s="1"/>
  <c r="ED28" i="4" s="1"/>
  <c r="ED29" i="4" s="1"/>
  <c r="ED30" i="4" s="1"/>
  <c r="ED31" i="4" s="1"/>
  <c r="ED32" i="4" s="1"/>
  <c r="ED33" i="4" s="1"/>
  <c r="ED34" i="4" s="1"/>
  <c r="ED35" i="4" s="1"/>
  <c r="ED36" i="4" s="1"/>
  <c r="ED37" i="4" s="1"/>
  <c r="ED38" i="4" s="1"/>
  <c r="ED39" i="4" s="1"/>
  <c r="ED40" i="4" s="1"/>
  <c r="EE8" i="4"/>
  <c r="EE6" i="4"/>
  <c r="EE4" i="4"/>
  <c r="CX11" i="4"/>
  <c r="CD6" i="4"/>
  <c r="CE39" i="4" s="1"/>
  <c r="DR17" i="4"/>
  <c r="CD36" i="4"/>
  <c r="Y49" i="3"/>
  <c r="Y95" i="3" s="1"/>
  <c r="EZ24" i="4"/>
  <c r="AE63" i="3"/>
  <c r="AF63" i="3"/>
  <c r="AE24" i="1"/>
  <c r="DR36" i="4"/>
  <c r="BA7" i="4"/>
  <c r="BA8" i="4"/>
  <c r="BA15" i="4"/>
  <c r="BA20" i="4"/>
  <c r="BA23" i="4"/>
  <c r="BA28" i="4"/>
  <c r="BA32" i="4"/>
  <c r="BA40" i="4"/>
  <c r="AD17" i="1"/>
  <c r="BE18" i="4"/>
  <c r="BJ29" i="4"/>
  <c r="DR38" i="4"/>
  <c r="EU5" i="4"/>
  <c r="AD56" i="3"/>
  <c r="AC41" i="1"/>
  <c r="AD96" i="3"/>
  <c r="AD5" i="1"/>
  <c r="AD41" i="1" s="1"/>
  <c r="AE41" i="1" s="1"/>
  <c r="DR14" i="4"/>
  <c r="DH21" i="4"/>
  <c r="CX32" i="4"/>
  <c r="DR37" i="4"/>
  <c r="BP7" i="4"/>
  <c r="BP11" i="4"/>
  <c r="BP15" i="4"/>
  <c r="BP18" i="4"/>
  <c r="BP22" i="4"/>
  <c r="BP27" i="4"/>
  <c r="BP32" i="4"/>
  <c r="BP35" i="4"/>
  <c r="DH19" i="4"/>
  <c r="CH26" i="4"/>
  <c r="Q64" i="3"/>
  <c r="BJ27" i="4"/>
  <c r="CH33" i="4"/>
  <c r="Q67" i="3"/>
  <c r="BJ34" i="4"/>
  <c r="DR19" i="4"/>
  <c r="DR27" i="4"/>
  <c r="CX40" i="4"/>
  <c r="T6" i="4"/>
  <c r="T20" i="4"/>
  <c r="T24" i="4"/>
  <c r="T34" i="4"/>
  <c r="T38" i="4"/>
  <c r="DR28" i="4"/>
  <c r="CD13" i="4"/>
  <c r="CX20" i="4"/>
  <c r="DR33" i="4"/>
  <c r="EZ16" i="4"/>
  <c r="AF84" i="3"/>
  <c r="AE84" i="3"/>
  <c r="AE16" i="1"/>
  <c r="CD18" i="4"/>
  <c r="BE32" i="4"/>
  <c r="BJ16" i="4"/>
  <c r="CX31" i="4"/>
  <c r="CD34" i="4"/>
  <c r="BE8" i="4"/>
  <c r="BJ25" i="4"/>
  <c r="BJ30" i="4"/>
  <c r="CD38" i="4"/>
  <c r="BU7" i="4"/>
  <c r="BU11" i="4"/>
  <c r="BU15" i="4"/>
  <c r="BU19" i="4"/>
  <c r="BU21" i="4"/>
  <c r="BU27" i="4"/>
  <c r="BU31" i="4"/>
  <c r="BU35" i="4"/>
  <c r="BU39" i="4"/>
  <c r="DO7" i="4"/>
  <c r="DO8" i="4" s="1"/>
  <c r="DO9" i="4" s="1"/>
  <c r="DO10" i="4" s="1"/>
  <c r="DO11" i="4" s="1"/>
  <c r="DO12" i="4" s="1"/>
  <c r="DO13" i="4" s="1"/>
  <c r="DO14" i="4" s="1"/>
  <c r="DO15" i="4" s="1"/>
  <c r="DO16" i="4" s="1"/>
  <c r="DO17" i="4" s="1"/>
  <c r="DO18" i="4" s="1"/>
  <c r="DO19" i="4" s="1"/>
  <c r="DO20" i="4" s="1"/>
  <c r="DO21" i="4" s="1"/>
  <c r="DO22" i="4" s="1"/>
  <c r="DO23" i="4" s="1"/>
  <c r="DO24" i="4" s="1"/>
  <c r="DO25" i="4" s="1"/>
  <c r="DO26" i="4" s="1"/>
  <c r="DO27" i="4" s="1"/>
  <c r="DO28" i="4" s="1"/>
  <c r="DO29" i="4" s="1"/>
  <c r="DO30" i="4" s="1"/>
  <c r="DO31" i="4" s="1"/>
  <c r="DO32" i="4" s="1"/>
  <c r="DO33" i="4" s="1"/>
  <c r="DO34" i="4" s="1"/>
  <c r="DO35" i="4" s="1"/>
  <c r="DO36" i="4" s="1"/>
  <c r="DO37" i="4" s="1"/>
  <c r="DO38" i="4" s="1"/>
  <c r="DO39" i="4" s="1"/>
  <c r="DO40" i="4" s="1"/>
  <c r="EZ26" i="4"/>
  <c r="AF64" i="3"/>
  <c r="AE64" i="3"/>
  <c r="AE26" i="1"/>
  <c r="DR7" i="4"/>
  <c r="DS39" i="4" s="1"/>
  <c r="BE9" i="4"/>
  <c r="BF37" i="4" s="1"/>
  <c r="DR32" i="4"/>
  <c r="BE16" i="4"/>
  <c r="EZ34" i="4"/>
  <c r="AF88" i="3"/>
  <c r="AE88" i="3"/>
  <c r="AE34" i="1"/>
  <c r="BH18" i="2"/>
  <c r="BH21" i="2"/>
  <c r="BH8" i="2"/>
  <c r="BH37" i="2"/>
  <c r="BH33" i="2"/>
  <c r="BH25" i="2"/>
  <c r="BH12" i="2"/>
  <c r="BH7" i="2"/>
  <c r="BH6" i="2"/>
  <c r="BH53" i="2"/>
  <c r="BH52" i="2"/>
  <c r="BH51" i="2"/>
  <c r="BH50" i="2"/>
  <c r="BH49" i="2"/>
  <c r="BH48" i="2"/>
  <c r="BH47" i="2"/>
  <c r="BH46" i="2"/>
  <c r="BH45" i="2"/>
  <c r="BH44" i="2"/>
  <c r="BH43" i="2"/>
  <c r="BH42" i="2"/>
  <c r="BH40" i="2"/>
  <c r="BH36" i="2"/>
  <c r="BH32" i="2"/>
  <c r="BH28" i="2"/>
  <c r="BH24" i="2"/>
  <c r="BH20" i="2"/>
  <c r="BH16" i="2"/>
  <c r="BH11" i="2"/>
  <c r="BH39" i="2"/>
  <c r="BH35" i="2"/>
  <c r="BH31" i="2"/>
  <c r="BH27" i="2"/>
  <c r="BH23" i="2"/>
  <c r="BH19" i="2"/>
  <c r="BH15" i="2"/>
  <c r="BH10" i="2"/>
  <c r="BH5" i="2"/>
  <c r="BH38" i="2"/>
  <c r="BH34" i="2"/>
  <c r="BH30" i="2"/>
  <c r="BH26" i="2"/>
  <c r="BH22" i="2"/>
  <c r="BH14" i="2"/>
  <c r="BH9" i="2"/>
  <c r="BH41" i="2"/>
  <c r="BH29" i="2"/>
  <c r="BH17" i="2"/>
  <c r="BH13" i="2"/>
  <c r="EH6" i="4"/>
  <c r="EH10" i="4"/>
  <c r="EH14" i="4"/>
  <c r="EH18" i="4"/>
  <c r="EH26" i="4"/>
  <c r="EH30" i="4"/>
  <c r="BE21" i="4"/>
  <c r="DR34" i="4"/>
  <c r="FX5" i="4"/>
  <c r="FX9" i="4"/>
  <c r="FX13" i="4"/>
  <c r="FX16" i="4"/>
  <c r="FX19" i="4"/>
  <c r="FX23" i="4"/>
  <c r="FX28" i="4"/>
  <c r="FX32" i="4"/>
  <c r="FX36" i="4"/>
  <c r="FX40" i="4"/>
  <c r="DH37" i="4"/>
  <c r="DR29" i="4"/>
  <c r="CU5" i="4"/>
  <c r="CU6" i="4" s="1"/>
  <c r="CT8" i="4"/>
  <c r="CT12" i="4"/>
  <c r="CT16" i="4"/>
  <c r="CT20" i="4"/>
  <c r="CT24" i="4"/>
  <c r="CT28" i="4"/>
  <c r="CT32" i="4"/>
  <c r="CX10" i="4"/>
  <c r="BZ6" i="4"/>
  <c r="BZ10" i="4"/>
  <c r="BZ14" i="4"/>
  <c r="BZ18" i="4"/>
  <c r="BZ26" i="4"/>
  <c r="BZ30" i="4"/>
  <c r="BZ34" i="4"/>
  <c r="DD4" i="4"/>
  <c r="DE4" i="4" s="1"/>
  <c r="DD9" i="4"/>
  <c r="DD12" i="4"/>
  <c r="DD15" i="4"/>
  <c r="DD19" i="4"/>
  <c r="DD23" i="4"/>
  <c r="DD28" i="4"/>
  <c r="DD31" i="4"/>
  <c r="EU9" i="4"/>
  <c r="AD80" i="3"/>
  <c r="AD82" i="3" s="1"/>
  <c r="AD9" i="1"/>
  <c r="DH11" i="4"/>
  <c r="DI10" i="4" s="1"/>
  <c r="EU22" i="4"/>
  <c r="AD62" i="3"/>
  <c r="AD22" i="1"/>
  <c r="BE26" i="4"/>
  <c r="X95" i="3"/>
  <c r="BE14" i="4"/>
  <c r="CD32" i="4"/>
  <c r="BJ15" i="4"/>
  <c r="CD25" i="4"/>
  <c r="CD30" i="4"/>
  <c r="DR39" i="4"/>
  <c r="BE5" i="4"/>
  <c r="BE13" i="4"/>
  <c r="AD47" i="3"/>
  <c r="AD49" i="3" s="1"/>
  <c r="EU6" i="4"/>
  <c r="AD6" i="1"/>
  <c r="DW6" i="4"/>
  <c r="DW4" i="4"/>
  <c r="DX27" i="4" s="1"/>
  <c r="DW37" i="4"/>
  <c r="DW30" i="4"/>
  <c r="DW24" i="4"/>
  <c r="DW23" i="4"/>
  <c r="DW16" i="4"/>
  <c r="DW12" i="4"/>
  <c r="DW40" i="4"/>
  <c r="DW5" i="4"/>
  <c r="DX32" i="4" s="1"/>
  <c r="DW34" i="4"/>
  <c r="DW22" i="4"/>
  <c r="DW9" i="4"/>
  <c r="DW11" i="4"/>
  <c r="DW8" i="4"/>
  <c r="DW38" i="4"/>
  <c r="DW33" i="4"/>
  <c r="DW32" i="4"/>
  <c r="DW26" i="4"/>
  <c r="DW21" i="4"/>
  <c r="DX13" i="4" s="1"/>
  <c r="DW19" i="4"/>
  <c r="DW20" i="4"/>
  <c r="DW15" i="4"/>
  <c r="DW10" i="4"/>
  <c r="DW28" i="4"/>
  <c r="DW35" i="4"/>
  <c r="DX33" i="4"/>
  <c r="DW31" i="4"/>
  <c r="DX40" i="4" s="1"/>
  <c r="DW25" i="4"/>
  <c r="DX24" i="4"/>
  <c r="DW18" i="4"/>
  <c r="DX12" i="4"/>
  <c r="DW13" i="4"/>
  <c r="DW14" i="4"/>
  <c r="DW39" i="4"/>
  <c r="EV14" i="4"/>
  <c r="CD40" i="4"/>
  <c r="BA4" i="4"/>
  <c r="BB4" i="4" s="1"/>
  <c r="BA10" i="4"/>
  <c r="BA12" i="4"/>
  <c r="BA17" i="4"/>
  <c r="BA25" i="4"/>
  <c r="BA30" i="4"/>
  <c r="BA33" i="4"/>
  <c r="CD9" i="4"/>
  <c r="CD22" i="4"/>
  <c r="EZ28" i="4"/>
  <c r="AF92" i="3"/>
  <c r="AE92" i="3"/>
  <c r="AE94" i="3" s="1"/>
  <c r="AF94" i="3" s="1"/>
  <c r="AE28" i="1"/>
  <c r="EU8" i="4"/>
  <c r="EV8" i="4" s="1"/>
  <c r="AD72" i="3"/>
  <c r="AD74" i="3" s="1"/>
  <c r="AD8" i="1"/>
  <c r="BP4" i="4"/>
  <c r="BQ4" i="4" s="1"/>
  <c r="BP8" i="4"/>
  <c r="BP12" i="4"/>
  <c r="BP17" i="4"/>
  <c r="BP19" i="4"/>
  <c r="BP23" i="4"/>
  <c r="BP28" i="4"/>
  <c r="BP33" i="4"/>
  <c r="DR9" i="4"/>
  <c r="BE30" i="4"/>
  <c r="DR16" i="4"/>
  <c r="Y38" i="4"/>
  <c r="Y37" i="4"/>
  <c r="Y34" i="4"/>
  <c r="Y33" i="4"/>
  <c r="Y29" i="4"/>
  <c r="Y30" i="4"/>
  <c r="Y26" i="4"/>
  <c r="Y23" i="4"/>
  <c r="Y25" i="4"/>
  <c r="Y24" i="4"/>
  <c r="Y18" i="4"/>
  <c r="Y17" i="4"/>
  <c r="Y13" i="4"/>
  <c r="Y12" i="4"/>
  <c r="Y10" i="4"/>
  <c r="Y8" i="4"/>
  <c r="Y5" i="4"/>
  <c r="Y4" i="4"/>
  <c r="X5" i="4"/>
  <c r="X6" i="4" s="1"/>
  <c r="X7" i="4" s="1"/>
  <c r="X8" i="4" s="1"/>
  <c r="X9" i="4" s="1"/>
  <c r="X10" i="4" s="1"/>
  <c r="X11" i="4" s="1"/>
  <c r="X12" i="4" s="1"/>
  <c r="X13" i="4" s="1"/>
  <c r="X14" i="4" s="1"/>
  <c r="X15" i="4" s="1"/>
  <c r="X16" i="4" s="1"/>
  <c r="X17" i="4" s="1"/>
  <c r="X18" i="4" s="1"/>
  <c r="X19" i="4" s="1"/>
  <c r="X20" i="4" s="1"/>
  <c r="X21" i="4" s="1"/>
  <c r="X22" i="4" s="1"/>
  <c r="X23" i="4" s="1"/>
  <c r="X24" i="4" s="1"/>
  <c r="X25" i="4" s="1"/>
  <c r="X26" i="4" s="1"/>
  <c r="X27" i="4" s="1"/>
  <c r="X28" i="4" s="1"/>
  <c r="X29" i="4" s="1"/>
  <c r="X30" i="4" s="1"/>
  <c r="X31" i="4" s="1"/>
  <c r="X32" i="4" s="1"/>
  <c r="X33" i="4" s="1"/>
  <c r="X34" i="4" s="1"/>
  <c r="X35" i="4" s="1"/>
  <c r="X36" i="4" s="1"/>
  <c r="X37" i="4" s="1"/>
  <c r="X38" i="4" s="1"/>
  <c r="X39" i="4" s="1"/>
  <c r="X40" i="4" s="1"/>
  <c r="FI39" i="4"/>
  <c r="FI40" i="4"/>
  <c r="FI38" i="4"/>
  <c r="FI37" i="4"/>
  <c r="FI36" i="4"/>
  <c r="FI35" i="4"/>
  <c r="FI34" i="4"/>
  <c r="FI33" i="4"/>
  <c r="FI30" i="4"/>
  <c r="FI32" i="4"/>
  <c r="FI31" i="4"/>
  <c r="FI29" i="4"/>
  <c r="FI28" i="4"/>
  <c r="FI27" i="4"/>
  <c r="FI26" i="4"/>
  <c r="FI25" i="4"/>
  <c r="FI23" i="4"/>
  <c r="FI22" i="4"/>
  <c r="FI21" i="4"/>
  <c r="FI24" i="4"/>
  <c r="FI20" i="4"/>
  <c r="FI19" i="4"/>
  <c r="FI18" i="4"/>
  <c r="FI17" i="4"/>
  <c r="FI15" i="4"/>
  <c r="FI14" i="4"/>
  <c r="FI13" i="4"/>
  <c r="FI12" i="4"/>
  <c r="FI11" i="4"/>
  <c r="FI10" i="4"/>
  <c r="FI16" i="4"/>
  <c r="FI9" i="4"/>
  <c r="FI7" i="4"/>
  <c r="FI6" i="4"/>
  <c r="FI5" i="4"/>
  <c r="FI4" i="4"/>
  <c r="FH5" i="4"/>
  <c r="FH6" i="4" s="1"/>
  <c r="FH7" i="4" s="1"/>
  <c r="FH8" i="4" s="1"/>
  <c r="FH9" i="4" s="1"/>
  <c r="FH10" i="4" s="1"/>
  <c r="FH11" i="4" s="1"/>
  <c r="FH12" i="4" s="1"/>
  <c r="FH13" i="4" s="1"/>
  <c r="FH14" i="4" s="1"/>
  <c r="FH15" i="4" s="1"/>
  <c r="FH16" i="4" s="1"/>
  <c r="FH17" i="4" s="1"/>
  <c r="FH18" i="4" s="1"/>
  <c r="FH19" i="4" s="1"/>
  <c r="FH20" i="4" s="1"/>
  <c r="FH21" i="4" s="1"/>
  <c r="FH22" i="4" s="1"/>
  <c r="FH23" i="4" s="1"/>
  <c r="FH24" i="4" s="1"/>
  <c r="FH25" i="4" s="1"/>
  <c r="FH26" i="4" s="1"/>
  <c r="FH27" i="4" s="1"/>
  <c r="FH28" i="4" s="1"/>
  <c r="FH29" i="4" s="1"/>
  <c r="FH30" i="4" s="1"/>
  <c r="FH31" i="4" s="1"/>
  <c r="FH32" i="4" s="1"/>
  <c r="FH33" i="4" s="1"/>
  <c r="FH34" i="4" s="1"/>
  <c r="FH35" i="4" s="1"/>
  <c r="FH36" i="4" s="1"/>
  <c r="FH37" i="4" s="1"/>
  <c r="FH38" i="4" s="1"/>
  <c r="FH39" i="4" s="1"/>
  <c r="FH40" i="4" s="1"/>
  <c r="FI8" i="4"/>
  <c r="S8" i="4"/>
  <c r="S9" i="4" s="1"/>
  <c r="S10" i="4" s="1"/>
  <c r="S11" i="4" s="1"/>
  <c r="S12" i="4" s="1"/>
  <c r="S13" i="4" s="1"/>
  <c r="S14" i="4" s="1"/>
  <c r="S15" i="4" s="1"/>
  <c r="S16" i="4" s="1"/>
  <c r="S17" i="4" s="1"/>
  <c r="S18" i="4" s="1"/>
  <c r="S19" i="4" s="1"/>
  <c r="S20" i="4" s="1"/>
  <c r="S21" i="4" s="1"/>
  <c r="S22" i="4" s="1"/>
  <c r="S23" i="4" s="1"/>
  <c r="S24" i="4" s="1"/>
  <c r="S25" i="4" s="1"/>
  <c r="S26" i="4" s="1"/>
  <c r="S27" i="4" s="1"/>
  <c r="S28" i="4" s="1"/>
  <c r="S29" i="4" s="1"/>
  <c r="S30" i="4" s="1"/>
  <c r="S31" i="4" s="1"/>
  <c r="S32" i="4" s="1"/>
  <c r="S33" i="4" s="1"/>
  <c r="S34" i="4" s="1"/>
  <c r="S35" i="4" s="1"/>
  <c r="S36" i="4" s="1"/>
  <c r="S37" i="4" s="1"/>
  <c r="S38" i="4" s="1"/>
  <c r="S39" i="4" s="1"/>
  <c r="S40" i="4" s="1"/>
  <c r="T11" i="4"/>
  <c r="T14" i="4"/>
  <c r="T18" i="4"/>
  <c r="T27" i="4"/>
  <c r="T33" i="4"/>
  <c r="T35" i="4"/>
  <c r="BJ19" i="4"/>
  <c r="EV37" i="4"/>
  <c r="BJ18" i="4"/>
  <c r="DH30" i="4"/>
  <c r="BF40" i="4"/>
  <c r="BF36" i="4"/>
  <c r="BF32" i="4"/>
  <c r="BF28" i="4"/>
  <c r="BF24" i="4"/>
  <c r="BF20" i="4"/>
  <c r="BF16" i="4"/>
  <c r="BF12" i="4"/>
  <c r="BF8" i="4"/>
  <c r="BF4" i="4"/>
  <c r="BG4" i="4" s="1"/>
  <c r="BE4" i="4"/>
  <c r="BF39" i="4" s="1"/>
  <c r="BJ11" i="4"/>
  <c r="BK34" i="4" s="1"/>
  <c r="BJ21" i="4"/>
  <c r="L95" i="3"/>
  <c r="CD17" i="4"/>
  <c r="EZ27" i="4"/>
  <c r="AF54" i="3"/>
  <c r="AE54" i="3"/>
  <c r="AE55" i="3" s="1"/>
  <c r="AF55" i="3" s="1"/>
  <c r="AE27" i="1"/>
  <c r="EZ39" i="4"/>
  <c r="AE75" i="3"/>
  <c r="AE77" i="3" s="1"/>
  <c r="AF77" i="3" s="1"/>
  <c r="AF75" i="3"/>
  <c r="AE39" i="1"/>
  <c r="DR8" i="4"/>
  <c r="CH27" i="4"/>
  <c r="CI27" i="4" s="1"/>
  <c r="Q54" i="3"/>
  <c r="Q55" i="3" s="1"/>
  <c r="CX36" i="4"/>
  <c r="BU4" i="4"/>
  <c r="BV4" i="4" s="1"/>
  <c r="BU8" i="4"/>
  <c r="BU12" i="4"/>
  <c r="BU16" i="4"/>
  <c r="BU20" i="4"/>
  <c r="BU22" i="4"/>
  <c r="BU28" i="4"/>
  <c r="BU32" i="4"/>
  <c r="BU36" i="4"/>
  <c r="CX13" i="4"/>
  <c r="VU40" i="4"/>
  <c r="VU39" i="4"/>
  <c r="VU38" i="4"/>
  <c r="VU37" i="4"/>
  <c r="VU36" i="4"/>
  <c r="VU35" i="4"/>
  <c r="VU34" i="4"/>
  <c r="VU33" i="4"/>
  <c r="VU31" i="4"/>
  <c r="VU32" i="4"/>
  <c r="VU30" i="4"/>
  <c r="VU28" i="4"/>
  <c r="VU29" i="4"/>
  <c r="VU27" i="4"/>
  <c r="VU26" i="4"/>
  <c r="VU25" i="4"/>
  <c r="VU24" i="4"/>
  <c r="VU22" i="4"/>
  <c r="VU21" i="4"/>
  <c r="VU23" i="4"/>
  <c r="VU20" i="4"/>
  <c r="VU18" i="4"/>
  <c r="VU17" i="4"/>
  <c r="VU19" i="4"/>
  <c r="VU16" i="4"/>
  <c r="VU14" i="4"/>
  <c r="VU13" i="4"/>
  <c r="VU15" i="4"/>
  <c r="VU12" i="4"/>
  <c r="VU11" i="4"/>
  <c r="VU10" i="4"/>
  <c r="VU9" i="4"/>
  <c r="VU7" i="4"/>
  <c r="VU8" i="4"/>
  <c r="VU6" i="4"/>
  <c r="VU5" i="4"/>
  <c r="VU4" i="4"/>
  <c r="VT5" i="4"/>
  <c r="VT6" i="4" s="1"/>
  <c r="VT7" i="4" s="1"/>
  <c r="VT8" i="4" s="1"/>
  <c r="VT9" i="4" s="1"/>
  <c r="VT10" i="4" s="1"/>
  <c r="VT11" i="4" s="1"/>
  <c r="VT12" i="4" s="1"/>
  <c r="VT13" i="4" s="1"/>
  <c r="VT14" i="4" s="1"/>
  <c r="VT15" i="4" s="1"/>
  <c r="VT16" i="4" s="1"/>
  <c r="VT17" i="4" s="1"/>
  <c r="VT18" i="4" s="1"/>
  <c r="VT19" i="4" s="1"/>
  <c r="VT20" i="4" s="1"/>
  <c r="VT21" i="4" s="1"/>
  <c r="VT22" i="4" s="1"/>
  <c r="VT23" i="4" s="1"/>
  <c r="VT24" i="4" s="1"/>
  <c r="VT25" i="4" s="1"/>
  <c r="VT26" i="4" s="1"/>
  <c r="VT27" i="4" s="1"/>
  <c r="VT28" i="4" s="1"/>
  <c r="VT29" i="4" s="1"/>
  <c r="VT30" i="4" s="1"/>
  <c r="VT31" i="4" s="1"/>
  <c r="VT32" i="4" s="1"/>
  <c r="VT33" i="4" s="1"/>
  <c r="VT34" i="4" s="1"/>
  <c r="VT35" i="4" s="1"/>
  <c r="VT36" i="4" s="1"/>
  <c r="VT37" i="4" s="1"/>
  <c r="VT38" i="4" s="1"/>
  <c r="VT39" i="4" s="1"/>
  <c r="VT40" i="4" s="1"/>
  <c r="CP9" i="4"/>
  <c r="DP4" i="4" l="1"/>
  <c r="VG6" i="4"/>
  <c r="PZ6" i="4"/>
  <c r="KT6" i="4"/>
  <c r="PZ27" i="4"/>
  <c r="KT27" i="4"/>
  <c r="VG27" i="4"/>
  <c r="QU4" i="4"/>
  <c r="QV4" i="4" s="1"/>
  <c r="LN4" i="4"/>
  <c r="LO4" i="4" s="1"/>
  <c r="FZ4" i="4"/>
  <c r="GA4" i="4" s="1"/>
  <c r="AQ4" i="3"/>
  <c r="QU24" i="4"/>
  <c r="LN24" i="4"/>
  <c r="FZ24" i="4"/>
  <c r="DP36" i="4"/>
  <c r="DP20" i="4"/>
  <c r="LJ38" i="4"/>
  <c r="RO38" i="4"/>
  <c r="GH38" i="4"/>
  <c r="RO24" i="4"/>
  <c r="LJ24" i="4"/>
  <c r="GH24" i="4"/>
  <c r="RO6" i="4"/>
  <c r="LJ6" i="4"/>
  <c r="GH6" i="4"/>
  <c r="UI6" i="4"/>
  <c r="OX6" i="4"/>
  <c r="JR6" i="4"/>
  <c r="OX13" i="4"/>
  <c r="JR13" i="4"/>
  <c r="UI13" i="4"/>
  <c r="OX21" i="4"/>
  <c r="JR21" i="4"/>
  <c r="UI21" i="4"/>
  <c r="UI29" i="4"/>
  <c r="OX29" i="4"/>
  <c r="JR29" i="4"/>
  <c r="UI37" i="4"/>
  <c r="OX37" i="4"/>
  <c r="JR37" i="4"/>
  <c r="PJ11" i="4"/>
  <c r="KD11" i="4"/>
  <c r="UU11" i="4"/>
  <c r="UU19" i="4"/>
  <c r="KD19" i="4"/>
  <c r="PJ19" i="4"/>
  <c r="PJ27" i="4"/>
  <c r="KD27" i="4"/>
  <c r="UU27" i="4"/>
  <c r="UU35" i="4"/>
  <c r="PJ35" i="4"/>
  <c r="KD35" i="4"/>
  <c r="KP31" i="4"/>
  <c r="PV31" i="4"/>
  <c r="PV15" i="4"/>
  <c r="KP15" i="4"/>
  <c r="QD22" i="4"/>
  <c r="KX22" i="4"/>
  <c r="VK22" i="4"/>
  <c r="DP32" i="4"/>
  <c r="DP15" i="4"/>
  <c r="BF9" i="4"/>
  <c r="BF17" i="4"/>
  <c r="BF25" i="4"/>
  <c r="BF33" i="4"/>
  <c r="LJ11" i="4"/>
  <c r="GH11" i="4"/>
  <c r="RO11" i="4"/>
  <c r="VG15" i="4"/>
  <c r="PZ15" i="4"/>
  <c r="KT15" i="4"/>
  <c r="VG30" i="4"/>
  <c r="PZ30" i="4"/>
  <c r="KT30" i="4"/>
  <c r="LN10" i="4"/>
  <c r="FZ10" i="4"/>
  <c r="QU10" i="4"/>
  <c r="LN25" i="4"/>
  <c r="FZ25" i="4"/>
  <c r="QU25" i="4"/>
  <c r="QU29" i="4"/>
  <c r="LN29" i="4"/>
  <c r="FZ29" i="4"/>
  <c r="DX17" i="4"/>
  <c r="DX7" i="4"/>
  <c r="DX16" i="4"/>
  <c r="DX25" i="4"/>
  <c r="DX5" i="4"/>
  <c r="E9" i="4"/>
  <c r="E15" i="4"/>
  <c r="E22" i="4"/>
  <c r="E32" i="4"/>
  <c r="E35" i="4"/>
  <c r="E52" i="4"/>
  <c r="E59" i="4"/>
  <c r="E45" i="4"/>
  <c r="E77" i="4"/>
  <c r="E93" i="4"/>
  <c r="E84" i="4"/>
  <c r="E100" i="4"/>
  <c r="E50" i="4"/>
  <c r="E66" i="4"/>
  <c r="E82" i="4"/>
  <c r="E98" i="4"/>
  <c r="E114" i="4"/>
  <c r="E79" i="4"/>
  <c r="E95" i="4"/>
  <c r="E111" i="4"/>
  <c r="CI32" i="4"/>
  <c r="PV30" i="4"/>
  <c r="KP30" i="4"/>
  <c r="EI5" i="4"/>
  <c r="EI6" i="4" s="1"/>
  <c r="EI7" i="4" s="1"/>
  <c r="EI8" i="4" s="1"/>
  <c r="EI9" i="4" s="1"/>
  <c r="EI10" i="4" s="1"/>
  <c r="EI11" i="4" s="1"/>
  <c r="EI12" i="4" s="1"/>
  <c r="EI13" i="4" s="1"/>
  <c r="EI14" i="4" s="1"/>
  <c r="EI15" i="4" s="1"/>
  <c r="EI16" i="4" s="1"/>
  <c r="EI17" i="4" s="1"/>
  <c r="EI18" i="4" s="1"/>
  <c r="EI19" i="4" s="1"/>
  <c r="EI20" i="4" s="1"/>
  <c r="EI21" i="4" s="1"/>
  <c r="EI22" i="4" s="1"/>
  <c r="EI23" i="4" s="1"/>
  <c r="EI24" i="4" s="1"/>
  <c r="EI25" i="4" s="1"/>
  <c r="EI26" i="4" s="1"/>
  <c r="EI27" i="4" s="1"/>
  <c r="EI28" i="4" s="1"/>
  <c r="EI29" i="4" s="1"/>
  <c r="EI30" i="4" s="1"/>
  <c r="EI31" i="4" s="1"/>
  <c r="EI32" i="4" s="1"/>
  <c r="EI33" i="4" s="1"/>
  <c r="EI34" i="4" s="1"/>
  <c r="EI35" i="4" s="1"/>
  <c r="EI36" i="4" s="1"/>
  <c r="EI37" i="4" s="1"/>
  <c r="EI38" i="4" s="1"/>
  <c r="EI39" i="4" s="1"/>
  <c r="EI40" i="4" s="1"/>
  <c r="CE17" i="4"/>
  <c r="CE24" i="4"/>
  <c r="CE31" i="4"/>
  <c r="CE36" i="4"/>
  <c r="CE40" i="4"/>
  <c r="DP29" i="4"/>
  <c r="DP10" i="4"/>
  <c r="T40" i="4"/>
  <c r="RC5" i="4"/>
  <c r="GL5" i="4"/>
  <c r="LR5" i="4"/>
  <c r="LR13" i="4"/>
  <c r="GL13" i="4"/>
  <c r="RC13" i="4"/>
  <c r="LR21" i="4"/>
  <c r="GL21" i="4"/>
  <c r="RC21" i="4"/>
  <c r="LR25" i="4"/>
  <c r="GL25" i="4"/>
  <c r="RC25" i="4"/>
  <c r="RC33" i="4"/>
  <c r="LR33" i="4"/>
  <c r="GL33" i="4"/>
  <c r="DS5" i="4"/>
  <c r="DS13" i="4"/>
  <c r="DS19" i="4"/>
  <c r="DS28" i="4"/>
  <c r="DS37" i="4"/>
  <c r="CI10" i="4"/>
  <c r="KP8" i="4"/>
  <c r="PV8" i="4"/>
  <c r="AX8" i="4"/>
  <c r="AX16" i="4"/>
  <c r="AX24" i="4"/>
  <c r="AX32" i="4"/>
  <c r="AX36" i="4"/>
  <c r="AU7" i="2"/>
  <c r="AV8" i="2" s="1"/>
  <c r="AU6" i="2"/>
  <c r="AU9" i="2" s="1"/>
  <c r="AU5" i="2"/>
  <c r="AV4" i="2" s="1"/>
  <c r="AS6" i="4"/>
  <c r="AS21" i="4"/>
  <c r="AS39" i="4"/>
  <c r="AS20" i="4"/>
  <c r="AS35" i="4"/>
  <c r="AS12" i="4"/>
  <c r="AS30" i="4"/>
  <c r="AS10" i="4"/>
  <c r="AS26" i="4"/>
  <c r="DP28" i="4"/>
  <c r="DP13" i="4"/>
  <c r="BF6" i="4"/>
  <c r="BF10" i="4"/>
  <c r="BF14" i="4"/>
  <c r="BF18" i="4"/>
  <c r="BF22" i="4"/>
  <c r="BF26" i="4"/>
  <c r="BF30" i="4"/>
  <c r="BF34" i="4"/>
  <c r="BF38" i="4"/>
  <c r="T39" i="4"/>
  <c r="T22" i="4"/>
  <c r="T7" i="4"/>
  <c r="VG4" i="4"/>
  <c r="VH4" i="4" s="1"/>
  <c r="KT4" i="4"/>
  <c r="KU4" i="4" s="1"/>
  <c r="PZ4" i="4"/>
  <c r="QA4" i="4" s="1"/>
  <c r="CU4" i="3"/>
  <c r="VG9" i="4"/>
  <c r="KT9" i="4"/>
  <c r="PZ9" i="4"/>
  <c r="PZ12" i="4"/>
  <c r="KT12" i="4"/>
  <c r="VG12" i="4"/>
  <c r="VG17" i="4"/>
  <c r="PZ17" i="4"/>
  <c r="KT17" i="4"/>
  <c r="VG24" i="4"/>
  <c r="KT24" i="4"/>
  <c r="PZ24" i="4"/>
  <c r="PZ25" i="4"/>
  <c r="KT25" i="4"/>
  <c r="VG25" i="4"/>
  <c r="VG29" i="4"/>
  <c r="KT29" i="4"/>
  <c r="PZ29" i="4"/>
  <c r="VG33" i="4"/>
  <c r="PZ33" i="4"/>
  <c r="KT33" i="4"/>
  <c r="VG37" i="4"/>
  <c r="PZ37" i="4"/>
  <c r="KT37" i="4"/>
  <c r="Y7" i="4"/>
  <c r="Y6" i="4"/>
  <c r="Y16" i="4"/>
  <c r="Y14" i="4"/>
  <c r="Y19" i="4"/>
  <c r="Y21" i="4"/>
  <c r="Y27" i="4"/>
  <c r="Y31" i="4"/>
  <c r="Y36" i="4"/>
  <c r="Y39" i="4"/>
  <c r="BQ5" i="4"/>
  <c r="BQ6" i="4" s="1"/>
  <c r="BQ7" i="4" s="1"/>
  <c r="BQ8" i="4" s="1"/>
  <c r="BQ9" i="4" s="1"/>
  <c r="BQ10" i="4" s="1"/>
  <c r="BQ11" i="4" s="1"/>
  <c r="BQ12" i="4" s="1"/>
  <c r="BQ13" i="4" s="1"/>
  <c r="BQ14" i="4" s="1"/>
  <c r="BQ15" i="4" s="1"/>
  <c r="BQ16" i="4" s="1"/>
  <c r="BQ17" i="4" s="1"/>
  <c r="BQ18" i="4" s="1"/>
  <c r="BQ19" i="4" s="1"/>
  <c r="BQ20" i="4" s="1"/>
  <c r="BQ21" i="4" s="1"/>
  <c r="BQ22" i="4" s="1"/>
  <c r="BQ23" i="4" s="1"/>
  <c r="BQ24" i="4" s="1"/>
  <c r="BQ25" i="4" s="1"/>
  <c r="BQ26" i="4" s="1"/>
  <c r="BQ27" i="4" s="1"/>
  <c r="BQ28" i="4" s="1"/>
  <c r="BQ29" i="4" s="1"/>
  <c r="BQ30" i="4" s="1"/>
  <c r="BQ31" i="4" s="1"/>
  <c r="BQ32" i="4" s="1"/>
  <c r="BQ33" i="4" s="1"/>
  <c r="BQ34" i="4" s="1"/>
  <c r="BQ35" i="4" s="1"/>
  <c r="BQ36" i="4" s="1"/>
  <c r="BQ37" i="4" s="1"/>
  <c r="BQ38" i="4" s="1"/>
  <c r="BQ39" i="4" s="1"/>
  <c r="BQ40" i="4" s="1"/>
  <c r="BC37" i="4"/>
  <c r="BC33" i="4"/>
  <c r="BC30" i="4"/>
  <c r="BC25" i="4"/>
  <c r="BC24" i="4"/>
  <c r="BC17" i="4"/>
  <c r="BC8" i="4"/>
  <c r="BC11" i="4"/>
  <c r="BB5" i="4"/>
  <c r="BB6" i="4" s="1"/>
  <c r="BB7" i="4" s="1"/>
  <c r="BB8" i="4" s="1"/>
  <c r="BB9" i="4" s="1"/>
  <c r="BB10" i="4" s="1"/>
  <c r="BB11" i="4" s="1"/>
  <c r="BB12" i="4" s="1"/>
  <c r="BB13" i="4" s="1"/>
  <c r="BB14" i="4" s="1"/>
  <c r="BB15" i="4" s="1"/>
  <c r="BB16" i="4" s="1"/>
  <c r="BB17" i="4" s="1"/>
  <c r="BB18" i="4" s="1"/>
  <c r="BB19" i="4" s="1"/>
  <c r="BB20" i="4" s="1"/>
  <c r="BB21" i="4" s="1"/>
  <c r="BB22" i="4" s="1"/>
  <c r="BB23" i="4" s="1"/>
  <c r="BB24" i="4" s="1"/>
  <c r="BB25" i="4" s="1"/>
  <c r="BB26" i="4" s="1"/>
  <c r="BB27" i="4" s="1"/>
  <c r="BB28" i="4" s="1"/>
  <c r="BB29" i="4" s="1"/>
  <c r="BB30" i="4" s="1"/>
  <c r="BB31" i="4" s="1"/>
  <c r="BB32" i="4" s="1"/>
  <c r="BB33" i="4" s="1"/>
  <c r="BB34" i="4" s="1"/>
  <c r="BB35" i="4" s="1"/>
  <c r="BB36" i="4" s="1"/>
  <c r="BB37" i="4" s="1"/>
  <c r="BB38" i="4" s="1"/>
  <c r="BB39" i="4" s="1"/>
  <c r="BB40" i="4" s="1"/>
  <c r="BC6" i="4"/>
  <c r="BC4" i="4"/>
  <c r="DX15" i="4"/>
  <c r="DX35" i="4"/>
  <c r="DX20" i="4"/>
  <c r="DX26" i="4"/>
  <c r="DX36" i="4"/>
  <c r="DX9" i="4"/>
  <c r="DX14" i="4"/>
  <c r="DX34" i="4"/>
  <c r="AE47" i="3"/>
  <c r="EZ6" i="4"/>
  <c r="AF47" i="3"/>
  <c r="AE6" i="1"/>
  <c r="PV40" i="4"/>
  <c r="KP40" i="4"/>
  <c r="PV23" i="4"/>
  <c r="KP23" i="4"/>
  <c r="PV9" i="4"/>
  <c r="KP9" i="4"/>
  <c r="CI35" i="4"/>
  <c r="DP27" i="4"/>
  <c r="DP12" i="4"/>
  <c r="T29" i="4"/>
  <c r="T16" i="4"/>
  <c r="CI33" i="4"/>
  <c r="AD69" i="3"/>
  <c r="UI4" i="4"/>
  <c r="UJ4" i="4" s="1"/>
  <c r="OX4" i="4"/>
  <c r="OY4" i="4" s="1"/>
  <c r="JR4" i="4"/>
  <c r="JS4" i="4" s="1"/>
  <c r="CI4" i="3"/>
  <c r="EE11" i="4"/>
  <c r="EE15" i="4"/>
  <c r="EE18" i="4"/>
  <c r="EE23" i="4"/>
  <c r="EE27" i="4"/>
  <c r="EE30" i="4"/>
  <c r="EE35" i="4"/>
  <c r="EE39" i="4"/>
  <c r="CI39" i="4"/>
  <c r="UU5" i="4"/>
  <c r="KD5" i="4"/>
  <c r="PJ5" i="4"/>
  <c r="UU9" i="4"/>
  <c r="KD9" i="4"/>
  <c r="PJ9" i="4"/>
  <c r="PJ13" i="4"/>
  <c r="KD13" i="4"/>
  <c r="UU13" i="4"/>
  <c r="UU17" i="4"/>
  <c r="PJ17" i="4"/>
  <c r="KD17" i="4"/>
  <c r="PJ21" i="4"/>
  <c r="KD21" i="4"/>
  <c r="UU21" i="4"/>
  <c r="PJ25" i="4"/>
  <c r="KD25" i="4"/>
  <c r="UU25" i="4"/>
  <c r="UU29" i="4"/>
  <c r="KD29" i="4"/>
  <c r="PJ29" i="4"/>
  <c r="UU33" i="4"/>
  <c r="PJ33" i="4"/>
  <c r="KD33" i="4"/>
  <c r="UU37" i="4"/>
  <c r="PJ37" i="4"/>
  <c r="KD37" i="4"/>
  <c r="PV39" i="4"/>
  <c r="KP39" i="4"/>
  <c r="PV22" i="4"/>
  <c r="KP22" i="4"/>
  <c r="DB42" i="3"/>
  <c r="DB40" i="3"/>
  <c r="DB38" i="3"/>
  <c r="DB36" i="3"/>
  <c r="DB34" i="3"/>
  <c r="DB32" i="3"/>
  <c r="DB30" i="3"/>
  <c r="DB28" i="3"/>
  <c r="DB22" i="3"/>
  <c r="DB5" i="3"/>
  <c r="DB27" i="3"/>
  <c r="DB19" i="3"/>
  <c r="DA5" i="3"/>
  <c r="DA6" i="3" s="1"/>
  <c r="DA7" i="3" s="1"/>
  <c r="DA8" i="3" s="1"/>
  <c r="DA9" i="3" s="1"/>
  <c r="DA10" i="3" s="1"/>
  <c r="DA11" i="3" s="1"/>
  <c r="DA12" i="3" s="1"/>
  <c r="DA13" i="3" s="1"/>
  <c r="DA14" i="3" s="1"/>
  <c r="DA15" i="3" s="1"/>
  <c r="DA16" i="3" s="1"/>
  <c r="DA17" i="3" s="1"/>
  <c r="DA18" i="3" s="1"/>
  <c r="DA19" i="3" s="1"/>
  <c r="DA20" i="3" s="1"/>
  <c r="DA21" i="3" s="1"/>
  <c r="DA22" i="3" s="1"/>
  <c r="DA23" i="3" s="1"/>
  <c r="DA24" i="3" s="1"/>
  <c r="DA25" i="3" s="1"/>
  <c r="DA26" i="3" s="1"/>
  <c r="DA27" i="3" s="1"/>
  <c r="DA28" i="3" s="1"/>
  <c r="DA29" i="3" s="1"/>
  <c r="DA30" i="3" s="1"/>
  <c r="DA31" i="3" s="1"/>
  <c r="DA32" i="3" s="1"/>
  <c r="DA33" i="3" s="1"/>
  <c r="DA34" i="3" s="1"/>
  <c r="DA35" i="3" s="1"/>
  <c r="DA36" i="3" s="1"/>
  <c r="DA37" i="3" s="1"/>
  <c r="DA38" i="3" s="1"/>
  <c r="DA39" i="3" s="1"/>
  <c r="DA40" i="3" s="1"/>
  <c r="DA41" i="3" s="1"/>
  <c r="DA42" i="3" s="1"/>
  <c r="DB24" i="3"/>
  <c r="DB16" i="3"/>
  <c r="DB15" i="3"/>
  <c r="DB14" i="3"/>
  <c r="DB12" i="3"/>
  <c r="DB11" i="3"/>
  <c r="DB10" i="3"/>
  <c r="DB8" i="3"/>
  <c r="DB7" i="3"/>
  <c r="DB6" i="3"/>
  <c r="DB21" i="3"/>
  <c r="DB17" i="3"/>
  <c r="FN4" i="4"/>
  <c r="FN8" i="4"/>
  <c r="FN12" i="4"/>
  <c r="FN16" i="4"/>
  <c r="FN20" i="4"/>
  <c r="FN24" i="4"/>
  <c r="FN28" i="4"/>
  <c r="FN32" i="4"/>
  <c r="FN36" i="4"/>
  <c r="FN40" i="4"/>
  <c r="DP34" i="4"/>
  <c r="DP19" i="4"/>
  <c r="VO6" i="4"/>
  <c r="QH6" i="4"/>
  <c r="LB6" i="4"/>
  <c r="QH14" i="4"/>
  <c r="LB14" i="4"/>
  <c r="VO14" i="4"/>
  <c r="QH12" i="4"/>
  <c r="LB12" i="4"/>
  <c r="VO12" i="4"/>
  <c r="VO17" i="4"/>
  <c r="QH17" i="4"/>
  <c r="LB17" i="4"/>
  <c r="QH21" i="4"/>
  <c r="LB21" i="4"/>
  <c r="VO21" i="4"/>
  <c r="QH25" i="4"/>
  <c r="LB25" i="4"/>
  <c r="VO25" i="4"/>
  <c r="VO29" i="4"/>
  <c r="QH29" i="4"/>
  <c r="LB29" i="4"/>
  <c r="VO33" i="4"/>
  <c r="QH33" i="4"/>
  <c r="LB33" i="4"/>
  <c r="VO37" i="4"/>
  <c r="QH37" i="4"/>
  <c r="LB37" i="4"/>
  <c r="BK5" i="4"/>
  <c r="BK8" i="4"/>
  <c r="BK13" i="4"/>
  <c r="BK16" i="4"/>
  <c r="BK20" i="4"/>
  <c r="BK23" i="4"/>
  <c r="BK28" i="4"/>
  <c r="BK31" i="4"/>
  <c r="BK37" i="4"/>
  <c r="BK40" i="4"/>
  <c r="CY7" i="4"/>
  <c r="CY12" i="4"/>
  <c r="CY10" i="4"/>
  <c r="CY20" i="4"/>
  <c r="CY21" i="4"/>
  <c r="CY26" i="4"/>
  <c r="CY29" i="4"/>
  <c r="CY34" i="4"/>
  <c r="CY38" i="4"/>
  <c r="AF46" i="3"/>
  <c r="T30" i="4"/>
  <c r="T13" i="4"/>
  <c r="DI19" i="4"/>
  <c r="DI24" i="4"/>
  <c r="DI32" i="4"/>
  <c r="DI16" i="4"/>
  <c r="DI23" i="4"/>
  <c r="DI20" i="4"/>
  <c r="EO7" i="4"/>
  <c r="EO6" i="4"/>
  <c r="EO10" i="4"/>
  <c r="EO14" i="4"/>
  <c r="EO19" i="4"/>
  <c r="EO22" i="4"/>
  <c r="EO27" i="4"/>
  <c r="EO32" i="4"/>
  <c r="EO36" i="4"/>
  <c r="EO40" i="4"/>
  <c r="E4" i="4"/>
  <c r="E8" i="4"/>
  <c r="E12" i="4"/>
  <c r="E17" i="4"/>
  <c r="E24" i="4"/>
  <c r="E23" i="4"/>
  <c r="E30" i="4"/>
  <c r="E33" i="4"/>
  <c r="E37" i="4"/>
  <c r="E41" i="4"/>
  <c r="E56" i="4"/>
  <c r="E47" i="4"/>
  <c r="E63" i="4"/>
  <c r="E49" i="4"/>
  <c r="E65" i="4"/>
  <c r="E81" i="4"/>
  <c r="E97" i="4"/>
  <c r="E72" i="4"/>
  <c r="E88" i="4"/>
  <c r="E104" i="4"/>
  <c r="E54" i="4"/>
  <c r="E70" i="4"/>
  <c r="E86" i="4"/>
  <c r="E102" i="4"/>
  <c r="E67" i="4"/>
  <c r="E83" i="4"/>
  <c r="E99" i="4"/>
  <c r="E112" i="4"/>
  <c r="EV11" i="4"/>
  <c r="CI29" i="4"/>
  <c r="PV26" i="4"/>
  <c r="KP26" i="4"/>
  <c r="PV11" i="4"/>
  <c r="KP11" i="4"/>
  <c r="CE6" i="4"/>
  <c r="CE9" i="4"/>
  <c r="CE10" i="4"/>
  <c r="CE16" i="4"/>
  <c r="CE21" i="4"/>
  <c r="CE25" i="4"/>
  <c r="CE29" i="4"/>
  <c r="CE33" i="4"/>
  <c r="CE37" i="4"/>
  <c r="CI36" i="4"/>
  <c r="CI40" i="4"/>
  <c r="DP25" i="4"/>
  <c r="DP9" i="4"/>
  <c r="CI34" i="4"/>
  <c r="Q90" i="3"/>
  <c r="T36" i="4"/>
  <c r="T19" i="4"/>
  <c r="T4" i="4"/>
  <c r="AD6" i="4"/>
  <c r="AD10" i="4"/>
  <c r="AD14" i="4"/>
  <c r="AD18" i="4"/>
  <c r="AD22" i="4"/>
  <c r="AD26" i="4"/>
  <c r="AD30" i="4"/>
  <c r="AD34" i="4"/>
  <c r="AD38" i="4"/>
  <c r="CI8" i="4"/>
  <c r="AI6" i="4"/>
  <c r="AI11" i="4"/>
  <c r="AI8" i="4"/>
  <c r="AI17" i="4"/>
  <c r="AI24" i="4"/>
  <c r="AI25" i="4"/>
  <c r="AI29" i="4"/>
  <c r="AI33" i="4"/>
  <c r="AI37" i="4"/>
  <c r="DS6" i="4"/>
  <c r="DS10" i="4"/>
  <c r="DS14" i="4"/>
  <c r="DS17" i="4"/>
  <c r="DS21" i="4"/>
  <c r="DS25" i="4"/>
  <c r="DS29" i="4"/>
  <c r="DS33" i="4"/>
  <c r="DS36" i="4"/>
  <c r="PV25" i="4"/>
  <c r="KP25" i="4"/>
  <c r="PV10" i="4"/>
  <c r="KP10" i="4"/>
  <c r="AX5" i="4"/>
  <c r="AX9" i="4"/>
  <c r="AX13" i="4"/>
  <c r="AX17" i="4"/>
  <c r="AX21" i="4"/>
  <c r="AX25" i="4"/>
  <c r="AX29" i="4"/>
  <c r="AX33" i="4"/>
  <c r="AX37" i="4"/>
  <c r="AS16" i="4"/>
  <c r="AS27" i="4"/>
  <c r="AS9" i="4"/>
  <c r="AS22" i="4"/>
  <c r="AS40" i="4"/>
  <c r="AS17" i="4"/>
  <c r="AS33" i="4"/>
  <c r="AS13" i="4"/>
  <c r="AS29" i="4"/>
  <c r="BL22" i="2"/>
  <c r="BL14" i="2"/>
  <c r="BL41" i="2"/>
  <c r="BL29" i="2"/>
  <c r="BL25" i="2"/>
  <c r="BL8" i="2"/>
  <c r="BL7" i="2"/>
  <c r="BL6" i="2"/>
  <c r="BL37" i="2"/>
  <c r="BL53" i="2"/>
  <c r="BL52" i="2"/>
  <c r="BL51" i="2"/>
  <c r="BL50" i="2"/>
  <c r="BL49" i="2"/>
  <c r="BL48" i="2"/>
  <c r="BL47" i="2"/>
  <c r="BL46" i="2"/>
  <c r="BL45" i="2"/>
  <c r="BL44" i="2"/>
  <c r="BL43" i="2"/>
  <c r="BL42" i="2"/>
  <c r="BL40" i="2"/>
  <c r="BL36" i="2"/>
  <c r="BL32" i="2"/>
  <c r="BL28" i="2"/>
  <c r="BL24" i="2"/>
  <c r="BL20" i="2"/>
  <c r="BL16" i="2"/>
  <c r="BL11" i="2"/>
  <c r="BL39" i="2"/>
  <c r="BL35" i="2"/>
  <c r="BL31" i="2"/>
  <c r="BL27" i="2"/>
  <c r="BL23" i="2"/>
  <c r="BL19" i="2"/>
  <c r="BL15" i="2"/>
  <c r="BE13" i="2"/>
  <c r="BG5" i="2" s="1"/>
  <c r="BL10" i="2"/>
  <c r="BL5" i="2"/>
  <c r="BL38" i="2"/>
  <c r="BL34" i="2"/>
  <c r="BL30" i="2"/>
  <c r="BL26" i="2"/>
  <c r="BL18" i="2"/>
  <c r="BL9" i="2"/>
  <c r="BL33" i="2"/>
  <c r="BL21" i="2"/>
  <c r="BL17" i="2"/>
  <c r="BL13" i="2"/>
  <c r="BL12" i="2"/>
  <c r="DP21" i="4"/>
  <c r="RO33" i="4"/>
  <c r="LJ33" i="4"/>
  <c r="GH33" i="4"/>
  <c r="VG8" i="4"/>
  <c r="PZ8" i="4"/>
  <c r="KT8" i="4"/>
  <c r="PZ14" i="4"/>
  <c r="KT14" i="4"/>
  <c r="VG14" i="4"/>
  <c r="PZ22" i="4"/>
  <c r="KT22" i="4"/>
  <c r="VG22" i="4"/>
  <c r="VG35" i="4"/>
  <c r="PZ35" i="4"/>
  <c r="KT35" i="4"/>
  <c r="QU8" i="4"/>
  <c r="LN8" i="4"/>
  <c r="FZ8" i="4"/>
  <c r="QU17" i="4"/>
  <c r="LN17" i="4"/>
  <c r="FZ17" i="4"/>
  <c r="QU30" i="4"/>
  <c r="LN30" i="4"/>
  <c r="FZ30" i="4"/>
  <c r="QU33" i="4"/>
  <c r="LN33" i="4"/>
  <c r="FZ33" i="4"/>
  <c r="DX19" i="4"/>
  <c r="DX39" i="4"/>
  <c r="DX4" i="4"/>
  <c r="DY4" i="4" s="1"/>
  <c r="AD95" i="3"/>
  <c r="CI19" i="4"/>
  <c r="PV32" i="4"/>
  <c r="KP32" i="4"/>
  <c r="PV16" i="4"/>
  <c r="KP16" i="4"/>
  <c r="PZ11" i="4"/>
  <c r="KT11" i="4"/>
  <c r="VG11" i="4"/>
  <c r="PZ23" i="4"/>
  <c r="KT23" i="4"/>
  <c r="VG23" i="4"/>
  <c r="QU5" i="4"/>
  <c r="LN5" i="4"/>
  <c r="FZ5" i="4"/>
  <c r="QU18" i="4"/>
  <c r="LN18" i="4"/>
  <c r="FZ18" i="4"/>
  <c r="DX6" i="4"/>
  <c r="EV22" i="4"/>
  <c r="DE5" i="4"/>
  <c r="DE6" i="4" s="1"/>
  <c r="DE7" i="4" s="1"/>
  <c r="DE8" i="4" s="1"/>
  <c r="DE9" i="4" s="1"/>
  <c r="DE10" i="4" s="1"/>
  <c r="DE11" i="4" s="1"/>
  <c r="DE12" i="4" s="1"/>
  <c r="DE13" i="4" s="1"/>
  <c r="DE14" i="4" s="1"/>
  <c r="DE15" i="4" s="1"/>
  <c r="DE16" i="4" s="1"/>
  <c r="DE17" i="4" s="1"/>
  <c r="DE18" i="4" s="1"/>
  <c r="DE19" i="4" s="1"/>
  <c r="DE20" i="4" s="1"/>
  <c r="DE21" i="4" s="1"/>
  <c r="DE22" i="4" s="1"/>
  <c r="DE23" i="4" s="1"/>
  <c r="DE24" i="4" s="1"/>
  <c r="DE25" i="4" s="1"/>
  <c r="DE26" i="4" s="1"/>
  <c r="DE27" i="4" s="1"/>
  <c r="DE28" i="4" s="1"/>
  <c r="DE29" i="4" s="1"/>
  <c r="DE30" i="4" s="1"/>
  <c r="DE31" i="4" s="1"/>
  <c r="DE32" i="4" s="1"/>
  <c r="DE33" i="4" s="1"/>
  <c r="DE34" i="4" s="1"/>
  <c r="DE35" i="4" s="1"/>
  <c r="DE36" i="4" s="1"/>
  <c r="DE37" i="4" s="1"/>
  <c r="DE38" i="4" s="1"/>
  <c r="DE39" i="4" s="1"/>
  <c r="DE40" i="4" s="1"/>
  <c r="CU7" i="4"/>
  <c r="PV28" i="4"/>
  <c r="KP28" i="4"/>
  <c r="PV13" i="4"/>
  <c r="KP13" i="4"/>
  <c r="UI8" i="4"/>
  <c r="OX8" i="4"/>
  <c r="JR8" i="4"/>
  <c r="OX14" i="4"/>
  <c r="JR14" i="4"/>
  <c r="UI14" i="4"/>
  <c r="OX22" i="4"/>
  <c r="JR22" i="4"/>
  <c r="UI22" i="4"/>
  <c r="UI32" i="4"/>
  <c r="OX32" i="4"/>
  <c r="JR32" i="4"/>
  <c r="EV30" i="4"/>
  <c r="EV7" i="4"/>
  <c r="UU4" i="4"/>
  <c r="UV4" i="4" s="1"/>
  <c r="KD4" i="4"/>
  <c r="KE4" i="4" s="1"/>
  <c r="PJ4" i="4"/>
  <c r="PK4" i="4" s="1"/>
  <c r="CO4" i="3"/>
  <c r="UU8" i="4"/>
  <c r="PJ8" i="4"/>
  <c r="KD8" i="4"/>
  <c r="PJ12" i="4"/>
  <c r="KD12" i="4"/>
  <c r="UU12" i="4"/>
  <c r="UU16" i="4"/>
  <c r="PJ16" i="4"/>
  <c r="KD16" i="4"/>
  <c r="PJ20" i="4"/>
  <c r="KD20" i="4"/>
  <c r="UU20" i="4"/>
  <c r="UU24" i="4"/>
  <c r="KD24" i="4"/>
  <c r="PJ24" i="4"/>
  <c r="PJ28" i="4"/>
  <c r="KD28" i="4"/>
  <c r="UU28" i="4"/>
  <c r="UU32" i="4"/>
  <c r="PJ32" i="4"/>
  <c r="KD32" i="4"/>
  <c r="UU36" i="4"/>
  <c r="PJ36" i="4"/>
  <c r="KD36" i="4"/>
  <c r="PJ40" i="4"/>
  <c r="KD40" i="4"/>
  <c r="UU40" i="4"/>
  <c r="PV27" i="4"/>
  <c r="KP27" i="4"/>
  <c r="PV12" i="4"/>
  <c r="KP12" i="4"/>
  <c r="FN7" i="4"/>
  <c r="FN11" i="4"/>
  <c r="FN15" i="4"/>
  <c r="FN19" i="4"/>
  <c r="FN23" i="4"/>
  <c r="FN27" i="4"/>
  <c r="FN31" i="4"/>
  <c r="FN35" i="4"/>
  <c r="FN39" i="4"/>
  <c r="DP38" i="4"/>
  <c r="DP24" i="4"/>
  <c r="DP6" i="4"/>
  <c r="VO5" i="4"/>
  <c r="QH5" i="4"/>
  <c r="LB5" i="4"/>
  <c r="QH11" i="4"/>
  <c r="LB11" i="4"/>
  <c r="VO11" i="4"/>
  <c r="QH20" i="4"/>
  <c r="LB20" i="4"/>
  <c r="VO20" i="4"/>
  <c r="QH28" i="4"/>
  <c r="LB28" i="4"/>
  <c r="VO28" i="4"/>
  <c r="VO31" i="4"/>
  <c r="QH31" i="4"/>
  <c r="LB31" i="4"/>
  <c r="VO36" i="4"/>
  <c r="QH36" i="4"/>
  <c r="LB36" i="4"/>
  <c r="QH40" i="4"/>
  <c r="LB40" i="4"/>
  <c r="VO40" i="4"/>
  <c r="BK4" i="4"/>
  <c r="BL4" i="4" s="1"/>
  <c r="BK12" i="4"/>
  <c r="BK19" i="4"/>
  <c r="BK27" i="4"/>
  <c r="BK35" i="4"/>
  <c r="CY6" i="4"/>
  <c r="CY8" i="4"/>
  <c r="CY24" i="4"/>
  <c r="CY25" i="4"/>
  <c r="CY37" i="4"/>
  <c r="DI30" i="4"/>
  <c r="DI33" i="4"/>
  <c r="DP40" i="4"/>
  <c r="DP23" i="4"/>
  <c r="DP7" i="4"/>
  <c r="BF7" i="4"/>
  <c r="BF11" i="4"/>
  <c r="BF15" i="4"/>
  <c r="BF19" i="4"/>
  <c r="BF23" i="4"/>
  <c r="BF27" i="4"/>
  <c r="BF31" i="4"/>
  <c r="BF35" i="4"/>
  <c r="RO35" i="4"/>
  <c r="LJ35" i="4"/>
  <c r="GH35" i="4"/>
  <c r="RO18" i="4"/>
  <c r="LJ18" i="4"/>
  <c r="GH18" i="4"/>
  <c r="VG5" i="4"/>
  <c r="KT5" i="4"/>
  <c r="PZ5" i="4"/>
  <c r="VG16" i="4"/>
  <c r="PZ16" i="4"/>
  <c r="KT16" i="4"/>
  <c r="PZ13" i="4"/>
  <c r="KT13" i="4"/>
  <c r="VG13" i="4"/>
  <c r="VG18" i="4"/>
  <c r="PZ18" i="4"/>
  <c r="KT18" i="4"/>
  <c r="PZ21" i="4"/>
  <c r="KT21" i="4"/>
  <c r="VG21" i="4"/>
  <c r="PZ26" i="4"/>
  <c r="KT26" i="4"/>
  <c r="VG26" i="4"/>
  <c r="VG31" i="4"/>
  <c r="KT31" i="4"/>
  <c r="PZ31" i="4"/>
  <c r="VG34" i="4"/>
  <c r="PZ34" i="4"/>
  <c r="KT34" i="4"/>
  <c r="PZ38" i="4"/>
  <c r="KT38" i="4"/>
  <c r="VG38" i="4"/>
  <c r="Y9" i="4"/>
  <c r="Y11" i="4"/>
  <c r="Y15" i="4"/>
  <c r="Y20" i="4"/>
  <c r="Y22" i="4"/>
  <c r="Y28" i="4"/>
  <c r="Y32" i="4"/>
  <c r="Y35" i="4"/>
  <c r="Y40" i="4"/>
  <c r="EZ8" i="4"/>
  <c r="AF72" i="3"/>
  <c r="AE72" i="3"/>
  <c r="AE74" i="3" s="1"/>
  <c r="AF74" i="3" s="1"/>
  <c r="AE8" i="1"/>
  <c r="DX28" i="4"/>
  <c r="DX37" i="4"/>
  <c r="DX8" i="4"/>
  <c r="DX30" i="4"/>
  <c r="DX10" i="4"/>
  <c r="DX18" i="4"/>
  <c r="DX29" i="4"/>
  <c r="DX38" i="4"/>
  <c r="DX21" i="4"/>
  <c r="EV6" i="4"/>
  <c r="EZ22" i="4"/>
  <c r="AF62" i="3"/>
  <c r="AE62" i="3"/>
  <c r="AE22" i="1"/>
  <c r="EZ9" i="4"/>
  <c r="AF80" i="3"/>
  <c r="AE80" i="3"/>
  <c r="AE82" i="3" s="1"/>
  <c r="AF82" i="3" s="1"/>
  <c r="AE9" i="1"/>
  <c r="PV36" i="4"/>
  <c r="KP36" i="4"/>
  <c r="KP19" i="4"/>
  <c r="PV19" i="4"/>
  <c r="KP5" i="4"/>
  <c r="PV5" i="4"/>
  <c r="DP39" i="4"/>
  <c r="DP22" i="4"/>
  <c r="DP8" i="4"/>
  <c r="CI12" i="4"/>
  <c r="T26" i="4"/>
  <c r="T10" i="4"/>
  <c r="AF56" i="3"/>
  <c r="EZ5" i="4"/>
  <c r="AE56" i="3"/>
  <c r="AE5" i="1"/>
  <c r="EV5" i="4"/>
  <c r="EV26" i="4"/>
  <c r="EV23" i="4"/>
  <c r="EV36" i="4"/>
  <c r="EV34" i="4"/>
  <c r="EV39" i="4"/>
  <c r="EV27" i="4"/>
  <c r="EV20" i="4"/>
  <c r="EV40" i="4"/>
  <c r="EV28" i="4"/>
  <c r="EW24" i="4"/>
  <c r="EV29" i="4"/>
  <c r="EV35" i="4"/>
  <c r="EV25" i="4"/>
  <c r="EV38" i="4"/>
  <c r="EV13" i="4"/>
  <c r="EV32" i="4"/>
  <c r="EV4" i="4"/>
  <c r="EW34" i="4" s="1"/>
  <c r="EV33" i="4"/>
  <c r="EV19" i="4"/>
  <c r="EV31" i="4"/>
  <c r="EV18" i="4"/>
  <c r="EV16" i="4"/>
  <c r="EV15" i="4"/>
  <c r="EZ17" i="4"/>
  <c r="AE85" i="3"/>
  <c r="AE90" i="3" s="1"/>
  <c r="AF90" i="3" s="1"/>
  <c r="AF85" i="3"/>
  <c r="AE17" i="1"/>
  <c r="EE5" i="4"/>
  <c r="EE7" i="4"/>
  <c r="EE12" i="4"/>
  <c r="EE16" i="4"/>
  <c r="EE20" i="4"/>
  <c r="EE24" i="4"/>
  <c r="EE28" i="4"/>
  <c r="EE31" i="4"/>
  <c r="EE36" i="4"/>
  <c r="EE40" i="4"/>
  <c r="EZ10" i="4"/>
  <c r="AE57" i="3"/>
  <c r="AF57" i="3"/>
  <c r="AE10" i="1"/>
  <c r="EZ7" i="4"/>
  <c r="FA14" i="4" s="1"/>
  <c r="AF48" i="3"/>
  <c r="AE48" i="3"/>
  <c r="AE7" i="1"/>
  <c r="UU6" i="4"/>
  <c r="PJ6" i="4"/>
  <c r="KD6" i="4"/>
  <c r="PJ10" i="4"/>
  <c r="KD10" i="4"/>
  <c r="UU10" i="4"/>
  <c r="PJ14" i="4"/>
  <c r="KD14" i="4"/>
  <c r="UU14" i="4"/>
  <c r="UU18" i="4"/>
  <c r="PJ18" i="4"/>
  <c r="KD18" i="4"/>
  <c r="PJ22" i="4"/>
  <c r="KD22" i="4"/>
  <c r="UU22" i="4"/>
  <c r="PJ26" i="4"/>
  <c r="KD26" i="4"/>
  <c r="UU26" i="4"/>
  <c r="UU30" i="4"/>
  <c r="PJ30" i="4"/>
  <c r="KD30" i="4"/>
  <c r="UU34" i="4"/>
  <c r="PJ34" i="4"/>
  <c r="KD34" i="4"/>
  <c r="PJ38" i="4"/>
  <c r="KD38" i="4"/>
  <c r="UU38" i="4"/>
  <c r="PV35" i="4"/>
  <c r="KP35" i="4"/>
  <c r="PV18" i="4"/>
  <c r="KP18" i="4"/>
  <c r="PW5" i="4"/>
  <c r="FN5" i="4"/>
  <c r="FN9" i="4"/>
  <c r="FN13" i="4"/>
  <c r="FN17" i="4"/>
  <c r="FN21" i="4"/>
  <c r="FN25" i="4"/>
  <c r="FN29" i="4"/>
  <c r="FN33" i="4"/>
  <c r="FN37" i="4"/>
  <c r="DP30" i="4"/>
  <c r="DP17" i="4"/>
  <c r="N8" i="4"/>
  <c r="VO7" i="4"/>
  <c r="LB7" i="4"/>
  <c r="QH7" i="4"/>
  <c r="VO9" i="4"/>
  <c r="QH9" i="4"/>
  <c r="LB9" i="4"/>
  <c r="QH13" i="4"/>
  <c r="LB13" i="4"/>
  <c r="VO13" i="4"/>
  <c r="VO19" i="4"/>
  <c r="QH19" i="4"/>
  <c r="LB19" i="4"/>
  <c r="QH22" i="4"/>
  <c r="LB22" i="4"/>
  <c r="VO22" i="4"/>
  <c r="QH26" i="4"/>
  <c r="LB26" i="4"/>
  <c r="VO26" i="4"/>
  <c r="VO32" i="4"/>
  <c r="QH32" i="4"/>
  <c r="LB32" i="4"/>
  <c r="VO34" i="4"/>
  <c r="QH34" i="4"/>
  <c r="LB34" i="4"/>
  <c r="QH38" i="4"/>
  <c r="LB38" i="4"/>
  <c r="VO38" i="4"/>
  <c r="BK6" i="4"/>
  <c r="BK10" i="4"/>
  <c r="BK9" i="4"/>
  <c r="BK17" i="4"/>
  <c r="BK25" i="4"/>
  <c r="BK24" i="4"/>
  <c r="BK29" i="4"/>
  <c r="BK33" i="4"/>
  <c r="BK36" i="4"/>
  <c r="CY13" i="4"/>
  <c r="CY15" i="4"/>
  <c r="CY18" i="4"/>
  <c r="CY22" i="4"/>
  <c r="CY27" i="4"/>
  <c r="CY31" i="4"/>
  <c r="CY35" i="4"/>
  <c r="T25" i="4"/>
  <c r="T8" i="4"/>
  <c r="DI8" i="4"/>
  <c r="DI21" i="4"/>
  <c r="DI14" i="4"/>
  <c r="DI26" i="4"/>
  <c r="DI38" i="4"/>
  <c r="CI22" i="4"/>
  <c r="EO8" i="4"/>
  <c r="EO11" i="4"/>
  <c r="EO15" i="4"/>
  <c r="EO20" i="4"/>
  <c r="EO23" i="4"/>
  <c r="EO28" i="4"/>
  <c r="EO30" i="4"/>
  <c r="EO35" i="4"/>
  <c r="EO39" i="4"/>
  <c r="E5" i="4"/>
  <c r="E10" i="4"/>
  <c r="E13" i="4"/>
  <c r="E18" i="4"/>
  <c r="E25" i="4"/>
  <c r="E26" i="4"/>
  <c r="E31" i="4"/>
  <c r="E34" i="4"/>
  <c r="E38" i="4"/>
  <c r="E44" i="4"/>
  <c r="E60" i="4"/>
  <c r="E51" i="4"/>
  <c r="E105" i="4"/>
  <c r="E53" i="4"/>
  <c r="E69" i="4"/>
  <c r="E85" i="4"/>
  <c r="E101" i="4"/>
  <c r="E76" i="4"/>
  <c r="E92" i="4"/>
  <c r="E108" i="4"/>
  <c r="E58" i="4"/>
  <c r="E74" i="4"/>
  <c r="E90" i="4"/>
  <c r="E106" i="4"/>
  <c r="E71" i="4"/>
  <c r="E87" i="4"/>
  <c r="E103" i="4"/>
  <c r="E113" i="4"/>
  <c r="CB40" i="4"/>
  <c r="CB36" i="4"/>
  <c r="CB32" i="4"/>
  <c r="CB28" i="4"/>
  <c r="CB23" i="4"/>
  <c r="CB19" i="4"/>
  <c r="CB14" i="4"/>
  <c r="CB13" i="4"/>
  <c r="CB7" i="4"/>
  <c r="CB4" i="4"/>
  <c r="CA5" i="4"/>
  <c r="CA6" i="4" s="1"/>
  <c r="CA7" i="4" s="1"/>
  <c r="CA8" i="4" s="1"/>
  <c r="CA9" i="4" s="1"/>
  <c r="CA10" i="4" s="1"/>
  <c r="CA11" i="4" s="1"/>
  <c r="CA12" i="4" s="1"/>
  <c r="CA13" i="4" s="1"/>
  <c r="CA14" i="4" s="1"/>
  <c r="CA15" i="4" s="1"/>
  <c r="CA16" i="4" s="1"/>
  <c r="CA17" i="4" s="1"/>
  <c r="CA18" i="4" s="1"/>
  <c r="CA19" i="4" s="1"/>
  <c r="CA20" i="4" s="1"/>
  <c r="CA21" i="4" s="1"/>
  <c r="CA22" i="4" s="1"/>
  <c r="CA23" i="4" s="1"/>
  <c r="CA24" i="4" s="1"/>
  <c r="CA25" i="4" s="1"/>
  <c r="CA26" i="4" s="1"/>
  <c r="CA27" i="4" s="1"/>
  <c r="CA28" i="4" s="1"/>
  <c r="CA29" i="4" s="1"/>
  <c r="CA30" i="4" s="1"/>
  <c r="CA31" i="4" s="1"/>
  <c r="CA32" i="4" s="1"/>
  <c r="CA33" i="4" s="1"/>
  <c r="CA34" i="4" s="1"/>
  <c r="CA35" i="4" s="1"/>
  <c r="CA36" i="4" s="1"/>
  <c r="CA37" i="4" s="1"/>
  <c r="CA38" i="4" s="1"/>
  <c r="CA39" i="4" s="1"/>
  <c r="CA40" i="4" s="1"/>
  <c r="PV38" i="4"/>
  <c r="KP38" i="4"/>
  <c r="PV21" i="4"/>
  <c r="KP21" i="4"/>
  <c r="PV7" i="4"/>
  <c r="KP7" i="4"/>
  <c r="EV12" i="4"/>
  <c r="CE7" i="4"/>
  <c r="CE11" i="4"/>
  <c r="CE14" i="4"/>
  <c r="CE18" i="4"/>
  <c r="CE22" i="4"/>
  <c r="CE26" i="4"/>
  <c r="CE32" i="4"/>
  <c r="CE34" i="4"/>
  <c r="CE38" i="4"/>
  <c r="CI11" i="4"/>
  <c r="Q95" i="3"/>
  <c r="DP37" i="4"/>
  <c r="DP18" i="4"/>
  <c r="DP5" i="4"/>
  <c r="CI13" i="4"/>
  <c r="T31" i="4"/>
  <c r="T15" i="4"/>
  <c r="AD7" i="4"/>
  <c r="AD11" i="4"/>
  <c r="AD15" i="4"/>
  <c r="AD19" i="4"/>
  <c r="AD23" i="4"/>
  <c r="AD27" i="4"/>
  <c r="AD31" i="4"/>
  <c r="AD35" i="4"/>
  <c r="AD39" i="4"/>
  <c r="EV21" i="4"/>
  <c r="EV24" i="4"/>
  <c r="AI7" i="4"/>
  <c r="AI12" i="4"/>
  <c r="AI10" i="4"/>
  <c r="AI20" i="4"/>
  <c r="AI21" i="4"/>
  <c r="AI26" i="4"/>
  <c r="AI30" i="4"/>
  <c r="AI34" i="4"/>
  <c r="AI38" i="4"/>
  <c r="DS7" i="4"/>
  <c r="DS11" i="4"/>
  <c r="DS9" i="4"/>
  <c r="DS20" i="4"/>
  <c r="DS22" i="4"/>
  <c r="DS26" i="4"/>
  <c r="DS30" i="4"/>
  <c r="DS34" i="4"/>
  <c r="DS38" i="4"/>
  <c r="PV37" i="4"/>
  <c r="KP37" i="4"/>
  <c r="PV24" i="4"/>
  <c r="KP24" i="4"/>
  <c r="PV6" i="4"/>
  <c r="KP6" i="4"/>
  <c r="AX6" i="4"/>
  <c r="AX10" i="4"/>
  <c r="AX14" i="4"/>
  <c r="AX18" i="4"/>
  <c r="AX22" i="4"/>
  <c r="AX26" i="4"/>
  <c r="AX30" i="4"/>
  <c r="AX34" i="4"/>
  <c r="AX38" i="4"/>
  <c r="EV17" i="4"/>
  <c r="AS14" i="4"/>
  <c r="AS31" i="4"/>
  <c r="AS11" i="4"/>
  <c r="AS28" i="4"/>
  <c r="AS4" i="4"/>
  <c r="AS24" i="4"/>
  <c r="AS37" i="4"/>
  <c r="AS18" i="4"/>
  <c r="AS34" i="4"/>
  <c r="UI9" i="4"/>
  <c r="JR9" i="4"/>
  <c r="OX9" i="4"/>
  <c r="UI17" i="4"/>
  <c r="OX17" i="4"/>
  <c r="JR17" i="4"/>
  <c r="OX25" i="4"/>
  <c r="JR25" i="4"/>
  <c r="UI25" i="4"/>
  <c r="UI33" i="4"/>
  <c r="OX33" i="4"/>
  <c r="JR33" i="4"/>
  <c r="KQ5" i="4"/>
  <c r="KQ6" i="4" s="1"/>
  <c r="KQ7" i="4" s="1"/>
  <c r="KQ8" i="4" s="1"/>
  <c r="KQ9" i="4" s="1"/>
  <c r="KQ10" i="4" s="1"/>
  <c r="KQ11" i="4" s="1"/>
  <c r="KQ12" i="4" s="1"/>
  <c r="KQ13" i="4" s="1"/>
  <c r="VK6" i="4"/>
  <c r="QD6" i="4"/>
  <c r="KX6" i="4"/>
  <c r="QD10" i="4"/>
  <c r="KX10" i="4"/>
  <c r="VK10" i="4"/>
  <c r="QD14" i="4"/>
  <c r="KX14" i="4"/>
  <c r="VK14" i="4"/>
  <c r="QD26" i="4"/>
  <c r="KX26" i="4"/>
  <c r="VK26" i="4"/>
  <c r="VK30" i="4"/>
  <c r="QD30" i="4"/>
  <c r="KX30" i="4"/>
  <c r="VK34" i="4"/>
  <c r="QD34" i="4"/>
  <c r="KX34" i="4"/>
  <c r="QD38" i="4"/>
  <c r="KX38" i="4"/>
  <c r="VK38" i="4"/>
  <c r="CI6" i="4"/>
  <c r="DP26" i="4"/>
  <c r="DP11" i="4"/>
  <c r="I9" i="4"/>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J37" i="4" s="1"/>
  <c r="J21" i="4"/>
  <c r="J35" i="4"/>
  <c r="J33" i="4"/>
  <c r="J24" i="4"/>
  <c r="J8" i="4"/>
  <c r="J26" i="4"/>
  <c r="J10" i="4"/>
  <c r="J36" i="4"/>
  <c r="J20" i="4"/>
  <c r="J11" i="4"/>
  <c r="J9" i="4"/>
  <c r="J39" i="4"/>
  <c r="J23" i="4"/>
  <c r="VO4" i="4"/>
  <c r="VP4" i="4" s="1"/>
  <c r="QH4" i="4"/>
  <c r="QI4" i="4" s="1"/>
  <c r="LB4" i="4"/>
  <c r="LC4" i="4" s="1"/>
  <c r="CY4" i="3"/>
  <c r="VO8" i="4"/>
  <c r="LB8" i="4"/>
  <c r="QH8" i="4"/>
  <c r="QH10" i="4"/>
  <c r="LB10" i="4"/>
  <c r="VO10" i="4"/>
  <c r="VO15" i="4"/>
  <c r="LB15" i="4"/>
  <c r="QH15" i="4"/>
  <c r="VO18" i="4"/>
  <c r="QH18" i="4"/>
  <c r="LB18" i="4"/>
  <c r="VO23" i="4"/>
  <c r="QH23" i="4"/>
  <c r="LB23" i="4"/>
  <c r="QH27" i="4"/>
  <c r="LB27" i="4"/>
  <c r="VO27" i="4"/>
  <c r="VO30" i="4"/>
  <c r="QH30" i="4"/>
  <c r="LB30" i="4"/>
  <c r="VO35" i="4"/>
  <c r="QH35" i="4"/>
  <c r="LB35" i="4"/>
  <c r="QH39" i="4"/>
  <c r="LB39" i="4"/>
  <c r="VO39" i="4"/>
  <c r="CI17" i="4"/>
  <c r="BK7" i="4"/>
  <c r="BK14" i="4"/>
  <c r="BK18" i="4"/>
  <c r="BK21" i="4"/>
  <c r="BK26" i="4"/>
  <c r="BK30" i="4"/>
  <c r="CY5" i="4"/>
  <c r="CZ5" i="4" s="1"/>
  <c r="CY9" i="4"/>
  <c r="CY14" i="4"/>
  <c r="CY16" i="4"/>
  <c r="CY19" i="4"/>
  <c r="CY23" i="4"/>
  <c r="CY28" i="4"/>
  <c r="CY32" i="4"/>
  <c r="CY40" i="4"/>
  <c r="RO37" i="4"/>
  <c r="LJ37" i="4"/>
  <c r="GH37" i="4"/>
  <c r="LJ21" i="4"/>
  <c r="GH21" i="4"/>
  <c r="RO21" i="4"/>
  <c r="RO5" i="4"/>
  <c r="GH5" i="4"/>
  <c r="LJ5" i="4"/>
  <c r="DI35" i="4"/>
  <c r="DJ5" i="4"/>
  <c r="UQ4" i="4"/>
  <c r="UR4" i="4" s="1"/>
  <c r="JZ4" i="4"/>
  <c r="KA4" i="4" s="1"/>
  <c r="PF4" i="4"/>
  <c r="PG4" i="4" s="1"/>
  <c r="CM4" i="3"/>
  <c r="UQ9" i="4"/>
  <c r="PF9" i="4"/>
  <c r="JZ9" i="4"/>
  <c r="PF12" i="4"/>
  <c r="JZ12" i="4"/>
  <c r="UQ12" i="4"/>
  <c r="UQ17" i="4"/>
  <c r="PF17" i="4"/>
  <c r="JZ17" i="4"/>
  <c r="UQ24" i="4"/>
  <c r="PF24" i="4"/>
  <c r="JZ24" i="4"/>
  <c r="PF25" i="4"/>
  <c r="JZ25" i="4"/>
  <c r="UQ25" i="4"/>
  <c r="UQ29" i="4"/>
  <c r="JZ29" i="4"/>
  <c r="PF29" i="4"/>
  <c r="UQ33" i="4"/>
  <c r="PF33" i="4"/>
  <c r="JZ33" i="4"/>
  <c r="UQ37" i="4"/>
  <c r="PF37" i="4"/>
  <c r="JZ37" i="4"/>
  <c r="E7" i="4"/>
  <c r="E6" i="4"/>
  <c r="E16" i="4"/>
  <c r="E14" i="4"/>
  <c r="E19" i="4"/>
  <c r="E21" i="4"/>
  <c r="E27" i="4"/>
  <c r="E29" i="4"/>
  <c r="E36" i="4"/>
  <c r="E39" i="4"/>
  <c r="E48" i="4"/>
  <c r="E64" i="4"/>
  <c r="E55" i="4"/>
  <c r="E42" i="4"/>
  <c r="E57" i="4"/>
  <c r="E73" i="4"/>
  <c r="E89" i="4"/>
  <c r="E109" i="4"/>
  <c r="E80" i="4"/>
  <c r="E96" i="4"/>
  <c r="E46" i="4"/>
  <c r="E62" i="4"/>
  <c r="E78" i="4"/>
  <c r="E94" i="4"/>
  <c r="E110" i="4"/>
  <c r="E75" i="4"/>
  <c r="E91" i="4"/>
  <c r="E107" i="4"/>
  <c r="EZ11" i="4"/>
  <c r="AF58" i="3"/>
  <c r="AE58" i="3"/>
  <c r="AE11" i="1"/>
  <c r="PV34" i="4"/>
  <c r="KP34" i="4"/>
  <c r="PV20" i="4"/>
  <c r="KP20" i="4"/>
  <c r="CE4" i="4"/>
  <c r="CF4" i="4" s="1"/>
  <c r="CE8" i="4"/>
  <c r="CE12" i="4"/>
  <c r="CE15" i="4"/>
  <c r="CE19" i="4"/>
  <c r="CE23" i="4"/>
  <c r="CE27" i="4"/>
  <c r="CE30" i="4"/>
  <c r="CE35" i="4"/>
  <c r="DP31" i="4"/>
  <c r="DP16" i="4"/>
  <c r="CI18" i="4"/>
  <c r="CI21" i="4"/>
  <c r="AM8" i="4"/>
  <c r="LJ28" i="4"/>
  <c r="GH28" i="4"/>
  <c r="RO28" i="4"/>
  <c r="LJ12" i="4"/>
  <c r="GH12" i="4"/>
  <c r="RO12" i="4"/>
  <c r="RC4" i="4"/>
  <c r="RD4" i="4" s="1"/>
  <c r="GL4" i="4"/>
  <c r="GM4" i="4" s="1"/>
  <c r="LR4" i="4"/>
  <c r="LS4" i="4" s="1"/>
  <c r="AS4" i="3"/>
  <c r="RC8" i="4"/>
  <c r="LR8" i="4"/>
  <c r="GL8" i="4"/>
  <c r="LR12" i="4"/>
  <c r="GL12" i="4"/>
  <c r="RC12" i="4"/>
  <c r="RC16" i="4"/>
  <c r="LR16" i="4"/>
  <c r="GL16" i="4"/>
  <c r="LR20" i="4"/>
  <c r="RC20" i="4"/>
  <c r="GL20" i="4"/>
  <c r="RC24" i="4"/>
  <c r="GL24" i="4"/>
  <c r="LR24" i="4"/>
  <c r="LR28" i="4"/>
  <c r="GL28" i="4"/>
  <c r="RC28" i="4"/>
  <c r="RC32" i="4"/>
  <c r="LR32" i="4"/>
  <c r="GL32" i="4"/>
  <c r="RC36" i="4"/>
  <c r="LR36" i="4"/>
  <c r="GL36" i="4"/>
  <c r="LR40" i="4"/>
  <c r="GL40" i="4"/>
  <c r="RC40" i="4"/>
  <c r="QQ4" i="4"/>
  <c r="QR4" i="4" s="1"/>
  <c r="LV4" i="4"/>
  <c r="LW4" i="4" s="1"/>
  <c r="GP4" i="4"/>
  <c r="GQ4" i="4" s="1"/>
  <c r="AU4" i="3"/>
  <c r="AI13" i="4"/>
  <c r="AI15" i="4"/>
  <c r="AI18" i="4"/>
  <c r="AI22" i="4"/>
  <c r="AI27" i="4"/>
  <c r="AI31" i="4"/>
  <c r="AI35" i="4"/>
  <c r="AI39" i="4"/>
  <c r="DS4" i="4"/>
  <c r="DT4" i="4" s="1"/>
  <c r="DS8" i="4"/>
  <c r="DS12" i="4"/>
  <c r="DS16" i="4"/>
  <c r="DS18" i="4"/>
  <c r="DS23" i="4"/>
  <c r="DS27" i="4"/>
  <c r="DS31" i="4"/>
  <c r="DS35" i="4"/>
  <c r="PV33" i="4"/>
  <c r="KP33" i="4"/>
  <c r="PV17" i="4"/>
  <c r="KP17" i="4"/>
  <c r="AX7" i="4"/>
  <c r="AX11" i="4"/>
  <c r="AX15" i="4"/>
  <c r="AX19" i="4"/>
  <c r="AX23" i="4"/>
  <c r="AX27" i="4"/>
  <c r="AX31" i="4"/>
  <c r="AX35" i="4"/>
  <c r="AX39" i="4"/>
  <c r="AS7" i="4"/>
  <c r="AS19" i="4"/>
  <c r="AS36" i="4"/>
  <c r="AS15" i="4"/>
  <c r="AS32" i="4"/>
  <c r="AS8" i="4"/>
  <c r="AS23" i="4"/>
  <c r="AS5" i="4"/>
  <c r="AS25" i="4"/>
  <c r="AS38" i="4"/>
  <c r="DP35" i="4"/>
  <c r="LJ14" i="4"/>
  <c r="GH14" i="4"/>
  <c r="RO14" i="4"/>
  <c r="PZ10" i="4"/>
  <c r="KT10" i="4"/>
  <c r="VG10" i="4"/>
  <c r="VG19" i="4"/>
  <c r="KT19" i="4"/>
  <c r="PZ19" i="4"/>
  <c r="VG32" i="4"/>
  <c r="PZ32" i="4"/>
  <c r="KT32" i="4"/>
  <c r="PZ40" i="4"/>
  <c r="KT40" i="4"/>
  <c r="VG40" i="4"/>
  <c r="LN12" i="4"/>
  <c r="FZ12" i="4"/>
  <c r="QU12" i="4"/>
  <c r="LN23" i="4"/>
  <c r="FZ23" i="4"/>
  <c r="QU23" i="4"/>
  <c r="QU37" i="4"/>
  <c r="LN37" i="4"/>
  <c r="FZ37" i="4"/>
  <c r="DX31" i="4"/>
  <c r="DX11" i="4"/>
  <c r="UU7" i="4"/>
  <c r="PJ7" i="4"/>
  <c r="KD7" i="4"/>
  <c r="UU15" i="4"/>
  <c r="PJ15" i="4"/>
  <c r="KD15" i="4"/>
  <c r="PJ23" i="4"/>
  <c r="KD23" i="4"/>
  <c r="UU23" i="4"/>
  <c r="UU31" i="4"/>
  <c r="KD31" i="4"/>
  <c r="PJ31" i="4"/>
  <c r="PJ39" i="4"/>
  <c r="KD39" i="4"/>
  <c r="UU39" i="4"/>
  <c r="VK18" i="4"/>
  <c r="QD18" i="4"/>
  <c r="KX18" i="4"/>
  <c r="CP10" i="4"/>
  <c r="CP11" i="4" s="1"/>
  <c r="CP12" i="4" s="1"/>
  <c r="CP13" i="4" s="1"/>
  <c r="CP14" i="4" s="1"/>
  <c r="CP15" i="4" s="1"/>
  <c r="CP16" i="4" s="1"/>
  <c r="CP17" i="4" s="1"/>
  <c r="CP18" i="4" s="1"/>
  <c r="CP19" i="4" s="1"/>
  <c r="CP20" i="4" s="1"/>
  <c r="CP21" i="4" s="1"/>
  <c r="CP22" i="4" s="1"/>
  <c r="CP23" i="4" s="1"/>
  <c r="CP24" i="4" s="1"/>
  <c r="CP25" i="4" s="1"/>
  <c r="CP26" i="4" s="1"/>
  <c r="CP27" i="4" s="1"/>
  <c r="CP28" i="4" s="1"/>
  <c r="CP29" i="4" s="1"/>
  <c r="CP30" i="4" s="1"/>
  <c r="CP31" i="4" s="1"/>
  <c r="CP32" i="4" s="1"/>
  <c r="CP33" i="4" s="1"/>
  <c r="CP34" i="4" s="1"/>
  <c r="CP35" i="4" s="1"/>
  <c r="CP36" i="4" s="1"/>
  <c r="CP37" i="4" s="1"/>
  <c r="CP38" i="4" s="1"/>
  <c r="CP39" i="4" s="1"/>
  <c r="CP40" i="4" s="1"/>
  <c r="CQ15" i="4" s="1"/>
  <c r="CQ11" i="4"/>
  <c r="CQ29" i="4"/>
  <c r="CQ9" i="4"/>
  <c r="CQ20" i="4"/>
  <c r="CQ5" i="4"/>
  <c r="CQ27" i="4"/>
  <c r="CQ38" i="4"/>
  <c r="CQ21" i="4"/>
  <c r="CQ7" i="4"/>
  <c r="CQ10" i="4"/>
  <c r="CQ31" i="4"/>
  <c r="CQ16" i="4"/>
  <c r="CQ22" i="4"/>
  <c r="CQ4" i="4"/>
  <c r="BW40" i="4"/>
  <c r="BW38" i="4"/>
  <c r="BW36" i="4"/>
  <c r="BW37" i="4"/>
  <c r="BW34" i="4"/>
  <c r="BW33" i="4"/>
  <c r="BW32" i="4"/>
  <c r="BW29" i="4"/>
  <c r="BW30" i="4"/>
  <c r="BW28" i="4"/>
  <c r="BW26" i="4"/>
  <c r="BW24" i="4"/>
  <c r="BW25" i="4"/>
  <c r="BW22" i="4"/>
  <c r="BW21" i="4"/>
  <c r="BW19" i="4"/>
  <c r="BW20" i="4"/>
  <c r="BW17" i="4"/>
  <c r="BW15" i="4"/>
  <c r="BW9" i="4"/>
  <c r="BW13" i="4"/>
  <c r="BW12" i="4"/>
  <c r="BW14" i="4"/>
  <c r="BW10" i="4"/>
  <c r="BW8" i="4"/>
  <c r="BV5" i="4"/>
  <c r="BV6" i="4" s="1"/>
  <c r="BV7" i="4" s="1"/>
  <c r="BV8" i="4" s="1"/>
  <c r="BV9" i="4" s="1"/>
  <c r="BV10" i="4" s="1"/>
  <c r="BV11" i="4" s="1"/>
  <c r="BV12" i="4" s="1"/>
  <c r="BV13" i="4" s="1"/>
  <c r="BV14" i="4" s="1"/>
  <c r="BV15" i="4" s="1"/>
  <c r="BV16" i="4" s="1"/>
  <c r="BV17" i="4" s="1"/>
  <c r="BV18" i="4" s="1"/>
  <c r="BV19" i="4" s="1"/>
  <c r="BV20" i="4" s="1"/>
  <c r="BV21" i="4" s="1"/>
  <c r="BV22" i="4" s="1"/>
  <c r="BV23" i="4" s="1"/>
  <c r="BV24" i="4" s="1"/>
  <c r="BV25" i="4" s="1"/>
  <c r="BV26" i="4" s="1"/>
  <c r="BV27" i="4" s="1"/>
  <c r="BV28" i="4" s="1"/>
  <c r="BV29" i="4" s="1"/>
  <c r="BV30" i="4" s="1"/>
  <c r="BV31" i="4" s="1"/>
  <c r="BV32" i="4" s="1"/>
  <c r="BV33" i="4" s="1"/>
  <c r="BV34" i="4" s="1"/>
  <c r="BV35" i="4" s="1"/>
  <c r="BV36" i="4" s="1"/>
  <c r="BV37" i="4" s="1"/>
  <c r="BV38" i="4" s="1"/>
  <c r="BV39" i="4" s="1"/>
  <c r="BV40" i="4" s="1"/>
  <c r="BW7" i="4"/>
  <c r="BW6" i="4"/>
  <c r="BW5" i="4"/>
  <c r="BW4" i="4"/>
  <c r="BF5" i="4"/>
  <c r="BG5" i="4" s="1"/>
  <c r="BF13" i="4"/>
  <c r="BF21" i="4"/>
  <c r="BF29" i="4"/>
  <c r="LJ27" i="4"/>
  <c r="GH27" i="4"/>
  <c r="RO27" i="4"/>
  <c r="VG7" i="4"/>
  <c r="KT7" i="4"/>
  <c r="PZ7" i="4"/>
  <c r="PZ20" i="4"/>
  <c r="KT20" i="4"/>
  <c r="VG20" i="4"/>
  <c r="PZ28" i="4"/>
  <c r="KT28" i="4"/>
  <c r="VG28" i="4"/>
  <c r="VG36" i="4"/>
  <c r="PZ36" i="4"/>
  <c r="KT36" i="4"/>
  <c r="PZ39" i="4"/>
  <c r="KT39" i="4"/>
  <c r="VG39" i="4"/>
  <c r="LN13" i="4"/>
  <c r="FZ13" i="4"/>
  <c r="QU13" i="4"/>
  <c r="LN26" i="4"/>
  <c r="FZ26" i="4"/>
  <c r="QU26" i="4"/>
  <c r="QU34" i="4"/>
  <c r="LN34" i="4"/>
  <c r="FZ34" i="4"/>
  <c r="LN38" i="4"/>
  <c r="QU38" i="4"/>
  <c r="FZ38" i="4"/>
  <c r="DX22" i="4"/>
  <c r="DX23" i="4"/>
  <c r="EV9" i="4"/>
  <c r="EW31" i="4" s="1"/>
  <c r="DP33" i="4"/>
  <c r="DP14" i="4"/>
  <c r="RO34" i="4"/>
  <c r="LJ34" i="4"/>
  <c r="GH34" i="4"/>
  <c r="LJ20" i="4"/>
  <c r="RO20" i="4"/>
  <c r="GH20" i="4"/>
  <c r="CI26" i="4"/>
  <c r="OX10" i="4"/>
  <c r="JR10" i="4"/>
  <c r="UI10" i="4"/>
  <c r="UI19" i="4"/>
  <c r="OX19" i="4"/>
  <c r="JR19" i="4"/>
  <c r="OX26" i="4"/>
  <c r="JR26" i="4"/>
  <c r="UI26" i="4"/>
  <c r="UI34" i="4"/>
  <c r="OX34" i="4"/>
  <c r="JR34" i="4"/>
  <c r="OX38" i="4"/>
  <c r="JR38" i="4"/>
  <c r="UI38" i="4"/>
  <c r="EV10" i="4"/>
  <c r="VO16" i="4"/>
  <c r="LB16" i="4"/>
  <c r="QH16" i="4"/>
  <c r="VO24" i="4"/>
  <c r="QH24" i="4"/>
  <c r="LB24" i="4"/>
  <c r="BK15" i="4"/>
  <c r="BK22" i="4"/>
  <c r="BK32" i="4"/>
  <c r="CY11" i="4"/>
  <c r="CY17" i="4"/>
  <c r="CY30" i="4"/>
  <c r="CI20" i="4"/>
  <c r="RO32" i="4"/>
  <c r="LJ32" i="4"/>
  <c r="GH32" i="4"/>
  <c r="RO17" i="4"/>
  <c r="LJ17" i="4"/>
  <c r="GH17" i="4"/>
  <c r="DI6" i="4"/>
  <c r="DI28" i="4"/>
  <c r="DI18" i="4"/>
  <c r="CI9" i="4"/>
  <c r="UQ5" i="4"/>
  <c r="JZ5" i="4"/>
  <c r="PF5" i="4"/>
  <c r="UQ16" i="4"/>
  <c r="PF16" i="4"/>
  <c r="JZ16" i="4"/>
  <c r="PF13" i="4"/>
  <c r="JZ13" i="4"/>
  <c r="UQ13" i="4"/>
  <c r="UQ18" i="4"/>
  <c r="PF18" i="4"/>
  <c r="JZ18" i="4"/>
  <c r="PF21" i="4"/>
  <c r="JZ21" i="4"/>
  <c r="UQ21" i="4"/>
  <c r="PF26" i="4"/>
  <c r="JZ26" i="4"/>
  <c r="UQ26" i="4"/>
  <c r="UQ31" i="4"/>
  <c r="JZ31" i="4"/>
  <c r="PF31" i="4"/>
  <c r="UQ34" i="4"/>
  <c r="PF34" i="4"/>
  <c r="JZ34" i="4"/>
  <c r="PF38" i="4"/>
  <c r="JZ38" i="4"/>
  <c r="UQ38" i="4"/>
  <c r="E11" i="4"/>
  <c r="E20" i="4"/>
  <c r="E28" i="4"/>
  <c r="E40" i="4"/>
  <c r="E43" i="4"/>
  <c r="E61" i="4"/>
  <c r="E68" i="4"/>
  <c r="CI5" i="4"/>
  <c r="PV14" i="4"/>
  <c r="KP14" i="4"/>
  <c r="EZ12" i="4"/>
  <c r="FA27" i="4" s="1"/>
  <c r="AE59" i="3"/>
  <c r="AF59" i="3"/>
  <c r="AE12" i="1"/>
  <c r="CE5" i="4"/>
  <c r="CE13" i="4"/>
  <c r="CE20" i="4"/>
  <c r="CI16" i="4"/>
  <c r="CI4" i="4"/>
  <c r="CJ37" i="4" s="1"/>
  <c r="CI15" i="4"/>
  <c r="CI24" i="4"/>
  <c r="CI31" i="4"/>
  <c r="CI38" i="4"/>
  <c r="CI30" i="4"/>
  <c r="CI25" i="4"/>
  <c r="CI14" i="4"/>
  <c r="CI37" i="4"/>
  <c r="T23" i="4"/>
  <c r="T9" i="4"/>
  <c r="RC9" i="4"/>
  <c r="GL9" i="4"/>
  <c r="LR9" i="4"/>
  <c r="RC17" i="4"/>
  <c r="LR17" i="4"/>
  <c r="GL17" i="4"/>
  <c r="RC29" i="4"/>
  <c r="GL29" i="4"/>
  <c r="LR29" i="4"/>
  <c r="RC37" i="4"/>
  <c r="LR37" i="4"/>
  <c r="GL37" i="4"/>
  <c r="EZ21" i="4"/>
  <c r="FA21" i="4" s="1"/>
  <c r="AF70" i="3"/>
  <c r="AE70" i="3"/>
  <c r="AE71" i="3" s="1"/>
  <c r="AF71" i="3" s="1"/>
  <c r="AE21" i="1"/>
  <c r="FA23" i="4"/>
  <c r="CI23" i="4"/>
  <c r="AI5" i="4"/>
  <c r="AI9" i="4"/>
  <c r="AI14" i="4"/>
  <c r="AI16" i="4"/>
  <c r="AI19" i="4"/>
  <c r="AI23" i="4"/>
  <c r="AI28" i="4"/>
  <c r="AI32" i="4"/>
  <c r="AI36" i="4"/>
  <c r="AI40" i="4"/>
  <c r="DS15" i="4"/>
  <c r="DS24" i="4"/>
  <c r="DS32" i="4"/>
  <c r="KP29" i="4"/>
  <c r="PV29" i="4"/>
  <c r="AX4" i="4"/>
  <c r="AX12" i="4"/>
  <c r="AX20" i="4"/>
  <c r="AX28" i="4"/>
  <c r="AX40" i="4"/>
  <c r="J6" i="4"/>
  <c r="AV6" i="2" l="1"/>
  <c r="AV9" i="2" s="1"/>
  <c r="AV5" i="2"/>
  <c r="AW4" i="2" s="1"/>
  <c r="AV7" i="2"/>
  <c r="AW8" i="2" s="1"/>
  <c r="TC15" i="4"/>
  <c r="NR15" i="4"/>
  <c r="IL15" i="4"/>
  <c r="CZ6" i="4"/>
  <c r="CZ7" i="4" s="1"/>
  <c r="CZ8" i="4" s="1"/>
  <c r="CZ9" i="4" s="1"/>
  <c r="CZ10" i="4" s="1"/>
  <c r="CZ11" i="4" s="1"/>
  <c r="CZ12" i="4" s="1"/>
  <c r="CZ13" i="4" s="1"/>
  <c r="CZ14" i="4" s="1"/>
  <c r="CZ15" i="4" s="1"/>
  <c r="CZ16" i="4" s="1"/>
  <c r="CZ17" i="4" s="1"/>
  <c r="CZ18" i="4" s="1"/>
  <c r="CZ19" i="4" s="1"/>
  <c r="CZ20" i="4" s="1"/>
  <c r="CZ21" i="4" s="1"/>
  <c r="CZ22" i="4" s="1"/>
  <c r="CZ23" i="4" s="1"/>
  <c r="CZ24" i="4" s="1"/>
  <c r="CZ25" i="4" s="1"/>
  <c r="CZ26" i="4" s="1"/>
  <c r="CZ27" i="4" s="1"/>
  <c r="CZ28" i="4" s="1"/>
  <c r="CZ29" i="4" s="1"/>
  <c r="CZ30" i="4" s="1"/>
  <c r="CZ31" i="4" s="1"/>
  <c r="CZ32" i="4" s="1"/>
  <c r="CZ33" i="4" s="1"/>
  <c r="CZ34" i="4" s="1"/>
  <c r="CZ35" i="4" s="1"/>
  <c r="CZ36" i="4" s="1"/>
  <c r="CZ37" i="4" s="1"/>
  <c r="CZ38" i="4" s="1"/>
  <c r="CZ39" i="4" s="1"/>
  <c r="CZ40" i="4" s="1"/>
  <c r="DA28" i="4"/>
  <c r="DA12" i="4"/>
  <c r="DA35" i="4"/>
  <c r="DA19" i="4"/>
  <c r="DA38" i="4"/>
  <c r="DA24" i="4"/>
  <c r="DA6" i="4"/>
  <c r="DA23" i="4"/>
  <c r="DA10" i="4"/>
  <c r="BG6" i="4"/>
  <c r="BG7" i="4" s="1"/>
  <c r="BG8" i="4" s="1"/>
  <c r="BG9" i="4" s="1"/>
  <c r="BG10" i="4" s="1"/>
  <c r="BG11" i="4" s="1"/>
  <c r="BG12" i="4" s="1"/>
  <c r="BG13" i="4" s="1"/>
  <c r="BG14" i="4" s="1"/>
  <c r="BG15" i="4" s="1"/>
  <c r="BG16" i="4" s="1"/>
  <c r="BG17" i="4" s="1"/>
  <c r="BG18" i="4" s="1"/>
  <c r="BG19" i="4" s="1"/>
  <c r="BG20" i="4" s="1"/>
  <c r="BG21" i="4" s="1"/>
  <c r="BG22" i="4" s="1"/>
  <c r="BG23" i="4" s="1"/>
  <c r="BG24" i="4" s="1"/>
  <c r="BG25" i="4" s="1"/>
  <c r="BG26" i="4" s="1"/>
  <c r="BG27" i="4" s="1"/>
  <c r="BG28" i="4" s="1"/>
  <c r="BG29" i="4" s="1"/>
  <c r="BG30" i="4" s="1"/>
  <c r="BG31" i="4" s="1"/>
  <c r="BG32" i="4" s="1"/>
  <c r="BG33" i="4" s="1"/>
  <c r="BG34" i="4" s="1"/>
  <c r="BG35" i="4" s="1"/>
  <c r="BG36" i="4" s="1"/>
  <c r="BG37" i="4" s="1"/>
  <c r="BG38" i="4" s="1"/>
  <c r="BG39" i="4" s="1"/>
  <c r="BG40" i="4" s="1"/>
  <c r="BH36" i="4"/>
  <c r="BH27" i="4"/>
  <c r="BH21" i="4"/>
  <c r="BH11" i="4"/>
  <c r="BH38" i="4"/>
  <c r="BH30" i="4"/>
  <c r="BH24" i="4"/>
  <c r="BH16" i="4"/>
  <c r="BH6" i="4"/>
  <c r="BH32" i="4"/>
  <c r="BH23" i="4"/>
  <c r="BH17" i="4"/>
  <c r="BH8" i="4"/>
  <c r="BH40" i="4"/>
  <c r="BH31" i="4"/>
  <c r="BH22" i="4"/>
  <c r="BH15" i="4"/>
  <c r="BH9" i="4"/>
  <c r="MH20" i="4"/>
  <c r="RS20" i="4"/>
  <c r="HB20" i="4"/>
  <c r="MH28" i="4"/>
  <c r="HB28" i="4"/>
  <c r="RS28" i="4"/>
  <c r="LV28" i="4"/>
  <c r="GP28" i="4"/>
  <c r="QQ28" i="4"/>
  <c r="LV14" i="4"/>
  <c r="GP14" i="4"/>
  <c r="QQ14" i="4"/>
  <c r="CJ5" i="4"/>
  <c r="CJ11" i="4"/>
  <c r="CJ17" i="4"/>
  <c r="CJ21" i="4"/>
  <c r="CJ26" i="4"/>
  <c r="CJ25" i="4"/>
  <c r="CJ30" i="4"/>
  <c r="CJ34" i="4"/>
  <c r="CJ38" i="4"/>
  <c r="FA26" i="4"/>
  <c r="SM5" i="4"/>
  <c r="NB5" i="4"/>
  <c r="HV5" i="4"/>
  <c r="SM8" i="4"/>
  <c r="NB8" i="4"/>
  <c r="HV8" i="4"/>
  <c r="NB12" i="4"/>
  <c r="HV12" i="4"/>
  <c r="SM12" i="4"/>
  <c r="SM15" i="4"/>
  <c r="NB15" i="4"/>
  <c r="HV15" i="4"/>
  <c r="SM19" i="4"/>
  <c r="NB19" i="4"/>
  <c r="HV19" i="4"/>
  <c r="NB25" i="4"/>
  <c r="HV25" i="4"/>
  <c r="SM25" i="4"/>
  <c r="NB28" i="4"/>
  <c r="HV28" i="4"/>
  <c r="SM28" i="4"/>
  <c r="SM32" i="4"/>
  <c r="NB32" i="4"/>
  <c r="HV32" i="4"/>
  <c r="SM37" i="4"/>
  <c r="NB37" i="4"/>
  <c r="HV37" i="4"/>
  <c r="NB40" i="4"/>
  <c r="HV40" i="4"/>
  <c r="SM40" i="4"/>
  <c r="TC16" i="4"/>
  <c r="IL16" i="4"/>
  <c r="NR16" i="4"/>
  <c r="TC7" i="4"/>
  <c r="IL7" i="4"/>
  <c r="NR7" i="4"/>
  <c r="NR27" i="4"/>
  <c r="IL27" i="4"/>
  <c r="TC27" i="4"/>
  <c r="TC9" i="4"/>
  <c r="IL9" i="4"/>
  <c r="NR9" i="4"/>
  <c r="MD25" i="4"/>
  <c r="GX25" i="4"/>
  <c r="QY25" i="4"/>
  <c r="QY32" i="4"/>
  <c r="MD32" i="4"/>
  <c r="GX32" i="4"/>
  <c r="QY7" i="4"/>
  <c r="MD7" i="4"/>
  <c r="GX7" i="4"/>
  <c r="MH27" i="4"/>
  <c r="HB27" i="4"/>
  <c r="RS27" i="4"/>
  <c r="MH11" i="4"/>
  <c r="HB11" i="4"/>
  <c r="RS11" i="4"/>
  <c r="QQ35" i="4"/>
  <c r="LV35" i="4"/>
  <c r="GP35" i="4"/>
  <c r="QQ18" i="4"/>
  <c r="LV18" i="4"/>
  <c r="GP18" i="4"/>
  <c r="FA40" i="4"/>
  <c r="AT41" i="3"/>
  <c r="AT39" i="3"/>
  <c r="AT37" i="3"/>
  <c r="AT35" i="3"/>
  <c r="AT33" i="3"/>
  <c r="AT31" i="3"/>
  <c r="AT29" i="3"/>
  <c r="AT24" i="3"/>
  <c r="AT5" i="3"/>
  <c r="AT25" i="3"/>
  <c r="AT17" i="3"/>
  <c r="AS5" i="3"/>
  <c r="AS6" i="3" s="1"/>
  <c r="AS7" i="3" s="1"/>
  <c r="AS8" i="3" s="1"/>
  <c r="AS9" i="3" s="1"/>
  <c r="AS10" i="3" s="1"/>
  <c r="AS11" i="3" s="1"/>
  <c r="AS12" i="3" s="1"/>
  <c r="AS13" i="3" s="1"/>
  <c r="AS14" i="3" s="1"/>
  <c r="AS15" i="3" s="1"/>
  <c r="AS16" i="3" s="1"/>
  <c r="AS17" i="3" s="1"/>
  <c r="AS18" i="3" s="1"/>
  <c r="AS19" i="3" s="1"/>
  <c r="AS20" i="3" s="1"/>
  <c r="AS21" i="3" s="1"/>
  <c r="AS22" i="3" s="1"/>
  <c r="AS23" i="3" s="1"/>
  <c r="AS24" i="3" s="1"/>
  <c r="AS25" i="3" s="1"/>
  <c r="AS26" i="3" s="1"/>
  <c r="AS27" i="3" s="1"/>
  <c r="AS28" i="3" s="1"/>
  <c r="AS29" i="3" s="1"/>
  <c r="AS30" i="3" s="1"/>
  <c r="AS31" i="3" s="1"/>
  <c r="AS32" i="3" s="1"/>
  <c r="AS33" i="3" s="1"/>
  <c r="AS34" i="3" s="1"/>
  <c r="AS35" i="3" s="1"/>
  <c r="AS36" i="3" s="1"/>
  <c r="AS37" i="3" s="1"/>
  <c r="AS38" i="3" s="1"/>
  <c r="AS39" i="3" s="1"/>
  <c r="AS40" i="3" s="1"/>
  <c r="AS41" i="3" s="1"/>
  <c r="AS42" i="3" s="1"/>
  <c r="AT26" i="3"/>
  <c r="AT18" i="3"/>
  <c r="AT16" i="3"/>
  <c r="AT15" i="3"/>
  <c r="AT13" i="3"/>
  <c r="AT12" i="3"/>
  <c r="AT11" i="3"/>
  <c r="AT9" i="3"/>
  <c r="AT8" i="3"/>
  <c r="AT7" i="3"/>
  <c r="AT27" i="3"/>
  <c r="AT23" i="3"/>
  <c r="AT19" i="3"/>
  <c r="AM9" i="4"/>
  <c r="CQ40" i="4"/>
  <c r="CF5" i="4"/>
  <c r="CF6" i="4" s="1"/>
  <c r="CF7" i="4" s="1"/>
  <c r="CF8" i="4" s="1"/>
  <c r="CF9" i="4" s="1"/>
  <c r="CF10" i="4" s="1"/>
  <c r="CF11" i="4" s="1"/>
  <c r="CF12" i="4" s="1"/>
  <c r="CF13" i="4" s="1"/>
  <c r="CF14" i="4" s="1"/>
  <c r="CF15" i="4" s="1"/>
  <c r="CF16" i="4" s="1"/>
  <c r="CF17" i="4" s="1"/>
  <c r="CF18" i="4" s="1"/>
  <c r="CF19" i="4" s="1"/>
  <c r="CF20" i="4" s="1"/>
  <c r="CF21" i="4" s="1"/>
  <c r="CF22" i="4" s="1"/>
  <c r="CF23" i="4" s="1"/>
  <c r="CF24" i="4" s="1"/>
  <c r="CF25" i="4" s="1"/>
  <c r="CF26" i="4" s="1"/>
  <c r="CF27" i="4" s="1"/>
  <c r="CF28" i="4" s="1"/>
  <c r="CF29" i="4" s="1"/>
  <c r="CF30" i="4" s="1"/>
  <c r="CF31" i="4" s="1"/>
  <c r="CF32" i="4" s="1"/>
  <c r="CF33" i="4" s="1"/>
  <c r="CF34" i="4" s="1"/>
  <c r="CF35" i="4" s="1"/>
  <c r="CF36" i="4" s="1"/>
  <c r="CF37" i="4" s="1"/>
  <c r="CF38" i="4" s="1"/>
  <c r="CF39" i="4" s="1"/>
  <c r="CF40" i="4" s="1"/>
  <c r="FA11" i="4"/>
  <c r="US40" i="4"/>
  <c r="US39" i="4"/>
  <c r="US38" i="4"/>
  <c r="US37" i="4"/>
  <c r="US36" i="4"/>
  <c r="US34" i="4"/>
  <c r="US35" i="4"/>
  <c r="US33" i="4"/>
  <c r="US32" i="4"/>
  <c r="US31" i="4"/>
  <c r="US28" i="4"/>
  <c r="US30" i="4"/>
  <c r="US29" i="4"/>
  <c r="US27" i="4"/>
  <c r="US26" i="4"/>
  <c r="US25" i="4"/>
  <c r="US23" i="4"/>
  <c r="US22" i="4"/>
  <c r="US21" i="4"/>
  <c r="US24" i="4"/>
  <c r="US18" i="4"/>
  <c r="US17" i="4"/>
  <c r="US20" i="4"/>
  <c r="US19" i="4"/>
  <c r="US14" i="4"/>
  <c r="US13" i="4"/>
  <c r="US16" i="4"/>
  <c r="US15" i="4"/>
  <c r="US8" i="4"/>
  <c r="US12" i="4"/>
  <c r="US11" i="4"/>
  <c r="US10" i="4"/>
  <c r="US9" i="4"/>
  <c r="US7" i="4"/>
  <c r="US6" i="4"/>
  <c r="US5" i="4"/>
  <c r="US4" i="4"/>
  <c r="UR5" i="4"/>
  <c r="CZ42" i="3"/>
  <c r="CZ41" i="3"/>
  <c r="CZ40" i="3"/>
  <c r="CZ39" i="3"/>
  <c r="CZ38" i="3"/>
  <c r="CZ37" i="3"/>
  <c r="CZ36" i="3"/>
  <c r="CZ35" i="3"/>
  <c r="CZ34" i="3"/>
  <c r="CZ25" i="3"/>
  <c r="CZ21" i="3"/>
  <c r="CZ17" i="3"/>
  <c r="CZ16" i="3"/>
  <c r="CZ15" i="3"/>
  <c r="CZ14" i="3"/>
  <c r="CZ13" i="3"/>
  <c r="CZ12" i="3"/>
  <c r="CZ11" i="3"/>
  <c r="CZ10" i="3"/>
  <c r="CZ9" i="3"/>
  <c r="CZ8" i="3"/>
  <c r="CZ7" i="3"/>
  <c r="CZ6" i="3"/>
  <c r="CZ32" i="3"/>
  <c r="CZ30" i="3"/>
  <c r="CZ28" i="3"/>
  <c r="CZ26" i="3"/>
  <c r="CZ22" i="3"/>
  <c r="CZ18" i="3"/>
  <c r="CZ27" i="3"/>
  <c r="CZ23" i="3"/>
  <c r="CZ19" i="3"/>
  <c r="CZ5" i="3"/>
  <c r="CZ4" i="3"/>
  <c r="CZ33" i="3"/>
  <c r="CZ31" i="3"/>
  <c r="CZ29" i="3"/>
  <c r="CZ24" i="3"/>
  <c r="CZ20" i="3"/>
  <c r="CY5" i="3"/>
  <c r="CY6" i="3" s="1"/>
  <c r="CY7" i="3" s="1"/>
  <c r="CY8" i="3" s="1"/>
  <c r="CY9" i="3" s="1"/>
  <c r="CY10" i="3" s="1"/>
  <c r="CY11" i="3" s="1"/>
  <c r="CY12" i="3" s="1"/>
  <c r="CY13" i="3" s="1"/>
  <c r="CY14" i="3" s="1"/>
  <c r="CY15" i="3" s="1"/>
  <c r="CY16" i="3" s="1"/>
  <c r="CY17" i="3" s="1"/>
  <c r="CY18" i="3" s="1"/>
  <c r="CY19" i="3" s="1"/>
  <c r="CY20" i="3" s="1"/>
  <c r="CY21" i="3" s="1"/>
  <c r="CY22" i="3" s="1"/>
  <c r="CY23" i="3" s="1"/>
  <c r="CY24" i="3" s="1"/>
  <c r="CY25" i="3" s="1"/>
  <c r="CY26" i="3" s="1"/>
  <c r="CY27" i="3" s="1"/>
  <c r="CY28" i="3" s="1"/>
  <c r="CY29" i="3" s="1"/>
  <c r="CY30" i="3" s="1"/>
  <c r="CY31" i="3" s="1"/>
  <c r="CY32" i="3" s="1"/>
  <c r="CY33" i="3" s="1"/>
  <c r="CY34" i="3" s="1"/>
  <c r="CY35" i="3" s="1"/>
  <c r="CY36" i="3" s="1"/>
  <c r="CY37" i="3" s="1"/>
  <c r="CY38" i="3" s="1"/>
  <c r="CY39" i="3" s="1"/>
  <c r="CY40" i="3" s="1"/>
  <c r="CY41" i="3" s="1"/>
  <c r="CY42" i="3" s="1"/>
  <c r="J7" i="4"/>
  <c r="J32" i="4"/>
  <c r="J4" i="4"/>
  <c r="J29" i="4"/>
  <c r="J31" i="4"/>
  <c r="J17" i="4"/>
  <c r="J19" i="4"/>
  <c r="J5" i="4"/>
  <c r="J34" i="4"/>
  <c r="OL11" i="4"/>
  <c r="JF11" i="4"/>
  <c r="TW11" i="4"/>
  <c r="KQ14" i="4"/>
  <c r="QY34" i="4"/>
  <c r="MD34" i="4"/>
  <c r="GX34" i="4"/>
  <c r="QY4" i="4"/>
  <c r="QZ4" i="4" s="1"/>
  <c r="GX4" i="4"/>
  <c r="GY4" i="4" s="1"/>
  <c r="MD4" i="4"/>
  <c r="ME4" i="4" s="1"/>
  <c r="AY4" i="3"/>
  <c r="MD14" i="4"/>
  <c r="GX14" i="4"/>
  <c r="QY14" i="4"/>
  <c r="MH38" i="4"/>
  <c r="RS38" i="4"/>
  <c r="HB38" i="4"/>
  <c r="MH22" i="4"/>
  <c r="HB22" i="4"/>
  <c r="RS22" i="4"/>
  <c r="RS6" i="4"/>
  <c r="MH6" i="4"/>
  <c r="HB6" i="4"/>
  <c r="LV38" i="4"/>
  <c r="QQ38" i="4"/>
  <c r="GP38" i="4"/>
  <c r="LV21" i="4"/>
  <c r="GP21" i="4"/>
  <c r="QQ21" i="4"/>
  <c r="QQ7" i="4"/>
  <c r="LV7" i="4"/>
  <c r="GP7" i="4"/>
  <c r="RC35" i="4"/>
  <c r="LR35" i="4"/>
  <c r="GL35" i="4"/>
  <c r="RC19" i="4"/>
  <c r="GL19" i="4"/>
  <c r="LR19" i="4"/>
  <c r="RO15" i="4"/>
  <c r="LJ15" i="4"/>
  <c r="GH15" i="4"/>
  <c r="TW5" i="4"/>
  <c r="OL5" i="4"/>
  <c r="JF5" i="4"/>
  <c r="CB6" i="4"/>
  <c r="CB11" i="4"/>
  <c r="CB16" i="4"/>
  <c r="CB20" i="4"/>
  <c r="CB25" i="4"/>
  <c r="CB24" i="4"/>
  <c r="CB29" i="4"/>
  <c r="CB34" i="4"/>
  <c r="CB38" i="4"/>
  <c r="UQ35" i="4"/>
  <c r="PF35" i="4"/>
  <c r="JZ35" i="4"/>
  <c r="PF20" i="4"/>
  <c r="JZ20" i="4"/>
  <c r="UQ20" i="4"/>
  <c r="LJ25" i="4"/>
  <c r="GH25" i="4"/>
  <c r="RO25" i="4"/>
  <c r="CQ19" i="4"/>
  <c r="VK33" i="4"/>
  <c r="QD33" i="4"/>
  <c r="KX33" i="4"/>
  <c r="VK17" i="4"/>
  <c r="QD17" i="4"/>
  <c r="KX17" i="4"/>
  <c r="OX40" i="4"/>
  <c r="JR40" i="4"/>
  <c r="UI40" i="4"/>
  <c r="UI24" i="4"/>
  <c r="JR24" i="4"/>
  <c r="OX24" i="4"/>
  <c r="UI7" i="4"/>
  <c r="JR7" i="4"/>
  <c r="OX7" i="4"/>
  <c r="EW20" i="4"/>
  <c r="EW35" i="4"/>
  <c r="EW15" i="4"/>
  <c r="EW32" i="4"/>
  <c r="EW12" i="4"/>
  <c r="EW30" i="4"/>
  <c r="EW5" i="4"/>
  <c r="EW21" i="4"/>
  <c r="EW38" i="4"/>
  <c r="FA5" i="4"/>
  <c r="FA8" i="4"/>
  <c r="LN28" i="4"/>
  <c r="FZ28" i="4"/>
  <c r="QU28" i="4"/>
  <c r="LN11" i="4"/>
  <c r="FZ11" i="4"/>
  <c r="QU11" i="4"/>
  <c r="OL23" i="4"/>
  <c r="JF23" i="4"/>
  <c r="TW23" i="4"/>
  <c r="FA29" i="4"/>
  <c r="FA15" i="4"/>
  <c r="CQ25" i="4"/>
  <c r="QD39" i="4"/>
  <c r="KX39" i="4"/>
  <c r="VK39" i="4"/>
  <c r="QD23" i="4"/>
  <c r="KX23" i="4"/>
  <c r="VK23" i="4"/>
  <c r="VK7" i="4"/>
  <c r="KX7" i="4"/>
  <c r="QD7" i="4"/>
  <c r="CP42" i="3"/>
  <c r="CP41" i="3"/>
  <c r="CP40" i="3"/>
  <c r="CP39" i="3"/>
  <c r="CP38" i="3"/>
  <c r="CP37" i="3"/>
  <c r="CP36" i="3"/>
  <c r="CP35" i="3"/>
  <c r="CP34" i="3"/>
  <c r="CP33" i="3"/>
  <c r="CP32" i="3"/>
  <c r="CP31" i="3"/>
  <c r="CP30" i="3"/>
  <c r="CP29" i="3"/>
  <c r="CP28" i="3"/>
  <c r="CP24" i="3"/>
  <c r="CP20" i="3"/>
  <c r="CP5" i="3"/>
  <c r="CP4" i="3"/>
  <c r="CP25" i="3"/>
  <c r="CP21" i="3"/>
  <c r="CP17" i="3"/>
  <c r="CO5" i="3"/>
  <c r="CO6" i="3" s="1"/>
  <c r="CO7" i="3" s="1"/>
  <c r="CO8" i="3" s="1"/>
  <c r="CO9" i="3" s="1"/>
  <c r="CO10" i="3" s="1"/>
  <c r="CO11" i="3" s="1"/>
  <c r="CO12" i="3" s="1"/>
  <c r="CO13" i="3" s="1"/>
  <c r="CO14" i="3" s="1"/>
  <c r="CO15" i="3" s="1"/>
  <c r="CO16" i="3" s="1"/>
  <c r="CO17" i="3" s="1"/>
  <c r="CO18" i="3" s="1"/>
  <c r="CO19" i="3" s="1"/>
  <c r="CO20" i="3" s="1"/>
  <c r="CO21" i="3" s="1"/>
  <c r="CO22" i="3" s="1"/>
  <c r="CO23" i="3" s="1"/>
  <c r="CO24" i="3" s="1"/>
  <c r="CO25" i="3" s="1"/>
  <c r="CO26" i="3" s="1"/>
  <c r="CO27" i="3" s="1"/>
  <c r="CO28" i="3" s="1"/>
  <c r="CO29" i="3" s="1"/>
  <c r="CO30" i="3" s="1"/>
  <c r="CO31" i="3" s="1"/>
  <c r="CO32" i="3" s="1"/>
  <c r="CO33" i="3" s="1"/>
  <c r="CO34" i="3" s="1"/>
  <c r="CO35" i="3" s="1"/>
  <c r="CO36" i="3" s="1"/>
  <c r="CO37" i="3" s="1"/>
  <c r="CO38" i="3" s="1"/>
  <c r="CO39" i="3" s="1"/>
  <c r="CO40" i="3" s="1"/>
  <c r="CO41" i="3" s="1"/>
  <c r="CO42" i="3" s="1"/>
  <c r="CP26" i="3"/>
  <c r="CP22" i="3"/>
  <c r="CP18" i="3"/>
  <c r="CP16" i="3"/>
  <c r="CP15" i="3"/>
  <c r="CP14" i="3"/>
  <c r="CP13" i="3"/>
  <c r="CP12" i="3"/>
  <c r="CP11" i="3"/>
  <c r="CP10" i="3"/>
  <c r="CP9" i="3"/>
  <c r="CP8" i="3"/>
  <c r="CP7" i="3"/>
  <c r="CP6" i="3"/>
  <c r="CP27" i="3"/>
  <c r="CP23" i="3"/>
  <c r="CP19" i="3"/>
  <c r="DF5" i="4"/>
  <c r="DF9" i="4"/>
  <c r="DF13" i="4"/>
  <c r="DF17" i="4"/>
  <c r="DF21" i="4"/>
  <c r="DF25" i="4"/>
  <c r="DF29" i="4"/>
  <c r="DF33" i="4"/>
  <c r="DF37" i="4"/>
  <c r="QY29" i="4"/>
  <c r="GX29" i="4"/>
  <c r="MD29" i="4"/>
  <c r="MD40" i="4"/>
  <c r="GX40" i="4"/>
  <c r="QY40" i="4"/>
  <c r="QY16" i="4"/>
  <c r="MD16" i="4"/>
  <c r="GX16" i="4"/>
  <c r="RS29" i="4"/>
  <c r="HB29" i="4"/>
  <c r="MH29" i="4"/>
  <c r="MH13" i="4"/>
  <c r="HB13" i="4"/>
  <c r="RS13" i="4"/>
  <c r="LV25" i="4"/>
  <c r="GP25" i="4"/>
  <c r="QQ25" i="4"/>
  <c r="LV11" i="4"/>
  <c r="GP11" i="4"/>
  <c r="QQ11" i="4"/>
  <c r="RC34" i="4"/>
  <c r="LR34" i="4"/>
  <c r="GL34" i="4"/>
  <c r="RC18" i="4"/>
  <c r="LR18" i="4"/>
  <c r="GL18" i="4"/>
  <c r="RO4" i="4"/>
  <c r="RP4" i="4" s="1"/>
  <c r="GH4" i="4"/>
  <c r="GI4" i="4" s="1"/>
  <c r="LJ4" i="4"/>
  <c r="LK4" i="4" s="1"/>
  <c r="AO4" i="3"/>
  <c r="CQ8" i="4"/>
  <c r="PF27" i="4"/>
  <c r="JZ27" i="4"/>
  <c r="UQ27" i="4"/>
  <c r="PF10" i="4"/>
  <c r="JZ10" i="4"/>
  <c r="UQ10" i="4"/>
  <c r="CQ34" i="4"/>
  <c r="VK36" i="4"/>
  <c r="QD36" i="4"/>
  <c r="KX36" i="4"/>
  <c r="QD20" i="4"/>
  <c r="KX20" i="4"/>
  <c r="VK20" i="4"/>
  <c r="VK4" i="4"/>
  <c r="VL4" i="4" s="1"/>
  <c r="QD4" i="4"/>
  <c r="QE4" i="4" s="1"/>
  <c r="KX4" i="4"/>
  <c r="KY4" i="4" s="1"/>
  <c r="CW4" i="3"/>
  <c r="FA33" i="4"/>
  <c r="UI30" i="4"/>
  <c r="OX30" i="4"/>
  <c r="JR30" i="4"/>
  <c r="UI15" i="4"/>
  <c r="OX15" i="4"/>
  <c r="JR15" i="4"/>
  <c r="OZ42" i="4"/>
  <c r="OZ41" i="4"/>
  <c r="OZ40" i="4"/>
  <c r="OZ39" i="4"/>
  <c r="OZ38" i="4"/>
  <c r="OZ37" i="4"/>
  <c r="OZ36" i="4"/>
  <c r="OZ35" i="4"/>
  <c r="OZ34" i="4"/>
  <c r="OZ33" i="4"/>
  <c r="OZ31" i="4"/>
  <c r="OZ30" i="4"/>
  <c r="OZ32" i="4"/>
  <c r="OZ29" i="4"/>
  <c r="OZ27" i="4"/>
  <c r="OZ26" i="4"/>
  <c r="OZ25" i="4"/>
  <c r="OZ28" i="4"/>
  <c r="OZ24" i="4"/>
  <c r="OZ23" i="4"/>
  <c r="OZ22" i="4"/>
  <c r="OZ21" i="4"/>
  <c r="OZ18" i="4"/>
  <c r="OZ17" i="4"/>
  <c r="OZ20" i="4"/>
  <c r="OZ19" i="4"/>
  <c r="OZ16" i="4"/>
  <c r="OZ15" i="4"/>
  <c r="OZ14" i="4"/>
  <c r="OZ8" i="4"/>
  <c r="OZ13" i="4"/>
  <c r="OZ12" i="4"/>
  <c r="OZ11" i="4"/>
  <c r="OZ10" i="4"/>
  <c r="OZ9" i="4"/>
  <c r="OZ7" i="4"/>
  <c r="OZ5" i="4"/>
  <c r="OZ4" i="4"/>
  <c r="OZ6" i="4"/>
  <c r="RO16" i="4"/>
  <c r="GH16" i="4"/>
  <c r="LJ16" i="4"/>
  <c r="OL27" i="4"/>
  <c r="JF27" i="4"/>
  <c r="TW27" i="4"/>
  <c r="FA6" i="4"/>
  <c r="RW6" i="4"/>
  <c r="ML6" i="4"/>
  <c r="HF6" i="4"/>
  <c r="ML11" i="4"/>
  <c r="HF11" i="4"/>
  <c r="RW11" i="4"/>
  <c r="RW8" i="4"/>
  <c r="ML8" i="4"/>
  <c r="HF8" i="4"/>
  <c r="RW17" i="4"/>
  <c r="ML17" i="4"/>
  <c r="HF17" i="4"/>
  <c r="RW24" i="4"/>
  <c r="HF24" i="4"/>
  <c r="ML24" i="4"/>
  <c r="ML25" i="4"/>
  <c r="HF25" i="4"/>
  <c r="RW25" i="4"/>
  <c r="RW30" i="4"/>
  <c r="ML30" i="4"/>
  <c r="HF30" i="4"/>
  <c r="RW33" i="4"/>
  <c r="ML33" i="4"/>
  <c r="HF33" i="4"/>
  <c r="RW37" i="4"/>
  <c r="ML37" i="4"/>
  <c r="HF37" i="4"/>
  <c r="BR7" i="4"/>
  <c r="BR11" i="4"/>
  <c r="BR15" i="4"/>
  <c r="BR19" i="4"/>
  <c r="BR23" i="4"/>
  <c r="BR27" i="4"/>
  <c r="BR31" i="4"/>
  <c r="BR35" i="4"/>
  <c r="BR39" i="4"/>
  <c r="QU31" i="4"/>
  <c r="LN31" i="4"/>
  <c r="FZ31" i="4"/>
  <c r="LN14" i="4"/>
  <c r="FZ14" i="4"/>
  <c r="QU14" i="4"/>
  <c r="CV42" i="3"/>
  <c r="CV41" i="3"/>
  <c r="CV40" i="3"/>
  <c r="CV39" i="3"/>
  <c r="CV38" i="3"/>
  <c r="CV37" i="3"/>
  <c r="CV36" i="3"/>
  <c r="CV35" i="3"/>
  <c r="CV34" i="3"/>
  <c r="CV33" i="3"/>
  <c r="CV31" i="3"/>
  <c r="CV29" i="3"/>
  <c r="CV27" i="3"/>
  <c r="CV23" i="3"/>
  <c r="CV19" i="3"/>
  <c r="CV16" i="3"/>
  <c r="CV15" i="3"/>
  <c r="CV14" i="3"/>
  <c r="CV13" i="3"/>
  <c r="CV12" i="3"/>
  <c r="CV11" i="3"/>
  <c r="CV10" i="3"/>
  <c r="CV9" i="3"/>
  <c r="CV8" i="3"/>
  <c r="CV7" i="3"/>
  <c r="CV6" i="3"/>
  <c r="CV24" i="3"/>
  <c r="CV20" i="3"/>
  <c r="CV32" i="3"/>
  <c r="CV30" i="3"/>
  <c r="CV28" i="3"/>
  <c r="CV25" i="3"/>
  <c r="CV21" i="3"/>
  <c r="CV17" i="3"/>
  <c r="CV5" i="3"/>
  <c r="CV4" i="3"/>
  <c r="CV26" i="3"/>
  <c r="CV22" i="3"/>
  <c r="CV18" i="3"/>
  <c r="CU5" i="3"/>
  <c r="CU6" i="3" s="1"/>
  <c r="CU7" i="3" s="1"/>
  <c r="CU8" i="3" s="1"/>
  <c r="CU9" i="3" s="1"/>
  <c r="CU10" i="3" s="1"/>
  <c r="CU11" i="3" s="1"/>
  <c r="CU12" i="3" s="1"/>
  <c r="CU13" i="3" s="1"/>
  <c r="CU14" i="3" s="1"/>
  <c r="CU15" i="3" s="1"/>
  <c r="CU16" i="3" s="1"/>
  <c r="CU17" i="3" s="1"/>
  <c r="CU18" i="3" s="1"/>
  <c r="CU19" i="3" s="1"/>
  <c r="CU20" i="3" s="1"/>
  <c r="CU21" i="3" s="1"/>
  <c r="CU22" i="3" s="1"/>
  <c r="CU23" i="3" s="1"/>
  <c r="CU24" i="3" s="1"/>
  <c r="CU25" i="3" s="1"/>
  <c r="CU26" i="3" s="1"/>
  <c r="CU27" i="3" s="1"/>
  <c r="CU28" i="3" s="1"/>
  <c r="CU29" i="3" s="1"/>
  <c r="CU30" i="3" s="1"/>
  <c r="CU31" i="3" s="1"/>
  <c r="CU32" i="3" s="1"/>
  <c r="CU33" i="3" s="1"/>
  <c r="CU34" i="3" s="1"/>
  <c r="CU35" i="3" s="1"/>
  <c r="CU36" i="3" s="1"/>
  <c r="CU37" i="3" s="1"/>
  <c r="CU38" i="3" s="1"/>
  <c r="CU39" i="3" s="1"/>
  <c r="CU40" i="3" s="1"/>
  <c r="CU41" i="3" s="1"/>
  <c r="CU42" i="3" s="1"/>
  <c r="RO7" i="4"/>
  <c r="GH7" i="4"/>
  <c r="LJ7" i="4"/>
  <c r="OL13" i="4"/>
  <c r="JF13" i="4"/>
  <c r="TW13" i="4"/>
  <c r="QY30" i="4"/>
  <c r="MD30" i="4"/>
  <c r="GX30" i="4"/>
  <c r="MD39" i="4"/>
  <c r="GX39" i="4"/>
  <c r="QY39" i="4"/>
  <c r="RS32" i="4"/>
  <c r="MH32" i="4"/>
  <c r="HB32" i="4"/>
  <c r="FA37" i="4"/>
  <c r="LJ40" i="4"/>
  <c r="GH40" i="4"/>
  <c r="RO40" i="4"/>
  <c r="OL10" i="4"/>
  <c r="JF10" i="4"/>
  <c r="TW10" i="4"/>
  <c r="EJ4" i="4"/>
  <c r="EJ7" i="4"/>
  <c r="EJ13" i="4"/>
  <c r="EJ16" i="4"/>
  <c r="EJ20" i="4"/>
  <c r="EJ23" i="4"/>
  <c r="EJ28" i="4"/>
  <c r="EJ31" i="4"/>
  <c r="EJ35" i="4"/>
  <c r="EJ40" i="4"/>
  <c r="TW32" i="4"/>
  <c r="OL32" i="4"/>
  <c r="JF32" i="4"/>
  <c r="GA5" i="4"/>
  <c r="LV23" i="4"/>
  <c r="GP23" i="4"/>
  <c r="QQ23" i="4"/>
  <c r="CJ12" i="4"/>
  <c r="CJ24" i="4"/>
  <c r="CJ35" i="4"/>
  <c r="CJ39" i="4"/>
  <c r="SM6" i="4"/>
  <c r="NB6" i="4"/>
  <c r="HV6" i="4"/>
  <c r="NB10" i="4"/>
  <c r="HV10" i="4"/>
  <c r="SM10" i="4"/>
  <c r="NB13" i="4"/>
  <c r="HV13" i="4"/>
  <c r="SM13" i="4"/>
  <c r="SM17" i="4"/>
  <c r="NB17" i="4"/>
  <c r="HV17" i="4"/>
  <c r="NB21" i="4"/>
  <c r="HV21" i="4"/>
  <c r="SM21" i="4"/>
  <c r="SM24" i="4"/>
  <c r="HV24" i="4"/>
  <c r="NB24" i="4"/>
  <c r="SM30" i="4"/>
  <c r="NB30" i="4"/>
  <c r="HV30" i="4"/>
  <c r="SM33" i="4"/>
  <c r="NB33" i="4"/>
  <c r="HV33" i="4"/>
  <c r="SM36" i="4"/>
  <c r="NB36" i="4"/>
  <c r="HV36" i="4"/>
  <c r="TC4" i="4"/>
  <c r="TD4" i="4" s="1"/>
  <c r="NR4" i="4"/>
  <c r="NS4" i="4" s="1"/>
  <c r="IL4" i="4"/>
  <c r="IM4" i="4" s="1"/>
  <c r="BS4" i="3"/>
  <c r="TC31" i="4"/>
  <c r="NR31" i="4"/>
  <c r="IL31" i="4"/>
  <c r="NR21" i="4"/>
  <c r="IL21" i="4"/>
  <c r="TC21" i="4"/>
  <c r="TC5" i="4"/>
  <c r="NR5" i="4"/>
  <c r="IL5" i="4"/>
  <c r="TC29" i="4"/>
  <c r="NR29" i="4"/>
  <c r="IL29" i="4"/>
  <c r="QY5" i="4"/>
  <c r="GX5" i="4"/>
  <c r="MD5" i="4"/>
  <c r="QY15" i="4"/>
  <c r="MD15" i="4"/>
  <c r="GX15" i="4"/>
  <c r="MH39" i="4"/>
  <c r="HB39" i="4"/>
  <c r="RS39" i="4"/>
  <c r="MH23" i="4"/>
  <c r="HB23" i="4"/>
  <c r="RS23" i="4"/>
  <c r="RS7" i="4"/>
  <c r="HB7" i="4"/>
  <c r="MH7" i="4"/>
  <c r="QQ31" i="4"/>
  <c r="LV31" i="4"/>
  <c r="GP31" i="4"/>
  <c r="QQ15" i="4"/>
  <c r="LV15" i="4"/>
  <c r="GP15" i="4"/>
  <c r="LS5" i="4"/>
  <c r="CQ30" i="4"/>
  <c r="CN42" i="3"/>
  <c r="CN41" i="3"/>
  <c r="CN40" i="3"/>
  <c r="CN39" i="3"/>
  <c r="CN38" i="3"/>
  <c r="CN37" i="3"/>
  <c r="CN36" i="3"/>
  <c r="CN35" i="3"/>
  <c r="CN34" i="3"/>
  <c r="CN32" i="3"/>
  <c r="CN30" i="3"/>
  <c r="CN27" i="3"/>
  <c r="CN23" i="3"/>
  <c r="CN19" i="3"/>
  <c r="CN16" i="3"/>
  <c r="CN15" i="3"/>
  <c r="CN14" i="3"/>
  <c r="CN13" i="3"/>
  <c r="CN12" i="3"/>
  <c r="CN11" i="3"/>
  <c r="CN10" i="3"/>
  <c r="CN9" i="3"/>
  <c r="CN8" i="3"/>
  <c r="CN7" i="3"/>
  <c r="CN6" i="3"/>
  <c r="CN28" i="3"/>
  <c r="CN24" i="3"/>
  <c r="CN20" i="3"/>
  <c r="CN33" i="3"/>
  <c r="CN31" i="3"/>
  <c r="CN29" i="3"/>
  <c r="CN25" i="3"/>
  <c r="CN21" i="3"/>
  <c r="CN17" i="3"/>
  <c r="CN5" i="3"/>
  <c r="CN4" i="3"/>
  <c r="CN26" i="3"/>
  <c r="CN22" i="3"/>
  <c r="CN18" i="3"/>
  <c r="CM5" i="3"/>
  <c r="CM6" i="3" s="1"/>
  <c r="CM7" i="3" s="1"/>
  <c r="CM8" i="3" s="1"/>
  <c r="CM9" i="3" s="1"/>
  <c r="CM10" i="3" s="1"/>
  <c r="CM11" i="3" s="1"/>
  <c r="CM12" i="3" s="1"/>
  <c r="CM13" i="3" s="1"/>
  <c r="CM14" i="3" s="1"/>
  <c r="CM15" i="3" s="1"/>
  <c r="CM16" i="3" s="1"/>
  <c r="CM17" i="3" s="1"/>
  <c r="CM18" i="3" s="1"/>
  <c r="CM19" i="3" s="1"/>
  <c r="CM20" i="3" s="1"/>
  <c r="CM21" i="3" s="1"/>
  <c r="CM22" i="3" s="1"/>
  <c r="CM23" i="3" s="1"/>
  <c r="CM24" i="3" s="1"/>
  <c r="CM25" i="3" s="1"/>
  <c r="CM26" i="3" s="1"/>
  <c r="CM27" i="3" s="1"/>
  <c r="CM28" i="3" s="1"/>
  <c r="CM29" i="3" s="1"/>
  <c r="CM30" i="3" s="1"/>
  <c r="CM31" i="3" s="1"/>
  <c r="CM32" i="3" s="1"/>
  <c r="CM33" i="3" s="1"/>
  <c r="CM34" i="3" s="1"/>
  <c r="CM35" i="3" s="1"/>
  <c r="CM36" i="3" s="1"/>
  <c r="CM37" i="3" s="1"/>
  <c r="CM38" i="3" s="1"/>
  <c r="CM39" i="3" s="1"/>
  <c r="CM40" i="3" s="1"/>
  <c r="CM41" i="3" s="1"/>
  <c r="CM42" i="3" s="1"/>
  <c r="LD42" i="4"/>
  <c r="LD41" i="4"/>
  <c r="LD40" i="4"/>
  <c r="LD39" i="4"/>
  <c r="LD38" i="4"/>
  <c r="LD37" i="4"/>
  <c r="LD36" i="4"/>
  <c r="LD35" i="4"/>
  <c r="LD34" i="4"/>
  <c r="LD33" i="4"/>
  <c r="LD32" i="4"/>
  <c r="LD31" i="4"/>
  <c r="LD30" i="4"/>
  <c r="LD29" i="4"/>
  <c r="LD28" i="4"/>
  <c r="LD27" i="4"/>
  <c r="LD26" i="4"/>
  <c r="LD25" i="4"/>
  <c r="LD24" i="4"/>
  <c r="LD23" i="4"/>
  <c r="LD22" i="4"/>
  <c r="LD21" i="4"/>
  <c r="LD20" i="4"/>
  <c r="LD18" i="4"/>
  <c r="LD19" i="4"/>
  <c r="LD16" i="4"/>
  <c r="LD15" i="4"/>
  <c r="LD17" i="4"/>
  <c r="LD9" i="4"/>
  <c r="LD7" i="4"/>
  <c r="LD14" i="4"/>
  <c r="LD13" i="4"/>
  <c r="LD12" i="4"/>
  <c r="LD11" i="4"/>
  <c r="LD10" i="4"/>
  <c r="LD8" i="4"/>
  <c r="LD5" i="4"/>
  <c r="LD4" i="4"/>
  <c r="LC5" i="4"/>
  <c r="LC6" i="4" s="1"/>
  <c r="LC7" i="4" s="1"/>
  <c r="LC8" i="4" s="1"/>
  <c r="LC9" i="4" s="1"/>
  <c r="LC10" i="4" s="1"/>
  <c r="LC11" i="4" s="1"/>
  <c r="LC12" i="4" s="1"/>
  <c r="LC13" i="4" s="1"/>
  <c r="LC14" i="4" s="1"/>
  <c r="LC15" i="4" s="1"/>
  <c r="LC16" i="4" s="1"/>
  <c r="LC17" i="4" s="1"/>
  <c r="LC18" i="4" s="1"/>
  <c r="LC19" i="4" s="1"/>
  <c r="LC20" i="4" s="1"/>
  <c r="LC21" i="4" s="1"/>
  <c r="LC22" i="4" s="1"/>
  <c r="LC23" i="4" s="1"/>
  <c r="LC24" i="4" s="1"/>
  <c r="LC25" i="4" s="1"/>
  <c r="LC26" i="4" s="1"/>
  <c r="LC27" i="4" s="1"/>
  <c r="LC28" i="4" s="1"/>
  <c r="LC29" i="4" s="1"/>
  <c r="LC30" i="4" s="1"/>
  <c r="LC31" i="4" s="1"/>
  <c r="LC32" i="4" s="1"/>
  <c r="LC33" i="4" s="1"/>
  <c r="LC34" i="4" s="1"/>
  <c r="LC35" i="4" s="1"/>
  <c r="LC36" i="4" s="1"/>
  <c r="LC37" i="4" s="1"/>
  <c r="LC38" i="4" s="1"/>
  <c r="LC39" i="4" s="1"/>
  <c r="LC40" i="4" s="1"/>
  <c r="LD6" i="4"/>
  <c r="OL26" i="4"/>
  <c r="JF26" i="4"/>
  <c r="TW26" i="4"/>
  <c r="QY18" i="4"/>
  <c r="MD18" i="4"/>
  <c r="GX18" i="4"/>
  <c r="MD28" i="4"/>
  <c r="GX28" i="4"/>
  <c r="QY28" i="4"/>
  <c r="FA19" i="4"/>
  <c r="RS34" i="4"/>
  <c r="MH34" i="4"/>
  <c r="HB34" i="4"/>
  <c r="RS18" i="4"/>
  <c r="MH18" i="4"/>
  <c r="HB18" i="4"/>
  <c r="QQ34" i="4"/>
  <c r="LV34" i="4"/>
  <c r="GP34" i="4"/>
  <c r="LV20" i="4"/>
  <c r="QQ20" i="4"/>
  <c r="GP20" i="4"/>
  <c r="RC31" i="4"/>
  <c r="GL31" i="4"/>
  <c r="LR31" i="4"/>
  <c r="RC15" i="4"/>
  <c r="LR15" i="4"/>
  <c r="GL15" i="4"/>
  <c r="RO31" i="4"/>
  <c r="LJ31" i="4"/>
  <c r="GH31" i="4"/>
  <c r="TW18" i="4"/>
  <c r="OL18" i="4"/>
  <c r="JF18" i="4"/>
  <c r="CB8" i="4"/>
  <c r="CB12" i="4"/>
  <c r="CB17" i="4"/>
  <c r="CB18" i="4"/>
  <c r="CB22" i="4"/>
  <c r="CB27" i="4"/>
  <c r="CB33" i="4"/>
  <c r="CB35" i="4"/>
  <c r="CB39" i="4"/>
  <c r="UQ30" i="4"/>
  <c r="PF30" i="4"/>
  <c r="JZ30" i="4"/>
  <c r="UQ15" i="4"/>
  <c r="PF15" i="4"/>
  <c r="JZ15" i="4"/>
  <c r="TW17" i="4"/>
  <c r="OL17" i="4"/>
  <c r="JF17" i="4"/>
  <c r="VK29" i="4"/>
  <c r="QD29" i="4"/>
  <c r="KX29" i="4"/>
  <c r="QD13" i="4"/>
  <c r="KX13" i="4"/>
  <c r="VK13" i="4"/>
  <c r="UI36" i="4"/>
  <c r="OX36" i="4"/>
  <c r="JR36" i="4"/>
  <c r="OX20" i="4"/>
  <c r="JR20" i="4"/>
  <c r="UI20" i="4"/>
  <c r="UI5" i="4"/>
  <c r="OX5" i="4"/>
  <c r="OY5" i="4" s="1"/>
  <c r="OY6" i="4" s="1"/>
  <c r="OY7" i="4" s="1"/>
  <c r="OY8" i="4" s="1"/>
  <c r="OY9" i="4" s="1"/>
  <c r="OY10" i="4" s="1"/>
  <c r="OY11" i="4" s="1"/>
  <c r="OY12" i="4" s="1"/>
  <c r="OY13" i="4" s="1"/>
  <c r="OY14" i="4" s="1"/>
  <c r="OY15" i="4" s="1"/>
  <c r="OY16" i="4" s="1"/>
  <c r="OY17" i="4" s="1"/>
  <c r="OY18" i="4" s="1"/>
  <c r="OY19" i="4" s="1"/>
  <c r="OY20" i="4" s="1"/>
  <c r="OY21" i="4" s="1"/>
  <c r="OY22" i="4" s="1"/>
  <c r="OY23" i="4" s="1"/>
  <c r="OY24" i="4" s="1"/>
  <c r="OY25" i="4" s="1"/>
  <c r="OY26" i="4" s="1"/>
  <c r="OY27" i="4" s="1"/>
  <c r="OY28" i="4" s="1"/>
  <c r="OY29" i="4" s="1"/>
  <c r="OY30" i="4" s="1"/>
  <c r="OY31" i="4" s="1"/>
  <c r="OY32" i="4" s="1"/>
  <c r="OY33" i="4" s="1"/>
  <c r="OY34" i="4" s="1"/>
  <c r="OY35" i="4" s="1"/>
  <c r="OY36" i="4" s="1"/>
  <c r="OY37" i="4" s="1"/>
  <c r="OY38" i="4" s="1"/>
  <c r="OY39" i="4" s="1"/>
  <c r="OY40" i="4" s="1"/>
  <c r="JR5" i="4"/>
  <c r="FA17" i="4"/>
  <c r="EW6" i="4"/>
  <c r="EW22" i="4"/>
  <c r="EW40" i="4"/>
  <c r="EW7" i="4"/>
  <c r="EW19" i="4"/>
  <c r="EW36" i="4"/>
  <c r="EW17" i="4"/>
  <c r="EW33" i="4"/>
  <c r="EW16" i="4"/>
  <c r="EW26" i="4"/>
  <c r="TW8" i="4"/>
  <c r="JF8" i="4"/>
  <c r="OL8" i="4"/>
  <c r="LN40" i="4"/>
  <c r="QU40" i="4"/>
  <c r="FZ40" i="4"/>
  <c r="LN22" i="4"/>
  <c r="FZ22" i="4"/>
  <c r="QU22" i="4"/>
  <c r="QU9" i="4"/>
  <c r="LN9" i="4"/>
  <c r="FZ9" i="4"/>
  <c r="OL40" i="4"/>
  <c r="TW40" i="4"/>
  <c r="JF40" i="4"/>
  <c r="FA36" i="4"/>
  <c r="FA13" i="4"/>
  <c r="BL5" i="4"/>
  <c r="BL6" i="4" s="1"/>
  <c r="BL7" i="4" s="1"/>
  <c r="BL8" i="4" s="1"/>
  <c r="BL9" i="4" s="1"/>
  <c r="BL10" i="4" s="1"/>
  <c r="BL11" i="4" s="1"/>
  <c r="BL12" i="4" s="1"/>
  <c r="BL13" i="4" s="1"/>
  <c r="BL14" i="4" s="1"/>
  <c r="BL15" i="4" s="1"/>
  <c r="BL16" i="4" s="1"/>
  <c r="BL17" i="4" s="1"/>
  <c r="BL18" i="4" s="1"/>
  <c r="BL19" i="4" s="1"/>
  <c r="BL20" i="4" s="1"/>
  <c r="BL21" i="4" s="1"/>
  <c r="BL22" i="4" s="1"/>
  <c r="BL23" i="4" s="1"/>
  <c r="BL24" i="4" s="1"/>
  <c r="BL25" i="4" s="1"/>
  <c r="BL26" i="4" s="1"/>
  <c r="BL27" i="4" s="1"/>
  <c r="BL28" i="4" s="1"/>
  <c r="BL29" i="4" s="1"/>
  <c r="BL30" i="4" s="1"/>
  <c r="BL31" i="4" s="1"/>
  <c r="BL32" i="4" s="1"/>
  <c r="BL33" i="4" s="1"/>
  <c r="BL34" i="4" s="1"/>
  <c r="BL35" i="4" s="1"/>
  <c r="BL36" i="4" s="1"/>
  <c r="BL37" i="4" s="1"/>
  <c r="BL38" i="4" s="1"/>
  <c r="BL39" i="4" s="1"/>
  <c r="BL40" i="4" s="1"/>
  <c r="TW6" i="4"/>
  <c r="OL6" i="4"/>
  <c r="JF6" i="4"/>
  <c r="VK35" i="4"/>
  <c r="QD35" i="4"/>
  <c r="KX35" i="4"/>
  <c r="VK19" i="4"/>
  <c r="QD19" i="4"/>
  <c r="KX19" i="4"/>
  <c r="PL42" i="4"/>
  <c r="PL41" i="4"/>
  <c r="PL40" i="4"/>
  <c r="PL39" i="4"/>
  <c r="PL38" i="4"/>
  <c r="PL37" i="4"/>
  <c r="PL36" i="4"/>
  <c r="PL35" i="4"/>
  <c r="PL34" i="4"/>
  <c r="PL33" i="4"/>
  <c r="PL32" i="4"/>
  <c r="PL31" i="4"/>
  <c r="PL30" i="4"/>
  <c r="PL29" i="4"/>
  <c r="PL28" i="4"/>
  <c r="PL27" i="4"/>
  <c r="PL26" i="4"/>
  <c r="PL25" i="4"/>
  <c r="PL24" i="4"/>
  <c r="PL23" i="4"/>
  <c r="PL22" i="4"/>
  <c r="PL21" i="4"/>
  <c r="PL20" i="4"/>
  <c r="PL18" i="4"/>
  <c r="PL17" i="4"/>
  <c r="PL19" i="4"/>
  <c r="PL16" i="4"/>
  <c r="PL15" i="4"/>
  <c r="PL14" i="4"/>
  <c r="PL9" i="4"/>
  <c r="PL7" i="4"/>
  <c r="PL13" i="4"/>
  <c r="PL12" i="4"/>
  <c r="PL11" i="4"/>
  <c r="PL10" i="4"/>
  <c r="PL8" i="4"/>
  <c r="PL5" i="4"/>
  <c r="PL4" i="4"/>
  <c r="PK5" i="4"/>
  <c r="PK6" i="4" s="1"/>
  <c r="PK7" i="4" s="1"/>
  <c r="PK8" i="4" s="1"/>
  <c r="PK9" i="4" s="1"/>
  <c r="PK10" i="4" s="1"/>
  <c r="PK11" i="4" s="1"/>
  <c r="PK12" i="4" s="1"/>
  <c r="PK13" i="4" s="1"/>
  <c r="PK14" i="4" s="1"/>
  <c r="PK15" i="4" s="1"/>
  <c r="PK16" i="4" s="1"/>
  <c r="PK17" i="4" s="1"/>
  <c r="PK18" i="4" s="1"/>
  <c r="PK19" i="4" s="1"/>
  <c r="PK20" i="4" s="1"/>
  <c r="PK21" i="4" s="1"/>
  <c r="PK22" i="4" s="1"/>
  <c r="PK23" i="4" s="1"/>
  <c r="PK24" i="4" s="1"/>
  <c r="PK25" i="4" s="1"/>
  <c r="PK26" i="4" s="1"/>
  <c r="PK27" i="4" s="1"/>
  <c r="PK28" i="4" s="1"/>
  <c r="PK29" i="4" s="1"/>
  <c r="PK30" i="4" s="1"/>
  <c r="PK31" i="4" s="1"/>
  <c r="PK32" i="4" s="1"/>
  <c r="PK33" i="4" s="1"/>
  <c r="PK34" i="4" s="1"/>
  <c r="PK35" i="4" s="1"/>
  <c r="PK36" i="4" s="1"/>
  <c r="PK37" i="4" s="1"/>
  <c r="PK38" i="4" s="1"/>
  <c r="PK39" i="4" s="1"/>
  <c r="PK40" i="4" s="1"/>
  <c r="PL6" i="4"/>
  <c r="CU8" i="4"/>
  <c r="DF6" i="4"/>
  <c r="DF10" i="4"/>
  <c r="DF14" i="4"/>
  <c r="DF18" i="4"/>
  <c r="DF22" i="4"/>
  <c r="DF26" i="4"/>
  <c r="DF30" i="4"/>
  <c r="DF34" i="4"/>
  <c r="DF38" i="4"/>
  <c r="DZ37" i="4"/>
  <c r="DZ33" i="4"/>
  <c r="DZ29" i="4"/>
  <c r="DZ25" i="4"/>
  <c r="DZ21" i="4"/>
  <c r="DZ17" i="4"/>
  <c r="DZ13" i="4"/>
  <c r="DZ9" i="4"/>
  <c r="DZ5" i="4"/>
  <c r="DY5" i="4"/>
  <c r="DY6" i="4" s="1"/>
  <c r="DY7" i="4" s="1"/>
  <c r="DY8" i="4" s="1"/>
  <c r="DY9" i="4" s="1"/>
  <c r="DY10" i="4" s="1"/>
  <c r="DY11" i="4" s="1"/>
  <c r="DY12" i="4" s="1"/>
  <c r="DY13" i="4" s="1"/>
  <c r="DY14" i="4" s="1"/>
  <c r="DY15" i="4" s="1"/>
  <c r="DY16" i="4" s="1"/>
  <c r="DY17" i="4" s="1"/>
  <c r="DY18" i="4" s="1"/>
  <c r="DY19" i="4" s="1"/>
  <c r="DY20" i="4" s="1"/>
  <c r="DY21" i="4" s="1"/>
  <c r="DY22" i="4" s="1"/>
  <c r="DY23" i="4" s="1"/>
  <c r="DY24" i="4" s="1"/>
  <c r="DY25" i="4" s="1"/>
  <c r="DY26" i="4" s="1"/>
  <c r="DY27" i="4" s="1"/>
  <c r="DY28" i="4" s="1"/>
  <c r="DY29" i="4" s="1"/>
  <c r="DY30" i="4" s="1"/>
  <c r="DY31" i="4" s="1"/>
  <c r="DY32" i="4" s="1"/>
  <c r="DY33" i="4" s="1"/>
  <c r="DY34" i="4" s="1"/>
  <c r="DY35" i="4" s="1"/>
  <c r="DY36" i="4" s="1"/>
  <c r="DY37" i="4" s="1"/>
  <c r="DY38" i="4" s="1"/>
  <c r="DY39" i="4" s="1"/>
  <c r="DY40" i="4" s="1"/>
  <c r="OL21" i="4"/>
  <c r="JF21" i="4"/>
  <c r="TW21" i="4"/>
  <c r="MD13" i="4"/>
  <c r="GX13" i="4"/>
  <c r="QY13" i="4"/>
  <c r="MD22" i="4"/>
  <c r="GX22" i="4"/>
  <c r="QY22" i="4"/>
  <c r="FA38" i="4"/>
  <c r="MH25" i="4"/>
  <c r="HB25" i="4"/>
  <c r="RS25" i="4"/>
  <c r="RS9" i="4"/>
  <c r="HB9" i="4"/>
  <c r="MH9" i="4"/>
  <c r="QQ37" i="4"/>
  <c r="LV37" i="4"/>
  <c r="GP37" i="4"/>
  <c r="QQ24" i="4"/>
  <c r="GP24" i="4"/>
  <c r="LV24" i="4"/>
  <c r="QQ6" i="4"/>
  <c r="LV6" i="4"/>
  <c r="GP6" i="4"/>
  <c r="RC30" i="4"/>
  <c r="LR30" i="4"/>
  <c r="GL30" i="4"/>
  <c r="LR14" i="4"/>
  <c r="GL14" i="4"/>
  <c r="RC14" i="4"/>
  <c r="RO19" i="4"/>
  <c r="GH19" i="4"/>
  <c r="LJ19" i="4"/>
  <c r="CQ33" i="4"/>
  <c r="PF40" i="4"/>
  <c r="JZ40" i="4"/>
  <c r="UQ40" i="4"/>
  <c r="PF22" i="4"/>
  <c r="JZ22" i="4"/>
  <c r="UQ22" i="4"/>
  <c r="UQ6" i="4"/>
  <c r="PF6" i="4"/>
  <c r="JZ6" i="4"/>
  <c r="LJ13" i="4"/>
  <c r="GH13" i="4"/>
  <c r="RO13" i="4"/>
  <c r="TW19" i="4"/>
  <c r="OL19" i="4"/>
  <c r="JF19" i="4"/>
  <c r="VK32" i="4"/>
  <c r="QD32" i="4"/>
  <c r="KX32" i="4"/>
  <c r="VK16" i="4"/>
  <c r="KX16" i="4"/>
  <c r="QD16" i="4"/>
  <c r="DB4" i="3"/>
  <c r="DB26" i="3"/>
  <c r="DB31" i="3"/>
  <c r="DB35" i="3"/>
  <c r="DB39" i="3"/>
  <c r="OX27" i="4"/>
  <c r="JR27" i="4"/>
  <c r="UI27" i="4"/>
  <c r="OX11" i="4"/>
  <c r="JR11" i="4"/>
  <c r="UI11" i="4"/>
  <c r="UK40" i="4"/>
  <c r="UK39" i="4"/>
  <c r="UK38" i="4"/>
  <c r="UK37" i="4"/>
  <c r="UK36" i="4"/>
  <c r="UK34" i="4"/>
  <c r="UK35" i="4"/>
  <c r="UK33" i="4"/>
  <c r="UK32" i="4"/>
  <c r="UK31" i="4"/>
  <c r="UK29" i="4"/>
  <c r="UK28" i="4"/>
  <c r="UK30" i="4"/>
  <c r="UK27" i="4"/>
  <c r="UK26" i="4"/>
  <c r="UK24" i="4"/>
  <c r="UK23" i="4"/>
  <c r="UK22" i="4"/>
  <c r="UK21" i="4"/>
  <c r="UK25" i="4"/>
  <c r="UK18" i="4"/>
  <c r="UK17" i="4"/>
  <c r="UK20" i="4"/>
  <c r="UK19" i="4"/>
  <c r="UK15" i="4"/>
  <c r="UK14" i="4"/>
  <c r="UK13" i="4"/>
  <c r="UK16" i="4"/>
  <c r="UK9" i="4"/>
  <c r="UK12" i="4"/>
  <c r="UK11" i="4"/>
  <c r="UK10" i="4"/>
  <c r="UK8" i="4"/>
  <c r="UK6" i="4"/>
  <c r="UK5" i="4"/>
  <c r="UK4" i="4"/>
  <c r="UK7" i="4"/>
  <c r="UJ5" i="4"/>
  <c r="UJ6" i="4" s="1"/>
  <c r="UJ7" i="4" s="1"/>
  <c r="UJ8" i="4" s="1"/>
  <c r="UJ9" i="4" s="1"/>
  <c r="UJ10" i="4" s="1"/>
  <c r="UJ11" i="4" s="1"/>
  <c r="RO29" i="4"/>
  <c r="GH29" i="4"/>
  <c r="LJ29" i="4"/>
  <c r="AE49" i="3"/>
  <c r="BC7" i="4"/>
  <c r="BC12" i="4"/>
  <c r="BC10" i="4"/>
  <c r="BC20" i="4"/>
  <c r="BC21" i="4"/>
  <c r="BC26" i="4"/>
  <c r="BC29" i="4"/>
  <c r="BC34" i="4"/>
  <c r="BC38" i="4"/>
  <c r="BR4" i="4"/>
  <c r="BR8" i="4"/>
  <c r="BR12" i="4"/>
  <c r="BR16" i="4"/>
  <c r="BR20" i="4"/>
  <c r="BR24" i="4"/>
  <c r="BR28" i="4"/>
  <c r="BR32" i="4"/>
  <c r="BR36" i="4"/>
  <c r="BR40" i="4"/>
  <c r="LN27" i="4"/>
  <c r="FZ27" i="4"/>
  <c r="QU27" i="4"/>
  <c r="QU16" i="4"/>
  <c r="LN16" i="4"/>
  <c r="FZ16" i="4"/>
  <c r="QB42" i="4"/>
  <c r="QB41" i="4"/>
  <c r="QB40" i="4"/>
  <c r="QB39" i="4"/>
  <c r="QB38" i="4"/>
  <c r="QB37" i="4"/>
  <c r="QB36" i="4"/>
  <c r="QB35" i="4"/>
  <c r="QB34" i="4"/>
  <c r="QB33" i="4"/>
  <c r="QB32" i="4"/>
  <c r="QB31" i="4"/>
  <c r="QB30" i="4"/>
  <c r="QB29" i="4"/>
  <c r="QB28" i="4"/>
  <c r="QB27" i="4"/>
  <c r="QB26" i="4"/>
  <c r="QB25" i="4"/>
  <c r="QB24" i="4"/>
  <c r="QB23" i="4"/>
  <c r="QB22" i="4"/>
  <c r="QB21" i="4"/>
  <c r="QB20" i="4"/>
  <c r="QB18" i="4"/>
  <c r="QB17" i="4"/>
  <c r="QB19" i="4"/>
  <c r="QB16" i="4"/>
  <c r="QB15" i="4"/>
  <c r="QB14" i="4"/>
  <c r="QB9" i="4"/>
  <c r="QB7" i="4"/>
  <c r="QB13" i="4"/>
  <c r="QB12" i="4"/>
  <c r="QB11" i="4"/>
  <c r="QB10" i="4"/>
  <c r="QB8" i="4"/>
  <c r="QB5" i="4"/>
  <c r="QB4" i="4"/>
  <c r="QA5" i="4"/>
  <c r="QA6" i="4" s="1"/>
  <c r="QA7" i="4" s="1"/>
  <c r="QA8" i="4" s="1"/>
  <c r="QA9" i="4" s="1"/>
  <c r="QA10" i="4" s="1"/>
  <c r="QA11" i="4" s="1"/>
  <c r="QA12" i="4" s="1"/>
  <c r="QA13" i="4" s="1"/>
  <c r="QA14" i="4" s="1"/>
  <c r="QA15" i="4" s="1"/>
  <c r="QA16" i="4" s="1"/>
  <c r="QA17" i="4" s="1"/>
  <c r="QA18" i="4" s="1"/>
  <c r="QA19" i="4" s="1"/>
  <c r="QA20" i="4" s="1"/>
  <c r="QA21" i="4" s="1"/>
  <c r="QA22" i="4" s="1"/>
  <c r="QA23" i="4" s="1"/>
  <c r="QA24" i="4" s="1"/>
  <c r="QA25" i="4" s="1"/>
  <c r="QA26" i="4" s="1"/>
  <c r="QA27" i="4" s="1"/>
  <c r="QA28" i="4" s="1"/>
  <c r="QA29" i="4" s="1"/>
  <c r="QA30" i="4" s="1"/>
  <c r="QA31" i="4" s="1"/>
  <c r="QA32" i="4" s="1"/>
  <c r="QA33" i="4" s="1"/>
  <c r="QA34" i="4" s="1"/>
  <c r="QA35" i="4" s="1"/>
  <c r="QA36" i="4" s="1"/>
  <c r="QA37" i="4" s="1"/>
  <c r="QA38" i="4" s="1"/>
  <c r="QA39" i="4" s="1"/>
  <c r="QA40" i="4" s="1"/>
  <c r="QB6" i="4"/>
  <c r="LJ22" i="4"/>
  <c r="GH22" i="4"/>
  <c r="RO22" i="4"/>
  <c r="OL28" i="4"/>
  <c r="JF28" i="4"/>
  <c r="TW28" i="4"/>
  <c r="MD12" i="4"/>
  <c r="GX12" i="4"/>
  <c r="QY12" i="4"/>
  <c r="MD21" i="4"/>
  <c r="GX21" i="4"/>
  <c r="QY21" i="4"/>
  <c r="RS24" i="4"/>
  <c r="HB24" i="4"/>
  <c r="MH24" i="4"/>
  <c r="FA20" i="4"/>
  <c r="TW29" i="4"/>
  <c r="OL29" i="4"/>
  <c r="JF29" i="4"/>
  <c r="EJ5" i="4"/>
  <c r="EJ10" i="4"/>
  <c r="EJ9" i="4"/>
  <c r="EJ17" i="4"/>
  <c r="EJ18" i="4"/>
  <c r="EJ25" i="4"/>
  <c r="EJ29" i="4"/>
  <c r="EJ33" i="4"/>
  <c r="EJ37" i="4"/>
  <c r="LO5" i="4"/>
  <c r="TW4" i="4"/>
  <c r="TX4" i="4" s="1"/>
  <c r="OL4" i="4"/>
  <c r="OM4" i="4" s="1"/>
  <c r="JF4" i="4"/>
  <c r="JG4" i="4" s="1"/>
  <c r="CC4" i="3"/>
  <c r="J22" i="4"/>
  <c r="LV40" i="4"/>
  <c r="GP40" i="4"/>
  <c r="QQ40" i="4"/>
  <c r="RO9" i="4"/>
  <c r="LJ9" i="4"/>
  <c r="GH9" i="4"/>
  <c r="CJ14" i="4"/>
  <c r="CJ27" i="4"/>
  <c r="MH12" i="4"/>
  <c r="HB12" i="4"/>
  <c r="RS12" i="4"/>
  <c r="QQ19" i="4"/>
  <c r="LV19" i="4"/>
  <c r="GP19" i="4"/>
  <c r="LJ23" i="4"/>
  <c r="GH23" i="4"/>
  <c r="RO23" i="4"/>
  <c r="CJ8" i="4"/>
  <c r="CJ13" i="4"/>
  <c r="CJ18" i="4"/>
  <c r="CJ28" i="4"/>
  <c r="CJ36" i="4"/>
  <c r="FA12" i="4"/>
  <c r="FA28" i="4"/>
  <c r="FA39" i="4"/>
  <c r="NB14" i="4"/>
  <c r="HV14" i="4"/>
  <c r="SM14" i="4"/>
  <c r="SM9" i="4"/>
  <c r="HV9" i="4"/>
  <c r="NB9" i="4"/>
  <c r="NB22" i="4"/>
  <c r="HV22" i="4"/>
  <c r="SM22" i="4"/>
  <c r="NB26" i="4"/>
  <c r="HV26" i="4"/>
  <c r="SM26" i="4"/>
  <c r="SM29" i="4"/>
  <c r="NB29" i="4"/>
  <c r="HV29" i="4"/>
  <c r="SM34" i="4"/>
  <c r="NB34" i="4"/>
  <c r="HV34" i="4"/>
  <c r="NB38" i="4"/>
  <c r="SM38" i="4"/>
  <c r="HV38" i="4"/>
  <c r="NR22" i="4"/>
  <c r="IL22" i="4"/>
  <c r="TC22" i="4"/>
  <c r="NR10" i="4"/>
  <c r="IL10" i="4"/>
  <c r="TC10" i="4"/>
  <c r="NR38" i="4"/>
  <c r="IL38" i="4"/>
  <c r="TC38" i="4"/>
  <c r="NR20" i="4"/>
  <c r="IL20" i="4"/>
  <c r="TC20" i="4"/>
  <c r="NR11" i="4"/>
  <c r="IL11" i="4"/>
  <c r="TC11" i="4"/>
  <c r="TW35" i="4"/>
  <c r="OL35" i="4"/>
  <c r="JF35" i="4"/>
  <c r="MD23" i="4"/>
  <c r="GX23" i="4"/>
  <c r="QY23" i="4"/>
  <c r="QY36" i="4"/>
  <c r="MD36" i="4"/>
  <c r="GX36" i="4"/>
  <c r="RS35" i="4"/>
  <c r="MH35" i="4"/>
  <c r="HB35" i="4"/>
  <c r="RS19" i="4"/>
  <c r="HB19" i="4"/>
  <c r="MH19" i="4"/>
  <c r="DU38" i="4"/>
  <c r="DU34" i="4"/>
  <c r="DU30" i="4"/>
  <c r="DU26" i="4"/>
  <c r="DU21" i="4"/>
  <c r="DU18" i="4"/>
  <c r="DU13" i="4"/>
  <c r="DU10" i="4"/>
  <c r="DU6" i="4"/>
  <c r="DT5" i="4"/>
  <c r="DT6" i="4" s="1"/>
  <c r="DT7" i="4" s="1"/>
  <c r="DT8" i="4" s="1"/>
  <c r="DT9" i="4" s="1"/>
  <c r="DT10" i="4" s="1"/>
  <c r="DT11" i="4" s="1"/>
  <c r="DT12" i="4" s="1"/>
  <c r="DT13" i="4" s="1"/>
  <c r="DT14" i="4" s="1"/>
  <c r="DT15" i="4" s="1"/>
  <c r="DT16" i="4" s="1"/>
  <c r="DT17" i="4" s="1"/>
  <c r="DT18" i="4" s="1"/>
  <c r="DT19" i="4" s="1"/>
  <c r="DT20" i="4" s="1"/>
  <c r="DT21" i="4" s="1"/>
  <c r="DT22" i="4" s="1"/>
  <c r="DT23" i="4" s="1"/>
  <c r="DT24" i="4" s="1"/>
  <c r="DT25" i="4" s="1"/>
  <c r="DT26" i="4" s="1"/>
  <c r="DT27" i="4" s="1"/>
  <c r="DT28" i="4" s="1"/>
  <c r="DT29" i="4" s="1"/>
  <c r="DT30" i="4" s="1"/>
  <c r="DT31" i="4" s="1"/>
  <c r="DT32" i="4" s="1"/>
  <c r="DT33" i="4" s="1"/>
  <c r="DT34" i="4" s="1"/>
  <c r="DT35" i="4" s="1"/>
  <c r="DT36" i="4" s="1"/>
  <c r="DT37" i="4" s="1"/>
  <c r="DT38" i="4" s="1"/>
  <c r="DT39" i="4" s="1"/>
  <c r="DT40" i="4" s="1"/>
  <c r="LV27" i="4"/>
  <c r="GP27" i="4"/>
  <c r="QQ27" i="4"/>
  <c r="LV13" i="4"/>
  <c r="GP13" i="4"/>
  <c r="QQ13" i="4"/>
  <c r="GM5" i="4"/>
  <c r="TW16" i="4"/>
  <c r="JF16" i="4"/>
  <c r="OL16" i="4"/>
  <c r="PH42" i="4"/>
  <c r="PH41" i="4"/>
  <c r="PH40" i="4"/>
  <c r="PH39" i="4"/>
  <c r="PH38" i="4"/>
  <c r="PH37" i="4"/>
  <c r="PH36" i="4"/>
  <c r="PH35" i="4"/>
  <c r="PH33" i="4"/>
  <c r="PH34" i="4"/>
  <c r="PH31" i="4"/>
  <c r="PH30" i="4"/>
  <c r="PH29" i="4"/>
  <c r="PH32" i="4"/>
  <c r="PH27" i="4"/>
  <c r="PH26" i="4"/>
  <c r="PH25" i="4"/>
  <c r="PH28" i="4"/>
  <c r="PH24" i="4"/>
  <c r="PH23" i="4"/>
  <c r="PH22" i="4"/>
  <c r="PH21" i="4"/>
  <c r="PH19" i="4"/>
  <c r="PH18" i="4"/>
  <c r="PH17" i="4"/>
  <c r="PH20" i="4"/>
  <c r="PH15" i="4"/>
  <c r="PH14" i="4"/>
  <c r="PH16" i="4"/>
  <c r="PH9" i="4"/>
  <c r="PH13" i="4"/>
  <c r="PH12" i="4"/>
  <c r="PH11" i="4"/>
  <c r="PH10" i="4"/>
  <c r="PH8" i="4"/>
  <c r="PH5" i="4"/>
  <c r="PH4" i="4"/>
  <c r="PH7" i="4"/>
  <c r="PG5" i="4"/>
  <c r="PG6" i="4" s="1"/>
  <c r="PH6" i="4"/>
  <c r="DJ6" i="4"/>
  <c r="QJ42" i="4"/>
  <c r="QJ41" i="4"/>
  <c r="QJ40" i="4"/>
  <c r="QJ39" i="4"/>
  <c r="QJ38" i="4"/>
  <c r="QJ37" i="4"/>
  <c r="QJ36" i="4"/>
  <c r="QJ35" i="4"/>
  <c r="QJ33" i="4"/>
  <c r="QJ32" i="4"/>
  <c r="QJ34" i="4"/>
  <c r="QJ31" i="4"/>
  <c r="QJ30" i="4"/>
  <c r="QJ29" i="4"/>
  <c r="QJ28" i="4"/>
  <c r="QJ27" i="4"/>
  <c r="QJ26" i="4"/>
  <c r="QJ25" i="4"/>
  <c r="QJ23" i="4"/>
  <c r="QJ22" i="4"/>
  <c r="QJ21" i="4"/>
  <c r="QJ24" i="4"/>
  <c r="QJ20" i="4"/>
  <c r="QJ19" i="4"/>
  <c r="QJ18" i="4"/>
  <c r="QJ17" i="4"/>
  <c r="QJ15" i="4"/>
  <c r="QJ16" i="4"/>
  <c r="QJ14" i="4"/>
  <c r="QJ8" i="4"/>
  <c r="QJ13" i="4"/>
  <c r="QJ12" i="4"/>
  <c r="QJ11" i="4"/>
  <c r="QJ10" i="4"/>
  <c r="QJ9" i="4"/>
  <c r="QJ7" i="4"/>
  <c r="QI5" i="4"/>
  <c r="QI6" i="4" s="1"/>
  <c r="QI7" i="4" s="1"/>
  <c r="QI8" i="4" s="1"/>
  <c r="QI9" i="4" s="1"/>
  <c r="QI10" i="4" s="1"/>
  <c r="QI11" i="4" s="1"/>
  <c r="QI12" i="4" s="1"/>
  <c r="QI13" i="4" s="1"/>
  <c r="QI14" i="4" s="1"/>
  <c r="QI15" i="4" s="1"/>
  <c r="QI16" i="4" s="1"/>
  <c r="QI17" i="4" s="1"/>
  <c r="QI18" i="4" s="1"/>
  <c r="QI19" i="4" s="1"/>
  <c r="QI20" i="4" s="1"/>
  <c r="QI21" i="4" s="1"/>
  <c r="QI22" i="4" s="1"/>
  <c r="QI23" i="4" s="1"/>
  <c r="QI24" i="4" s="1"/>
  <c r="QI25" i="4" s="1"/>
  <c r="QI26" i="4" s="1"/>
  <c r="QI27" i="4" s="1"/>
  <c r="QI28" i="4" s="1"/>
  <c r="QI29" i="4" s="1"/>
  <c r="QI30" i="4" s="1"/>
  <c r="QI31" i="4" s="1"/>
  <c r="QI32" i="4" s="1"/>
  <c r="QI33" i="4" s="1"/>
  <c r="QI34" i="4" s="1"/>
  <c r="QI35" i="4" s="1"/>
  <c r="QI36" i="4" s="1"/>
  <c r="QI37" i="4" s="1"/>
  <c r="QI38" i="4" s="1"/>
  <c r="QI39" i="4" s="1"/>
  <c r="QI40" i="4" s="1"/>
  <c r="QJ6" i="4"/>
  <c r="QJ5" i="4"/>
  <c r="QJ4" i="4"/>
  <c r="J14" i="4"/>
  <c r="J12" i="4"/>
  <c r="CQ13" i="4"/>
  <c r="QY37" i="4"/>
  <c r="MD37" i="4"/>
  <c r="GX37" i="4"/>
  <c r="MD11" i="4"/>
  <c r="GX11" i="4"/>
  <c r="QY11" i="4"/>
  <c r="FA35" i="4"/>
  <c r="RS30" i="4"/>
  <c r="MH30" i="4"/>
  <c r="HB30" i="4"/>
  <c r="MH14" i="4"/>
  <c r="HB14" i="4"/>
  <c r="RS14" i="4"/>
  <c r="QQ30" i="4"/>
  <c r="LV30" i="4"/>
  <c r="GP30" i="4"/>
  <c r="LV10" i="4"/>
  <c r="GP10" i="4"/>
  <c r="QQ10" i="4"/>
  <c r="LR27" i="4"/>
  <c r="GL27" i="4"/>
  <c r="RC27" i="4"/>
  <c r="LR11" i="4"/>
  <c r="GL11" i="4"/>
  <c r="RC11" i="4"/>
  <c r="CQ32" i="4"/>
  <c r="TW37" i="4"/>
  <c r="OL37" i="4"/>
  <c r="JF37" i="4"/>
  <c r="SQ4" i="4"/>
  <c r="SR4" i="4" s="1"/>
  <c r="NF4" i="4"/>
  <c r="NG4" i="4" s="1"/>
  <c r="HZ4" i="4"/>
  <c r="IA4" i="4" s="1"/>
  <c r="BM4" i="3"/>
  <c r="SQ7" i="4"/>
  <c r="HZ7" i="4"/>
  <c r="NF7" i="4"/>
  <c r="NF13" i="4"/>
  <c r="HZ13" i="4"/>
  <c r="SQ13" i="4"/>
  <c r="NF14" i="4"/>
  <c r="HZ14" i="4"/>
  <c r="SQ14" i="4"/>
  <c r="SQ19" i="4"/>
  <c r="NF19" i="4"/>
  <c r="HZ19" i="4"/>
  <c r="NF23" i="4"/>
  <c r="HZ23" i="4"/>
  <c r="SQ23" i="4"/>
  <c r="NF28" i="4"/>
  <c r="HZ28" i="4"/>
  <c r="SQ28" i="4"/>
  <c r="SQ32" i="4"/>
  <c r="NF32" i="4"/>
  <c r="HZ32" i="4"/>
  <c r="SQ36" i="4"/>
  <c r="NF36" i="4"/>
  <c r="HZ36" i="4"/>
  <c r="NF40" i="4"/>
  <c r="SQ40" i="4"/>
  <c r="HZ40" i="4"/>
  <c r="PF28" i="4"/>
  <c r="JZ28" i="4"/>
  <c r="UQ28" i="4"/>
  <c r="PF11" i="4"/>
  <c r="JZ11" i="4"/>
  <c r="UQ11" i="4"/>
  <c r="N9" i="4"/>
  <c r="TW30" i="4"/>
  <c r="OL30" i="4"/>
  <c r="JF30" i="4"/>
  <c r="QD25" i="4"/>
  <c r="KX25" i="4"/>
  <c r="VK25" i="4"/>
  <c r="VK9" i="4"/>
  <c r="KX9" i="4"/>
  <c r="QD9" i="4"/>
  <c r="PW6" i="4"/>
  <c r="PW7" i="4" s="1"/>
  <c r="PW8" i="4" s="1"/>
  <c r="PW9" i="4" s="1"/>
  <c r="PW10" i="4" s="1"/>
  <c r="PW11" i="4" s="1"/>
  <c r="PW12" i="4" s="1"/>
  <c r="PW13" i="4" s="1"/>
  <c r="PW14" i="4" s="1"/>
  <c r="PW15" i="4" s="1"/>
  <c r="PW16" i="4" s="1"/>
  <c r="PW17" i="4" s="1"/>
  <c r="PW18" i="4" s="1"/>
  <c r="PW19" i="4" s="1"/>
  <c r="PW20" i="4" s="1"/>
  <c r="PW21" i="4" s="1"/>
  <c r="PW22" i="4" s="1"/>
  <c r="PW23" i="4" s="1"/>
  <c r="PW24" i="4" s="1"/>
  <c r="PW25" i="4" s="1"/>
  <c r="PW26" i="4" s="1"/>
  <c r="PW27" i="4" s="1"/>
  <c r="PW28" i="4" s="1"/>
  <c r="PW29" i="4" s="1"/>
  <c r="PW30" i="4" s="1"/>
  <c r="PW31" i="4" s="1"/>
  <c r="PW32" i="4" s="1"/>
  <c r="PW33" i="4" s="1"/>
  <c r="PW34" i="4" s="1"/>
  <c r="PW35" i="4" s="1"/>
  <c r="PW36" i="4" s="1"/>
  <c r="PW37" i="4" s="1"/>
  <c r="PW38" i="4" s="1"/>
  <c r="PW39" i="4" s="1"/>
  <c r="PW40" i="4" s="1"/>
  <c r="PX10" i="4"/>
  <c r="PX9" i="4"/>
  <c r="PX20" i="4"/>
  <c r="PX21" i="4"/>
  <c r="PX28" i="4"/>
  <c r="PX29" i="4"/>
  <c r="PX34" i="4"/>
  <c r="PX37" i="4"/>
  <c r="PX41" i="4"/>
  <c r="FA7" i="4"/>
  <c r="FB7" i="4" s="1"/>
  <c r="UI31" i="4"/>
  <c r="OX31" i="4"/>
  <c r="JR31" i="4"/>
  <c r="UI16" i="4"/>
  <c r="JR16" i="4"/>
  <c r="OX16" i="4"/>
  <c r="EW10" i="4"/>
  <c r="EW27" i="4"/>
  <c r="EW9" i="4"/>
  <c r="EW23" i="4"/>
  <c r="EW39" i="4"/>
  <c r="EW4" i="4"/>
  <c r="EX4" i="4" s="1"/>
  <c r="EW37" i="4"/>
  <c r="EW13" i="4"/>
  <c r="LJ10" i="4"/>
  <c r="GH10" i="4"/>
  <c r="RO10" i="4"/>
  <c r="OL22" i="4"/>
  <c r="JF22" i="4"/>
  <c r="TW22" i="4"/>
  <c r="FA9" i="4"/>
  <c r="FB27" i="4" s="1"/>
  <c r="FA22" i="4"/>
  <c r="QU35" i="4"/>
  <c r="LN35" i="4"/>
  <c r="FZ35" i="4"/>
  <c r="LN20" i="4"/>
  <c r="QU20" i="4"/>
  <c r="FZ20" i="4"/>
  <c r="FA25" i="4"/>
  <c r="FA4" i="4"/>
  <c r="FB13" i="4" s="1"/>
  <c r="FB11" i="4"/>
  <c r="TW24" i="4"/>
  <c r="OL24" i="4"/>
  <c r="JF24" i="4"/>
  <c r="VK31" i="4"/>
  <c r="QD31" i="4"/>
  <c r="KX31" i="4"/>
  <c r="VK15" i="4"/>
  <c r="QD15" i="4"/>
  <c r="KX15" i="4"/>
  <c r="KF42" i="4"/>
  <c r="KF41" i="4"/>
  <c r="KF40" i="4"/>
  <c r="KF39" i="4"/>
  <c r="KF38" i="4"/>
  <c r="KF37" i="4"/>
  <c r="KF36" i="4"/>
  <c r="KF35" i="4"/>
  <c r="KF34" i="4"/>
  <c r="KF33" i="4"/>
  <c r="KF32" i="4"/>
  <c r="KF31" i="4"/>
  <c r="KF30" i="4"/>
  <c r="KF29" i="4"/>
  <c r="KF27" i="4"/>
  <c r="KF26" i="4"/>
  <c r="KF25" i="4"/>
  <c r="KF28" i="4"/>
  <c r="KF23" i="4"/>
  <c r="KF22" i="4"/>
  <c r="KF21" i="4"/>
  <c r="KF24" i="4"/>
  <c r="KF20" i="4"/>
  <c r="KF19" i="4"/>
  <c r="KF18" i="4"/>
  <c r="KF17" i="4"/>
  <c r="KF16" i="4"/>
  <c r="KF15" i="4"/>
  <c r="KF14" i="4"/>
  <c r="KF8" i="4"/>
  <c r="KF13" i="4"/>
  <c r="KF12" i="4"/>
  <c r="KF11" i="4"/>
  <c r="KF10" i="4"/>
  <c r="KF9" i="4"/>
  <c r="KF7" i="4"/>
  <c r="KE5" i="4"/>
  <c r="KE6" i="4" s="1"/>
  <c r="KE7" i="4" s="1"/>
  <c r="KE8" i="4" s="1"/>
  <c r="KE9" i="4" s="1"/>
  <c r="KE10" i="4" s="1"/>
  <c r="KE11" i="4" s="1"/>
  <c r="KE12" i="4" s="1"/>
  <c r="KE13" i="4" s="1"/>
  <c r="KE14" i="4" s="1"/>
  <c r="KE15" i="4" s="1"/>
  <c r="KE16" i="4" s="1"/>
  <c r="KE17" i="4" s="1"/>
  <c r="KE18" i="4" s="1"/>
  <c r="KE19" i="4" s="1"/>
  <c r="KE20" i="4" s="1"/>
  <c r="KE21" i="4" s="1"/>
  <c r="KE22" i="4" s="1"/>
  <c r="KE23" i="4" s="1"/>
  <c r="KE24" i="4" s="1"/>
  <c r="KE25" i="4" s="1"/>
  <c r="KE26" i="4" s="1"/>
  <c r="KE27" i="4" s="1"/>
  <c r="KE28" i="4" s="1"/>
  <c r="KE29" i="4" s="1"/>
  <c r="KE30" i="4" s="1"/>
  <c r="KE31" i="4" s="1"/>
  <c r="KE32" i="4" s="1"/>
  <c r="KE33" i="4" s="1"/>
  <c r="KE34" i="4" s="1"/>
  <c r="KE35" i="4" s="1"/>
  <c r="KE36" i="4" s="1"/>
  <c r="KE37" i="4" s="1"/>
  <c r="KE38" i="4" s="1"/>
  <c r="KE39" i="4" s="1"/>
  <c r="KE40" i="4" s="1"/>
  <c r="KF6" i="4"/>
  <c r="KF5" i="4"/>
  <c r="KF4" i="4"/>
  <c r="DF7" i="4"/>
  <c r="DF11" i="4"/>
  <c r="DF15" i="4"/>
  <c r="DF19" i="4"/>
  <c r="DF23" i="4"/>
  <c r="DF27" i="4"/>
  <c r="DF31" i="4"/>
  <c r="DF35" i="4"/>
  <c r="DF39" i="4"/>
  <c r="QY33" i="4"/>
  <c r="MD33" i="4"/>
  <c r="GX33" i="4"/>
  <c r="QY9" i="4"/>
  <c r="MD9" i="4"/>
  <c r="GX9" i="4"/>
  <c r="RS37" i="4"/>
  <c r="MH37" i="4"/>
  <c r="HB37" i="4"/>
  <c r="MH21" i="4"/>
  <c r="HB21" i="4"/>
  <c r="RS21" i="4"/>
  <c r="RS5" i="4"/>
  <c r="HB5" i="4"/>
  <c r="MH5" i="4"/>
  <c r="QQ33" i="4"/>
  <c r="LV33" i="4"/>
  <c r="GP33" i="4"/>
  <c r="QQ17" i="4"/>
  <c r="LV17" i="4"/>
  <c r="GP17" i="4"/>
  <c r="LR26" i="4"/>
  <c r="GL26" i="4"/>
  <c r="RC26" i="4"/>
  <c r="LR10" i="4"/>
  <c r="GL10" i="4"/>
  <c r="RC10" i="4"/>
  <c r="RO36" i="4"/>
  <c r="LJ36" i="4"/>
  <c r="GH36" i="4"/>
  <c r="TW9" i="4"/>
  <c r="OL9" i="4"/>
  <c r="JF9" i="4"/>
  <c r="UQ36" i="4"/>
  <c r="PF36" i="4"/>
  <c r="JZ36" i="4"/>
  <c r="UQ19" i="4"/>
  <c r="JZ19" i="4"/>
  <c r="PF19" i="4"/>
  <c r="UQ7" i="4"/>
  <c r="PF7" i="4"/>
  <c r="JZ7" i="4"/>
  <c r="RO30" i="4"/>
  <c r="LJ30" i="4"/>
  <c r="GH30" i="4"/>
  <c r="CQ18" i="4"/>
  <c r="TW34" i="4"/>
  <c r="OL34" i="4"/>
  <c r="JF34" i="4"/>
  <c r="QD28" i="4"/>
  <c r="KX28" i="4"/>
  <c r="VK28" i="4"/>
  <c r="QD12" i="4"/>
  <c r="KX12" i="4"/>
  <c r="VK12" i="4"/>
  <c r="OX39" i="4"/>
  <c r="JR39" i="4"/>
  <c r="UI39" i="4"/>
  <c r="OX23" i="4"/>
  <c r="JR23" i="4"/>
  <c r="UI23" i="4"/>
  <c r="CJ42" i="3"/>
  <c r="CJ41" i="3"/>
  <c r="CJ40" i="3"/>
  <c r="CJ39" i="3"/>
  <c r="CJ38" i="3"/>
  <c r="CJ37" i="3"/>
  <c r="CJ36" i="3"/>
  <c r="CJ35" i="3"/>
  <c r="CJ34" i="3"/>
  <c r="CJ25" i="3"/>
  <c r="CJ21" i="3"/>
  <c r="CJ17" i="3"/>
  <c r="CJ16" i="3"/>
  <c r="CJ15" i="3"/>
  <c r="CJ14" i="3"/>
  <c r="CJ13" i="3"/>
  <c r="CJ12" i="3"/>
  <c r="CJ11" i="3"/>
  <c r="CJ10" i="3"/>
  <c r="CJ9" i="3"/>
  <c r="CJ8" i="3"/>
  <c r="CJ7" i="3"/>
  <c r="CJ6" i="3"/>
  <c r="CJ32" i="3"/>
  <c r="CJ30" i="3"/>
  <c r="CJ26" i="3"/>
  <c r="CJ22" i="3"/>
  <c r="CJ18" i="3"/>
  <c r="CJ27" i="3"/>
  <c r="CJ23" i="3"/>
  <c r="CJ19" i="3"/>
  <c r="CJ5" i="3"/>
  <c r="CJ4" i="3"/>
  <c r="CJ33" i="3"/>
  <c r="CJ31" i="3"/>
  <c r="CJ29" i="3"/>
  <c r="CJ28" i="3"/>
  <c r="CJ24" i="3"/>
  <c r="CJ20" i="3"/>
  <c r="CI5" i="3"/>
  <c r="CI6" i="3" s="1"/>
  <c r="CI7" i="3" s="1"/>
  <c r="CI8" i="3" s="1"/>
  <c r="CI9" i="3" s="1"/>
  <c r="CI10" i="3" s="1"/>
  <c r="CI11" i="3" s="1"/>
  <c r="CI12" i="3" s="1"/>
  <c r="CI13" i="3" s="1"/>
  <c r="CI14" i="3" s="1"/>
  <c r="CI15" i="3" s="1"/>
  <c r="CI16" i="3" s="1"/>
  <c r="CI17" i="3" s="1"/>
  <c r="CI18" i="3" s="1"/>
  <c r="CI19" i="3" s="1"/>
  <c r="CI20" i="3" s="1"/>
  <c r="CI21" i="3" s="1"/>
  <c r="CI22" i="3" s="1"/>
  <c r="CI23" i="3" s="1"/>
  <c r="CI24" i="3" s="1"/>
  <c r="CI25" i="3" s="1"/>
  <c r="CI26" i="3" s="1"/>
  <c r="CI27" i="3" s="1"/>
  <c r="CI28" i="3" s="1"/>
  <c r="CI29" i="3" s="1"/>
  <c r="CI30" i="3" s="1"/>
  <c r="CI31" i="3" s="1"/>
  <c r="CI32" i="3" s="1"/>
  <c r="CI33" i="3" s="1"/>
  <c r="CI34" i="3" s="1"/>
  <c r="CI35" i="3" s="1"/>
  <c r="CI36" i="3" s="1"/>
  <c r="CI37" i="3" s="1"/>
  <c r="CI38" i="3" s="1"/>
  <c r="CI39" i="3" s="1"/>
  <c r="CI40" i="3" s="1"/>
  <c r="CI41" i="3" s="1"/>
  <c r="CI42" i="3" s="1"/>
  <c r="FA16" i="4"/>
  <c r="RW4" i="4"/>
  <c r="RX4" i="4" s="1"/>
  <c r="ML4" i="4"/>
  <c r="MM4" i="4" s="1"/>
  <c r="HF4" i="4"/>
  <c r="HG4" i="4" s="1"/>
  <c r="BC4" i="3"/>
  <c r="BC13" i="4"/>
  <c r="BC15" i="4"/>
  <c r="BC18" i="4"/>
  <c r="BC22" i="4"/>
  <c r="BC27" i="4"/>
  <c r="BC31" i="4"/>
  <c r="BC35" i="4"/>
  <c r="BC39" i="4"/>
  <c r="BR5" i="4"/>
  <c r="BR9" i="4"/>
  <c r="BR13" i="4"/>
  <c r="BR17" i="4"/>
  <c r="BR21" i="4"/>
  <c r="BR25" i="4"/>
  <c r="BR29" i="4"/>
  <c r="BR33" i="4"/>
  <c r="BR37" i="4"/>
  <c r="LN39" i="4"/>
  <c r="FZ39" i="4"/>
  <c r="QU39" i="4"/>
  <c r="LN21" i="4"/>
  <c r="FZ21" i="4"/>
  <c r="QU21" i="4"/>
  <c r="QU6" i="4"/>
  <c r="LN6" i="4"/>
  <c r="FZ6" i="4"/>
  <c r="KV42" i="4"/>
  <c r="KV41" i="4"/>
  <c r="KV40" i="4"/>
  <c r="KV39" i="4"/>
  <c r="KV38" i="4"/>
  <c r="KV37" i="4"/>
  <c r="KV36" i="4"/>
  <c r="KV35" i="4"/>
  <c r="KV34" i="4"/>
  <c r="KV33" i="4"/>
  <c r="KV32" i="4"/>
  <c r="KV31" i="4"/>
  <c r="KV30" i="4"/>
  <c r="KV29" i="4"/>
  <c r="KV27" i="4"/>
  <c r="KV26" i="4"/>
  <c r="KV25" i="4"/>
  <c r="KV28" i="4"/>
  <c r="KV23" i="4"/>
  <c r="KV22" i="4"/>
  <c r="KV21" i="4"/>
  <c r="KV24" i="4"/>
  <c r="KV20" i="4"/>
  <c r="KV19" i="4"/>
  <c r="KV18" i="4"/>
  <c r="KV17" i="4"/>
  <c r="KV16" i="4"/>
  <c r="KV15" i="4"/>
  <c r="KV14" i="4"/>
  <c r="KV8" i="4"/>
  <c r="KV13" i="4"/>
  <c r="KV12" i="4"/>
  <c r="KV11" i="4"/>
  <c r="KV10" i="4"/>
  <c r="KV9" i="4"/>
  <c r="KV7" i="4"/>
  <c r="KU5" i="4"/>
  <c r="KU6" i="4" s="1"/>
  <c r="KU7" i="4" s="1"/>
  <c r="KU8" i="4" s="1"/>
  <c r="KU9" i="4" s="1"/>
  <c r="KU10" i="4" s="1"/>
  <c r="KU11" i="4" s="1"/>
  <c r="KU12" i="4" s="1"/>
  <c r="KU13" i="4" s="1"/>
  <c r="KU14" i="4" s="1"/>
  <c r="KU15" i="4" s="1"/>
  <c r="KU16" i="4" s="1"/>
  <c r="KU17" i="4" s="1"/>
  <c r="KU18" i="4" s="1"/>
  <c r="KU19" i="4" s="1"/>
  <c r="KU20" i="4" s="1"/>
  <c r="KU21" i="4" s="1"/>
  <c r="KU22" i="4" s="1"/>
  <c r="KU23" i="4" s="1"/>
  <c r="KU24" i="4" s="1"/>
  <c r="KU25" i="4" s="1"/>
  <c r="KU26" i="4" s="1"/>
  <c r="KU27" i="4" s="1"/>
  <c r="KU28" i="4" s="1"/>
  <c r="KU29" i="4" s="1"/>
  <c r="KU30" i="4" s="1"/>
  <c r="KU31" i="4" s="1"/>
  <c r="KU32" i="4" s="1"/>
  <c r="KU33" i="4" s="1"/>
  <c r="KU34" i="4" s="1"/>
  <c r="KU35" i="4" s="1"/>
  <c r="KU36" i="4" s="1"/>
  <c r="KU37" i="4" s="1"/>
  <c r="KU38" i="4" s="1"/>
  <c r="KU39" i="4" s="1"/>
  <c r="KU40" i="4" s="1"/>
  <c r="KV6" i="4"/>
  <c r="KV5" i="4"/>
  <c r="KV4" i="4"/>
  <c r="LJ39" i="4"/>
  <c r="GH39" i="4"/>
  <c r="RO39" i="4"/>
  <c r="MD26" i="4"/>
  <c r="GX26" i="4"/>
  <c r="QY26" i="4"/>
  <c r="QY35" i="4"/>
  <c r="MD35" i="4"/>
  <c r="GX35" i="4"/>
  <c r="QY6" i="4"/>
  <c r="MD6" i="4"/>
  <c r="GX6" i="4"/>
  <c r="RS16" i="4"/>
  <c r="MH16" i="4"/>
  <c r="HB16" i="4"/>
  <c r="CQ23" i="4"/>
  <c r="EJ6" i="4"/>
  <c r="EJ11" i="4"/>
  <c r="EJ14" i="4"/>
  <c r="EJ19" i="4"/>
  <c r="EJ24" i="4"/>
  <c r="EJ26" i="4"/>
  <c r="EJ30" i="4"/>
  <c r="EJ34" i="4"/>
  <c r="EJ38" i="4"/>
  <c r="OL20" i="4"/>
  <c r="JF20" i="4"/>
  <c r="TW20" i="4"/>
  <c r="QV5" i="4"/>
  <c r="QV6" i="4" s="1"/>
  <c r="QQ9" i="4"/>
  <c r="GP9" i="4"/>
  <c r="LV9" i="4"/>
  <c r="CJ6" i="4"/>
  <c r="CJ20" i="4"/>
  <c r="CJ32" i="4"/>
  <c r="QQ36" i="4"/>
  <c r="LV36" i="4"/>
  <c r="GP36" i="4"/>
  <c r="QQ5" i="4"/>
  <c r="QR5" i="4" s="1"/>
  <c r="LV5" i="4"/>
  <c r="LW5" i="4" s="1"/>
  <c r="GP5" i="4"/>
  <c r="GQ5" i="4" s="1"/>
  <c r="CJ7" i="4"/>
  <c r="CJ15" i="4"/>
  <c r="CJ22" i="4"/>
  <c r="CJ31" i="4"/>
  <c r="CJ40" i="4"/>
  <c r="OL14" i="4"/>
  <c r="JF14" i="4"/>
  <c r="TW14" i="4"/>
  <c r="SM7" i="4"/>
  <c r="NB7" i="4"/>
  <c r="HV7" i="4"/>
  <c r="NB20" i="4"/>
  <c r="HV20" i="4"/>
  <c r="SM20" i="4"/>
  <c r="MH40" i="4"/>
  <c r="HB40" i="4"/>
  <c r="RS40" i="4"/>
  <c r="RS4" i="4"/>
  <c r="RT4" i="4" s="1"/>
  <c r="HB4" i="4"/>
  <c r="HC4" i="4" s="1"/>
  <c r="MH4" i="4"/>
  <c r="MI4" i="4" s="1"/>
  <c r="BA4" i="3"/>
  <c r="QQ32" i="4"/>
  <c r="LV32" i="4"/>
  <c r="GP32" i="4"/>
  <c r="QQ16" i="4"/>
  <c r="GP16" i="4"/>
  <c r="LV16" i="4"/>
  <c r="CJ4" i="4"/>
  <c r="CK4" i="4" s="1"/>
  <c r="CJ9" i="4"/>
  <c r="CJ10" i="4"/>
  <c r="CJ16" i="4"/>
  <c r="CJ19" i="4"/>
  <c r="CJ23" i="4"/>
  <c r="CJ29" i="4"/>
  <c r="CJ33" i="4"/>
  <c r="TW33" i="4"/>
  <c r="OL33" i="4"/>
  <c r="JF33" i="4"/>
  <c r="SM4" i="4"/>
  <c r="SN4" i="4" s="1"/>
  <c r="NB4" i="4"/>
  <c r="NC4" i="4" s="1"/>
  <c r="HV4" i="4"/>
  <c r="HW4" i="4" s="1"/>
  <c r="BK4" i="3"/>
  <c r="BW11" i="4"/>
  <c r="BW16" i="4"/>
  <c r="BW18" i="4"/>
  <c r="BW23" i="4"/>
  <c r="BW27" i="4"/>
  <c r="BW31" i="4"/>
  <c r="BW35" i="4"/>
  <c r="BW39" i="4"/>
  <c r="CQ39" i="4"/>
  <c r="CQ24" i="4"/>
  <c r="CQ12" i="4"/>
  <c r="CQ37" i="4"/>
  <c r="CQ26" i="4"/>
  <c r="FA34" i="4"/>
  <c r="MD38" i="4"/>
  <c r="QY38" i="4"/>
  <c r="GX38" i="4"/>
  <c r="QY8" i="4"/>
  <c r="GX8" i="4"/>
  <c r="MD8" i="4"/>
  <c r="QY19" i="4"/>
  <c r="GX19" i="4"/>
  <c r="MD19" i="4"/>
  <c r="RS31" i="4"/>
  <c r="HB31" i="4"/>
  <c r="MH31" i="4"/>
  <c r="RS15" i="4"/>
  <c r="MH15" i="4"/>
  <c r="HB15" i="4"/>
  <c r="LV39" i="4"/>
  <c r="GP39" i="4"/>
  <c r="QQ39" i="4"/>
  <c r="LV22" i="4"/>
  <c r="GP22" i="4"/>
  <c r="QQ22" i="4"/>
  <c r="AV42" i="3"/>
  <c r="AV41" i="3"/>
  <c r="AV38" i="3"/>
  <c r="AV37" i="3"/>
  <c r="AV34" i="3"/>
  <c r="AV25" i="3"/>
  <c r="AV16" i="3"/>
  <c r="AV15" i="3"/>
  <c r="AV12" i="3"/>
  <c r="AV11" i="3"/>
  <c r="AV8" i="3"/>
  <c r="AV7" i="3"/>
  <c r="AV31" i="3"/>
  <c r="AV29" i="3"/>
  <c r="AV18" i="3"/>
  <c r="AV27" i="3"/>
  <c r="AV5" i="3"/>
  <c r="AV4" i="3"/>
  <c r="AV28" i="3"/>
  <c r="AV24" i="3"/>
  <c r="AU5" i="3"/>
  <c r="AU6" i="3" s="1"/>
  <c r="AU7" i="3" s="1"/>
  <c r="AU8" i="3" s="1"/>
  <c r="AU9" i="3" s="1"/>
  <c r="AU10" i="3" s="1"/>
  <c r="AU11" i="3" s="1"/>
  <c r="AU12" i="3" s="1"/>
  <c r="AU13" i="3" s="1"/>
  <c r="AU14" i="3" s="1"/>
  <c r="AU15" i="3" s="1"/>
  <c r="AU16" i="3" s="1"/>
  <c r="AU17" i="3" s="1"/>
  <c r="AU18" i="3" s="1"/>
  <c r="AU19" i="3" s="1"/>
  <c r="AU20" i="3" s="1"/>
  <c r="AU21" i="3" s="1"/>
  <c r="AU22" i="3" s="1"/>
  <c r="AU23" i="3" s="1"/>
  <c r="AU24" i="3" s="1"/>
  <c r="AU25" i="3" s="1"/>
  <c r="AU26" i="3" s="1"/>
  <c r="AU27" i="3" s="1"/>
  <c r="AU28" i="3" s="1"/>
  <c r="AU29" i="3" s="1"/>
  <c r="AU30" i="3" s="1"/>
  <c r="AU31" i="3" s="1"/>
  <c r="AU32" i="3" s="1"/>
  <c r="AU33" i="3" s="1"/>
  <c r="AU34" i="3" s="1"/>
  <c r="AU35" i="3" s="1"/>
  <c r="AU36" i="3" s="1"/>
  <c r="AU37" i="3" s="1"/>
  <c r="AU38" i="3" s="1"/>
  <c r="AU39" i="3" s="1"/>
  <c r="AU40" i="3" s="1"/>
  <c r="AU41" i="3" s="1"/>
  <c r="AU42" i="3" s="1"/>
  <c r="FA32" i="4"/>
  <c r="RD5" i="4"/>
  <c r="J25" i="4"/>
  <c r="TW31" i="4"/>
  <c r="OL31" i="4"/>
  <c r="JF31" i="4"/>
  <c r="KB42" i="4"/>
  <c r="KB41" i="4"/>
  <c r="KB40" i="4"/>
  <c r="KB39" i="4"/>
  <c r="KB38" i="4"/>
  <c r="KB37" i="4"/>
  <c r="KB36" i="4"/>
  <c r="KB35" i="4"/>
  <c r="KB34" i="4"/>
  <c r="KB33" i="4"/>
  <c r="KB31" i="4"/>
  <c r="KB30" i="4"/>
  <c r="KB32" i="4"/>
  <c r="KB29" i="4"/>
  <c r="KB28" i="4"/>
  <c r="KB27" i="4"/>
  <c r="KB26" i="4"/>
  <c r="KB25" i="4"/>
  <c r="KB24" i="4"/>
  <c r="KB23" i="4"/>
  <c r="KB22" i="4"/>
  <c r="KB21" i="4"/>
  <c r="KB18" i="4"/>
  <c r="KB20" i="4"/>
  <c r="KB19" i="4"/>
  <c r="KB16" i="4"/>
  <c r="KB17" i="4"/>
  <c r="KB15" i="4"/>
  <c r="KB8" i="4"/>
  <c r="KB14" i="4"/>
  <c r="KB13" i="4"/>
  <c r="KB12" i="4"/>
  <c r="KB11" i="4"/>
  <c r="KB10" i="4"/>
  <c r="KB9" i="4"/>
  <c r="KB7" i="4"/>
  <c r="KB5" i="4"/>
  <c r="KB4" i="4"/>
  <c r="KB6" i="4"/>
  <c r="KA5" i="4"/>
  <c r="KA6" i="4" s="1"/>
  <c r="KA7" i="4" s="1"/>
  <c r="VQ40" i="4"/>
  <c r="VQ39" i="4"/>
  <c r="VQ38" i="4"/>
  <c r="VQ37" i="4"/>
  <c r="VQ34" i="4"/>
  <c r="VQ36" i="4"/>
  <c r="VQ35" i="4"/>
  <c r="VQ33" i="4"/>
  <c r="VQ29" i="4"/>
  <c r="VQ28" i="4"/>
  <c r="VQ32" i="4"/>
  <c r="VQ31" i="4"/>
  <c r="VQ30" i="4"/>
  <c r="VQ27" i="4"/>
  <c r="VQ26" i="4"/>
  <c r="VQ24" i="4"/>
  <c r="VQ22" i="4"/>
  <c r="VQ21" i="4"/>
  <c r="VQ25" i="4"/>
  <c r="VQ23" i="4"/>
  <c r="VQ18" i="4"/>
  <c r="VQ17" i="4"/>
  <c r="VQ20" i="4"/>
  <c r="VQ19" i="4"/>
  <c r="VQ15" i="4"/>
  <c r="VQ14" i="4"/>
  <c r="VQ13" i="4"/>
  <c r="VQ16" i="4"/>
  <c r="VQ9" i="4"/>
  <c r="VQ12" i="4"/>
  <c r="VQ11" i="4"/>
  <c r="VQ10" i="4"/>
  <c r="VQ8" i="4"/>
  <c r="VQ6" i="4"/>
  <c r="VQ5" i="4"/>
  <c r="VQ4" i="4"/>
  <c r="VQ7" i="4"/>
  <c r="VP5" i="4"/>
  <c r="VP6" i="4" s="1"/>
  <c r="VP7" i="4" s="1"/>
  <c r="VP8" i="4" s="1"/>
  <c r="VP9" i="4" s="1"/>
  <c r="VP10" i="4" s="1"/>
  <c r="VP11" i="4" s="1"/>
  <c r="VP12" i="4" s="1"/>
  <c r="VP13" i="4" s="1"/>
  <c r="VP14" i="4" s="1"/>
  <c r="VP15" i="4" s="1"/>
  <c r="VP16" i="4" s="1"/>
  <c r="VP17" i="4" s="1"/>
  <c r="VP18" i="4" s="1"/>
  <c r="VP19" i="4" s="1"/>
  <c r="VP20" i="4" s="1"/>
  <c r="VP21" i="4" s="1"/>
  <c r="VP22" i="4" s="1"/>
  <c r="VP23" i="4" s="1"/>
  <c r="VP24" i="4" s="1"/>
  <c r="VP25" i="4" s="1"/>
  <c r="VP26" i="4" s="1"/>
  <c r="VP27" i="4" s="1"/>
  <c r="VP28" i="4" s="1"/>
  <c r="VP29" i="4" s="1"/>
  <c r="VP30" i="4" s="1"/>
  <c r="VP31" i="4" s="1"/>
  <c r="VP32" i="4" s="1"/>
  <c r="VP33" i="4" s="1"/>
  <c r="VP34" i="4" s="1"/>
  <c r="VP35" i="4" s="1"/>
  <c r="VP36" i="4" s="1"/>
  <c r="VP37" i="4" s="1"/>
  <c r="VP38" i="4" s="1"/>
  <c r="VP39" i="4" s="1"/>
  <c r="VP40" i="4" s="1"/>
  <c r="J16" i="4"/>
  <c r="J27" i="4"/>
  <c r="J13" i="4"/>
  <c r="J15" i="4"/>
  <c r="J40" i="4"/>
  <c r="J30" i="4"/>
  <c r="J28" i="4"/>
  <c r="J18" i="4"/>
  <c r="CQ36" i="4"/>
  <c r="QY24" i="4"/>
  <c r="MD24" i="4"/>
  <c r="GX24" i="4"/>
  <c r="QY31" i="4"/>
  <c r="GX31" i="4"/>
  <c r="MD31" i="4"/>
  <c r="MH26" i="4"/>
  <c r="HB26" i="4"/>
  <c r="RS26" i="4"/>
  <c r="MH10" i="4"/>
  <c r="HB10" i="4"/>
  <c r="RS10" i="4"/>
  <c r="LV26" i="4"/>
  <c r="GP26" i="4"/>
  <c r="QQ26" i="4"/>
  <c r="LV12" i="4"/>
  <c r="GP12" i="4"/>
  <c r="QQ12" i="4"/>
  <c r="LR39" i="4"/>
  <c r="GL39" i="4"/>
  <c r="RC39" i="4"/>
  <c r="LR23" i="4"/>
  <c r="GL23" i="4"/>
  <c r="RC23" i="4"/>
  <c r="RC7" i="4"/>
  <c r="LR7" i="4"/>
  <c r="GL7" i="4"/>
  <c r="CQ17" i="4"/>
  <c r="CB5" i="4"/>
  <c r="CB10" i="4"/>
  <c r="CB9" i="4"/>
  <c r="CB15" i="4"/>
  <c r="CB21" i="4"/>
  <c r="CB26" i="4"/>
  <c r="CB30" i="4"/>
  <c r="CB31" i="4"/>
  <c r="CB37" i="4"/>
  <c r="PF39" i="4"/>
  <c r="JZ39" i="4"/>
  <c r="UQ39" i="4"/>
  <c r="PF23" i="4"/>
  <c r="JZ23" i="4"/>
  <c r="UQ23" i="4"/>
  <c r="UQ8" i="4"/>
  <c r="JZ8" i="4"/>
  <c r="PF8" i="4"/>
  <c r="RO8" i="4"/>
  <c r="GH8" i="4"/>
  <c r="LJ8" i="4"/>
  <c r="CQ28" i="4"/>
  <c r="VK37" i="4"/>
  <c r="QD37" i="4"/>
  <c r="KX37" i="4"/>
  <c r="QD21" i="4"/>
  <c r="KX21" i="4"/>
  <c r="VK21" i="4"/>
  <c r="VK5" i="4"/>
  <c r="QD5" i="4"/>
  <c r="KX5" i="4"/>
  <c r="PX4" i="4"/>
  <c r="PX11" i="4"/>
  <c r="PX16" i="4"/>
  <c r="PX17" i="4"/>
  <c r="PX22" i="4"/>
  <c r="PX25" i="4"/>
  <c r="PX32" i="4"/>
  <c r="PX33" i="4"/>
  <c r="PX38" i="4"/>
  <c r="PX42" i="4"/>
  <c r="FA18" i="4"/>
  <c r="FB28" i="4" s="1"/>
  <c r="FA10" i="4"/>
  <c r="FB15" i="4" s="1"/>
  <c r="OX28" i="4"/>
  <c r="JR28" i="4"/>
  <c r="UI28" i="4"/>
  <c r="OX12" i="4"/>
  <c r="JR12" i="4"/>
  <c r="UI12" i="4"/>
  <c r="EW14" i="4"/>
  <c r="EW29" i="4"/>
  <c r="EW11" i="4"/>
  <c r="EW28" i="4"/>
  <c r="EW8" i="4"/>
  <c r="EW25" i="4"/>
  <c r="EW18" i="4"/>
  <c r="AE69" i="3"/>
  <c r="AF69" i="3" s="1"/>
  <c r="LJ26" i="4"/>
  <c r="GH26" i="4"/>
  <c r="RO26" i="4"/>
  <c r="OL39" i="4"/>
  <c r="JF39" i="4"/>
  <c r="TW39" i="4"/>
  <c r="QU32" i="4"/>
  <c r="LN32" i="4"/>
  <c r="FZ32" i="4"/>
  <c r="QU15" i="4"/>
  <c r="LN15" i="4"/>
  <c r="FZ15" i="4"/>
  <c r="TW7" i="4"/>
  <c r="JF7" i="4"/>
  <c r="OL7" i="4"/>
  <c r="FA31" i="4"/>
  <c r="FB8" i="4"/>
  <c r="FB12" i="4"/>
  <c r="FB16" i="4"/>
  <c r="FB20" i="4"/>
  <c r="FB32" i="4"/>
  <c r="CQ35" i="4"/>
  <c r="OL38" i="4"/>
  <c r="JF38" i="4"/>
  <c r="TW38" i="4"/>
  <c r="QD27" i="4"/>
  <c r="KX27" i="4"/>
  <c r="VK27" i="4"/>
  <c r="QD11" i="4"/>
  <c r="KX11" i="4"/>
  <c r="VK11" i="4"/>
  <c r="UW40" i="4"/>
  <c r="UW39" i="4"/>
  <c r="UW38" i="4"/>
  <c r="UW37" i="4"/>
  <c r="UW36" i="4"/>
  <c r="UW35" i="4"/>
  <c r="UW34" i="4"/>
  <c r="UW33" i="4"/>
  <c r="UW32" i="4"/>
  <c r="UW31" i="4"/>
  <c r="UW29" i="4"/>
  <c r="UW30" i="4"/>
  <c r="UW28" i="4"/>
  <c r="UW27" i="4"/>
  <c r="UW26" i="4"/>
  <c r="UW23" i="4"/>
  <c r="UW22" i="4"/>
  <c r="UW21" i="4"/>
  <c r="UW25" i="4"/>
  <c r="UW24" i="4"/>
  <c r="UW19" i="4"/>
  <c r="UW18" i="4"/>
  <c r="UW17" i="4"/>
  <c r="UW20" i="4"/>
  <c r="UW15" i="4"/>
  <c r="UW16" i="4"/>
  <c r="UW14" i="4"/>
  <c r="UW13" i="4"/>
  <c r="UW12" i="4"/>
  <c r="UW11" i="4"/>
  <c r="UW10" i="4"/>
  <c r="UW8" i="4"/>
  <c r="UW9" i="4"/>
  <c r="UW7" i="4"/>
  <c r="UW5" i="4"/>
  <c r="UW4" i="4"/>
  <c r="UW6" i="4"/>
  <c r="UV5" i="4"/>
  <c r="UV6" i="4" s="1"/>
  <c r="UV7" i="4" s="1"/>
  <c r="UV8" i="4" s="1"/>
  <c r="UV9" i="4" s="1"/>
  <c r="UV10" i="4" s="1"/>
  <c r="UV11" i="4" s="1"/>
  <c r="UV12" i="4" s="1"/>
  <c r="UV13" i="4" s="1"/>
  <c r="UV14" i="4" s="1"/>
  <c r="UV15" i="4" s="1"/>
  <c r="UV16" i="4" s="1"/>
  <c r="UV17" i="4" s="1"/>
  <c r="UV18" i="4" s="1"/>
  <c r="UV19" i="4" s="1"/>
  <c r="UV20" i="4" s="1"/>
  <c r="UV21" i="4" s="1"/>
  <c r="UV22" i="4" s="1"/>
  <c r="UV23" i="4" s="1"/>
  <c r="UV24" i="4" s="1"/>
  <c r="UV25" i="4" s="1"/>
  <c r="UV26" i="4" s="1"/>
  <c r="UV27" i="4" s="1"/>
  <c r="UV28" i="4" s="1"/>
  <c r="UV29" i="4" s="1"/>
  <c r="UV30" i="4" s="1"/>
  <c r="UV31" i="4" s="1"/>
  <c r="UV32" i="4" s="1"/>
  <c r="UV33" i="4" s="1"/>
  <c r="UV34" i="4" s="1"/>
  <c r="UV35" i="4" s="1"/>
  <c r="UV36" i="4" s="1"/>
  <c r="UV37" i="4" s="1"/>
  <c r="UV38" i="4" s="1"/>
  <c r="UV39" i="4" s="1"/>
  <c r="UV40" i="4" s="1"/>
  <c r="DF4" i="4"/>
  <c r="DF8" i="4"/>
  <c r="DF12" i="4"/>
  <c r="DF16" i="4"/>
  <c r="DF20" i="4"/>
  <c r="DF24" i="4"/>
  <c r="DF28" i="4"/>
  <c r="DF32" i="4"/>
  <c r="DF36" i="4"/>
  <c r="DF40" i="4"/>
  <c r="BI21" i="2"/>
  <c r="BJ21" i="2" s="1"/>
  <c r="BI7" i="2"/>
  <c r="BJ7" i="2" s="1"/>
  <c r="BI43" i="2"/>
  <c r="BJ43" i="2" s="1"/>
  <c r="BI40" i="2"/>
  <c r="BJ40" i="2" s="1"/>
  <c r="BI28" i="2"/>
  <c r="BJ28" i="2" s="1"/>
  <c r="BI20" i="2"/>
  <c r="BJ20" i="2" s="1"/>
  <c r="BI52" i="2"/>
  <c r="BJ52" i="2" s="1"/>
  <c r="BI51" i="2"/>
  <c r="BJ51" i="2" s="1"/>
  <c r="BI49" i="2"/>
  <c r="BJ49" i="2" s="1"/>
  <c r="BI46" i="2"/>
  <c r="BJ46" i="2" s="1"/>
  <c r="BI45" i="2"/>
  <c r="BJ45" i="2" s="1"/>
  <c r="BI44" i="2"/>
  <c r="BJ44" i="2" s="1"/>
  <c r="BI42" i="2"/>
  <c r="BJ42" i="2" s="1"/>
  <c r="BI36" i="2"/>
  <c r="BJ36" i="2" s="1"/>
  <c r="BI24" i="2"/>
  <c r="BJ24" i="2" s="1"/>
  <c r="BI5" i="2"/>
  <c r="BJ5" i="2" s="1"/>
  <c r="BI39" i="2"/>
  <c r="BJ39" i="2" s="1"/>
  <c r="BI35" i="2"/>
  <c r="BJ35" i="2" s="1"/>
  <c r="BI31" i="2"/>
  <c r="BJ31" i="2" s="1"/>
  <c r="BI27" i="2"/>
  <c r="BJ27" i="2" s="1"/>
  <c r="BI23" i="2"/>
  <c r="BJ23" i="2" s="1"/>
  <c r="BI19" i="2"/>
  <c r="BJ19" i="2" s="1"/>
  <c r="BI15" i="2"/>
  <c r="BJ15" i="2" s="1"/>
  <c r="BI10" i="2"/>
  <c r="BJ10" i="2" s="1"/>
  <c r="BI38" i="2"/>
  <c r="BJ38" i="2" s="1"/>
  <c r="BI34" i="2"/>
  <c r="BJ34" i="2" s="1"/>
  <c r="BI30" i="2"/>
  <c r="BJ30" i="2" s="1"/>
  <c r="BI26" i="2"/>
  <c r="BJ26" i="2" s="1"/>
  <c r="BI22" i="2"/>
  <c r="BJ22" i="2" s="1"/>
  <c r="BI18" i="2"/>
  <c r="BJ18" i="2" s="1"/>
  <c r="BI14" i="2"/>
  <c r="BJ14" i="2" s="1"/>
  <c r="BI9" i="2"/>
  <c r="BJ9" i="2" s="1"/>
  <c r="BI41" i="2"/>
  <c r="BJ41" i="2" s="1"/>
  <c r="BI37" i="2"/>
  <c r="BJ37" i="2" s="1"/>
  <c r="BI33" i="2"/>
  <c r="BJ33" i="2" s="1"/>
  <c r="BI29" i="2"/>
  <c r="BJ29" i="2" s="1"/>
  <c r="BI25" i="2"/>
  <c r="BJ25" i="2" s="1"/>
  <c r="BI17" i="2"/>
  <c r="BJ17" i="2" s="1"/>
  <c r="BI13" i="2"/>
  <c r="BJ13" i="2" s="1"/>
  <c r="BI12" i="2"/>
  <c r="BJ12" i="2" s="1"/>
  <c r="BI8" i="2"/>
  <c r="BJ8" i="2" s="1"/>
  <c r="BI53" i="2"/>
  <c r="BJ53" i="2" s="1"/>
  <c r="BI50" i="2"/>
  <c r="BJ50" i="2" s="1"/>
  <c r="BI48" i="2"/>
  <c r="BJ48" i="2" s="1"/>
  <c r="BI47" i="2"/>
  <c r="BJ47" i="2" s="1"/>
  <c r="BI32" i="2"/>
  <c r="BJ32" i="2" s="1"/>
  <c r="BI16" i="2"/>
  <c r="BJ16" i="2" s="1"/>
  <c r="BI11" i="2"/>
  <c r="BJ11" i="2" s="1"/>
  <c r="BI6" i="2"/>
  <c r="BJ6" i="2" s="1"/>
  <c r="QY17" i="4"/>
  <c r="MD17" i="4"/>
  <c r="GX17" i="4"/>
  <c r="MD27" i="4"/>
  <c r="GX27" i="4"/>
  <c r="QY27" i="4"/>
  <c r="RS33" i="4"/>
  <c r="MH33" i="4"/>
  <c r="HB33" i="4"/>
  <c r="RS17" i="4"/>
  <c r="MH17" i="4"/>
  <c r="HB17" i="4"/>
  <c r="FA30" i="4"/>
  <c r="QQ29" i="4"/>
  <c r="LV29" i="4"/>
  <c r="GP29" i="4"/>
  <c r="QQ8" i="4"/>
  <c r="LV8" i="4"/>
  <c r="GP8" i="4"/>
  <c r="LR38" i="4"/>
  <c r="RC38" i="4"/>
  <c r="GL38" i="4"/>
  <c r="LR22" i="4"/>
  <c r="GL22" i="4"/>
  <c r="RC22" i="4"/>
  <c r="RC6" i="4"/>
  <c r="LR6" i="4"/>
  <c r="GL6" i="4"/>
  <c r="J38" i="4"/>
  <c r="OL25" i="4"/>
  <c r="JF25" i="4"/>
  <c r="TW25" i="4"/>
  <c r="UQ32" i="4"/>
  <c r="PF32" i="4"/>
  <c r="JZ32" i="4"/>
  <c r="PF14" i="4"/>
  <c r="JZ14" i="4"/>
  <c r="UQ14" i="4"/>
  <c r="CQ6" i="4"/>
  <c r="QD40" i="4"/>
  <c r="KX40" i="4"/>
  <c r="VK40" i="4"/>
  <c r="VK24" i="4"/>
  <c r="KX24" i="4"/>
  <c r="QD24" i="4"/>
  <c r="VK8" i="4"/>
  <c r="QD8" i="4"/>
  <c r="KX8" i="4"/>
  <c r="DB25" i="3"/>
  <c r="DB9" i="3"/>
  <c r="DB13" i="3"/>
  <c r="DB20" i="3"/>
  <c r="DB23" i="3"/>
  <c r="DB18" i="3"/>
  <c r="DB29" i="3"/>
  <c r="DB33" i="3"/>
  <c r="DB37" i="3"/>
  <c r="DB41" i="3"/>
  <c r="UI35" i="4"/>
  <c r="OX35" i="4"/>
  <c r="JR35" i="4"/>
  <c r="UI18" i="4"/>
  <c r="OX18" i="4"/>
  <c r="JR18" i="4"/>
  <c r="JT42" i="4"/>
  <c r="JT41" i="4"/>
  <c r="JT40" i="4"/>
  <c r="JT39" i="4"/>
  <c r="JT38" i="4"/>
  <c r="JT37" i="4"/>
  <c r="JT36" i="4"/>
  <c r="JT35" i="4"/>
  <c r="JT34" i="4"/>
  <c r="JT33" i="4"/>
  <c r="JT31" i="4"/>
  <c r="JT30" i="4"/>
  <c r="JT32" i="4"/>
  <c r="JT29" i="4"/>
  <c r="JT28" i="4"/>
  <c r="JT27" i="4"/>
  <c r="JT26" i="4"/>
  <c r="JT25" i="4"/>
  <c r="JT24" i="4"/>
  <c r="JT23" i="4"/>
  <c r="JT22" i="4"/>
  <c r="JT21" i="4"/>
  <c r="JT19" i="4"/>
  <c r="JT18" i="4"/>
  <c r="JT20" i="4"/>
  <c r="JT17" i="4"/>
  <c r="JT15" i="4"/>
  <c r="JT16" i="4"/>
  <c r="JT9" i="4"/>
  <c r="JT13" i="4"/>
  <c r="JT12" i="4"/>
  <c r="JT11" i="4"/>
  <c r="JT10" i="4"/>
  <c r="JT8" i="4"/>
  <c r="JT14" i="4"/>
  <c r="JT5" i="4"/>
  <c r="JT4" i="4"/>
  <c r="JS5" i="4"/>
  <c r="JS6" i="4" s="1"/>
  <c r="JS7" i="4" s="1"/>
  <c r="JS8" i="4" s="1"/>
  <c r="JS9" i="4" s="1"/>
  <c r="JS10" i="4" s="1"/>
  <c r="JS11" i="4" s="1"/>
  <c r="JS12" i="4" s="1"/>
  <c r="JS13" i="4" s="1"/>
  <c r="JS14" i="4" s="1"/>
  <c r="JS15" i="4" s="1"/>
  <c r="JS16" i="4" s="1"/>
  <c r="JS17" i="4" s="1"/>
  <c r="JT7" i="4"/>
  <c r="JT6" i="4"/>
  <c r="OL12" i="4"/>
  <c r="JF12" i="4"/>
  <c r="TW12" i="4"/>
  <c r="BC5" i="4"/>
  <c r="BC9" i="4"/>
  <c r="BC14" i="4"/>
  <c r="BC16" i="4"/>
  <c r="BC19" i="4"/>
  <c r="BC23" i="4"/>
  <c r="BC28" i="4"/>
  <c r="BC32" i="4"/>
  <c r="BC36" i="4"/>
  <c r="BC40" i="4"/>
  <c r="BR6" i="4"/>
  <c r="BR10" i="4"/>
  <c r="BR14" i="4"/>
  <c r="BR18" i="4"/>
  <c r="BR22" i="4"/>
  <c r="BR26" i="4"/>
  <c r="BR30" i="4"/>
  <c r="BR34" i="4"/>
  <c r="BR38" i="4"/>
  <c r="QU36" i="4"/>
  <c r="LN36" i="4"/>
  <c r="FZ36" i="4"/>
  <c r="QU19" i="4"/>
  <c r="LN19" i="4"/>
  <c r="FZ19" i="4"/>
  <c r="QU7" i="4"/>
  <c r="LN7" i="4"/>
  <c r="FZ7" i="4"/>
  <c r="VI40" i="4"/>
  <c r="VI39" i="4"/>
  <c r="VI38" i="4"/>
  <c r="VI37" i="4"/>
  <c r="VI36" i="4"/>
  <c r="VI34" i="4"/>
  <c r="VI35" i="4"/>
  <c r="VI33" i="4"/>
  <c r="VI32" i="4"/>
  <c r="VI31" i="4"/>
  <c r="VI28" i="4"/>
  <c r="VI30" i="4"/>
  <c r="VI29" i="4"/>
  <c r="VI27" i="4"/>
  <c r="VI26" i="4"/>
  <c r="VI25" i="4"/>
  <c r="VI23" i="4"/>
  <c r="VI22" i="4"/>
  <c r="VI21" i="4"/>
  <c r="VI24" i="4"/>
  <c r="VI18" i="4"/>
  <c r="VI17" i="4"/>
  <c r="VI20" i="4"/>
  <c r="VI19" i="4"/>
  <c r="VI14" i="4"/>
  <c r="VI13" i="4"/>
  <c r="VI16" i="4"/>
  <c r="VI15" i="4"/>
  <c r="VI8" i="4"/>
  <c r="VI12" i="4"/>
  <c r="VI11" i="4"/>
  <c r="VI10" i="4"/>
  <c r="VI9" i="4"/>
  <c r="VI6" i="4"/>
  <c r="VI7" i="4"/>
  <c r="VI5" i="4"/>
  <c r="VI4" i="4"/>
  <c r="VH5" i="4"/>
  <c r="VH6" i="4" s="1"/>
  <c r="VH7" i="4" s="1"/>
  <c r="VH8" i="4" s="1"/>
  <c r="VH9" i="4" s="1"/>
  <c r="VH10" i="4" s="1"/>
  <c r="VH11" i="4" s="1"/>
  <c r="VH12" i="4" s="1"/>
  <c r="VH13" i="4" s="1"/>
  <c r="VH14" i="4" s="1"/>
  <c r="VH15" i="4" s="1"/>
  <c r="VH16" i="4" s="1"/>
  <c r="VH17" i="4" s="1"/>
  <c r="VH18" i="4" s="1"/>
  <c r="VH19" i="4" s="1"/>
  <c r="VH20" i="4" s="1"/>
  <c r="VH21" i="4" s="1"/>
  <c r="VH22" i="4" s="1"/>
  <c r="VH23" i="4" s="1"/>
  <c r="VH24" i="4" s="1"/>
  <c r="VH25" i="4" s="1"/>
  <c r="VH26" i="4" s="1"/>
  <c r="VH27" i="4" s="1"/>
  <c r="VH28" i="4" s="1"/>
  <c r="VH29" i="4" s="1"/>
  <c r="VH30" i="4" s="1"/>
  <c r="VH31" i="4" s="1"/>
  <c r="VH32" i="4" s="1"/>
  <c r="VH33" i="4" s="1"/>
  <c r="VH34" i="4" s="1"/>
  <c r="VH35" i="4" s="1"/>
  <c r="VH36" i="4" s="1"/>
  <c r="VH37" i="4" s="1"/>
  <c r="VH38" i="4" s="1"/>
  <c r="VH39" i="4" s="1"/>
  <c r="VH40" i="4" s="1"/>
  <c r="MD10" i="4"/>
  <c r="GX10" i="4"/>
  <c r="QY10" i="4"/>
  <c r="MD20" i="4"/>
  <c r="QY20" i="4"/>
  <c r="GX20" i="4"/>
  <c r="RS36" i="4"/>
  <c r="MH36" i="4"/>
  <c r="HB36" i="4"/>
  <c r="RS8" i="4"/>
  <c r="MH8" i="4"/>
  <c r="HB8" i="4"/>
  <c r="CQ14" i="4"/>
  <c r="EJ8" i="4"/>
  <c r="EJ12" i="4"/>
  <c r="EJ15" i="4"/>
  <c r="EJ21" i="4"/>
  <c r="EJ22" i="4"/>
  <c r="EJ27" i="4"/>
  <c r="EJ32" i="4"/>
  <c r="EJ36" i="4"/>
  <c r="EJ39" i="4"/>
  <c r="TW15" i="4"/>
  <c r="OL15" i="4"/>
  <c r="JF15" i="4"/>
  <c r="FA24" i="4"/>
  <c r="FB4" i="4" s="1"/>
  <c r="FC4" i="4" s="1"/>
  <c r="TW36" i="4"/>
  <c r="OL36" i="4"/>
  <c r="JF36" i="4"/>
  <c r="AQ5" i="3"/>
  <c r="AQ6" i="3" s="1"/>
  <c r="AQ7" i="3" s="1"/>
  <c r="AQ8" i="3" s="1"/>
  <c r="AQ9" i="3" s="1"/>
  <c r="AQ10" i="3" s="1"/>
  <c r="AQ11" i="3" s="1"/>
  <c r="AQ12" i="3" s="1"/>
  <c r="AQ13" i="3" s="1"/>
  <c r="AQ14" i="3" s="1"/>
  <c r="AQ15" i="3" s="1"/>
  <c r="AQ16" i="3" s="1"/>
  <c r="AQ17" i="3" s="1"/>
  <c r="AQ18" i="3" s="1"/>
  <c r="AQ19" i="3" s="1"/>
  <c r="AQ20" i="3" s="1"/>
  <c r="AQ21" i="3" s="1"/>
  <c r="AQ22" i="3" s="1"/>
  <c r="AQ23" i="3" s="1"/>
  <c r="AQ24" i="3" s="1"/>
  <c r="AQ25" i="3" s="1"/>
  <c r="AQ26" i="3" s="1"/>
  <c r="AQ27" i="3" s="1"/>
  <c r="AQ28" i="3" s="1"/>
  <c r="AQ29" i="3" s="1"/>
  <c r="AQ30" i="3" s="1"/>
  <c r="AQ31" i="3" s="1"/>
  <c r="AQ32" i="3" s="1"/>
  <c r="AQ33" i="3" s="1"/>
  <c r="AQ34" i="3" s="1"/>
  <c r="AQ35" i="3" s="1"/>
  <c r="AQ36" i="3" s="1"/>
  <c r="AQ37" i="3" s="1"/>
  <c r="AQ38" i="3" s="1"/>
  <c r="AQ39" i="3" s="1"/>
  <c r="AQ40" i="3" s="1"/>
  <c r="AQ41" i="3" s="1"/>
  <c r="AQ42" i="3" s="1"/>
  <c r="GQ6" i="4" l="1"/>
  <c r="GQ7" i="4" s="1"/>
  <c r="GQ8" i="4" s="1"/>
  <c r="GQ9" i="4" s="1"/>
  <c r="GQ10" i="4" s="1"/>
  <c r="GQ11" i="4" s="1"/>
  <c r="GQ12" i="4" s="1"/>
  <c r="GQ13" i="4" s="1"/>
  <c r="GQ14" i="4" s="1"/>
  <c r="GQ15" i="4" s="1"/>
  <c r="GQ16" i="4" s="1"/>
  <c r="GQ17" i="4" s="1"/>
  <c r="GQ18" i="4" s="1"/>
  <c r="GQ19" i="4" s="1"/>
  <c r="GQ20" i="4" s="1"/>
  <c r="GQ21" i="4" s="1"/>
  <c r="GQ22" i="4" s="1"/>
  <c r="GQ23" i="4" s="1"/>
  <c r="GQ24" i="4" s="1"/>
  <c r="GQ25" i="4" s="1"/>
  <c r="GQ26" i="4" s="1"/>
  <c r="GQ27" i="4" s="1"/>
  <c r="GQ28" i="4" s="1"/>
  <c r="GQ29" i="4" s="1"/>
  <c r="GQ30" i="4" s="1"/>
  <c r="GQ31" i="4" s="1"/>
  <c r="GQ32" i="4" s="1"/>
  <c r="GQ33" i="4" s="1"/>
  <c r="GQ34" i="4" s="1"/>
  <c r="GQ35" i="4" s="1"/>
  <c r="GQ36" i="4" s="1"/>
  <c r="GQ37" i="4" s="1"/>
  <c r="GQ38" i="4" s="1"/>
  <c r="GQ39" i="4" s="1"/>
  <c r="GQ40" i="4" s="1"/>
  <c r="GR30" i="4"/>
  <c r="GR9" i="4"/>
  <c r="GR36" i="4"/>
  <c r="GR21" i="4"/>
  <c r="GR7" i="4"/>
  <c r="GR28" i="4"/>
  <c r="GR12" i="4"/>
  <c r="GR31" i="4"/>
  <c r="GR16" i="4"/>
  <c r="LW6" i="4"/>
  <c r="LW7" i="4" s="1"/>
  <c r="LW8" i="4" s="1"/>
  <c r="LW9" i="4" s="1"/>
  <c r="LW10" i="4" s="1"/>
  <c r="LW11" i="4" s="1"/>
  <c r="LW12" i="4" s="1"/>
  <c r="LW13" i="4" s="1"/>
  <c r="LW14" i="4" s="1"/>
  <c r="LW15" i="4" s="1"/>
  <c r="LW16" i="4" s="1"/>
  <c r="LW17" i="4" s="1"/>
  <c r="LW18" i="4" s="1"/>
  <c r="LW19" i="4" s="1"/>
  <c r="LW20" i="4" s="1"/>
  <c r="LW21" i="4" s="1"/>
  <c r="LW22" i="4" s="1"/>
  <c r="LW23" i="4" s="1"/>
  <c r="LW24" i="4" s="1"/>
  <c r="LW25" i="4" s="1"/>
  <c r="LW26" i="4" s="1"/>
  <c r="LW27" i="4" s="1"/>
  <c r="LW28" i="4" s="1"/>
  <c r="LW29" i="4" s="1"/>
  <c r="LW30" i="4" s="1"/>
  <c r="LW31" i="4" s="1"/>
  <c r="LW32" i="4" s="1"/>
  <c r="LW33" i="4" s="1"/>
  <c r="LW34" i="4" s="1"/>
  <c r="LW35" i="4" s="1"/>
  <c r="LW36" i="4" s="1"/>
  <c r="LW37" i="4" s="1"/>
  <c r="LW38" i="4" s="1"/>
  <c r="LW39" i="4" s="1"/>
  <c r="LW40" i="4" s="1"/>
  <c r="LX30" i="4"/>
  <c r="LX26" i="4"/>
  <c r="LX15" i="4"/>
  <c r="LX12" i="4"/>
  <c r="LX38" i="4"/>
  <c r="LX34" i="4"/>
  <c r="LX22" i="4"/>
  <c r="LX20" i="4"/>
  <c r="LX5" i="4"/>
  <c r="LX41" i="4"/>
  <c r="LX29" i="4"/>
  <c r="LX28" i="4"/>
  <c r="LX14" i="4"/>
  <c r="LX10" i="4"/>
  <c r="LX36" i="4"/>
  <c r="LX31" i="4"/>
  <c r="LX18" i="4"/>
  <c r="LX16" i="4"/>
  <c r="LX6" i="4"/>
  <c r="AW7" i="2"/>
  <c r="AX8" i="2" s="1"/>
  <c r="AW6" i="2"/>
  <c r="AW9" i="2" s="1"/>
  <c r="AW5" i="2"/>
  <c r="AX4" i="2" s="1"/>
  <c r="QR6" i="4"/>
  <c r="QR7" i="4" s="1"/>
  <c r="QR8" i="4" s="1"/>
  <c r="QR9" i="4" s="1"/>
  <c r="QR10" i="4" s="1"/>
  <c r="QR11" i="4" s="1"/>
  <c r="QR12" i="4" s="1"/>
  <c r="QR13" i="4" s="1"/>
  <c r="QR14" i="4" s="1"/>
  <c r="QR15" i="4" s="1"/>
  <c r="QR16" i="4" s="1"/>
  <c r="QR17" i="4" s="1"/>
  <c r="QR18" i="4" s="1"/>
  <c r="QR19" i="4" s="1"/>
  <c r="QR20" i="4" s="1"/>
  <c r="QR21" i="4" s="1"/>
  <c r="QR22" i="4" s="1"/>
  <c r="QR23" i="4" s="1"/>
  <c r="QR24" i="4" s="1"/>
  <c r="QR25" i="4" s="1"/>
  <c r="QR26" i="4" s="1"/>
  <c r="QR27" i="4" s="1"/>
  <c r="QR28" i="4" s="1"/>
  <c r="QR29" i="4" s="1"/>
  <c r="QR30" i="4" s="1"/>
  <c r="QR31" i="4" s="1"/>
  <c r="QR32" i="4" s="1"/>
  <c r="QR33" i="4" s="1"/>
  <c r="QR34" i="4" s="1"/>
  <c r="QR35" i="4" s="1"/>
  <c r="QR36" i="4" s="1"/>
  <c r="QR37" i="4" s="1"/>
  <c r="QR38" i="4" s="1"/>
  <c r="QR39" i="4" s="1"/>
  <c r="QR40" i="4" s="1"/>
  <c r="QS30" i="4"/>
  <c r="QS15" i="4"/>
  <c r="QS13" i="4"/>
  <c r="QS38" i="4"/>
  <c r="QS34" i="4"/>
  <c r="QS22" i="4"/>
  <c r="QS17" i="4"/>
  <c r="QS6" i="4"/>
  <c r="QS39" i="4"/>
  <c r="QS26" i="4"/>
  <c r="QS21" i="4"/>
  <c r="QS11" i="4"/>
  <c r="QS5" i="4"/>
  <c r="QS32" i="4"/>
  <c r="QS24" i="4"/>
  <c r="QS9" i="4"/>
  <c r="QS10" i="4"/>
  <c r="AR25" i="3"/>
  <c r="AR15" i="3"/>
  <c r="UM36" i="4"/>
  <c r="PB36" i="4"/>
  <c r="JV36" i="4"/>
  <c r="MX38" i="4"/>
  <c r="SI38" i="4"/>
  <c r="HR38" i="4"/>
  <c r="ML14" i="4"/>
  <c r="HF14" i="4"/>
  <c r="RW14" i="4"/>
  <c r="AR17" i="3"/>
  <c r="AR29" i="3"/>
  <c r="AR12" i="3"/>
  <c r="AR30" i="3"/>
  <c r="AR40" i="3"/>
  <c r="SI18" i="4"/>
  <c r="MX18" i="4"/>
  <c r="HR18" i="4"/>
  <c r="RW9" i="4"/>
  <c r="HF9" i="4"/>
  <c r="ML9" i="4"/>
  <c r="TC6" i="4"/>
  <c r="NR6" i="4"/>
  <c r="IL6" i="4"/>
  <c r="AR22" i="3"/>
  <c r="AR21" i="3"/>
  <c r="AR33" i="3"/>
  <c r="AR6" i="3"/>
  <c r="AR10" i="3"/>
  <c r="AR14" i="3"/>
  <c r="AR23" i="3"/>
  <c r="AR34" i="3"/>
  <c r="AR38" i="3"/>
  <c r="AR42" i="3"/>
  <c r="PB39" i="4"/>
  <c r="JV39" i="4"/>
  <c r="UM39" i="4"/>
  <c r="PB22" i="4"/>
  <c r="JV22" i="4"/>
  <c r="UM22" i="4"/>
  <c r="UM8" i="4"/>
  <c r="JV8" i="4"/>
  <c r="PB8" i="4"/>
  <c r="MX26" i="4"/>
  <c r="HR26" i="4"/>
  <c r="SI26" i="4"/>
  <c r="MX10" i="4"/>
  <c r="HR10" i="4"/>
  <c r="SI10" i="4"/>
  <c r="RW32" i="4"/>
  <c r="ML32" i="4"/>
  <c r="HF32" i="4"/>
  <c r="RW16" i="4"/>
  <c r="HF16" i="4"/>
  <c r="ML16" i="4"/>
  <c r="AE12" i="2"/>
  <c r="W12" i="2"/>
  <c r="O12" i="2"/>
  <c r="G12" i="2"/>
  <c r="AD12" i="2"/>
  <c r="V12" i="2"/>
  <c r="N12" i="2"/>
  <c r="B12" i="2"/>
  <c r="AG12" i="2"/>
  <c r="AC12" i="2"/>
  <c r="Y12" i="2"/>
  <c r="U12" i="2"/>
  <c r="Q12" i="2"/>
  <c r="M12" i="2"/>
  <c r="I12" i="2"/>
  <c r="E12" i="2"/>
  <c r="A12" i="2"/>
  <c r="AF12" i="2"/>
  <c r="AB12" i="2"/>
  <c r="X12" i="2"/>
  <c r="T12" i="2"/>
  <c r="P12" i="2"/>
  <c r="L12" i="2"/>
  <c r="H12" i="2"/>
  <c r="D12" i="2"/>
  <c r="BK11" i="2"/>
  <c r="AI12" i="2"/>
  <c r="AA12" i="2"/>
  <c r="S12" i="2"/>
  <c r="K12" i="2"/>
  <c r="C12" i="2"/>
  <c r="AH12" i="2"/>
  <c r="Z12" i="2"/>
  <c r="R12" i="2"/>
  <c r="J12" i="2"/>
  <c r="F12" i="2"/>
  <c r="Y49" i="2"/>
  <c r="I49" i="2"/>
  <c r="AC49" i="2"/>
  <c r="Q49" i="2"/>
  <c r="E49" i="2"/>
  <c r="AF49" i="2"/>
  <c r="AB49" i="2"/>
  <c r="X49" i="2"/>
  <c r="T49" i="2"/>
  <c r="P49" i="2"/>
  <c r="L49" i="2"/>
  <c r="H49" i="2"/>
  <c r="D49" i="2"/>
  <c r="AI49" i="2"/>
  <c r="AE49" i="2"/>
  <c r="AA49" i="2"/>
  <c r="W49" i="2"/>
  <c r="S49" i="2"/>
  <c r="O49" i="2"/>
  <c r="K49" i="2"/>
  <c r="G49" i="2"/>
  <c r="C49" i="2"/>
  <c r="BK48" i="2"/>
  <c r="AH49" i="2"/>
  <c r="AD49" i="2"/>
  <c r="Z49" i="2"/>
  <c r="V49" i="2"/>
  <c r="R49" i="2"/>
  <c r="N49" i="2"/>
  <c r="J49" i="2"/>
  <c r="F49" i="2"/>
  <c r="B49" i="2"/>
  <c r="AG49" i="2"/>
  <c r="U49" i="2"/>
  <c r="M49" i="2"/>
  <c r="A49" i="2"/>
  <c r="AD13" i="2"/>
  <c r="V13" i="2"/>
  <c r="N13" i="2"/>
  <c r="F13" i="2"/>
  <c r="Y13" i="2"/>
  <c r="Q13" i="2"/>
  <c r="I13" i="2"/>
  <c r="A13" i="2"/>
  <c r="AF13" i="2"/>
  <c r="AB13" i="2"/>
  <c r="X13" i="2"/>
  <c r="T13" i="2"/>
  <c r="P13" i="2"/>
  <c r="L13" i="2"/>
  <c r="H13" i="2"/>
  <c r="D13" i="2"/>
  <c r="BK12" i="2"/>
  <c r="AI13" i="2"/>
  <c r="AE13" i="2"/>
  <c r="AA13" i="2"/>
  <c r="W13" i="2"/>
  <c r="S13" i="2"/>
  <c r="O13" i="2"/>
  <c r="K13" i="2"/>
  <c r="G13" i="2"/>
  <c r="C13" i="2"/>
  <c r="AH13" i="2"/>
  <c r="Z13" i="2"/>
  <c r="R13" i="2"/>
  <c r="J13" i="2"/>
  <c r="B13" i="2"/>
  <c r="AG13" i="2"/>
  <c r="AC13" i="2"/>
  <c r="U13" i="2"/>
  <c r="M13" i="2"/>
  <c r="E13" i="2"/>
  <c r="AG30" i="2"/>
  <c r="AC30" i="2"/>
  <c r="U30" i="2"/>
  <c r="M30" i="2"/>
  <c r="E30" i="2"/>
  <c r="AF30" i="2"/>
  <c r="AB30" i="2"/>
  <c r="X30" i="2"/>
  <c r="T30" i="2"/>
  <c r="P30" i="2"/>
  <c r="L30" i="2"/>
  <c r="H30" i="2"/>
  <c r="D30" i="2"/>
  <c r="BK29" i="2"/>
  <c r="AI30" i="2"/>
  <c r="AE30" i="2"/>
  <c r="AA30" i="2"/>
  <c r="W30" i="2"/>
  <c r="S30" i="2"/>
  <c r="O30" i="2"/>
  <c r="K30" i="2"/>
  <c r="G30" i="2"/>
  <c r="C30" i="2"/>
  <c r="AH30" i="2"/>
  <c r="AD30" i="2"/>
  <c r="Z30" i="2"/>
  <c r="V30" i="2"/>
  <c r="R30" i="2"/>
  <c r="N30" i="2"/>
  <c r="J30" i="2"/>
  <c r="F30" i="2"/>
  <c r="B30" i="2"/>
  <c r="Y30" i="2"/>
  <c r="Q30" i="2"/>
  <c r="I30" i="2"/>
  <c r="A30" i="2"/>
  <c r="AG10" i="2"/>
  <c r="Y10" i="2"/>
  <c r="Q10" i="2"/>
  <c r="I10" i="2"/>
  <c r="A10" i="2"/>
  <c r="AF10" i="2"/>
  <c r="D10" i="2"/>
  <c r="X10" i="2"/>
  <c r="P10" i="2"/>
  <c r="H10" i="2"/>
  <c r="AI10" i="2"/>
  <c r="AE10" i="2"/>
  <c r="AA10" i="2"/>
  <c r="W10" i="2"/>
  <c r="S10" i="2"/>
  <c r="O10" i="2"/>
  <c r="K10" i="2"/>
  <c r="G10" i="2"/>
  <c r="C10" i="2"/>
  <c r="AH10" i="2"/>
  <c r="AD10" i="2"/>
  <c r="Z10" i="2"/>
  <c r="V10" i="2"/>
  <c r="R10" i="2"/>
  <c r="N10" i="2"/>
  <c r="J10" i="2"/>
  <c r="F10" i="2"/>
  <c r="B10" i="2"/>
  <c r="AC10" i="2"/>
  <c r="U10" i="2"/>
  <c r="M10" i="2"/>
  <c r="E10" i="2"/>
  <c r="AB10" i="2"/>
  <c r="T10" i="2"/>
  <c r="L10" i="2"/>
  <c r="BK9" i="2"/>
  <c r="AF27" i="2"/>
  <c r="AB27" i="2"/>
  <c r="X27" i="2"/>
  <c r="T27" i="2"/>
  <c r="P27" i="2"/>
  <c r="L27" i="2"/>
  <c r="H27" i="2"/>
  <c r="BK26" i="2"/>
  <c r="D27" i="2"/>
  <c r="AI27" i="2"/>
  <c r="AE27" i="2"/>
  <c r="AA27" i="2"/>
  <c r="W27" i="2"/>
  <c r="S27" i="2"/>
  <c r="O27" i="2"/>
  <c r="K27" i="2"/>
  <c r="G27" i="2"/>
  <c r="C27" i="2"/>
  <c r="AH27" i="2"/>
  <c r="AD27" i="2"/>
  <c r="Z27" i="2"/>
  <c r="V27" i="2"/>
  <c r="R27" i="2"/>
  <c r="N27" i="2"/>
  <c r="J27" i="2"/>
  <c r="F27" i="2"/>
  <c r="B27" i="2"/>
  <c r="AG27" i="2"/>
  <c r="AC27" i="2"/>
  <c r="Y27" i="2"/>
  <c r="U27" i="2"/>
  <c r="Q27" i="2"/>
  <c r="M27" i="2"/>
  <c r="I27" i="2"/>
  <c r="E27" i="2"/>
  <c r="A27" i="2"/>
  <c r="X11" i="2"/>
  <c r="P11" i="2"/>
  <c r="H11" i="2"/>
  <c r="D11" i="2"/>
  <c r="BK10" i="2"/>
  <c r="AI11" i="2"/>
  <c r="AE11" i="2"/>
  <c r="AA11" i="2"/>
  <c r="S11" i="2"/>
  <c r="K11" i="2"/>
  <c r="C11" i="2"/>
  <c r="AH11" i="2"/>
  <c r="AD11" i="2"/>
  <c r="Z11" i="2"/>
  <c r="V11" i="2"/>
  <c r="R11" i="2"/>
  <c r="N11" i="2"/>
  <c r="J11" i="2"/>
  <c r="F11" i="2"/>
  <c r="B11" i="2"/>
  <c r="AG11" i="2"/>
  <c r="AC11" i="2"/>
  <c r="Y11" i="2"/>
  <c r="U11" i="2"/>
  <c r="Q11" i="2"/>
  <c r="M11" i="2"/>
  <c r="I11" i="2"/>
  <c r="E11" i="2"/>
  <c r="A11" i="2"/>
  <c r="AF11" i="2"/>
  <c r="AB11" i="2"/>
  <c r="T11" i="2"/>
  <c r="L11" i="2"/>
  <c r="W11" i="2"/>
  <c r="O11" i="2"/>
  <c r="G11" i="2"/>
  <c r="AI28" i="2"/>
  <c r="AE28" i="2"/>
  <c r="AA28" i="2"/>
  <c r="W28" i="2"/>
  <c r="S28" i="2"/>
  <c r="O28" i="2"/>
  <c r="K28" i="2"/>
  <c r="C28" i="2"/>
  <c r="AH28" i="2"/>
  <c r="AD28" i="2"/>
  <c r="Z28" i="2"/>
  <c r="V28" i="2"/>
  <c r="R28" i="2"/>
  <c r="N28" i="2"/>
  <c r="J28" i="2"/>
  <c r="F28" i="2"/>
  <c r="B28" i="2"/>
  <c r="AG28" i="2"/>
  <c r="AC28" i="2"/>
  <c r="Y28" i="2"/>
  <c r="U28" i="2"/>
  <c r="Q28" i="2"/>
  <c r="M28" i="2"/>
  <c r="I28" i="2"/>
  <c r="E28" i="2"/>
  <c r="A28" i="2"/>
  <c r="AF28" i="2"/>
  <c r="AB28" i="2"/>
  <c r="X28" i="2"/>
  <c r="T28" i="2"/>
  <c r="P28" i="2"/>
  <c r="L28" i="2"/>
  <c r="H28" i="2"/>
  <c r="D28" i="2"/>
  <c r="BK27" i="2"/>
  <c r="G28" i="2"/>
  <c r="AB6" i="2"/>
  <c r="X6" i="2"/>
  <c r="P6" i="2"/>
  <c r="H6" i="2"/>
  <c r="D6" i="2"/>
  <c r="BK5" i="2"/>
  <c r="AI6" i="2"/>
  <c r="AE6" i="2"/>
  <c r="AA6" i="2"/>
  <c r="S6" i="2"/>
  <c r="G6" i="2"/>
  <c r="AH6" i="2"/>
  <c r="Z6" i="2"/>
  <c r="R6" i="2"/>
  <c r="F6" i="2"/>
  <c r="O6" i="2"/>
  <c r="C6" i="2"/>
  <c r="N6" i="2"/>
  <c r="AG6" i="2"/>
  <c r="AC6" i="2"/>
  <c r="Y6" i="2"/>
  <c r="U6" i="2"/>
  <c r="Q6" i="2"/>
  <c r="M6" i="2"/>
  <c r="I6" i="2"/>
  <c r="E6" i="2"/>
  <c r="A6" i="2"/>
  <c r="AF6" i="2"/>
  <c r="T6" i="2"/>
  <c r="L6" i="2"/>
  <c r="W6" i="2"/>
  <c r="K6" i="2"/>
  <c r="AD6" i="2"/>
  <c r="V6" i="2"/>
  <c r="J6" i="2"/>
  <c r="B6" i="2"/>
  <c r="AC45" i="2"/>
  <c r="Q45" i="2"/>
  <c r="E45" i="2"/>
  <c r="Y45" i="2"/>
  <c r="I45" i="2"/>
  <c r="AF45" i="2"/>
  <c r="AB45" i="2"/>
  <c r="X45" i="2"/>
  <c r="T45" i="2"/>
  <c r="P45" i="2"/>
  <c r="L45" i="2"/>
  <c r="H45" i="2"/>
  <c r="D45" i="2"/>
  <c r="AI45" i="2"/>
  <c r="AE45" i="2"/>
  <c r="AA45" i="2"/>
  <c r="W45" i="2"/>
  <c r="S45" i="2"/>
  <c r="O45" i="2"/>
  <c r="K45" i="2"/>
  <c r="G45" i="2"/>
  <c r="C45" i="2"/>
  <c r="BK44" i="2"/>
  <c r="AH45" i="2"/>
  <c r="AD45" i="2"/>
  <c r="Z45" i="2"/>
  <c r="V45" i="2"/>
  <c r="R45" i="2"/>
  <c r="N45" i="2"/>
  <c r="J45" i="2"/>
  <c r="F45" i="2"/>
  <c r="B45" i="2"/>
  <c r="AG45" i="2"/>
  <c r="U45" i="2"/>
  <c r="M45" i="2"/>
  <c r="A45" i="2"/>
  <c r="AG52" i="2"/>
  <c r="Q52" i="2"/>
  <c r="E52" i="2"/>
  <c r="Y52" i="2"/>
  <c r="I52" i="2"/>
  <c r="AF52" i="2"/>
  <c r="AB52" i="2"/>
  <c r="X52" i="2"/>
  <c r="T52" i="2"/>
  <c r="P52" i="2"/>
  <c r="L52" i="2"/>
  <c r="H52" i="2"/>
  <c r="D52" i="2"/>
  <c r="AI52" i="2"/>
  <c r="AE52" i="2"/>
  <c r="AA52" i="2"/>
  <c r="W52" i="2"/>
  <c r="S52" i="2"/>
  <c r="O52" i="2"/>
  <c r="K52" i="2"/>
  <c r="G52" i="2"/>
  <c r="C52" i="2"/>
  <c r="BK51" i="2"/>
  <c r="AH52" i="2"/>
  <c r="AD52" i="2"/>
  <c r="Z52" i="2"/>
  <c r="V52" i="2"/>
  <c r="R52" i="2"/>
  <c r="N52" i="2"/>
  <c r="J52" i="2"/>
  <c r="F52" i="2"/>
  <c r="B52" i="2"/>
  <c r="AC52" i="2"/>
  <c r="U52" i="2"/>
  <c r="M52" i="2"/>
  <c r="A52" i="2"/>
  <c r="AH41" i="2"/>
  <c r="AD41" i="2"/>
  <c r="Z41" i="2"/>
  <c r="R41" i="2"/>
  <c r="J41" i="2"/>
  <c r="B41" i="2"/>
  <c r="AG41" i="2"/>
  <c r="AC41" i="2"/>
  <c r="Y41" i="2"/>
  <c r="U41" i="2"/>
  <c r="Q41" i="2"/>
  <c r="M41" i="2"/>
  <c r="I41" i="2"/>
  <c r="E41" i="2"/>
  <c r="A41" i="2"/>
  <c r="AF41" i="2"/>
  <c r="AB41" i="2"/>
  <c r="X41" i="2"/>
  <c r="T41" i="2"/>
  <c r="P41" i="2"/>
  <c r="L41" i="2"/>
  <c r="H41" i="2"/>
  <c r="D41" i="2"/>
  <c r="BK40" i="2"/>
  <c r="AI41" i="2"/>
  <c r="AE41" i="2"/>
  <c r="AA41" i="2"/>
  <c r="W41" i="2"/>
  <c r="S41" i="2"/>
  <c r="O41" i="2"/>
  <c r="K41" i="2"/>
  <c r="G41" i="2"/>
  <c r="C41" i="2"/>
  <c r="V41" i="2"/>
  <c r="N41" i="2"/>
  <c r="F41" i="2"/>
  <c r="OD40" i="4"/>
  <c r="IX40" i="4"/>
  <c r="TO40" i="4"/>
  <c r="TO24" i="4"/>
  <c r="IX24" i="4"/>
  <c r="OD24" i="4"/>
  <c r="TO8" i="4"/>
  <c r="OD8" i="4"/>
  <c r="IX8" i="4"/>
  <c r="FB40" i="4"/>
  <c r="FB24" i="4"/>
  <c r="SQ31" i="4"/>
  <c r="NF31" i="4"/>
  <c r="HZ31" i="4"/>
  <c r="SQ15" i="4"/>
  <c r="NF15" i="4"/>
  <c r="HZ15" i="4"/>
  <c r="TC17" i="4"/>
  <c r="NR17" i="4"/>
  <c r="IL17" i="4"/>
  <c r="RD6" i="4"/>
  <c r="AV20" i="3"/>
  <c r="AV32" i="3"/>
  <c r="AV23" i="3"/>
  <c r="AV26" i="3"/>
  <c r="AV6" i="3"/>
  <c r="AV10" i="3"/>
  <c r="AV14" i="3"/>
  <c r="AV21" i="3"/>
  <c r="AV36" i="3"/>
  <c r="AV40" i="3"/>
  <c r="TC24" i="4"/>
  <c r="IL24" i="4"/>
  <c r="NR24" i="4"/>
  <c r="SM31" i="4"/>
  <c r="NB31" i="4"/>
  <c r="HV31" i="4"/>
  <c r="SM16" i="4"/>
  <c r="HV16" i="4"/>
  <c r="NB16" i="4"/>
  <c r="NC5" i="4"/>
  <c r="NC6" i="4" s="1"/>
  <c r="NC7" i="4" s="1"/>
  <c r="NC8" i="4" s="1"/>
  <c r="NC9" i="4" s="1"/>
  <c r="NC10" i="4" s="1"/>
  <c r="CK5" i="4"/>
  <c r="CK6" i="4" s="1"/>
  <c r="CK7" i="4" s="1"/>
  <c r="CK8" i="4" s="1"/>
  <c r="CK9" i="4" s="1"/>
  <c r="CK10" i="4" s="1"/>
  <c r="CK11" i="4" s="1"/>
  <c r="CK12" i="4" s="1"/>
  <c r="CK13" i="4" s="1"/>
  <c r="CK14" i="4" s="1"/>
  <c r="CK15" i="4" s="1"/>
  <c r="CK16" i="4" s="1"/>
  <c r="CK17" i="4" s="1"/>
  <c r="CK18" i="4" s="1"/>
  <c r="CK19" i="4" s="1"/>
  <c r="CK20" i="4" s="1"/>
  <c r="CK21" i="4" s="1"/>
  <c r="CK22" i="4" s="1"/>
  <c r="CK23" i="4" s="1"/>
  <c r="CK24" i="4" s="1"/>
  <c r="CK25" i="4" s="1"/>
  <c r="CK26" i="4" s="1"/>
  <c r="CK27" i="4" s="1"/>
  <c r="CK28" i="4" s="1"/>
  <c r="CK29" i="4" s="1"/>
  <c r="CK30" i="4" s="1"/>
  <c r="CK31" i="4" s="1"/>
  <c r="CK32" i="4" s="1"/>
  <c r="CK33" i="4" s="1"/>
  <c r="CK34" i="4" s="1"/>
  <c r="CK35" i="4" s="1"/>
  <c r="CK36" i="4" s="1"/>
  <c r="CK37" i="4" s="1"/>
  <c r="CK38" i="4" s="1"/>
  <c r="CK39" i="4" s="1"/>
  <c r="CK40" i="4" s="1"/>
  <c r="MJ42" i="4"/>
  <c r="MJ41" i="4"/>
  <c r="MJ39" i="4"/>
  <c r="MJ38" i="4"/>
  <c r="MJ37" i="4"/>
  <c r="MJ35" i="4"/>
  <c r="MJ34" i="4"/>
  <c r="MJ33" i="4"/>
  <c r="MJ31" i="4"/>
  <c r="MJ30" i="4"/>
  <c r="MJ29" i="4"/>
  <c r="MJ27" i="4"/>
  <c r="MJ26" i="4"/>
  <c r="MJ25" i="4"/>
  <c r="MJ23" i="4"/>
  <c r="MJ22" i="4"/>
  <c r="MJ21" i="4"/>
  <c r="MJ18" i="4"/>
  <c r="MJ17" i="4"/>
  <c r="MJ19" i="4"/>
  <c r="MJ15" i="4"/>
  <c r="MJ14" i="4"/>
  <c r="MJ9" i="4"/>
  <c r="MJ13" i="4"/>
  <c r="MJ12" i="4"/>
  <c r="MJ11" i="4"/>
  <c r="MJ8" i="4"/>
  <c r="MJ5" i="4"/>
  <c r="MJ4" i="4"/>
  <c r="MI5" i="4"/>
  <c r="MI6" i="4" s="1"/>
  <c r="MI7" i="4" s="1"/>
  <c r="MI8" i="4" s="1"/>
  <c r="MI9" i="4" s="1"/>
  <c r="MI10" i="4" s="1"/>
  <c r="MI11" i="4" s="1"/>
  <c r="MI12" i="4" s="1"/>
  <c r="MI13" i="4" s="1"/>
  <c r="MI14" i="4" s="1"/>
  <c r="MI15" i="4" s="1"/>
  <c r="MI16" i="4" s="1"/>
  <c r="MI17" i="4" s="1"/>
  <c r="MI18" i="4" s="1"/>
  <c r="MI19" i="4" s="1"/>
  <c r="MI20" i="4" s="1"/>
  <c r="MI21" i="4" s="1"/>
  <c r="MI22" i="4" s="1"/>
  <c r="MI23" i="4" s="1"/>
  <c r="MI24" i="4" s="1"/>
  <c r="MI25" i="4" s="1"/>
  <c r="MI26" i="4" s="1"/>
  <c r="MI27" i="4" s="1"/>
  <c r="MI28" i="4" s="1"/>
  <c r="MI29" i="4" s="1"/>
  <c r="MI30" i="4" s="1"/>
  <c r="MI31" i="4" s="1"/>
  <c r="MI32" i="4" s="1"/>
  <c r="MI33" i="4" s="1"/>
  <c r="MI34" i="4" s="1"/>
  <c r="MI35" i="4" s="1"/>
  <c r="MI36" i="4" s="1"/>
  <c r="MI37" i="4" s="1"/>
  <c r="MI38" i="4" s="1"/>
  <c r="MI39" i="4" s="1"/>
  <c r="MI40" i="4" s="1"/>
  <c r="MJ6" i="4"/>
  <c r="UM30" i="4"/>
  <c r="PB30" i="4"/>
  <c r="JV30" i="4"/>
  <c r="PB14" i="4"/>
  <c r="JV14" i="4"/>
  <c r="UM14" i="4"/>
  <c r="SI37" i="4"/>
  <c r="MX37" i="4"/>
  <c r="HR37" i="4"/>
  <c r="MX21" i="4"/>
  <c r="HR21" i="4"/>
  <c r="SI21" i="4"/>
  <c r="SI5" i="4"/>
  <c r="HR5" i="4"/>
  <c r="MX5" i="4"/>
  <c r="ML27" i="4"/>
  <c r="HF27" i="4"/>
  <c r="RW27" i="4"/>
  <c r="ML13" i="4"/>
  <c r="HF13" i="4"/>
  <c r="RW13" i="4"/>
  <c r="OD27" i="4"/>
  <c r="IX27" i="4"/>
  <c r="TO27" i="4"/>
  <c r="OD11" i="4"/>
  <c r="IX11" i="4"/>
  <c r="TO11" i="4"/>
  <c r="FB35" i="4"/>
  <c r="FB19" i="4"/>
  <c r="TC32" i="4"/>
  <c r="NR32" i="4"/>
  <c r="IL32" i="4"/>
  <c r="PG7" i="4"/>
  <c r="PG8" i="4" s="1"/>
  <c r="PG9" i="4" s="1"/>
  <c r="PG10" i="4" s="1"/>
  <c r="PG11" i="4" s="1"/>
  <c r="PG12" i="4" s="1"/>
  <c r="PG13" i="4" s="1"/>
  <c r="PG14" i="4" s="1"/>
  <c r="PG15" i="4" s="1"/>
  <c r="PG16" i="4" s="1"/>
  <c r="PG17" i="4" s="1"/>
  <c r="PG18" i="4" s="1"/>
  <c r="PG19" i="4" s="1"/>
  <c r="PG20" i="4" s="1"/>
  <c r="PG21" i="4" s="1"/>
  <c r="PG22" i="4" s="1"/>
  <c r="PG23" i="4" s="1"/>
  <c r="PG24" i="4" s="1"/>
  <c r="PG25" i="4" s="1"/>
  <c r="PG26" i="4" s="1"/>
  <c r="PG27" i="4" s="1"/>
  <c r="PG28" i="4" s="1"/>
  <c r="PG29" i="4" s="1"/>
  <c r="PG30" i="4" s="1"/>
  <c r="PG31" i="4" s="1"/>
  <c r="PG32" i="4" s="1"/>
  <c r="PG33" i="4" s="1"/>
  <c r="PG34" i="4" s="1"/>
  <c r="PG35" i="4" s="1"/>
  <c r="PG36" i="4" s="1"/>
  <c r="PG37" i="4" s="1"/>
  <c r="PG38" i="4" s="1"/>
  <c r="PG39" i="4" s="1"/>
  <c r="PG40" i="4" s="1"/>
  <c r="DU5" i="4"/>
  <c r="DU9" i="4"/>
  <c r="DU12" i="4"/>
  <c r="DU17" i="4"/>
  <c r="DU24" i="4"/>
  <c r="DU25" i="4"/>
  <c r="DU29" i="4"/>
  <c r="DU33" i="4"/>
  <c r="DU37" i="4"/>
  <c r="TX5" i="4"/>
  <c r="TX6" i="4" s="1"/>
  <c r="TX7" i="4" s="1"/>
  <c r="TX8" i="4" s="1"/>
  <c r="TX9" i="4" s="1"/>
  <c r="TX10" i="4" s="1"/>
  <c r="TX11" i="4" s="1"/>
  <c r="TX12" i="4" s="1"/>
  <c r="TX13" i="4" s="1"/>
  <c r="TX14" i="4" s="1"/>
  <c r="TX15" i="4" s="1"/>
  <c r="TX16" i="4" s="1"/>
  <c r="TX17" i="4" s="1"/>
  <c r="TX18" i="4" s="1"/>
  <c r="TX19" i="4" s="1"/>
  <c r="TX20" i="4" s="1"/>
  <c r="TX21" i="4" s="1"/>
  <c r="TX22" i="4" s="1"/>
  <c r="TX23" i="4" s="1"/>
  <c r="TX24" i="4" s="1"/>
  <c r="TX25" i="4" s="1"/>
  <c r="TX26" i="4" s="1"/>
  <c r="TX27" i="4" s="1"/>
  <c r="TX28" i="4" s="1"/>
  <c r="TX29" i="4" s="1"/>
  <c r="TX30" i="4" s="1"/>
  <c r="TX31" i="4" s="1"/>
  <c r="TX32" i="4" s="1"/>
  <c r="TX33" i="4" s="1"/>
  <c r="TX34" i="4" s="1"/>
  <c r="TX35" i="4" s="1"/>
  <c r="TX36" i="4" s="1"/>
  <c r="TX37" i="4" s="1"/>
  <c r="TX38" i="4" s="1"/>
  <c r="TX39" i="4" s="1"/>
  <c r="TX40" i="4" s="1"/>
  <c r="PB25" i="4"/>
  <c r="JV25" i="4"/>
  <c r="UM25" i="4"/>
  <c r="PB10" i="4"/>
  <c r="JV10" i="4"/>
  <c r="UM10" i="4"/>
  <c r="SI36" i="4"/>
  <c r="MX36" i="4"/>
  <c r="HR36" i="4"/>
  <c r="MX20" i="4"/>
  <c r="HR20" i="4"/>
  <c r="SI20" i="4"/>
  <c r="SI4" i="4"/>
  <c r="SJ4" i="4" s="1"/>
  <c r="HR4" i="4"/>
  <c r="HS4" i="4" s="1"/>
  <c r="MX4" i="4"/>
  <c r="MY4" i="4" s="1"/>
  <c r="BI4" i="3"/>
  <c r="ML26" i="4"/>
  <c r="HF26" i="4"/>
  <c r="RW26" i="4"/>
  <c r="ML12" i="4"/>
  <c r="HF12" i="4"/>
  <c r="RW12" i="4"/>
  <c r="TC33" i="4"/>
  <c r="NR33" i="4"/>
  <c r="IL33" i="4"/>
  <c r="DZ4" i="4"/>
  <c r="DZ8" i="4"/>
  <c r="DZ12" i="4"/>
  <c r="DZ16" i="4"/>
  <c r="DZ20" i="4"/>
  <c r="DZ24" i="4"/>
  <c r="DZ28" i="4"/>
  <c r="DZ32" i="4"/>
  <c r="DZ36" i="4"/>
  <c r="DZ40" i="4"/>
  <c r="OD26" i="4"/>
  <c r="IX26" i="4"/>
  <c r="TO26" i="4"/>
  <c r="OD10" i="4"/>
  <c r="IX10" i="4"/>
  <c r="TO10" i="4"/>
  <c r="BM6" i="4"/>
  <c r="BM10" i="4"/>
  <c r="BM13" i="4"/>
  <c r="BM18" i="4"/>
  <c r="BM25" i="4"/>
  <c r="BM26" i="4"/>
  <c r="BM31" i="4"/>
  <c r="BM34" i="4"/>
  <c r="BM38" i="4"/>
  <c r="FB34" i="4"/>
  <c r="FB18" i="4"/>
  <c r="PX24" i="4"/>
  <c r="PX8" i="4"/>
  <c r="NF27" i="4"/>
  <c r="HZ27" i="4"/>
  <c r="SQ27" i="4"/>
  <c r="NF12" i="4"/>
  <c r="HZ12" i="4"/>
  <c r="SQ12" i="4"/>
  <c r="LS6" i="4"/>
  <c r="BS5" i="3"/>
  <c r="BS6" i="3" s="1"/>
  <c r="BS7" i="3" s="1"/>
  <c r="BS8" i="3" s="1"/>
  <c r="BS9" i="3" s="1"/>
  <c r="BS10" i="3" s="1"/>
  <c r="BS11" i="3" s="1"/>
  <c r="BS12" i="3" s="1"/>
  <c r="BS13" i="3" s="1"/>
  <c r="BS14" i="3" s="1"/>
  <c r="BS15" i="3" s="1"/>
  <c r="BS16" i="3" s="1"/>
  <c r="BS17" i="3" s="1"/>
  <c r="BS18" i="3" s="1"/>
  <c r="BS19" i="3" s="1"/>
  <c r="BS20" i="3" s="1"/>
  <c r="BS21" i="3" s="1"/>
  <c r="BS22" i="3" s="1"/>
  <c r="BS23" i="3" s="1"/>
  <c r="BS24" i="3" s="1"/>
  <c r="BS25" i="3" s="1"/>
  <c r="BS26" i="3" s="1"/>
  <c r="BS27" i="3" s="1"/>
  <c r="BS28" i="3" s="1"/>
  <c r="BS29" i="3" s="1"/>
  <c r="BS30" i="3" s="1"/>
  <c r="BS31" i="3" s="1"/>
  <c r="BS32" i="3" s="1"/>
  <c r="BS33" i="3" s="1"/>
  <c r="BS34" i="3" s="1"/>
  <c r="BS35" i="3" s="1"/>
  <c r="BS36" i="3" s="1"/>
  <c r="BS37" i="3" s="1"/>
  <c r="BS38" i="3" s="1"/>
  <c r="BS39" i="3" s="1"/>
  <c r="BS40" i="3" s="1"/>
  <c r="BS41" i="3" s="1"/>
  <c r="BS42" i="3" s="1"/>
  <c r="PB28" i="4"/>
  <c r="JV28" i="4"/>
  <c r="UM28" i="4"/>
  <c r="PB13" i="4"/>
  <c r="JV13" i="4"/>
  <c r="UM13" i="4"/>
  <c r="SI35" i="4"/>
  <c r="MX35" i="4"/>
  <c r="HR35" i="4"/>
  <c r="SI19" i="4"/>
  <c r="HR19" i="4"/>
  <c r="MX19" i="4"/>
  <c r="KZ42" i="4"/>
  <c r="KZ41" i="4"/>
  <c r="KZ40" i="4"/>
  <c r="KZ39" i="4"/>
  <c r="KZ38" i="4"/>
  <c r="KZ37" i="4"/>
  <c r="KZ36" i="4"/>
  <c r="KZ35" i="4"/>
  <c r="KZ34" i="4"/>
  <c r="KZ33" i="4"/>
  <c r="KZ31" i="4"/>
  <c r="KZ30" i="4"/>
  <c r="KZ32" i="4"/>
  <c r="KZ29" i="4"/>
  <c r="KZ28" i="4"/>
  <c r="KZ27" i="4"/>
  <c r="KZ26" i="4"/>
  <c r="KZ25" i="4"/>
  <c r="KZ24" i="4"/>
  <c r="KZ23" i="4"/>
  <c r="KZ22" i="4"/>
  <c r="KZ21" i="4"/>
  <c r="KZ19" i="4"/>
  <c r="KZ18" i="4"/>
  <c r="KZ20" i="4"/>
  <c r="KZ17" i="4"/>
  <c r="KZ15" i="4"/>
  <c r="KZ16" i="4"/>
  <c r="KZ9" i="4"/>
  <c r="KZ13" i="4"/>
  <c r="KZ12" i="4"/>
  <c r="KZ11" i="4"/>
  <c r="KZ10" i="4"/>
  <c r="KZ8" i="4"/>
  <c r="KZ14" i="4"/>
  <c r="KZ5" i="4"/>
  <c r="KZ4" i="4"/>
  <c r="KY5" i="4"/>
  <c r="KY6" i="4" s="1"/>
  <c r="KY7" i="4" s="1"/>
  <c r="KY8" i="4" s="1"/>
  <c r="KY9" i="4" s="1"/>
  <c r="KY10" i="4" s="1"/>
  <c r="KY11" i="4" s="1"/>
  <c r="KY12" i="4" s="1"/>
  <c r="KY13" i="4" s="1"/>
  <c r="KY14" i="4" s="1"/>
  <c r="KY15" i="4" s="1"/>
  <c r="KY16" i="4" s="1"/>
  <c r="KY17" i="4" s="1"/>
  <c r="KY18" i="4" s="1"/>
  <c r="KY19" i="4" s="1"/>
  <c r="KY20" i="4" s="1"/>
  <c r="KY21" i="4" s="1"/>
  <c r="KY22" i="4" s="1"/>
  <c r="KY23" i="4" s="1"/>
  <c r="KY24" i="4" s="1"/>
  <c r="KY25" i="4" s="1"/>
  <c r="KY26" i="4" s="1"/>
  <c r="KY27" i="4" s="1"/>
  <c r="KY28" i="4" s="1"/>
  <c r="KY29" i="4" s="1"/>
  <c r="KY30" i="4" s="1"/>
  <c r="KY31" i="4" s="1"/>
  <c r="KY32" i="4" s="1"/>
  <c r="KY33" i="4" s="1"/>
  <c r="KY34" i="4" s="1"/>
  <c r="KY35" i="4" s="1"/>
  <c r="KY36" i="4" s="1"/>
  <c r="KY37" i="4" s="1"/>
  <c r="KY38" i="4" s="1"/>
  <c r="KY39" i="4" s="1"/>
  <c r="KY40" i="4" s="1"/>
  <c r="KZ7" i="4"/>
  <c r="KZ6" i="4"/>
  <c r="LL40" i="4"/>
  <c r="LL39" i="4"/>
  <c r="LL36" i="4"/>
  <c r="LL35" i="4"/>
  <c r="LL32" i="4"/>
  <c r="LL31" i="4"/>
  <c r="LL28" i="4"/>
  <c r="LL27" i="4"/>
  <c r="LL23" i="4"/>
  <c r="LL22" i="4"/>
  <c r="LL20" i="4"/>
  <c r="LL19" i="4"/>
  <c r="LL16" i="4"/>
  <c r="LL15" i="4"/>
  <c r="LL13" i="4"/>
  <c r="LL12" i="4"/>
  <c r="LL9" i="4"/>
  <c r="LL7" i="4"/>
  <c r="LK5" i="4"/>
  <c r="LK6" i="4" s="1"/>
  <c r="LK7" i="4" s="1"/>
  <c r="LK8" i="4" s="1"/>
  <c r="LK9" i="4" s="1"/>
  <c r="LK10" i="4" s="1"/>
  <c r="LK11" i="4" s="1"/>
  <c r="LK12" i="4" s="1"/>
  <c r="LK13" i="4" s="1"/>
  <c r="LK14" i="4" s="1"/>
  <c r="LK15" i="4" s="1"/>
  <c r="LK16" i="4" s="1"/>
  <c r="LK17" i="4" s="1"/>
  <c r="LK18" i="4" s="1"/>
  <c r="LK19" i="4" s="1"/>
  <c r="LK20" i="4" s="1"/>
  <c r="LK21" i="4" s="1"/>
  <c r="LK22" i="4" s="1"/>
  <c r="LK23" i="4" s="1"/>
  <c r="LK24" i="4" s="1"/>
  <c r="LK25" i="4" s="1"/>
  <c r="LK26" i="4" s="1"/>
  <c r="LK27" i="4" s="1"/>
  <c r="LK28" i="4" s="1"/>
  <c r="LK29" i="4" s="1"/>
  <c r="LK30" i="4" s="1"/>
  <c r="LK31" i="4" s="1"/>
  <c r="LK32" i="4" s="1"/>
  <c r="LK33" i="4" s="1"/>
  <c r="LK34" i="4" s="1"/>
  <c r="LK35" i="4" s="1"/>
  <c r="LK36" i="4" s="1"/>
  <c r="LK37" i="4" s="1"/>
  <c r="LK38" i="4" s="1"/>
  <c r="LK39" i="4" s="1"/>
  <c r="LK40" i="4" s="1"/>
  <c r="LL5" i="4"/>
  <c r="LL4" i="4"/>
  <c r="TO29" i="4"/>
  <c r="IX29" i="4"/>
  <c r="OD29" i="4"/>
  <c r="OD13" i="4"/>
  <c r="IX13" i="4"/>
  <c r="TO13" i="4"/>
  <c r="NR25" i="4"/>
  <c r="IL25" i="4"/>
  <c r="TC25" i="4"/>
  <c r="FB25" i="4"/>
  <c r="FB9" i="4"/>
  <c r="PX26" i="4"/>
  <c r="PX12" i="4"/>
  <c r="SQ34" i="4"/>
  <c r="NF34" i="4"/>
  <c r="HZ34" i="4"/>
  <c r="NF20" i="4"/>
  <c r="HZ20" i="4"/>
  <c r="SQ20" i="4"/>
  <c r="QZ5" i="4"/>
  <c r="QZ6" i="4" s="1"/>
  <c r="QZ7" i="4" s="1"/>
  <c r="QZ8" i="4" s="1"/>
  <c r="QZ9" i="4" s="1"/>
  <c r="QZ10" i="4" s="1"/>
  <c r="QZ11" i="4" s="1"/>
  <c r="QZ12" i="4" s="1"/>
  <c r="QZ13" i="4" s="1"/>
  <c r="QZ14" i="4" s="1"/>
  <c r="QZ15" i="4" s="1"/>
  <c r="QZ16" i="4" s="1"/>
  <c r="QZ17" i="4" s="1"/>
  <c r="QZ18" i="4" s="1"/>
  <c r="QZ19" i="4" s="1"/>
  <c r="QZ20" i="4" s="1"/>
  <c r="QZ21" i="4" s="1"/>
  <c r="QZ22" i="4" s="1"/>
  <c r="QZ23" i="4" s="1"/>
  <c r="QZ24" i="4" s="1"/>
  <c r="QZ25" i="4" s="1"/>
  <c r="QZ26" i="4" s="1"/>
  <c r="QZ27" i="4" s="1"/>
  <c r="QZ28" i="4" s="1"/>
  <c r="QZ29" i="4" s="1"/>
  <c r="QZ30" i="4" s="1"/>
  <c r="QZ31" i="4" s="1"/>
  <c r="QZ32" i="4" s="1"/>
  <c r="QZ33" i="4" s="1"/>
  <c r="QZ34" i="4" s="1"/>
  <c r="QZ35" i="4" s="1"/>
  <c r="QZ36" i="4" s="1"/>
  <c r="QZ37" i="4" s="1"/>
  <c r="QZ38" i="4" s="1"/>
  <c r="QZ39" i="4" s="1"/>
  <c r="QZ40" i="4" s="1"/>
  <c r="CG5" i="4"/>
  <c r="CG9" i="4"/>
  <c r="CG13" i="4"/>
  <c r="CG18" i="4"/>
  <c r="CG21" i="4"/>
  <c r="CG26" i="4"/>
  <c r="CG29" i="4"/>
  <c r="CG34" i="4"/>
  <c r="CG38" i="4"/>
  <c r="AT4" i="3"/>
  <c r="AT28" i="3"/>
  <c r="AT32" i="3"/>
  <c r="AT36" i="3"/>
  <c r="AT40" i="3"/>
  <c r="BH12" i="4"/>
  <c r="BH28" i="4"/>
  <c r="BH5" i="4"/>
  <c r="BH19" i="4"/>
  <c r="BH37" i="4"/>
  <c r="BH20" i="4"/>
  <c r="BH34" i="4"/>
  <c r="BH14" i="4"/>
  <c r="BH29" i="4"/>
  <c r="DA5" i="4"/>
  <c r="DA25" i="4"/>
  <c r="DA37" i="4"/>
  <c r="DA18" i="4"/>
  <c r="DA34" i="4"/>
  <c r="DA15" i="4"/>
  <c r="DA30" i="4"/>
  <c r="DA8" i="4"/>
  <c r="DA22" i="4"/>
  <c r="DA40" i="4"/>
  <c r="AR26" i="3"/>
  <c r="AR7" i="3"/>
  <c r="AR27" i="3"/>
  <c r="AR39" i="3"/>
  <c r="MX22" i="4"/>
  <c r="HR22" i="4"/>
  <c r="SI22" i="4"/>
  <c r="R17" i="2"/>
  <c r="F17" i="2"/>
  <c r="AG17" i="2"/>
  <c r="AC17" i="2"/>
  <c r="Y17" i="2"/>
  <c r="U17" i="2"/>
  <c r="Q17" i="2"/>
  <c r="M17" i="2"/>
  <c r="I17" i="2"/>
  <c r="E17" i="2"/>
  <c r="A17" i="2"/>
  <c r="AF17" i="2"/>
  <c r="AB17" i="2"/>
  <c r="X17" i="2"/>
  <c r="T17" i="2"/>
  <c r="P17" i="2"/>
  <c r="L17" i="2"/>
  <c r="H17" i="2"/>
  <c r="D17" i="2"/>
  <c r="BK16" i="2"/>
  <c r="AI17" i="2"/>
  <c r="AE17" i="2"/>
  <c r="AA17" i="2"/>
  <c r="W17" i="2"/>
  <c r="S17" i="2"/>
  <c r="O17" i="2"/>
  <c r="K17" i="2"/>
  <c r="G17" i="2"/>
  <c r="C17" i="2"/>
  <c r="AH17" i="2"/>
  <c r="AD17" i="2"/>
  <c r="Z17" i="2"/>
  <c r="V17" i="2"/>
  <c r="N17" i="2"/>
  <c r="J17" i="2"/>
  <c r="B17" i="2"/>
  <c r="AG51" i="2"/>
  <c r="U51" i="2"/>
  <c r="I51" i="2"/>
  <c r="Y51" i="2"/>
  <c r="M51" i="2"/>
  <c r="A51" i="2"/>
  <c r="AF51" i="2"/>
  <c r="AB51" i="2"/>
  <c r="X51" i="2"/>
  <c r="T51" i="2"/>
  <c r="P51" i="2"/>
  <c r="L51" i="2"/>
  <c r="H51" i="2"/>
  <c r="D51" i="2"/>
  <c r="AI51" i="2"/>
  <c r="AE51" i="2"/>
  <c r="AA51" i="2"/>
  <c r="W51" i="2"/>
  <c r="S51" i="2"/>
  <c r="O51" i="2"/>
  <c r="K51" i="2"/>
  <c r="G51" i="2"/>
  <c r="C51" i="2"/>
  <c r="BK50" i="2"/>
  <c r="AH51" i="2"/>
  <c r="AD51" i="2"/>
  <c r="Z51" i="2"/>
  <c r="V51" i="2"/>
  <c r="R51" i="2"/>
  <c r="N51" i="2"/>
  <c r="J51" i="2"/>
  <c r="F51" i="2"/>
  <c r="B51" i="2"/>
  <c r="AC51" i="2"/>
  <c r="Q51" i="2"/>
  <c r="E51" i="2"/>
  <c r="AD14" i="2"/>
  <c r="R14" i="2"/>
  <c r="J14" i="2"/>
  <c r="B14" i="2"/>
  <c r="AG14" i="2"/>
  <c r="Y14" i="2"/>
  <c r="Q14" i="2"/>
  <c r="E14" i="2"/>
  <c r="AF14" i="2"/>
  <c r="AB14" i="2"/>
  <c r="X14" i="2"/>
  <c r="T14" i="2"/>
  <c r="P14" i="2"/>
  <c r="L14" i="2"/>
  <c r="H14" i="2"/>
  <c r="D14" i="2"/>
  <c r="BK13" i="2"/>
  <c r="AI14" i="2"/>
  <c r="AE14" i="2"/>
  <c r="AA14" i="2"/>
  <c r="W14" i="2"/>
  <c r="S14" i="2"/>
  <c r="O14" i="2"/>
  <c r="K14" i="2"/>
  <c r="G14" i="2"/>
  <c r="C14" i="2"/>
  <c r="AH14" i="2"/>
  <c r="Z14" i="2"/>
  <c r="V14" i="2"/>
  <c r="N14" i="2"/>
  <c r="F14" i="2"/>
  <c r="AC14" i="2"/>
  <c r="U14" i="2"/>
  <c r="M14" i="2"/>
  <c r="I14" i="2"/>
  <c r="A14" i="2"/>
  <c r="AG34" i="2"/>
  <c r="AC34" i="2"/>
  <c r="U34" i="2"/>
  <c r="M34" i="2"/>
  <c r="E34" i="2"/>
  <c r="AF34" i="2"/>
  <c r="AB34" i="2"/>
  <c r="X34" i="2"/>
  <c r="T34" i="2"/>
  <c r="P34" i="2"/>
  <c r="L34" i="2"/>
  <c r="H34" i="2"/>
  <c r="D34" i="2"/>
  <c r="BK33" i="2"/>
  <c r="AI34" i="2"/>
  <c r="AE34" i="2"/>
  <c r="AA34" i="2"/>
  <c r="W34" i="2"/>
  <c r="S34" i="2"/>
  <c r="O34" i="2"/>
  <c r="K34" i="2"/>
  <c r="G34" i="2"/>
  <c r="C34" i="2"/>
  <c r="AH34" i="2"/>
  <c r="AD34" i="2"/>
  <c r="Z34" i="2"/>
  <c r="V34" i="2"/>
  <c r="R34" i="2"/>
  <c r="N34" i="2"/>
  <c r="J34" i="2"/>
  <c r="F34" i="2"/>
  <c r="B34" i="2"/>
  <c r="Y34" i="2"/>
  <c r="Q34" i="2"/>
  <c r="I34" i="2"/>
  <c r="A34" i="2"/>
  <c r="AG15" i="2"/>
  <c r="U15" i="2"/>
  <c r="I15" i="2"/>
  <c r="A15" i="2"/>
  <c r="BK14" i="2"/>
  <c r="AI15" i="2"/>
  <c r="AE15" i="2"/>
  <c r="AA15" i="2"/>
  <c r="W15" i="2"/>
  <c r="S15" i="2"/>
  <c r="O15" i="2"/>
  <c r="K15" i="2"/>
  <c r="G15" i="2"/>
  <c r="C15" i="2"/>
  <c r="AH15" i="2"/>
  <c r="AD15" i="2"/>
  <c r="Z15" i="2"/>
  <c r="V15" i="2"/>
  <c r="R15" i="2"/>
  <c r="N15" i="2"/>
  <c r="J15" i="2"/>
  <c r="F15" i="2"/>
  <c r="B15" i="2"/>
  <c r="AC15" i="2"/>
  <c r="Y15" i="2"/>
  <c r="Q15" i="2"/>
  <c r="M15" i="2"/>
  <c r="E15" i="2"/>
  <c r="AF15" i="2"/>
  <c r="AB15" i="2"/>
  <c r="X15" i="2"/>
  <c r="T15" i="2"/>
  <c r="P15" i="2"/>
  <c r="L15" i="2"/>
  <c r="H15" i="2"/>
  <c r="D15" i="2"/>
  <c r="AF31" i="2"/>
  <c r="BK30" i="2"/>
  <c r="AI31" i="2"/>
  <c r="AE31" i="2"/>
  <c r="AA31" i="2"/>
  <c r="W31" i="2"/>
  <c r="S31" i="2"/>
  <c r="O31" i="2"/>
  <c r="K31" i="2"/>
  <c r="G31" i="2"/>
  <c r="C31" i="2"/>
  <c r="AH31" i="2"/>
  <c r="AD31" i="2"/>
  <c r="Z31" i="2"/>
  <c r="V31" i="2"/>
  <c r="R31" i="2"/>
  <c r="N31" i="2"/>
  <c r="J31" i="2"/>
  <c r="F31" i="2"/>
  <c r="B31" i="2"/>
  <c r="AG31" i="2"/>
  <c r="AC31" i="2"/>
  <c r="Y31" i="2"/>
  <c r="U31" i="2"/>
  <c r="Q31" i="2"/>
  <c r="M31" i="2"/>
  <c r="I31" i="2"/>
  <c r="E31" i="2"/>
  <c r="A31" i="2"/>
  <c r="AB31" i="2"/>
  <c r="X31" i="2"/>
  <c r="T31" i="2"/>
  <c r="P31" i="2"/>
  <c r="L31" i="2"/>
  <c r="H31" i="2"/>
  <c r="D31" i="2"/>
  <c r="AF16" i="2"/>
  <c r="D16" i="2"/>
  <c r="O16" i="2"/>
  <c r="C16" i="2"/>
  <c r="W16" i="2"/>
  <c r="AH16" i="2"/>
  <c r="AD16" i="2"/>
  <c r="Z16" i="2"/>
  <c r="V16" i="2"/>
  <c r="R16" i="2"/>
  <c r="N16" i="2"/>
  <c r="J16" i="2"/>
  <c r="F16" i="2"/>
  <c r="B16" i="2"/>
  <c r="AG16" i="2"/>
  <c r="AC16" i="2"/>
  <c r="Y16" i="2"/>
  <c r="U16" i="2"/>
  <c r="Q16" i="2"/>
  <c r="M16" i="2"/>
  <c r="I16" i="2"/>
  <c r="E16" i="2"/>
  <c r="A16" i="2"/>
  <c r="AB16" i="2"/>
  <c r="X16" i="2"/>
  <c r="T16" i="2"/>
  <c r="P16" i="2"/>
  <c r="L16" i="2"/>
  <c r="H16" i="2"/>
  <c r="BK15" i="2"/>
  <c r="AI16" i="2"/>
  <c r="AE16" i="2"/>
  <c r="AA16" i="2"/>
  <c r="S16" i="2"/>
  <c r="K16" i="2"/>
  <c r="G16" i="2"/>
  <c r="W32" i="2"/>
  <c r="O32" i="2"/>
  <c r="G32" i="2"/>
  <c r="AH32" i="2"/>
  <c r="AD32" i="2"/>
  <c r="Z32" i="2"/>
  <c r="V32" i="2"/>
  <c r="R32" i="2"/>
  <c r="N32" i="2"/>
  <c r="J32" i="2"/>
  <c r="F32" i="2"/>
  <c r="B32" i="2"/>
  <c r="AG32" i="2"/>
  <c r="AC32" i="2"/>
  <c r="Y32" i="2"/>
  <c r="U32" i="2"/>
  <c r="Q32" i="2"/>
  <c r="M32" i="2"/>
  <c r="I32" i="2"/>
  <c r="E32" i="2"/>
  <c r="A32" i="2"/>
  <c r="AF32" i="2"/>
  <c r="AB32" i="2"/>
  <c r="X32" i="2"/>
  <c r="T32" i="2"/>
  <c r="P32" i="2"/>
  <c r="L32" i="2"/>
  <c r="H32" i="2"/>
  <c r="D32" i="2"/>
  <c r="BK31" i="2"/>
  <c r="AI32" i="2"/>
  <c r="AE32" i="2"/>
  <c r="AA32" i="2"/>
  <c r="S32" i="2"/>
  <c r="K32" i="2"/>
  <c r="C32" i="2"/>
  <c r="R25" i="2"/>
  <c r="F25" i="2"/>
  <c r="AH25" i="2"/>
  <c r="AD25" i="2"/>
  <c r="Z25" i="2"/>
  <c r="V25" i="2"/>
  <c r="N25" i="2"/>
  <c r="J25" i="2"/>
  <c r="B25" i="2"/>
  <c r="AG25" i="2"/>
  <c r="AC25" i="2"/>
  <c r="Y25" i="2"/>
  <c r="U25" i="2"/>
  <c r="Q25" i="2"/>
  <c r="M25" i="2"/>
  <c r="I25" i="2"/>
  <c r="E25" i="2"/>
  <c r="A25" i="2"/>
  <c r="AF25" i="2"/>
  <c r="AB25" i="2"/>
  <c r="X25" i="2"/>
  <c r="T25" i="2"/>
  <c r="P25" i="2"/>
  <c r="L25" i="2"/>
  <c r="H25" i="2"/>
  <c r="D25" i="2"/>
  <c r="BK24" i="2"/>
  <c r="AI25" i="2"/>
  <c r="AE25" i="2"/>
  <c r="AA25" i="2"/>
  <c r="W25" i="2"/>
  <c r="S25" i="2"/>
  <c r="O25" i="2"/>
  <c r="K25" i="2"/>
  <c r="G25" i="2"/>
  <c r="C25" i="2"/>
  <c r="AG46" i="2"/>
  <c r="M46" i="2"/>
  <c r="A46" i="2"/>
  <c r="Y46" i="2"/>
  <c r="Q46" i="2"/>
  <c r="E46" i="2"/>
  <c r="AF46" i="2"/>
  <c r="AB46" i="2"/>
  <c r="X46" i="2"/>
  <c r="T46" i="2"/>
  <c r="P46" i="2"/>
  <c r="L46" i="2"/>
  <c r="H46" i="2"/>
  <c r="D46" i="2"/>
  <c r="AI46" i="2"/>
  <c r="AE46" i="2"/>
  <c r="AA46" i="2"/>
  <c r="W46" i="2"/>
  <c r="S46" i="2"/>
  <c r="O46" i="2"/>
  <c r="K46" i="2"/>
  <c r="G46" i="2"/>
  <c r="C46" i="2"/>
  <c r="BK45" i="2"/>
  <c r="AH46" i="2"/>
  <c r="AD46" i="2"/>
  <c r="Z46" i="2"/>
  <c r="V46" i="2"/>
  <c r="R46" i="2"/>
  <c r="N46" i="2"/>
  <c r="J46" i="2"/>
  <c r="F46" i="2"/>
  <c r="B46" i="2"/>
  <c r="AC46" i="2"/>
  <c r="U46" i="2"/>
  <c r="I46" i="2"/>
  <c r="AG53" i="2"/>
  <c r="U53" i="2"/>
  <c r="I53" i="2"/>
  <c r="AC53" i="2"/>
  <c r="Q53" i="2"/>
  <c r="E53" i="2"/>
  <c r="AF53" i="2"/>
  <c r="AB53" i="2"/>
  <c r="X53" i="2"/>
  <c r="T53" i="2"/>
  <c r="P53" i="2"/>
  <c r="L53" i="2"/>
  <c r="H53" i="2"/>
  <c r="D53" i="2"/>
  <c r="AI53" i="2"/>
  <c r="AE53" i="2"/>
  <c r="AA53" i="2"/>
  <c r="W53" i="2"/>
  <c r="S53" i="2"/>
  <c r="O53" i="2"/>
  <c r="K53" i="2"/>
  <c r="G53" i="2"/>
  <c r="C53" i="2"/>
  <c r="BK52" i="2"/>
  <c r="AH53" i="2"/>
  <c r="AD53" i="2"/>
  <c r="Z53" i="2"/>
  <c r="V53" i="2"/>
  <c r="R53" i="2"/>
  <c r="N53" i="2"/>
  <c r="J53" i="2"/>
  <c r="F53" i="2"/>
  <c r="B53" i="2"/>
  <c r="Y53" i="2"/>
  <c r="M53" i="2"/>
  <c r="A53" i="2"/>
  <c r="AG44" i="2"/>
  <c r="U44" i="2"/>
  <c r="I44" i="2"/>
  <c r="Y44" i="2"/>
  <c r="M44" i="2"/>
  <c r="A44" i="2"/>
  <c r="AF44" i="2"/>
  <c r="AB44" i="2"/>
  <c r="X44" i="2"/>
  <c r="T44" i="2"/>
  <c r="P44" i="2"/>
  <c r="L44" i="2"/>
  <c r="H44" i="2"/>
  <c r="D44" i="2"/>
  <c r="AI44" i="2"/>
  <c r="AE44" i="2"/>
  <c r="AA44" i="2"/>
  <c r="W44" i="2"/>
  <c r="S44" i="2"/>
  <c r="O44" i="2"/>
  <c r="K44" i="2"/>
  <c r="G44" i="2"/>
  <c r="C44" i="2"/>
  <c r="BK43" i="2"/>
  <c r="AH44" i="2"/>
  <c r="AD44" i="2"/>
  <c r="Z44" i="2"/>
  <c r="V44" i="2"/>
  <c r="R44" i="2"/>
  <c r="N44" i="2"/>
  <c r="J44" i="2"/>
  <c r="F44" i="2"/>
  <c r="B44" i="2"/>
  <c r="AC44" i="2"/>
  <c r="Q44" i="2"/>
  <c r="E44" i="2"/>
  <c r="TO36" i="4"/>
  <c r="OD36" i="4"/>
  <c r="IX36" i="4"/>
  <c r="OD20" i="4"/>
  <c r="IX20" i="4"/>
  <c r="TO20" i="4"/>
  <c r="TO4" i="4"/>
  <c r="TP4" i="4" s="1"/>
  <c r="IX4" i="4"/>
  <c r="IY4" i="4" s="1"/>
  <c r="OD4" i="4"/>
  <c r="OE4" i="4" s="1"/>
  <c r="BY4" i="3"/>
  <c r="FB36" i="4"/>
  <c r="NR28" i="4"/>
  <c r="IL28" i="4"/>
  <c r="TC28" i="4"/>
  <c r="SQ30" i="4"/>
  <c r="NF30" i="4"/>
  <c r="HZ30" i="4"/>
  <c r="SQ9" i="4"/>
  <c r="NF9" i="4"/>
  <c r="HZ9" i="4"/>
  <c r="NR26" i="4"/>
  <c r="IL26" i="4"/>
  <c r="TC26" i="4"/>
  <c r="NR39" i="4"/>
  <c r="IL39" i="4"/>
  <c r="TC39" i="4"/>
  <c r="NB27" i="4"/>
  <c r="HV27" i="4"/>
  <c r="SM27" i="4"/>
  <c r="NB11" i="4"/>
  <c r="HV11" i="4"/>
  <c r="SM11" i="4"/>
  <c r="SN5" i="4"/>
  <c r="SN6" i="4" s="1"/>
  <c r="SN7" i="4" s="1"/>
  <c r="SN8" i="4" s="1"/>
  <c r="SN9" i="4" s="1"/>
  <c r="SN10" i="4" s="1"/>
  <c r="HD42" i="4"/>
  <c r="HD41" i="4"/>
  <c r="HD40" i="4"/>
  <c r="HD38" i="4"/>
  <c r="HD36" i="4"/>
  <c r="HD35" i="4"/>
  <c r="HD34" i="4"/>
  <c r="HD33" i="4"/>
  <c r="HD32" i="4"/>
  <c r="HD30" i="4"/>
  <c r="HD29" i="4"/>
  <c r="HD28" i="4"/>
  <c r="HD26" i="4"/>
  <c r="HD25" i="4"/>
  <c r="HD23" i="4"/>
  <c r="HD21" i="4"/>
  <c r="HD24" i="4"/>
  <c r="HD19" i="4"/>
  <c r="HD20" i="4"/>
  <c r="HD17" i="4"/>
  <c r="HD16" i="4"/>
  <c r="HD14" i="4"/>
  <c r="HD8" i="4"/>
  <c r="HD13" i="4"/>
  <c r="HD11" i="4"/>
  <c r="HD10" i="4"/>
  <c r="HD9" i="4"/>
  <c r="HC5" i="4"/>
  <c r="HC6" i="4" s="1"/>
  <c r="HC7" i="4" s="1"/>
  <c r="HC8" i="4" s="1"/>
  <c r="HC9" i="4" s="1"/>
  <c r="HC10" i="4" s="1"/>
  <c r="HC11" i="4" s="1"/>
  <c r="HC12" i="4" s="1"/>
  <c r="HC13" i="4" s="1"/>
  <c r="HC14" i="4" s="1"/>
  <c r="HC15" i="4" s="1"/>
  <c r="HC16" i="4" s="1"/>
  <c r="HC17" i="4" s="1"/>
  <c r="HC18" i="4" s="1"/>
  <c r="HC19" i="4" s="1"/>
  <c r="HC20" i="4" s="1"/>
  <c r="HC21" i="4" s="1"/>
  <c r="HC22" i="4" s="1"/>
  <c r="HC23" i="4" s="1"/>
  <c r="HC24" i="4" s="1"/>
  <c r="HC25" i="4" s="1"/>
  <c r="HC26" i="4" s="1"/>
  <c r="HC27" i="4" s="1"/>
  <c r="HC28" i="4" s="1"/>
  <c r="HC29" i="4" s="1"/>
  <c r="HC30" i="4" s="1"/>
  <c r="HC31" i="4" s="1"/>
  <c r="HC32" i="4" s="1"/>
  <c r="HC33" i="4" s="1"/>
  <c r="HC34" i="4" s="1"/>
  <c r="HC35" i="4" s="1"/>
  <c r="HC36" i="4" s="1"/>
  <c r="HC37" i="4" s="1"/>
  <c r="HC38" i="4" s="1"/>
  <c r="HC39" i="4" s="1"/>
  <c r="HC40" i="4" s="1"/>
  <c r="HD7" i="4"/>
  <c r="HD6" i="4"/>
  <c r="HD5" i="4"/>
  <c r="HD4" i="4"/>
  <c r="QV7" i="4"/>
  <c r="QV8" i="4" s="1"/>
  <c r="QV9" i="4" s="1"/>
  <c r="QV10" i="4" s="1"/>
  <c r="QV11" i="4" s="1"/>
  <c r="QV12" i="4" s="1"/>
  <c r="QV13" i="4" s="1"/>
  <c r="QV14" i="4" s="1"/>
  <c r="QV15" i="4" s="1"/>
  <c r="QV16" i="4" s="1"/>
  <c r="QV17" i="4" s="1"/>
  <c r="QV18" i="4" s="1"/>
  <c r="QV19" i="4" s="1"/>
  <c r="QV20" i="4" s="1"/>
  <c r="QV21" i="4" s="1"/>
  <c r="QV22" i="4" s="1"/>
  <c r="QV23" i="4" s="1"/>
  <c r="QV24" i="4" s="1"/>
  <c r="QV25" i="4" s="1"/>
  <c r="QV26" i="4" s="1"/>
  <c r="QV27" i="4" s="1"/>
  <c r="QV28" i="4" s="1"/>
  <c r="QV29" i="4" s="1"/>
  <c r="QV30" i="4" s="1"/>
  <c r="QV31" i="4" s="1"/>
  <c r="QV32" i="4" s="1"/>
  <c r="QV33" i="4" s="1"/>
  <c r="QV34" i="4" s="1"/>
  <c r="QV35" i="4" s="1"/>
  <c r="QV36" i="4" s="1"/>
  <c r="QV37" i="4" s="1"/>
  <c r="QV38" i="4" s="1"/>
  <c r="QV39" i="4" s="1"/>
  <c r="QV40" i="4" s="1"/>
  <c r="QW8" i="4"/>
  <c r="QW11" i="4"/>
  <c r="QW17" i="4"/>
  <c r="QW23" i="4"/>
  <c r="QW27" i="4"/>
  <c r="QW35" i="4"/>
  <c r="QW39" i="4"/>
  <c r="PB26" i="4"/>
  <c r="JV26" i="4"/>
  <c r="UM26" i="4"/>
  <c r="PB11" i="4"/>
  <c r="JV11" i="4"/>
  <c r="UM11" i="4"/>
  <c r="SI33" i="4"/>
  <c r="MX33" i="4"/>
  <c r="HR33" i="4"/>
  <c r="SI17" i="4"/>
  <c r="MX17" i="4"/>
  <c r="HR17" i="4"/>
  <c r="ML39" i="4"/>
  <c r="HF39" i="4"/>
  <c r="RW39" i="4"/>
  <c r="ML22" i="4"/>
  <c r="HF22" i="4"/>
  <c r="RW22" i="4"/>
  <c r="BD41" i="3"/>
  <c r="BD40" i="3"/>
  <c r="BD37" i="3"/>
  <c r="BD36" i="3"/>
  <c r="BD25" i="3"/>
  <c r="BD21" i="3"/>
  <c r="BD14" i="3"/>
  <c r="BD13" i="3"/>
  <c r="BD10" i="3"/>
  <c r="BD9" i="3"/>
  <c r="BD6" i="3"/>
  <c r="BD32" i="3"/>
  <c r="BD22" i="3"/>
  <c r="BD18" i="3"/>
  <c r="BD19" i="3"/>
  <c r="BD17" i="3"/>
  <c r="BD33" i="3"/>
  <c r="BD31" i="3"/>
  <c r="BD24" i="3"/>
  <c r="BD20" i="3"/>
  <c r="BC5" i="3"/>
  <c r="BC6" i="3" s="1"/>
  <c r="BC7" i="3" s="1"/>
  <c r="BC8" i="3" s="1"/>
  <c r="BC9" i="3" s="1"/>
  <c r="BC10" i="3" s="1"/>
  <c r="BC11" i="3" s="1"/>
  <c r="BC12" i="3" s="1"/>
  <c r="BC13" i="3" s="1"/>
  <c r="BC14" i="3" s="1"/>
  <c r="BC15" i="3" s="1"/>
  <c r="BC16" i="3" s="1"/>
  <c r="BC17" i="3" s="1"/>
  <c r="BC18" i="3" s="1"/>
  <c r="BC19" i="3" s="1"/>
  <c r="BC20" i="3" s="1"/>
  <c r="BC21" i="3" s="1"/>
  <c r="BC22" i="3" s="1"/>
  <c r="BC23" i="3" s="1"/>
  <c r="BC24" i="3" s="1"/>
  <c r="BC25" i="3" s="1"/>
  <c r="BC26" i="3" s="1"/>
  <c r="BC27" i="3" s="1"/>
  <c r="BC28" i="3" s="1"/>
  <c r="BC29" i="3" s="1"/>
  <c r="BC30" i="3" s="1"/>
  <c r="BC31" i="3" s="1"/>
  <c r="BC32" i="3" s="1"/>
  <c r="BC33" i="3" s="1"/>
  <c r="BC34" i="3" s="1"/>
  <c r="BC35" i="3" s="1"/>
  <c r="BC36" i="3" s="1"/>
  <c r="BC37" i="3" s="1"/>
  <c r="BC38" i="3" s="1"/>
  <c r="BC39" i="3" s="1"/>
  <c r="BC40" i="3" s="1"/>
  <c r="BC41" i="3" s="1"/>
  <c r="BC42" i="3" s="1"/>
  <c r="OD39" i="4"/>
  <c r="IX39" i="4"/>
  <c r="TO39" i="4"/>
  <c r="OD23" i="4"/>
  <c r="IX23" i="4"/>
  <c r="TO23" i="4"/>
  <c r="TO7" i="4"/>
  <c r="OD7" i="4"/>
  <c r="IX7" i="4"/>
  <c r="FB31" i="4"/>
  <c r="BN42" i="3"/>
  <c r="BN39" i="3"/>
  <c r="BN38" i="3"/>
  <c r="BN35" i="3"/>
  <c r="BN34" i="3"/>
  <c r="BN31" i="3"/>
  <c r="BN30" i="3"/>
  <c r="BN22" i="3"/>
  <c r="BN18" i="3"/>
  <c r="BN27" i="3"/>
  <c r="BN23" i="3"/>
  <c r="BM5" i="3"/>
  <c r="BM6" i="3" s="1"/>
  <c r="BM7" i="3" s="1"/>
  <c r="BM8" i="3" s="1"/>
  <c r="BM9" i="3" s="1"/>
  <c r="BM10" i="3" s="1"/>
  <c r="BM11" i="3" s="1"/>
  <c r="BM12" i="3" s="1"/>
  <c r="BM13" i="3" s="1"/>
  <c r="BM14" i="3" s="1"/>
  <c r="BM15" i="3" s="1"/>
  <c r="BM16" i="3" s="1"/>
  <c r="BM17" i="3" s="1"/>
  <c r="BM18" i="3" s="1"/>
  <c r="BM19" i="3" s="1"/>
  <c r="BM20" i="3" s="1"/>
  <c r="BM21" i="3" s="1"/>
  <c r="BM22" i="3" s="1"/>
  <c r="BM23" i="3" s="1"/>
  <c r="BM24" i="3" s="1"/>
  <c r="BM25" i="3" s="1"/>
  <c r="BM26" i="3" s="1"/>
  <c r="BM27" i="3" s="1"/>
  <c r="BM28" i="3" s="1"/>
  <c r="BM29" i="3" s="1"/>
  <c r="BM30" i="3" s="1"/>
  <c r="BM31" i="3" s="1"/>
  <c r="BM32" i="3" s="1"/>
  <c r="BM33" i="3" s="1"/>
  <c r="BM34" i="3" s="1"/>
  <c r="BM35" i="3" s="1"/>
  <c r="BM36" i="3" s="1"/>
  <c r="BM37" i="3" s="1"/>
  <c r="BM38" i="3" s="1"/>
  <c r="BM39" i="3" s="1"/>
  <c r="BM40" i="3" s="1"/>
  <c r="BM41" i="3" s="1"/>
  <c r="BM42" i="3" s="1"/>
  <c r="BN28" i="3"/>
  <c r="BN24" i="3"/>
  <c r="BN17" i="3"/>
  <c r="BN16" i="3"/>
  <c r="BN15" i="3"/>
  <c r="BN13" i="3"/>
  <c r="BN12" i="3"/>
  <c r="BN11" i="3"/>
  <c r="BN9" i="3"/>
  <c r="BN8" i="3"/>
  <c r="BN7" i="3"/>
  <c r="BN25" i="3"/>
  <c r="BN21" i="3"/>
  <c r="UA6" i="4"/>
  <c r="OP6" i="4"/>
  <c r="JJ6" i="4"/>
  <c r="OP10" i="4"/>
  <c r="JJ10" i="4"/>
  <c r="UA10" i="4"/>
  <c r="OP13" i="4"/>
  <c r="JJ13" i="4"/>
  <c r="UA13" i="4"/>
  <c r="UA18" i="4"/>
  <c r="OP18" i="4"/>
  <c r="JJ18" i="4"/>
  <c r="OP21" i="4"/>
  <c r="JJ21" i="4"/>
  <c r="UA21" i="4"/>
  <c r="OP26" i="4"/>
  <c r="JJ26" i="4"/>
  <c r="UA26" i="4"/>
  <c r="UA30" i="4"/>
  <c r="OP30" i="4"/>
  <c r="JJ30" i="4"/>
  <c r="UA34" i="4"/>
  <c r="OP34" i="4"/>
  <c r="JJ34" i="4"/>
  <c r="OP38" i="4"/>
  <c r="JJ38" i="4"/>
  <c r="UA38" i="4"/>
  <c r="CD42" i="3"/>
  <c r="CD41" i="3"/>
  <c r="CD38" i="3"/>
  <c r="CD37" i="3"/>
  <c r="CD34" i="3"/>
  <c r="CD33" i="3"/>
  <c r="CD30" i="3"/>
  <c r="CD29" i="3"/>
  <c r="CD18" i="3"/>
  <c r="CD5" i="3"/>
  <c r="CD23" i="3"/>
  <c r="CD19" i="3"/>
  <c r="CC5" i="3"/>
  <c r="CC6" i="3" s="1"/>
  <c r="CC7" i="3" s="1"/>
  <c r="CC8" i="3" s="1"/>
  <c r="CC9" i="3" s="1"/>
  <c r="CC10" i="3" s="1"/>
  <c r="CC11" i="3" s="1"/>
  <c r="CC12" i="3" s="1"/>
  <c r="CC13" i="3" s="1"/>
  <c r="CC14" i="3" s="1"/>
  <c r="CC15" i="3" s="1"/>
  <c r="CC16" i="3" s="1"/>
  <c r="CC17" i="3" s="1"/>
  <c r="CC18" i="3" s="1"/>
  <c r="CC19" i="3" s="1"/>
  <c r="CC20" i="3" s="1"/>
  <c r="CC21" i="3" s="1"/>
  <c r="CC22" i="3" s="1"/>
  <c r="CC23" i="3" s="1"/>
  <c r="CC24" i="3" s="1"/>
  <c r="CC25" i="3" s="1"/>
  <c r="CC26" i="3" s="1"/>
  <c r="CC27" i="3" s="1"/>
  <c r="CC28" i="3" s="1"/>
  <c r="CC29" i="3" s="1"/>
  <c r="CC30" i="3" s="1"/>
  <c r="CC31" i="3" s="1"/>
  <c r="CC32" i="3" s="1"/>
  <c r="CC33" i="3" s="1"/>
  <c r="CC34" i="3" s="1"/>
  <c r="CC35" i="3" s="1"/>
  <c r="CC36" i="3" s="1"/>
  <c r="CC37" i="3" s="1"/>
  <c r="CC38" i="3" s="1"/>
  <c r="CC39" i="3" s="1"/>
  <c r="CC40" i="3" s="1"/>
  <c r="CC41" i="3" s="1"/>
  <c r="CC42" i="3" s="1"/>
  <c r="CD27" i="3" s="1"/>
  <c r="CD28" i="3"/>
  <c r="CD24" i="3"/>
  <c r="CD20" i="3"/>
  <c r="CD16" i="3"/>
  <c r="CD15" i="3"/>
  <c r="CD14" i="3"/>
  <c r="CD13" i="3"/>
  <c r="CD12" i="3"/>
  <c r="CD11" i="3"/>
  <c r="CD10" i="3"/>
  <c r="CD9" i="3"/>
  <c r="CD8" i="3"/>
  <c r="CD7" i="3"/>
  <c r="CD6" i="3"/>
  <c r="CD25" i="3"/>
  <c r="CD21" i="3"/>
  <c r="CD17" i="3"/>
  <c r="UM37" i="4"/>
  <c r="PB37" i="4"/>
  <c r="JV37" i="4"/>
  <c r="UM18" i="4"/>
  <c r="PB18" i="4"/>
  <c r="JV18" i="4"/>
  <c r="UM5" i="4"/>
  <c r="PB5" i="4"/>
  <c r="JV5" i="4"/>
  <c r="SI32" i="4"/>
  <c r="MX32" i="4"/>
  <c r="HR32" i="4"/>
  <c r="SI16" i="4"/>
  <c r="MX16" i="4"/>
  <c r="HR16" i="4"/>
  <c r="ML38" i="4"/>
  <c r="RW38" i="4"/>
  <c r="HF38" i="4"/>
  <c r="ML21" i="4"/>
  <c r="HF21" i="4"/>
  <c r="RW21" i="4"/>
  <c r="RW7" i="4"/>
  <c r="ML7" i="4"/>
  <c r="HF7" i="4"/>
  <c r="UJ12" i="4"/>
  <c r="UJ13" i="4" s="1"/>
  <c r="UJ14" i="4" s="1"/>
  <c r="UJ15" i="4" s="1"/>
  <c r="UJ16" i="4" s="1"/>
  <c r="UJ17" i="4" s="1"/>
  <c r="UJ18" i="4" s="1"/>
  <c r="UJ19" i="4" s="1"/>
  <c r="UJ20" i="4" s="1"/>
  <c r="UJ21" i="4" s="1"/>
  <c r="UJ22" i="4" s="1"/>
  <c r="UJ23" i="4" s="1"/>
  <c r="UJ24" i="4" s="1"/>
  <c r="UJ25" i="4" s="1"/>
  <c r="UJ26" i="4" s="1"/>
  <c r="UJ27" i="4" s="1"/>
  <c r="UJ28" i="4" s="1"/>
  <c r="UJ29" i="4" s="1"/>
  <c r="UJ30" i="4" s="1"/>
  <c r="UJ31" i="4" s="1"/>
  <c r="UJ32" i="4" s="1"/>
  <c r="UJ33" i="4" s="1"/>
  <c r="UJ34" i="4" s="1"/>
  <c r="UJ35" i="4" s="1"/>
  <c r="UJ36" i="4" s="1"/>
  <c r="UJ37" i="4" s="1"/>
  <c r="UJ38" i="4" s="1"/>
  <c r="UJ39" i="4" s="1"/>
  <c r="UJ40" i="4" s="1"/>
  <c r="UE5" i="4"/>
  <c r="JN5" i="4"/>
  <c r="OT5" i="4"/>
  <c r="UE9" i="4"/>
  <c r="JN9" i="4"/>
  <c r="OT9" i="4"/>
  <c r="OT13" i="4"/>
  <c r="JN13" i="4"/>
  <c r="UE13" i="4"/>
  <c r="UE17" i="4"/>
  <c r="OT17" i="4"/>
  <c r="JN17" i="4"/>
  <c r="OT21" i="4"/>
  <c r="JN21" i="4"/>
  <c r="UE21" i="4"/>
  <c r="OT25" i="4"/>
  <c r="JN25" i="4"/>
  <c r="UE25" i="4"/>
  <c r="UE29" i="4"/>
  <c r="JN29" i="4"/>
  <c r="OT29" i="4"/>
  <c r="UE33" i="4"/>
  <c r="OT33" i="4"/>
  <c r="JN33" i="4"/>
  <c r="UE37" i="4"/>
  <c r="OT37" i="4"/>
  <c r="JN37" i="4"/>
  <c r="OD38" i="4"/>
  <c r="IX38" i="4"/>
  <c r="TO38" i="4"/>
  <c r="OD22" i="4"/>
  <c r="IX22" i="4"/>
  <c r="TO22" i="4"/>
  <c r="TO6" i="4"/>
  <c r="OD6" i="4"/>
  <c r="IX6" i="4"/>
  <c r="BM7" i="4"/>
  <c r="BM16" i="4"/>
  <c r="BM14" i="4"/>
  <c r="BM19" i="4"/>
  <c r="BM21" i="4"/>
  <c r="BM27" i="4"/>
  <c r="BM29" i="4"/>
  <c r="BM36" i="4"/>
  <c r="BM39" i="4"/>
  <c r="FB30" i="4"/>
  <c r="FB14" i="4"/>
  <c r="PX36" i="4"/>
  <c r="PX19" i="4"/>
  <c r="PX7" i="4"/>
  <c r="NF39" i="4"/>
  <c r="HZ39" i="4"/>
  <c r="SQ39" i="4"/>
  <c r="NF22" i="4"/>
  <c r="HZ22" i="4"/>
  <c r="SQ22" i="4"/>
  <c r="SQ8" i="4"/>
  <c r="NF8" i="4"/>
  <c r="HZ8" i="4"/>
  <c r="IM5" i="4"/>
  <c r="IM6" i="4" s="1"/>
  <c r="IM7" i="4" s="1"/>
  <c r="PB40" i="4"/>
  <c r="UM40" i="4"/>
  <c r="JV40" i="4"/>
  <c r="PB23" i="4"/>
  <c r="JV23" i="4"/>
  <c r="UM23" i="4"/>
  <c r="UM7" i="4"/>
  <c r="JV7" i="4"/>
  <c r="PB7" i="4"/>
  <c r="SI31" i="4"/>
  <c r="HR31" i="4"/>
  <c r="MX31" i="4"/>
  <c r="SI15" i="4"/>
  <c r="MX15" i="4"/>
  <c r="HR15" i="4"/>
  <c r="QF42" i="4"/>
  <c r="QF41" i="4"/>
  <c r="QF40" i="4"/>
  <c r="QF39" i="4"/>
  <c r="QF38" i="4"/>
  <c r="QF37" i="4"/>
  <c r="QF36" i="4"/>
  <c r="QF35" i="4"/>
  <c r="QF34" i="4"/>
  <c r="QF33" i="4"/>
  <c r="QF31" i="4"/>
  <c r="QF30" i="4"/>
  <c r="QF32" i="4"/>
  <c r="QF29" i="4"/>
  <c r="QF27" i="4"/>
  <c r="QF26" i="4"/>
  <c r="QF25" i="4"/>
  <c r="QF28" i="4"/>
  <c r="QF24" i="4"/>
  <c r="QF23" i="4"/>
  <c r="QF22" i="4"/>
  <c r="QF21" i="4"/>
  <c r="QF18" i="4"/>
  <c r="QF17" i="4"/>
  <c r="QF20" i="4"/>
  <c r="QF19" i="4"/>
  <c r="QF16" i="4"/>
  <c r="QF14" i="4"/>
  <c r="QF15" i="4"/>
  <c r="QF8" i="4"/>
  <c r="QF13" i="4"/>
  <c r="QF12" i="4"/>
  <c r="QF11" i="4"/>
  <c r="QF10" i="4"/>
  <c r="QF9" i="4"/>
  <c r="QF7" i="4"/>
  <c r="QF5" i="4"/>
  <c r="QF4" i="4"/>
  <c r="QF6" i="4"/>
  <c r="QE5" i="4"/>
  <c r="QE6" i="4" s="1"/>
  <c r="QE7" i="4" s="1"/>
  <c r="QE8" i="4" s="1"/>
  <c r="QE9" i="4" s="1"/>
  <c r="QE10" i="4" s="1"/>
  <c r="QE11" i="4" s="1"/>
  <c r="QE12" i="4" s="1"/>
  <c r="QE13" i="4" s="1"/>
  <c r="QE14" i="4" s="1"/>
  <c r="QE15" i="4" s="1"/>
  <c r="QE16" i="4" s="1"/>
  <c r="QE17" i="4" s="1"/>
  <c r="QE18" i="4" s="1"/>
  <c r="QE19" i="4" s="1"/>
  <c r="QE20" i="4" s="1"/>
  <c r="QE21" i="4" s="1"/>
  <c r="QE22" i="4" s="1"/>
  <c r="QE23" i="4" s="1"/>
  <c r="QE24" i="4" s="1"/>
  <c r="QE25" i="4" s="1"/>
  <c r="QE26" i="4" s="1"/>
  <c r="QE27" i="4" s="1"/>
  <c r="QE28" i="4" s="1"/>
  <c r="QE29" i="4" s="1"/>
  <c r="QE30" i="4" s="1"/>
  <c r="QE31" i="4" s="1"/>
  <c r="QE32" i="4" s="1"/>
  <c r="QE33" i="4" s="1"/>
  <c r="QE34" i="4" s="1"/>
  <c r="QE35" i="4" s="1"/>
  <c r="QE36" i="4" s="1"/>
  <c r="QE37" i="4" s="1"/>
  <c r="QE38" i="4" s="1"/>
  <c r="QE39" i="4" s="1"/>
  <c r="QE40" i="4" s="1"/>
  <c r="TC34" i="4"/>
  <c r="NR34" i="4"/>
  <c r="IL34" i="4"/>
  <c r="TC8" i="4"/>
  <c r="NR8" i="4"/>
  <c r="IL8" i="4"/>
  <c r="GJ41" i="4"/>
  <c r="GJ40" i="4"/>
  <c r="GJ37" i="4"/>
  <c r="GJ36" i="4"/>
  <c r="GJ33" i="4"/>
  <c r="GJ31" i="4"/>
  <c r="GJ29" i="4"/>
  <c r="GJ28" i="4"/>
  <c r="GJ25" i="4"/>
  <c r="GJ24" i="4"/>
  <c r="GJ21" i="4"/>
  <c r="GJ20" i="4"/>
  <c r="GJ16" i="4"/>
  <c r="GJ15" i="4"/>
  <c r="GJ13" i="4"/>
  <c r="GJ12" i="4"/>
  <c r="GJ9" i="4"/>
  <c r="GJ8" i="4"/>
  <c r="GJ4" i="4"/>
  <c r="GJ6" i="4"/>
  <c r="GI5" i="4"/>
  <c r="GI6" i="4" s="1"/>
  <c r="GI7" i="4" s="1"/>
  <c r="GI8" i="4" s="1"/>
  <c r="GI9" i="4" s="1"/>
  <c r="GI10" i="4" s="1"/>
  <c r="GI11" i="4" s="1"/>
  <c r="GI12" i="4" s="1"/>
  <c r="GI13" i="4" s="1"/>
  <c r="GI14" i="4" s="1"/>
  <c r="GI15" i="4" s="1"/>
  <c r="GI16" i="4" s="1"/>
  <c r="GI17" i="4" s="1"/>
  <c r="GI18" i="4" s="1"/>
  <c r="GI19" i="4" s="1"/>
  <c r="GI20" i="4" s="1"/>
  <c r="GI21" i="4" s="1"/>
  <c r="GI22" i="4" s="1"/>
  <c r="GI23" i="4" s="1"/>
  <c r="GI24" i="4" s="1"/>
  <c r="GI25" i="4" s="1"/>
  <c r="GI26" i="4" s="1"/>
  <c r="GI27" i="4" s="1"/>
  <c r="GI28" i="4" s="1"/>
  <c r="GI29" i="4" s="1"/>
  <c r="GI30" i="4" s="1"/>
  <c r="GI31" i="4" s="1"/>
  <c r="GI32" i="4" s="1"/>
  <c r="GI33" i="4" s="1"/>
  <c r="GI34" i="4" s="1"/>
  <c r="GI35" i="4" s="1"/>
  <c r="GI36" i="4" s="1"/>
  <c r="GI37" i="4" s="1"/>
  <c r="GI38" i="4" s="1"/>
  <c r="GI39" i="4" s="1"/>
  <c r="GI40" i="4" s="1"/>
  <c r="OD25" i="4"/>
  <c r="IX25" i="4"/>
  <c r="TO25" i="4"/>
  <c r="TO9" i="4"/>
  <c r="IX9" i="4"/>
  <c r="OD9" i="4"/>
  <c r="FB37" i="4"/>
  <c r="FB21" i="4"/>
  <c r="FB5" i="4"/>
  <c r="FC5" i="4" s="1"/>
  <c r="PX39" i="4"/>
  <c r="PX23" i="4"/>
  <c r="PX5" i="4"/>
  <c r="TC19" i="4"/>
  <c r="NR19" i="4"/>
  <c r="IL19" i="4"/>
  <c r="SQ29" i="4"/>
  <c r="NF29" i="4"/>
  <c r="HZ29" i="4"/>
  <c r="SQ16" i="4"/>
  <c r="HZ16" i="4"/>
  <c r="NF16" i="4"/>
  <c r="AY5" i="3"/>
  <c r="AY6" i="3" s="1"/>
  <c r="AY7" i="3" s="1"/>
  <c r="AY8" i="3" s="1"/>
  <c r="AY9" i="3" s="1"/>
  <c r="AY10" i="3" s="1"/>
  <c r="AY11" i="3" s="1"/>
  <c r="AY12" i="3" s="1"/>
  <c r="AY13" i="3" s="1"/>
  <c r="AY14" i="3" s="1"/>
  <c r="AY15" i="3" s="1"/>
  <c r="AY16" i="3" s="1"/>
  <c r="AY17" i="3" s="1"/>
  <c r="AY18" i="3" s="1"/>
  <c r="AY19" i="3" s="1"/>
  <c r="AY20" i="3" s="1"/>
  <c r="AY21" i="3" s="1"/>
  <c r="AY22" i="3" s="1"/>
  <c r="AY23" i="3" s="1"/>
  <c r="AY24" i="3" s="1"/>
  <c r="AY25" i="3" s="1"/>
  <c r="AY26" i="3" s="1"/>
  <c r="AY27" i="3" s="1"/>
  <c r="AY28" i="3" s="1"/>
  <c r="AY29" i="3" s="1"/>
  <c r="AY30" i="3" s="1"/>
  <c r="AY31" i="3" s="1"/>
  <c r="AY32" i="3" s="1"/>
  <c r="AY33" i="3" s="1"/>
  <c r="AY34" i="3" s="1"/>
  <c r="AY35" i="3" s="1"/>
  <c r="AY36" i="3" s="1"/>
  <c r="AY37" i="3" s="1"/>
  <c r="AY38" i="3" s="1"/>
  <c r="AY39" i="3" s="1"/>
  <c r="AY40" i="3" s="1"/>
  <c r="AY41" i="3" s="1"/>
  <c r="AY42" i="3" s="1"/>
  <c r="KQ15" i="4"/>
  <c r="CG6" i="4"/>
  <c r="CG16" i="4"/>
  <c r="CG14" i="4"/>
  <c r="CG19" i="4"/>
  <c r="CG22" i="4"/>
  <c r="CG27" i="4"/>
  <c r="CG31" i="4"/>
  <c r="CG35" i="4"/>
  <c r="CG39" i="4"/>
  <c r="SA15" i="4"/>
  <c r="MP15" i="4"/>
  <c r="HJ15" i="4"/>
  <c r="SA31" i="4"/>
  <c r="MP31" i="4"/>
  <c r="HJ31" i="4"/>
  <c r="SA8" i="4"/>
  <c r="MP8" i="4"/>
  <c r="HJ8" i="4"/>
  <c r="MP23" i="4"/>
  <c r="HJ23" i="4"/>
  <c r="SA23" i="4"/>
  <c r="SA6" i="4"/>
  <c r="MP6" i="4"/>
  <c r="HJ6" i="4"/>
  <c r="SA24" i="4"/>
  <c r="MP24" i="4"/>
  <c r="HJ24" i="4"/>
  <c r="MP38" i="4"/>
  <c r="SA38" i="4"/>
  <c r="HJ38" i="4"/>
  <c r="MP21" i="4"/>
  <c r="HJ21" i="4"/>
  <c r="SA21" i="4"/>
  <c r="SA36" i="4"/>
  <c r="MP36" i="4"/>
  <c r="HJ36" i="4"/>
  <c r="NZ10" i="4"/>
  <c r="IT10" i="4"/>
  <c r="TK10" i="4"/>
  <c r="NZ23" i="4"/>
  <c r="IT23" i="4"/>
  <c r="TK23" i="4"/>
  <c r="TK6" i="4"/>
  <c r="NZ6" i="4"/>
  <c r="IT6" i="4"/>
  <c r="TK24" i="4"/>
  <c r="NZ24" i="4"/>
  <c r="IT24" i="4"/>
  <c r="NZ38" i="4"/>
  <c r="IT38" i="4"/>
  <c r="TK38" i="4"/>
  <c r="TK19" i="4"/>
  <c r="IT19" i="4"/>
  <c r="NZ19" i="4"/>
  <c r="TK35" i="4"/>
  <c r="NZ35" i="4"/>
  <c r="IT35" i="4"/>
  <c r="NZ12" i="4"/>
  <c r="IT12" i="4"/>
  <c r="TK12" i="4"/>
  <c r="NZ28" i="4"/>
  <c r="IT28" i="4"/>
  <c r="TK28" i="4"/>
  <c r="PX40" i="4"/>
  <c r="ML28" i="4"/>
  <c r="HF28" i="4"/>
  <c r="RW28" i="4"/>
  <c r="AR24" i="3"/>
  <c r="UM32" i="4"/>
  <c r="PB32" i="4"/>
  <c r="JV32" i="4"/>
  <c r="ML40" i="4"/>
  <c r="HF40" i="4"/>
  <c r="RW40" i="4"/>
  <c r="AH33" i="2"/>
  <c r="AD33" i="2"/>
  <c r="Z33" i="2"/>
  <c r="V33" i="2"/>
  <c r="R33" i="2"/>
  <c r="N33" i="2"/>
  <c r="F33" i="2"/>
  <c r="AG33" i="2"/>
  <c r="AC33" i="2"/>
  <c r="Y33" i="2"/>
  <c r="U33" i="2"/>
  <c r="Q33" i="2"/>
  <c r="M33" i="2"/>
  <c r="I33" i="2"/>
  <c r="E33" i="2"/>
  <c r="A33" i="2"/>
  <c r="AF33" i="2"/>
  <c r="AB33" i="2"/>
  <c r="X33" i="2"/>
  <c r="T33" i="2"/>
  <c r="P33" i="2"/>
  <c r="L33" i="2"/>
  <c r="H33" i="2"/>
  <c r="D33" i="2"/>
  <c r="BK32" i="2"/>
  <c r="AI33" i="2"/>
  <c r="AE33" i="2"/>
  <c r="AA33" i="2"/>
  <c r="W33" i="2"/>
  <c r="S33" i="2"/>
  <c r="O33" i="2"/>
  <c r="K33" i="2"/>
  <c r="G33" i="2"/>
  <c r="C33" i="2"/>
  <c r="J33" i="2"/>
  <c r="B33" i="2"/>
  <c r="AG54" i="2"/>
  <c r="Y54" i="2"/>
  <c r="U54" i="2"/>
  <c r="I54" i="2"/>
  <c r="A54" i="2"/>
  <c r="M54" i="2"/>
  <c r="AF54" i="2"/>
  <c r="AB54" i="2"/>
  <c r="X54" i="2"/>
  <c r="T54" i="2"/>
  <c r="P54" i="2"/>
  <c r="L54" i="2"/>
  <c r="H54" i="2"/>
  <c r="D54" i="2"/>
  <c r="AI54" i="2"/>
  <c r="AE54" i="2"/>
  <c r="AA54" i="2"/>
  <c r="W54" i="2"/>
  <c r="S54" i="2"/>
  <c r="O54" i="2"/>
  <c r="K54" i="2"/>
  <c r="G54" i="2"/>
  <c r="C54" i="2"/>
  <c r="BK53" i="2"/>
  <c r="AH54" i="2"/>
  <c r="AD54" i="2"/>
  <c r="Z54" i="2"/>
  <c r="V54" i="2"/>
  <c r="R54" i="2"/>
  <c r="N54" i="2"/>
  <c r="J54" i="2"/>
  <c r="F54" i="2"/>
  <c r="B54" i="2"/>
  <c r="AC54" i="2"/>
  <c r="Q54" i="2"/>
  <c r="E54" i="2"/>
  <c r="Z18" i="2"/>
  <c r="R18" i="2"/>
  <c r="J18" i="2"/>
  <c r="Y18" i="2"/>
  <c r="Q18" i="2"/>
  <c r="I18" i="2"/>
  <c r="A18" i="2"/>
  <c r="AF18" i="2"/>
  <c r="AB18" i="2"/>
  <c r="X18" i="2"/>
  <c r="T18" i="2"/>
  <c r="P18" i="2"/>
  <c r="L18" i="2"/>
  <c r="H18" i="2"/>
  <c r="D18" i="2"/>
  <c r="BK17" i="2"/>
  <c r="AI18" i="2"/>
  <c r="AE18" i="2"/>
  <c r="AA18" i="2"/>
  <c r="W18" i="2"/>
  <c r="S18" i="2"/>
  <c r="O18" i="2"/>
  <c r="K18" i="2"/>
  <c r="G18" i="2"/>
  <c r="C18" i="2"/>
  <c r="AH18" i="2"/>
  <c r="AD18" i="2"/>
  <c r="V18" i="2"/>
  <c r="N18" i="2"/>
  <c r="F18" i="2"/>
  <c r="B18" i="2"/>
  <c r="AG18" i="2"/>
  <c r="AC18" i="2"/>
  <c r="U18" i="2"/>
  <c r="M18" i="2"/>
  <c r="E18" i="2"/>
  <c r="AG38" i="2"/>
  <c r="AC38" i="2"/>
  <c r="Y38" i="2"/>
  <c r="Q38" i="2"/>
  <c r="M38" i="2"/>
  <c r="E38" i="2"/>
  <c r="U38" i="2"/>
  <c r="I38" i="2"/>
  <c r="A38" i="2"/>
  <c r="AF38" i="2"/>
  <c r="AB38" i="2"/>
  <c r="X38" i="2"/>
  <c r="T38" i="2"/>
  <c r="P38" i="2"/>
  <c r="L38" i="2"/>
  <c r="H38" i="2"/>
  <c r="D38" i="2"/>
  <c r="BK37" i="2"/>
  <c r="AI38" i="2"/>
  <c r="AE38" i="2"/>
  <c r="AA38" i="2"/>
  <c r="W38" i="2"/>
  <c r="S38" i="2"/>
  <c r="O38" i="2"/>
  <c r="K38" i="2"/>
  <c r="G38" i="2"/>
  <c r="C38" i="2"/>
  <c r="AH38" i="2"/>
  <c r="AD38" i="2"/>
  <c r="Z38" i="2"/>
  <c r="V38" i="2"/>
  <c r="R38" i="2"/>
  <c r="N38" i="2"/>
  <c r="J38" i="2"/>
  <c r="F38" i="2"/>
  <c r="B38" i="2"/>
  <c r="AG19" i="2"/>
  <c r="Y19" i="2"/>
  <c r="Q19" i="2"/>
  <c r="I19" i="2"/>
  <c r="AF19" i="2"/>
  <c r="AB19" i="2"/>
  <c r="X19" i="2"/>
  <c r="T19" i="2"/>
  <c r="P19" i="2"/>
  <c r="L19" i="2"/>
  <c r="H19" i="2"/>
  <c r="D19" i="2"/>
  <c r="AI19" i="2"/>
  <c r="AE19" i="2"/>
  <c r="AA19" i="2"/>
  <c r="W19" i="2"/>
  <c r="S19" i="2"/>
  <c r="O19" i="2"/>
  <c r="K19" i="2"/>
  <c r="G19" i="2"/>
  <c r="C19" i="2"/>
  <c r="AH19" i="2"/>
  <c r="AD19" i="2"/>
  <c r="Z19" i="2"/>
  <c r="V19" i="2"/>
  <c r="R19" i="2"/>
  <c r="N19" i="2"/>
  <c r="J19" i="2"/>
  <c r="F19" i="2"/>
  <c r="B19" i="2"/>
  <c r="AC19" i="2"/>
  <c r="U19" i="2"/>
  <c r="M19" i="2"/>
  <c r="E19" i="2"/>
  <c r="A19" i="2"/>
  <c r="BK18" i="2"/>
  <c r="X35" i="2"/>
  <c r="P35" i="2"/>
  <c r="H35" i="2"/>
  <c r="BK34" i="2"/>
  <c r="AI35" i="2"/>
  <c r="AE35" i="2"/>
  <c r="AA35" i="2"/>
  <c r="W35" i="2"/>
  <c r="S35" i="2"/>
  <c r="O35" i="2"/>
  <c r="K35" i="2"/>
  <c r="G35" i="2"/>
  <c r="C35" i="2"/>
  <c r="AH35" i="2"/>
  <c r="AD35" i="2"/>
  <c r="Z35" i="2"/>
  <c r="V35" i="2"/>
  <c r="R35" i="2"/>
  <c r="N35" i="2"/>
  <c r="J35" i="2"/>
  <c r="F35" i="2"/>
  <c r="B35" i="2"/>
  <c r="AG35" i="2"/>
  <c r="AC35" i="2"/>
  <c r="Y35" i="2"/>
  <c r="U35" i="2"/>
  <c r="Q35" i="2"/>
  <c r="M35" i="2"/>
  <c r="I35" i="2"/>
  <c r="E35" i="2"/>
  <c r="A35" i="2"/>
  <c r="AF35" i="2"/>
  <c r="AB35" i="2"/>
  <c r="T35" i="2"/>
  <c r="L35" i="2"/>
  <c r="D35" i="2"/>
  <c r="AB20" i="2"/>
  <c r="T20" i="2"/>
  <c r="L20" i="2"/>
  <c r="D20" i="2"/>
  <c r="BK19" i="2"/>
  <c r="AI20" i="2"/>
  <c r="AA20" i="2"/>
  <c r="S20" i="2"/>
  <c r="K20" i="2"/>
  <c r="G20" i="2"/>
  <c r="AH20" i="2"/>
  <c r="AD20" i="2"/>
  <c r="Z20" i="2"/>
  <c r="V20" i="2"/>
  <c r="R20" i="2"/>
  <c r="N20" i="2"/>
  <c r="J20" i="2"/>
  <c r="F20" i="2"/>
  <c r="B20" i="2"/>
  <c r="AG20" i="2"/>
  <c r="AC20" i="2"/>
  <c r="Y20" i="2"/>
  <c r="U20" i="2"/>
  <c r="Q20" i="2"/>
  <c r="M20" i="2"/>
  <c r="I20" i="2"/>
  <c r="E20" i="2"/>
  <c r="A20" i="2"/>
  <c r="AF20" i="2"/>
  <c r="X20" i="2"/>
  <c r="P20" i="2"/>
  <c r="H20" i="2"/>
  <c r="AE20" i="2"/>
  <c r="W20" i="2"/>
  <c r="O20" i="2"/>
  <c r="C20" i="2"/>
  <c r="K36" i="2"/>
  <c r="AI36" i="2"/>
  <c r="AE36" i="2"/>
  <c r="AA36" i="2"/>
  <c r="W36" i="2"/>
  <c r="S36" i="2"/>
  <c r="O36" i="2"/>
  <c r="G36" i="2"/>
  <c r="C36" i="2"/>
  <c r="AH36" i="2"/>
  <c r="AD36" i="2"/>
  <c r="Z36" i="2"/>
  <c r="V36" i="2"/>
  <c r="R36" i="2"/>
  <c r="N36" i="2"/>
  <c r="J36" i="2"/>
  <c r="F36" i="2"/>
  <c r="B36" i="2"/>
  <c r="AG36" i="2"/>
  <c r="AC36" i="2"/>
  <c r="Y36" i="2"/>
  <c r="U36" i="2"/>
  <c r="Q36" i="2"/>
  <c r="M36" i="2"/>
  <c r="I36" i="2"/>
  <c r="E36" i="2"/>
  <c r="A36" i="2"/>
  <c r="AF36" i="2"/>
  <c r="AB36" i="2"/>
  <c r="X36" i="2"/>
  <c r="T36" i="2"/>
  <c r="P36" i="2"/>
  <c r="L36" i="2"/>
  <c r="H36" i="2"/>
  <c r="D36" i="2"/>
  <c r="BK35" i="2"/>
  <c r="V37" i="2"/>
  <c r="N37" i="2"/>
  <c r="F37" i="2"/>
  <c r="AH37" i="2"/>
  <c r="AD37" i="2"/>
  <c r="Z37" i="2"/>
  <c r="R37" i="2"/>
  <c r="J37" i="2"/>
  <c r="B37" i="2"/>
  <c r="AG37" i="2"/>
  <c r="AC37" i="2"/>
  <c r="Y37" i="2"/>
  <c r="U37" i="2"/>
  <c r="Q37" i="2"/>
  <c r="M37" i="2"/>
  <c r="I37" i="2"/>
  <c r="E37" i="2"/>
  <c r="A37" i="2"/>
  <c r="AF37" i="2"/>
  <c r="AB37" i="2"/>
  <c r="X37" i="2"/>
  <c r="T37" i="2"/>
  <c r="P37" i="2"/>
  <c r="L37" i="2"/>
  <c r="H37" i="2"/>
  <c r="D37" i="2"/>
  <c r="BK36" i="2"/>
  <c r="AI37" i="2"/>
  <c r="AE37" i="2"/>
  <c r="AA37" i="2"/>
  <c r="W37" i="2"/>
  <c r="S37" i="2"/>
  <c r="O37" i="2"/>
  <c r="K37" i="2"/>
  <c r="G37" i="2"/>
  <c r="C37" i="2"/>
  <c r="Y47" i="2"/>
  <c r="M47" i="2"/>
  <c r="AG47" i="2"/>
  <c r="U47" i="2"/>
  <c r="E47" i="2"/>
  <c r="AF47" i="2"/>
  <c r="AB47" i="2"/>
  <c r="X47" i="2"/>
  <c r="T47" i="2"/>
  <c r="P47" i="2"/>
  <c r="L47" i="2"/>
  <c r="H47" i="2"/>
  <c r="D47" i="2"/>
  <c r="AI47" i="2"/>
  <c r="AE47" i="2"/>
  <c r="AA47" i="2"/>
  <c r="W47" i="2"/>
  <c r="S47" i="2"/>
  <c r="O47" i="2"/>
  <c r="K47" i="2"/>
  <c r="G47" i="2"/>
  <c r="C47" i="2"/>
  <c r="BK46" i="2"/>
  <c r="AH47" i="2"/>
  <c r="AD47" i="2"/>
  <c r="Z47" i="2"/>
  <c r="V47" i="2"/>
  <c r="R47" i="2"/>
  <c r="N47" i="2"/>
  <c r="J47" i="2"/>
  <c r="F47" i="2"/>
  <c r="B47" i="2"/>
  <c r="AC47" i="2"/>
  <c r="Q47" i="2"/>
  <c r="I47" i="2"/>
  <c r="A47" i="2"/>
  <c r="AI21" i="2"/>
  <c r="AE21" i="2"/>
  <c r="AA21" i="2"/>
  <c r="W21" i="2"/>
  <c r="S21" i="2"/>
  <c r="O21" i="2"/>
  <c r="K21" i="2"/>
  <c r="G21" i="2"/>
  <c r="C21" i="2"/>
  <c r="AH21" i="2"/>
  <c r="AD21" i="2"/>
  <c r="Z21" i="2"/>
  <c r="V21" i="2"/>
  <c r="N21" i="2"/>
  <c r="J21" i="2"/>
  <c r="B21" i="2"/>
  <c r="AG21" i="2"/>
  <c r="AC21" i="2"/>
  <c r="Y21" i="2"/>
  <c r="U21" i="2"/>
  <c r="Q21" i="2"/>
  <c r="M21" i="2"/>
  <c r="I21" i="2"/>
  <c r="E21" i="2"/>
  <c r="A21" i="2"/>
  <c r="AF21" i="2"/>
  <c r="AB21" i="2"/>
  <c r="X21" i="2"/>
  <c r="T21" i="2"/>
  <c r="P21" i="2"/>
  <c r="L21" i="2"/>
  <c r="H21" i="2"/>
  <c r="D21" i="2"/>
  <c r="BK20" i="2"/>
  <c r="R21" i="2"/>
  <c r="F21" i="2"/>
  <c r="AH8" i="2"/>
  <c r="Z8" i="2"/>
  <c r="R8" i="2"/>
  <c r="J8" i="2"/>
  <c r="B8" i="2"/>
  <c r="AG8" i="2"/>
  <c r="AC8" i="2"/>
  <c r="Y8" i="2"/>
  <c r="U8" i="2"/>
  <c r="Q8" i="2"/>
  <c r="M8" i="2"/>
  <c r="I8" i="2"/>
  <c r="E8" i="2"/>
  <c r="A8" i="2"/>
  <c r="AF8" i="2"/>
  <c r="AB8" i="2"/>
  <c r="X8" i="2"/>
  <c r="T8" i="2"/>
  <c r="P8" i="2"/>
  <c r="L8" i="2"/>
  <c r="H8" i="2"/>
  <c r="D8" i="2"/>
  <c r="BK7" i="2"/>
  <c r="AI8" i="2"/>
  <c r="AE8" i="2"/>
  <c r="AA8" i="2"/>
  <c r="W8" i="2"/>
  <c r="S8" i="2"/>
  <c r="O8" i="2"/>
  <c r="K8" i="2"/>
  <c r="G8" i="2"/>
  <c r="C8" i="2"/>
  <c r="AD8" i="2"/>
  <c r="V8" i="2"/>
  <c r="N8" i="2"/>
  <c r="F8" i="2"/>
  <c r="TO32" i="4"/>
  <c r="OD32" i="4"/>
  <c r="IX32" i="4"/>
  <c r="TO16" i="4"/>
  <c r="OD16" i="4"/>
  <c r="IX16" i="4"/>
  <c r="NF26" i="4"/>
  <c r="HZ26" i="4"/>
  <c r="SQ26" i="4"/>
  <c r="NF10" i="4"/>
  <c r="HZ10" i="4"/>
  <c r="SQ10" i="4"/>
  <c r="TC37" i="4"/>
  <c r="NR37" i="4"/>
  <c r="IL37" i="4"/>
  <c r="NB39" i="4"/>
  <c r="HV39" i="4"/>
  <c r="SM39" i="4"/>
  <c r="NB23" i="4"/>
  <c r="HV23" i="4"/>
  <c r="SM23" i="4"/>
  <c r="BK5" i="3"/>
  <c r="BK6" i="3" s="1"/>
  <c r="BK7" i="3" s="1"/>
  <c r="BK8" i="3" s="1"/>
  <c r="BK9" i="3" s="1"/>
  <c r="BK10" i="3" s="1"/>
  <c r="BK11" i="3" s="1"/>
  <c r="BK12" i="3" s="1"/>
  <c r="BK13" i="3" s="1"/>
  <c r="BK14" i="3" s="1"/>
  <c r="BK15" i="3" s="1"/>
  <c r="BK16" i="3" s="1"/>
  <c r="BK17" i="3" s="1"/>
  <c r="BK18" i="3" s="1"/>
  <c r="BK19" i="3" s="1"/>
  <c r="BK20" i="3" s="1"/>
  <c r="BK21" i="3" s="1"/>
  <c r="BK22" i="3" s="1"/>
  <c r="BK23" i="3" s="1"/>
  <c r="BK24" i="3" s="1"/>
  <c r="BK25" i="3" s="1"/>
  <c r="BK26" i="3" s="1"/>
  <c r="BK27" i="3" s="1"/>
  <c r="BK28" i="3" s="1"/>
  <c r="BK29" i="3" s="1"/>
  <c r="BK30" i="3" s="1"/>
  <c r="BK31" i="3" s="1"/>
  <c r="BK32" i="3" s="1"/>
  <c r="BK33" i="3" s="1"/>
  <c r="BK34" i="3" s="1"/>
  <c r="BK35" i="3" s="1"/>
  <c r="BK36" i="3" s="1"/>
  <c r="BK37" i="3" s="1"/>
  <c r="BK38" i="3" s="1"/>
  <c r="BK39" i="3" s="1"/>
  <c r="BK40" i="3" s="1"/>
  <c r="BK41" i="3" s="1"/>
  <c r="BK42" i="3" s="1"/>
  <c r="RU40" i="4"/>
  <c r="RU37" i="4"/>
  <c r="RU34" i="4"/>
  <c r="RU33" i="4"/>
  <c r="RU32" i="4"/>
  <c r="RU30" i="4"/>
  <c r="RU28" i="4"/>
  <c r="RU23" i="4"/>
  <c r="RU22" i="4"/>
  <c r="RU24" i="4"/>
  <c r="RU19" i="4"/>
  <c r="RU20" i="4"/>
  <c r="RU15" i="4"/>
  <c r="RU16" i="4"/>
  <c r="RU12" i="4"/>
  <c r="RU10" i="4"/>
  <c r="RU8" i="4"/>
  <c r="RU9" i="4"/>
  <c r="RU6" i="4"/>
  <c r="RU5" i="4"/>
  <c r="RU4" i="4"/>
  <c r="RT5" i="4"/>
  <c r="RT6" i="4" s="1"/>
  <c r="RT7" i="4" s="1"/>
  <c r="RT8" i="4" s="1"/>
  <c r="RT9" i="4" s="1"/>
  <c r="RT10" i="4" s="1"/>
  <c r="RT11" i="4" s="1"/>
  <c r="RT12" i="4" s="1"/>
  <c r="RT13" i="4" s="1"/>
  <c r="RT14" i="4" s="1"/>
  <c r="RT15" i="4" s="1"/>
  <c r="RT16" i="4" s="1"/>
  <c r="RT17" i="4" s="1"/>
  <c r="RT18" i="4" s="1"/>
  <c r="RT19" i="4" s="1"/>
  <c r="RT20" i="4" s="1"/>
  <c r="RT21" i="4" s="1"/>
  <c r="RT22" i="4" s="1"/>
  <c r="RT23" i="4" s="1"/>
  <c r="RT24" i="4" s="1"/>
  <c r="RT25" i="4" s="1"/>
  <c r="RT26" i="4" s="1"/>
  <c r="RT27" i="4" s="1"/>
  <c r="RT28" i="4" s="1"/>
  <c r="RT29" i="4" s="1"/>
  <c r="RT30" i="4" s="1"/>
  <c r="RT31" i="4" s="1"/>
  <c r="RT32" i="4" s="1"/>
  <c r="RT33" i="4" s="1"/>
  <c r="RT34" i="4" s="1"/>
  <c r="RT35" i="4" s="1"/>
  <c r="RT36" i="4" s="1"/>
  <c r="RT37" i="4" s="1"/>
  <c r="RT38" i="4" s="1"/>
  <c r="RT39" i="4" s="1"/>
  <c r="RT40" i="4" s="1"/>
  <c r="QW4" i="4"/>
  <c r="QW7" i="4"/>
  <c r="QW12" i="4"/>
  <c r="QW16" i="4"/>
  <c r="QW18" i="4"/>
  <c r="QW24" i="4"/>
  <c r="QW29" i="4"/>
  <c r="QW31" i="4"/>
  <c r="QW34" i="4"/>
  <c r="QW40" i="4"/>
  <c r="PB38" i="4"/>
  <c r="JV38" i="4"/>
  <c r="UM38" i="4"/>
  <c r="UM24" i="4"/>
  <c r="PB24" i="4"/>
  <c r="JV24" i="4"/>
  <c r="UM6" i="4"/>
  <c r="PB6" i="4"/>
  <c r="JV6" i="4"/>
  <c r="SI29" i="4"/>
  <c r="HR29" i="4"/>
  <c r="MX29" i="4"/>
  <c r="MX13" i="4"/>
  <c r="HR13" i="4"/>
  <c r="SI13" i="4"/>
  <c r="RW35" i="4"/>
  <c r="ML35" i="4"/>
  <c r="HF35" i="4"/>
  <c r="RW18" i="4"/>
  <c r="ML18" i="4"/>
  <c r="HF18" i="4"/>
  <c r="TO35" i="4"/>
  <c r="OD35" i="4"/>
  <c r="IX35" i="4"/>
  <c r="TO19" i="4"/>
  <c r="IX19" i="4"/>
  <c r="OD19" i="4"/>
  <c r="EY40" i="4"/>
  <c r="EY36" i="4"/>
  <c r="EY31" i="4"/>
  <c r="EY28" i="4"/>
  <c r="EY24" i="4"/>
  <c r="EY20" i="4"/>
  <c r="EY16" i="4"/>
  <c r="EY12" i="4"/>
  <c r="EY8" i="4"/>
  <c r="EX5" i="4"/>
  <c r="EX6" i="4" s="1"/>
  <c r="EX7" i="4" s="1"/>
  <c r="EX8" i="4" s="1"/>
  <c r="EX9" i="4" s="1"/>
  <c r="EX10" i="4" s="1"/>
  <c r="EX11" i="4" s="1"/>
  <c r="EX12" i="4" s="1"/>
  <c r="EX13" i="4" s="1"/>
  <c r="EX14" i="4" s="1"/>
  <c r="EX15" i="4" s="1"/>
  <c r="EX16" i="4" s="1"/>
  <c r="EX17" i="4" s="1"/>
  <c r="EX18" i="4" s="1"/>
  <c r="EX19" i="4" s="1"/>
  <c r="EX20" i="4" s="1"/>
  <c r="EX21" i="4" s="1"/>
  <c r="EX22" i="4" s="1"/>
  <c r="EX23" i="4" s="1"/>
  <c r="EX24" i="4" s="1"/>
  <c r="EX25" i="4" s="1"/>
  <c r="EX26" i="4" s="1"/>
  <c r="EX27" i="4" s="1"/>
  <c r="EX28" i="4" s="1"/>
  <c r="EX29" i="4" s="1"/>
  <c r="EX30" i="4" s="1"/>
  <c r="EX31" i="4" s="1"/>
  <c r="EX32" i="4" s="1"/>
  <c r="EX33" i="4" s="1"/>
  <c r="EX34" i="4" s="1"/>
  <c r="EX35" i="4" s="1"/>
  <c r="EX36" i="4" s="1"/>
  <c r="EX37" i="4" s="1"/>
  <c r="EX38" i="4" s="1"/>
  <c r="EX39" i="4" s="1"/>
  <c r="EX40" i="4" s="1"/>
  <c r="EY5" i="4"/>
  <c r="EY4" i="4"/>
  <c r="N10" i="4"/>
  <c r="DJ7" i="4"/>
  <c r="GM6" i="4"/>
  <c r="DU7" i="4"/>
  <c r="DU16" i="4"/>
  <c r="DU14" i="4"/>
  <c r="DU19" i="4"/>
  <c r="DU22" i="4"/>
  <c r="DU27" i="4"/>
  <c r="DU31" i="4"/>
  <c r="DU36" i="4"/>
  <c r="DU39" i="4"/>
  <c r="JH42" i="4"/>
  <c r="JH39" i="4"/>
  <c r="JH38" i="4"/>
  <c r="JH35" i="4"/>
  <c r="JH34" i="4"/>
  <c r="JH31" i="4"/>
  <c r="JH30" i="4"/>
  <c r="JH27" i="4"/>
  <c r="JH26" i="4"/>
  <c r="JH23" i="4"/>
  <c r="JH22" i="4"/>
  <c r="JH18" i="4"/>
  <c r="JH19" i="4"/>
  <c r="JH17" i="4"/>
  <c r="JH9" i="4"/>
  <c r="JH13" i="4"/>
  <c r="JH12" i="4"/>
  <c r="JH8" i="4"/>
  <c r="JH5" i="4"/>
  <c r="JG5" i="4"/>
  <c r="JG6" i="4" s="1"/>
  <c r="JG7" i="4" s="1"/>
  <c r="JG8" i="4" s="1"/>
  <c r="JG9" i="4" s="1"/>
  <c r="JG10" i="4" s="1"/>
  <c r="JG11" i="4" s="1"/>
  <c r="JG12" i="4" s="1"/>
  <c r="JG13" i="4" s="1"/>
  <c r="JG14" i="4" s="1"/>
  <c r="JG15" i="4" s="1"/>
  <c r="JG16" i="4" s="1"/>
  <c r="JG17" i="4" s="1"/>
  <c r="JG18" i="4" s="1"/>
  <c r="JG19" i="4" s="1"/>
  <c r="JG20" i="4" s="1"/>
  <c r="JG21" i="4" s="1"/>
  <c r="JG22" i="4" s="1"/>
  <c r="JG23" i="4" s="1"/>
  <c r="JG24" i="4" s="1"/>
  <c r="JG25" i="4" s="1"/>
  <c r="JG26" i="4" s="1"/>
  <c r="JG27" i="4" s="1"/>
  <c r="JG28" i="4" s="1"/>
  <c r="JG29" i="4" s="1"/>
  <c r="JG30" i="4" s="1"/>
  <c r="JG31" i="4" s="1"/>
  <c r="JG32" i="4" s="1"/>
  <c r="JG33" i="4" s="1"/>
  <c r="JG34" i="4" s="1"/>
  <c r="JG35" i="4" s="1"/>
  <c r="JG36" i="4" s="1"/>
  <c r="JG37" i="4" s="1"/>
  <c r="JG38" i="4" s="1"/>
  <c r="JG39" i="4" s="1"/>
  <c r="JG40" i="4" s="1"/>
  <c r="JH6" i="4"/>
  <c r="LO6" i="4"/>
  <c r="UM33" i="4"/>
  <c r="PB33" i="4"/>
  <c r="JV33" i="4"/>
  <c r="UM17" i="4"/>
  <c r="PB17" i="4"/>
  <c r="JV17" i="4"/>
  <c r="MX28" i="4"/>
  <c r="HR28" i="4"/>
  <c r="SI28" i="4"/>
  <c r="MX12" i="4"/>
  <c r="HR12" i="4"/>
  <c r="SI12" i="4"/>
  <c r="RW34" i="4"/>
  <c r="ML34" i="4"/>
  <c r="HF34" i="4"/>
  <c r="ML20" i="4"/>
  <c r="RW20" i="4"/>
  <c r="HF20" i="4"/>
  <c r="AF49" i="3"/>
  <c r="AE95" i="3"/>
  <c r="AF95" i="3" s="1"/>
  <c r="DZ6" i="4"/>
  <c r="DZ10" i="4"/>
  <c r="DZ14" i="4"/>
  <c r="DZ18" i="4"/>
  <c r="DZ22" i="4"/>
  <c r="DZ26" i="4"/>
  <c r="DZ30" i="4"/>
  <c r="DZ34" i="4"/>
  <c r="DZ38" i="4"/>
  <c r="TO34" i="4"/>
  <c r="OD34" i="4"/>
  <c r="IX34" i="4"/>
  <c r="TO18" i="4"/>
  <c r="OD18" i="4"/>
  <c r="IX18" i="4"/>
  <c r="BM4" i="4"/>
  <c r="BM9" i="4"/>
  <c r="BM11" i="4"/>
  <c r="BM15" i="4"/>
  <c r="BM20" i="4"/>
  <c r="BM22" i="4"/>
  <c r="BM28" i="4"/>
  <c r="BM32" i="4"/>
  <c r="BM35" i="4"/>
  <c r="BM40" i="4"/>
  <c r="FB26" i="4"/>
  <c r="FB10" i="4"/>
  <c r="PX31" i="4"/>
  <c r="PX15" i="4"/>
  <c r="SQ35" i="4"/>
  <c r="NF35" i="4"/>
  <c r="HZ35" i="4"/>
  <c r="SQ18" i="4"/>
  <c r="NF18" i="4"/>
  <c r="HZ18" i="4"/>
  <c r="TC30" i="4"/>
  <c r="NR30" i="4"/>
  <c r="IL30" i="4"/>
  <c r="NS5" i="4"/>
  <c r="NS6" i="4" s="1"/>
  <c r="NS7" i="4" s="1"/>
  <c r="NS8" i="4" s="1"/>
  <c r="NS9" i="4" s="1"/>
  <c r="NS10" i="4" s="1"/>
  <c r="NS11" i="4" s="1"/>
  <c r="UM35" i="4"/>
  <c r="PB35" i="4"/>
  <c r="JV35" i="4"/>
  <c r="PB20" i="4"/>
  <c r="JV20" i="4"/>
  <c r="UM20" i="4"/>
  <c r="UM4" i="4"/>
  <c r="UN4" i="4" s="1"/>
  <c r="PB4" i="4"/>
  <c r="PC4" i="4" s="1"/>
  <c r="JV4" i="4"/>
  <c r="JW4" i="4" s="1"/>
  <c r="CK4" i="3"/>
  <c r="MX27" i="4"/>
  <c r="HR27" i="4"/>
  <c r="SI27" i="4"/>
  <c r="MX11" i="4"/>
  <c r="HR11" i="4"/>
  <c r="SI11" i="4"/>
  <c r="VM40" i="4"/>
  <c r="VM39" i="4"/>
  <c r="VM38" i="4"/>
  <c r="VM37" i="4"/>
  <c r="VM36" i="4"/>
  <c r="VM35" i="4"/>
  <c r="VM34" i="4"/>
  <c r="VM33" i="4"/>
  <c r="VM32" i="4"/>
  <c r="VM31" i="4"/>
  <c r="VM29" i="4"/>
  <c r="VM30" i="4"/>
  <c r="VM28" i="4"/>
  <c r="VM27" i="4"/>
  <c r="VM26" i="4"/>
  <c r="VM23" i="4"/>
  <c r="VM22" i="4"/>
  <c r="VM21" i="4"/>
  <c r="VM25" i="4"/>
  <c r="VM24" i="4"/>
  <c r="VM19" i="4"/>
  <c r="VM18" i="4"/>
  <c r="VM17" i="4"/>
  <c r="VM20" i="4"/>
  <c r="VM15" i="4"/>
  <c r="VM16" i="4"/>
  <c r="VM14" i="4"/>
  <c r="VM13" i="4"/>
  <c r="VM12" i="4"/>
  <c r="VM11" i="4"/>
  <c r="VM10" i="4"/>
  <c r="VM8" i="4"/>
  <c r="VM9" i="4"/>
  <c r="VM7" i="4"/>
  <c r="VM6" i="4"/>
  <c r="VM5" i="4"/>
  <c r="VM4" i="4"/>
  <c r="VL5" i="4"/>
  <c r="VL6" i="4" s="1"/>
  <c r="VL7" i="4" s="1"/>
  <c r="VL8" i="4" s="1"/>
  <c r="VL9" i="4" s="1"/>
  <c r="VL10" i="4" s="1"/>
  <c r="VL11" i="4" s="1"/>
  <c r="VL12" i="4" s="1"/>
  <c r="VL13" i="4" s="1"/>
  <c r="VL14" i="4" s="1"/>
  <c r="VL15" i="4" s="1"/>
  <c r="VL16" i="4" s="1"/>
  <c r="VL17" i="4" s="1"/>
  <c r="VL18" i="4" s="1"/>
  <c r="VL19" i="4" s="1"/>
  <c r="VL20" i="4" s="1"/>
  <c r="VL21" i="4" s="1"/>
  <c r="VL22" i="4" s="1"/>
  <c r="VL23" i="4" s="1"/>
  <c r="VL24" i="4" s="1"/>
  <c r="VL25" i="4" s="1"/>
  <c r="VL26" i="4" s="1"/>
  <c r="VL27" i="4" s="1"/>
  <c r="VL28" i="4" s="1"/>
  <c r="VL29" i="4" s="1"/>
  <c r="VL30" i="4" s="1"/>
  <c r="VL31" i="4" s="1"/>
  <c r="VL32" i="4" s="1"/>
  <c r="VL33" i="4" s="1"/>
  <c r="VL34" i="4" s="1"/>
  <c r="VL35" i="4" s="1"/>
  <c r="VL36" i="4" s="1"/>
  <c r="VL37" i="4" s="1"/>
  <c r="VL38" i="4" s="1"/>
  <c r="VL39" i="4" s="1"/>
  <c r="VL40" i="4" s="1"/>
  <c r="RQ40" i="4"/>
  <c r="RQ38" i="4"/>
  <c r="RQ34" i="4"/>
  <c r="RQ35" i="4"/>
  <c r="RQ32" i="4"/>
  <c r="RQ28" i="4"/>
  <c r="RQ29" i="4"/>
  <c r="RQ26" i="4"/>
  <c r="RQ23" i="4"/>
  <c r="RQ21" i="4"/>
  <c r="RQ18" i="4"/>
  <c r="RQ20" i="4"/>
  <c r="RQ16" i="4"/>
  <c r="RQ13" i="4"/>
  <c r="RQ8" i="4"/>
  <c r="RQ11" i="4"/>
  <c r="RQ9" i="4"/>
  <c r="RQ6" i="4"/>
  <c r="RQ4" i="4"/>
  <c r="RP5" i="4"/>
  <c r="RP6" i="4" s="1"/>
  <c r="RP7" i="4" s="1"/>
  <c r="RP8" i="4" s="1"/>
  <c r="RP9" i="4" s="1"/>
  <c r="RP10" i="4" s="1"/>
  <c r="RP11" i="4" s="1"/>
  <c r="RP12" i="4" s="1"/>
  <c r="RP13" i="4" s="1"/>
  <c r="RP14" i="4" s="1"/>
  <c r="RP15" i="4" s="1"/>
  <c r="RP16" i="4" s="1"/>
  <c r="RP17" i="4" s="1"/>
  <c r="RP18" i="4" s="1"/>
  <c r="RP19" i="4" s="1"/>
  <c r="RP20" i="4" s="1"/>
  <c r="RP21" i="4" s="1"/>
  <c r="RP22" i="4" s="1"/>
  <c r="RP23" i="4" s="1"/>
  <c r="RP24" i="4" s="1"/>
  <c r="RP25" i="4" s="1"/>
  <c r="RP26" i="4" s="1"/>
  <c r="RP27" i="4" s="1"/>
  <c r="RP28" i="4" s="1"/>
  <c r="RP29" i="4" s="1"/>
  <c r="RP30" i="4" s="1"/>
  <c r="RP31" i="4" s="1"/>
  <c r="RP32" i="4" s="1"/>
  <c r="RP33" i="4" s="1"/>
  <c r="RP34" i="4" s="1"/>
  <c r="RP35" i="4" s="1"/>
  <c r="RP36" i="4" s="1"/>
  <c r="RP37" i="4" s="1"/>
  <c r="RP38" i="4" s="1"/>
  <c r="RP39" i="4" s="1"/>
  <c r="RP40" i="4" s="1"/>
  <c r="TO37" i="4"/>
  <c r="OD37" i="4"/>
  <c r="IX37" i="4"/>
  <c r="OD21" i="4"/>
  <c r="IX21" i="4"/>
  <c r="TO21" i="4"/>
  <c r="TO5" i="4"/>
  <c r="IX5" i="4"/>
  <c r="OD5" i="4"/>
  <c r="FB33" i="4"/>
  <c r="FB17" i="4"/>
  <c r="PX35" i="4"/>
  <c r="PX18" i="4"/>
  <c r="PX6" i="4"/>
  <c r="SQ24" i="4"/>
  <c r="NF24" i="4"/>
  <c r="HZ24" i="4"/>
  <c r="NF11" i="4"/>
  <c r="HZ11" i="4"/>
  <c r="SQ11" i="4"/>
  <c r="MF42" i="4"/>
  <c r="MF40" i="4"/>
  <c r="MF38" i="4"/>
  <c r="MF36" i="4"/>
  <c r="MF34" i="4"/>
  <c r="MF31" i="4"/>
  <c r="MF32" i="4"/>
  <c r="MF27" i="4"/>
  <c r="MF25" i="4"/>
  <c r="MF24" i="4"/>
  <c r="MF22" i="4"/>
  <c r="MF19" i="4"/>
  <c r="MF17" i="4"/>
  <c r="MF15" i="4"/>
  <c r="MF16" i="4"/>
  <c r="MF13" i="4"/>
  <c r="MF11" i="4"/>
  <c r="MF8" i="4"/>
  <c r="MF4" i="4"/>
  <c r="ME5" i="4"/>
  <c r="ME6" i="4" s="1"/>
  <c r="ME7" i="4" s="1"/>
  <c r="ME8" i="4" s="1"/>
  <c r="ME9" i="4" s="1"/>
  <c r="ME10" i="4" s="1"/>
  <c r="ME11" i="4" s="1"/>
  <c r="ME12" i="4" s="1"/>
  <c r="ME13" i="4" s="1"/>
  <c r="ME14" i="4" s="1"/>
  <c r="ME15" i="4" s="1"/>
  <c r="ME16" i="4" s="1"/>
  <c r="ME17" i="4" s="1"/>
  <c r="ME18" i="4" s="1"/>
  <c r="ME19" i="4" s="1"/>
  <c r="ME20" i="4" s="1"/>
  <c r="ME21" i="4" s="1"/>
  <c r="ME22" i="4" s="1"/>
  <c r="ME23" i="4" s="1"/>
  <c r="ME24" i="4" s="1"/>
  <c r="ME25" i="4" s="1"/>
  <c r="ME26" i="4" s="1"/>
  <c r="ME27" i="4" s="1"/>
  <c r="ME28" i="4" s="1"/>
  <c r="ME29" i="4" s="1"/>
  <c r="ME30" i="4" s="1"/>
  <c r="ME31" i="4" s="1"/>
  <c r="ME32" i="4" s="1"/>
  <c r="ME33" i="4" s="1"/>
  <c r="ME34" i="4" s="1"/>
  <c r="ME35" i="4" s="1"/>
  <c r="ME36" i="4" s="1"/>
  <c r="ME37" i="4" s="1"/>
  <c r="ME38" i="4" s="1"/>
  <c r="ME39" i="4" s="1"/>
  <c r="ME40" i="4" s="1"/>
  <c r="MF7" i="4"/>
  <c r="UR6" i="4"/>
  <c r="UR7" i="4" s="1"/>
  <c r="UR8" i="4" s="1"/>
  <c r="UR9" i="4" s="1"/>
  <c r="UR10" i="4" s="1"/>
  <c r="UR11" i="4" s="1"/>
  <c r="UR12" i="4" s="1"/>
  <c r="UR13" i="4" s="1"/>
  <c r="UR14" i="4" s="1"/>
  <c r="UR15" i="4" s="1"/>
  <c r="UR16" i="4" s="1"/>
  <c r="UR17" i="4" s="1"/>
  <c r="UR18" i="4" s="1"/>
  <c r="UR19" i="4" s="1"/>
  <c r="UR20" i="4" s="1"/>
  <c r="UR21" i="4" s="1"/>
  <c r="UR22" i="4" s="1"/>
  <c r="UR23" i="4" s="1"/>
  <c r="UR24" i="4" s="1"/>
  <c r="UR25" i="4" s="1"/>
  <c r="UR26" i="4" s="1"/>
  <c r="UR27" i="4" s="1"/>
  <c r="UR28" i="4" s="1"/>
  <c r="UR29" i="4" s="1"/>
  <c r="UR30" i="4" s="1"/>
  <c r="UR31" i="4" s="1"/>
  <c r="UR32" i="4" s="1"/>
  <c r="UR33" i="4" s="1"/>
  <c r="UR34" i="4" s="1"/>
  <c r="UR35" i="4" s="1"/>
  <c r="UR36" i="4" s="1"/>
  <c r="UR37" i="4" s="1"/>
  <c r="UR38" i="4" s="1"/>
  <c r="UR39" i="4" s="1"/>
  <c r="UR40" i="4" s="1"/>
  <c r="CG7" i="4"/>
  <c r="CG8" i="4"/>
  <c r="CG11" i="4"/>
  <c r="CG15" i="4"/>
  <c r="CG20" i="4"/>
  <c r="CG23" i="4"/>
  <c r="CG28" i="4"/>
  <c r="CG32" i="4"/>
  <c r="CG36" i="4"/>
  <c r="CG40" i="4"/>
  <c r="AM10" i="4"/>
  <c r="AT6" i="3"/>
  <c r="AT10" i="3"/>
  <c r="AT14" i="3"/>
  <c r="AT22" i="3"/>
  <c r="AT21" i="3"/>
  <c r="AT20" i="3"/>
  <c r="AT30" i="3"/>
  <c r="AT34" i="3"/>
  <c r="AT38" i="3"/>
  <c r="AT42" i="3"/>
  <c r="BH4" i="4"/>
  <c r="BH18" i="4"/>
  <c r="BH35" i="4"/>
  <c r="BH13" i="4"/>
  <c r="BH33" i="4"/>
  <c r="BH10" i="4"/>
  <c r="BH25" i="4"/>
  <c r="BH7" i="4"/>
  <c r="BH26" i="4"/>
  <c r="BH39" i="4"/>
  <c r="DA13" i="4"/>
  <c r="DA31" i="4"/>
  <c r="DA9" i="4"/>
  <c r="DA26" i="4"/>
  <c r="DA7" i="4"/>
  <c r="DA21" i="4"/>
  <c r="DA39" i="4"/>
  <c r="DA16" i="4"/>
  <c r="DA32" i="4"/>
  <c r="AR20" i="3"/>
  <c r="AR11" i="3"/>
  <c r="AR35" i="3"/>
  <c r="PB21" i="4"/>
  <c r="JV21" i="4"/>
  <c r="UM21" i="4"/>
  <c r="NR14" i="4"/>
  <c r="IL14" i="4"/>
  <c r="TC14" i="4"/>
  <c r="SI6" i="4"/>
  <c r="MX6" i="4"/>
  <c r="HR6" i="4"/>
  <c r="AR4" i="3"/>
  <c r="AR8" i="3"/>
  <c r="AR16" i="3"/>
  <c r="AR36" i="3"/>
  <c r="UM15" i="4"/>
  <c r="PB15" i="4"/>
  <c r="JV15" i="4"/>
  <c r="SI34" i="4"/>
  <c r="MX34" i="4"/>
  <c r="HR34" i="4"/>
  <c r="ML23" i="4"/>
  <c r="HF23" i="4"/>
  <c r="RW23" i="4"/>
  <c r="AR18" i="3"/>
  <c r="AR5" i="3"/>
  <c r="AR31" i="3"/>
  <c r="AR28" i="3"/>
  <c r="AR9" i="3"/>
  <c r="AR13" i="3"/>
  <c r="AR19" i="3"/>
  <c r="AR32" i="3"/>
  <c r="AR37" i="3"/>
  <c r="AR41" i="3"/>
  <c r="PB27" i="4"/>
  <c r="JV27" i="4"/>
  <c r="UM27" i="4"/>
  <c r="PB12" i="4"/>
  <c r="JV12" i="4"/>
  <c r="UM12" i="4"/>
  <c r="SI30" i="4"/>
  <c r="MX30" i="4"/>
  <c r="HR30" i="4"/>
  <c r="MX14" i="4"/>
  <c r="HR14" i="4"/>
  <c r="SI14" i="4"/>
  <c r="RW36" i="4"/>
  <c r="ML36" i="4"/>
  <c r="HF36" i="4"/>
  <c r="RW19" i="4"/>
  <c r="ML19" i="4"/>
  <c r="HF19" i="4"/>
  <c r="RW5" i="4"/>
  <c r="RX5" i="4" s="1"/>
  <c r="ML5" i="4"/>
  <c r="HF5" i="4"/>
  <c r="HG5" i="4" s="1"/>
  <c r="JS18" i="4"/>
  <c r="JS19" i="4" s="1"/>
  <c r="JS20" i="4" s="1"/>
  <c r="JS21" i="4" s="1"/>
  <c r="JS22" i="4" s="1"/>
  <c r="JS23" i="4" s="1"/>
  <c r="JS24" i="4" s="1"/>
  <c r="JS25" i="4" s="1"/>
  <c r="JS26" i="4" s="1"/>
  <c r="JS27" i="4" s="1"/>
  <c r="JS28" i="4" s="1"/>
  <c r="JS29" i="4" s="1"/>
  <c r="JS30" i="4" s="1"/>
  <c r="JS31" i="4" s="1"/>
  <c r="JS32" i="4" s="1"/>
  <c r="JS33" i="4" s="1"/>
  <c r="JS34" i="4" s="1"/>
  <c r="JS35" i="4" s="1"/>
  <c r="JS36" i="4" s="1"/>
  <c r="JS37" i="4" s="1"/>
  <c r="JS38" i="4" s="1"/>
  <c r="JS39" i="4" s="1"/>
  <c r="JS40" i="4" s="1"/>
  <c r="AI7" i="2"/>
  <c r="AE7" i="2"/>
  <c r="AA7" i="2"/>
  <c r="S7" i="2"/>
  <c r="K7" i="2"/>
  <c r="C7" i="2"/>
  <c r="AD7" i="2"/>
  <c r="V7" i="2"/>
  <c r="N7" i="2"/>
  <c r="F7" i="2"/>
  <c r="Q7" i="2"/>
  <c r="I7" i="2"/>
  <c r="AH7" i="2"/>
  <c r="Z7" i="2"/>
  <c r="R7" i="2"/>
  <c r="J7" i="2"/>
  <c r="B7" i="2"/>
  <c r="A7" i="2"/>
  <c r="AF7" i="2"/>
  <c r="AB7" i="2"/>
  <c r="X7" i="2"/>
  <c r="T7" i="2"/>
  <c r="P7" i="2"/>
  <c r="L7" i="2"/>
  <c r="H7" i="2"/>
  <c r="D7" i="2"/>
  <c r="BK6" i="2"/>
  <c r="W7" i="2"/>
  <c r="O7" i="2"/>
  <c r="G7" i="2"/>
  <c r="AG7" i="2"/>
  <c r="AC7" i="2"/>
  <c r="Y7" i="2"/>
  <c r="U7" i="2"/>
  <c r="M7" i="2"/>
  <c r="E7" i="2"/>
  <c r="AG48" i="2"/>
  <c r="Q48" i="2"/>
  <c r="A48" i="2"/>
  <c r="AC48" i="2"/>
  <c r="M48" i="2"/>
  <c r="E48" i="2"/>
  <c r="AF48" i="2"/>
  <c r="AB48" i="2"/>
  <c r="X48" i="2"/>
  <c r="T48" i="2"/>
  <c r="P48" i="2"/>
  <c r="L48" i="2"/>
  <c r="H48" i="2"/>
  <c r="D48" i="2"/>
  <c r="AI48" i="2"/>
  <c r="AE48" i="2"/>
  <c r="AA48" i="2"/>
  <c r="W48" i="2"/>
  <c r="S48" i="2"/>
  <c r="O48" i="2"/>
  <c r="K48" i="2"/>
  <c r="G48" i="2"/>
  <c r="C48" i="2"/>
  <c r="BK47" i="2"/>
  <c r="AH48" i="2"/>
  <c r="AD48" i="2"/>
  <c r="Z48" i="2"/>
  <c r="V48" i="2"/>
  <c r="R48" i="2"/>
  <c r="N48" i="2"/>
  <c r="J48" i="2"/>
  <c r="F48" i="2"/>
  <c r="B48" i="2"/>
  <c r="Y48" i="2"/>
  <c r="U48" i="2"/>
  <c r="I48" i="2"/>
  <c r="AH9" i="2"/>
  <c r="Z9" i="2"/>
  <c r="R9" i="2"/>
  <c r="J9" i="2"/>
  <c r="B9" i="2"/>
  <c r="AG9" i="2"/>
  <c r="AC9" i="2"/>
  <c r="Y9" i="2"/>
  <c r="U9" i="2"/>
  <c r="Q9" i="2"/>
  <c r="M9" i="2"/>
  <c r="I9" i="2"/>
  <c r="E9" i="2"/>
  <c r="A9" i="2"/>
  <c r="AF9" i="2"/>
  <c r="AB9" i="2"/>
  <c r="X9" i="2"/>
  <c r="T9" i="2"/>
  <c r="P9" i="2"/>
  <c r="L9" i="2"/>
  <c r="H9" i="2"/>
  <c r="D9" i="2"/>
  <c r="BK8" i="2"/>
  <c r="AI9" i="2"/>
  <c r="AE9" i="2"/>
  <c r="AA9" i="2"/>
  <c r="W9" i="2"/>
  <c r="S9" i="2"/>
  <c r="O9" i="2"/>
  <c r="K9" i="2"/>
  <c r="G9" i="2"/>
  <c r="C9" i="2"/>
  <c r="AD9" i="2"/>
  <c r="V9" i="2"/>
  <c r="N9" i="2"/>
  <c r="F9" i="2"/>
  <c r="AG26" i="2"/>
  <c r="AC26" i="2"/>
  <c r="U26" i="2"/>
  <c r="Q26" i="2"/>
  <c r="E26" i="2"/>
  <c r="Y26" i="2"/>
  <c r="M26" i="2"/>
  <c r="I26" i="2"/>
  <c r="A26" i="2"/>
  <c r="AF26" i="2"/>
  <c r="AB26" i="2"/>
  <c r="X26" i="2"/>
  <c r="T26" i="2"/>
  <c r="P26" i="2"/>
  <c r="L26" i="2"/>
  <c r="H26" i="2"/>
  <c r="D26" i="2"/>
  <c r="BK25" i="2"/>
  <c r="AI26" i="2"/>
  <c r="AE26" i="2"/>
  <c r="AA26" i="2"/>
  <c r="W26" i="2"/>
  <c r="S26" i="2"/>
  <c r="O26" i="2"/>
  <c r="K26" i="2"/>
  <c r="G26" i="2"/>
  <c r="C26" i="2"/>
  <c r="AH26" i="2"/>
  <c r="AD26" i="2"/>
  <c r="Z26" i="2"/>
  <c r="V26" i="2"/>
  <c r="R26" i="2"/>
  <c r="N26" i="2"/>
  <c r="J26" i="2"/>
  <c r="F26" i="2"/>
  <c r="B26" i="2"/>
  <c r="AG42" i="2"/>
  <c r="U42" i="2"/>
  <c r="A42" i="2"/>
  <c r="Y42" i="2"/>
  <c r="M42" i="2"/>
  <c r="I42" i="2"/>
  <c r="AF42" i="2"/>
  <c r="AB42" i="2"/>
  <c r="X42" i="2"/>
  <c r="T42" i="2"/>
  <c r="P42" i="2"/>
  <c r="L42" i="2"/>
  <c r="H42" i="2"/>
  <c r="D42" i="2"/>
  <c r="BK41" i="2"/>
  <c r="AI42" i="2"/>
  <c r="AE42" i="2"/>
  <c r="AA42" i="2"/>
  <c r="W42" i="2"/>
  <c r="S42" i="2"/>
  <c r="O42" i="2"/>
  <c r="K42" i="2"/>
  <c r="G42" i="2"/>
  <c r="C42" i="2"/>
  <c r="AH42" i="2"/>
  <c r="AD42" i="2"/>
  <c r="Z42" i="2"/>
  <c r="V42" i="2"/>
  <c r="R42" i="2"/>
  <c r="N42" i="2"/>
  <c r="J42" i="2"/>
  <c r="F42" i="2"/>
  <c r="B42" i="2"/>
  <c r="AC42" i="2"/>
  <c r="Q42" i="2"/>
  <c r="E42" i="2"/>
  <c r="AG23" i="2"/>
  <c r="Y23" i="2"/>
  <c r="Q23" i="2"/>
  <c r="I23" i="2"/>
  <c r="A23" i="2"/>
  <c r="AB23" i="2"/>
  <c r="X23" i="2"/>
  <c r="T23" i="2"/>
  <c r="P23" i="2"/>
  <c r="L23" i="2"/>
  <c r="D23" i="2"/>
  <c r="BK22" i="2"/>
  <c r="AI23" i="2"/>
  <c r="AE23" i="2"/>
  <c r="AA23" i="2"/>
  <c r="W23" i="2"/>
  <c r="S23" i="2"/>
  <c r="O23" i="2"/>
  <c r="K23" i="2"/>
  <c r="G23" i="2"/>
  <c r="C23" i="2"/>
  <c r="AH23" i="2"/>
  <c r="AD23" i="2"/>
  <c r="Z23" i="2"/>
  <c r="V23" i="2"/>
  <c r="R23" i="2"/>
  <c r="N23" i="2"/>
  <c r="J23" i="2"/>
  <c r="F23" i="2"/>
  <c r="B23" i="2"/>
  <c r="AC23" i="2"/>
  <c r="U23" i="2"/>
  <c r="M23" i="2"/>
  <c r="E23" i="2"/>
  <c r="AF23" i="2"/>
  <c r="H23" i="2"/>
  <c r="BK38" i="2"/>
  <c r="AF39" i="2"/>
  <c r="AB39" i="2"/>
  <c r="X39" i="2"/>
  <c r="T39" i="2"/>
  <c r="P39" i="2"/>
  <c r="L39" i="2"/>
  <c r="H39" i="2"/>
  <c r="D39" i="2"/>
  <c r="AI39" i="2"/>
  <c r="AE39" i="2"/>
  <c r="AA39" i="2"/>
  <c r="W39" i="2"/>
  <c r="S39" i="2"/>
  <c r="O39" i="2"/>
  <c r="K39" i="2"/>
  <c r="G39" i="2"/>
  <c r="C39" i="2"/>
  <c r="AH39" i="2"/>
  <c r="AD39" i="2"/>
  <c r="Z39" i="2"/>
  <c r="V39" i="2"/>
  <c r="R39" i="2"/>
  <c r="N39" i="2"/>
  <c r="J39" i="2"/>
  <c r="F39" i="2"/>
  <c r="B39" i="2"/>
  <c r="AG39" i="2"/>
  <c r="AC39" i="2"/>
  <c r="Y39" i="2"/>
  <c r="U39" i="2"/>
  <c r="Q39" i="2"/>
  <c r="M39" i="2"/>
  <c r="I39" i="2"/>
  <c r="E39" i="2"/>
  <c r="A39" i="2"/>
  <c r="AF24" i="2"/>
  <c r="AB24" i="2"/>
  <c r="T24" i="2"/>
  <c r="L24" i="2"/>
  <c r="H24" i="2"/>
  <c r="AI24" i="2"/>
  <c r="AE24" i="2"/>
  <c r="AA24" i="2"/>
  <c r="W24" i="2"/>
  <c r="S24" i="2"/>
  <c r="O24" i="2"/>
  <c r="K24" i="2"/>
  <c r="C24" i="2"/>
  <c r="G24" i="2"/>
  <c r="AH24" i="2"/>
  <c r="AD24" i="2"/>
  <c r="Z24" i="2"/>
  <c r="V24" i="2"/>
  <c r="R24" i="2"/>
  <c r="N24" i="2"/>
  <c r="J24" i="2"/>
  <c r="F24" i="2"/>
  <c r="B24" i="2"/>
  <c r="AG24" i="2"/>
  <c r="AC24" i="2"/>
  <c r="Y24" i="2"/>
  <c r="U24" i="2"/>
  <c r="Q24" i="2"/>
  <c r="M24" i="2"/>
  <c r="I24" i="2"/>
  <c r="E24" i="2"/>
  <c r="A24" i="2"/>
  <c r="X24" i="2"/>
  <c r="P24" i="2"/>
  <c r="D24" i="2"/>
  <c r="BK23" i="2"/>
  <c r="AI40" i="2"/>
  <c r="AA40" i="2"/>
  <c r="S40" i="2"/>
  <c r="O40" i="2"/>
  <c r="G40" i="2"/>
  <c r="AE40" i="2"/>
  <c r="W40" i="2"/>
  <c r="K40" i="2"/>
  <c r="AH40" i="2"/>
  <c r="AD40" i="2"/>
  <c r="Z40" i="2"/>
  <c r="V40" i="2"/>
  <c r="R40" i="2"/>
  <c r="N40" i="2"/>
  <c r="J40" i="2"/>
  <c r="F40" i="2"/>
  <c r="B40" i="2"/>
  <c r="AG40" i="2"/>
  <c r="AC40" i="2"/>
  <c r="Y40" i="2"/>
  <c r="U40" i="2"/>
  <c r="Q40" i="2"/>
  <c r="M40" i="2"/>
  <c r="I40" i="2"/>
  <c r="E40" i="2"/>
  <c r="A40" i="2"/>
  <c r="AF40" i="2"/>
  <c r="AB40" i="2"/>
  <c r="X40" i="2"/>
  <c r="T40" i="2"/>
  <c r="P40" i="2"/>
  <c r="L40" i="2"/>
  <c r="H40" i="2"/>
  <c r="D40" i="2"/>
  <c r="BK39" i="2"/>
  <c r="C40" i="2"/>
  <c r="U43" i="2"/>
  <c r="E43" i="2"/>
  <c r="AC43" i="2"/>
  <c r="Q43" i="2"/>
  <c r="I43" i="2"/>
  <c r="AF43" i="2"/>
  <c r="AB43" i="2"/>
  <c r="X43" i="2"/>
  <c r="T43" i="2"/>
  <c r="P43" i="2"/>
  <c r="L43" i="2"/>
  <c r="H43" i="2"/>
  <c r="D43" i="2"/>
  <c r="AI43" i="2"/>
  <c r="AE43" i="2"/>
  <c r="AA43" i="2"/>
  <c r="W43" i="2"/>
  <c r="S43" i="2"/>
  <c r="O43" i="2"/>
  <c r="K43" i="2"/>
  <c r="G43" i="2"/>
  <c r="C43" i="2"/>
  <c r="BK42" i="2"/>
  <c r="AH43" i="2"/>
  <c r="AD43" i="2"/>
  <c r="Z43" i="2"/>
  <c r="V43" i="2"/>
  <c r="R43" i="2"/>
  <c r="N43" i="2"/>
  <c r="J43" i="2"/>
  <c r="F43" i="2"/>
  <c r="B43" i="2"/>
  <c r="AG43" i="2"/>
  <c r="Y43" i="2"/>
  <c r="M43" i="2"/>
  <c r="A43" i="2"/>
  <c r="AG50" i="2"/>
  <c r="Q50" i="2"/>
  <c r="A50" i="2"/>
  <c r="AC50" i="2"/>
  <c r="U50" i="2"/>
  <c r="I50" i="2"/>
  <c r="AF50" i="2"/>
  <c r="AB50" i="2"/>
  <c r="X50" i="2"/>
  <c r="T50" i="2"/>
  <c r="P50" i="2"/>
  <c r="L50" i="2"/>
  <c r="H50" i="2"/>
  <c r="D50" i="2"/>
  <c r="AI50" i="2"/>
  <c r="AE50" i="2"/>
  <c r="AA50" i="2"/>
  <c r="W50" i="2"/>
  <c r="S50" i="2"/>
  <c r="O50" i="2"/>
  <c r="K50" i="2"/>
  <c r="G50" i="2"/>
  <c r="C50" i="2"/>
  <c r="BK49" i="2"/>
  <c r="AH50" i="2"/>
  <c r="AD50" i="2"/>
  <c r="Z50" i="2"/>
  <c r="V50" i="2"/>
  <c r="R50" i="2"/>
  <c r="N50" i="2"/>
  <c r="J50" i="2"/>
  <c r="F50" i="2"/>
  <c r="B50" i="2"/>
  <c r="Y50" i="2"/>
  <c r="M50" i="2"/>
  <c r="E50" i="2"/>
  <c r="F29" i="2"/>
  <c r="AG29" i="2"/>
  <c r="AC29" i="2"/>
  <c r="Y29" i="2"/>
  <c r="U29" i="2"/>
  <c r="Q29" i="2"/>
  <c r="M29" i="2"/>
  <c r="I29" i="2"/>
  <c r="E29" i="2"/>
  <c r="A29" i="2"/>
  <c r="AF29" i="2"/>
  <c r="AB29" i="2"/>
  <c r="X29" i="2"/>
  <c r="T29" i="2"/>
  <c r="P29" i="2"/>
  <c r="L29" i="2"/>
  <c r="H29" i="2"/>
  <c r="D29" i="2"/>
  <c r="BK28" i="2"/>
  <c r="AI29" i="2"/>
  <c r="AE29" i="2"/>
  <c r="AA29" i="2"/>
  <c r="W29" i="2"/>
  <c r="S29" i="2"/>
  <c r="O29" i="2"/>
  <c r="K29" i="2"/>
  <c r="G29" i="2"/>
  <c r="C29" i="2"/>
  <c r="AH29" i="2"/>
  <c r="AD29" i="2"/>
  <c r="Z29" i="2"/>
  <c r="V29" i="2"/>
  <c r="R29" i="2"/>
  <c r="N29" i="2"/>
  <c r="J29" i="2"/>
  <c r="B29" i="2"/>
  <c r="Z22" i="2"/>
  <c r="N22" i="2"/>
  <c r="F22" i="2"/>
  <c r="AC22" i="2"/>
  <c r="U22" i="2"/>
  <c r="M22" i="2"/>
  <c r="E22" i="2"/>
  <c r="AF22" i="2"/>
  <c r="AB22" i="2"/>
  <c r="X22" i="2"/>
  <c r="T22" i="2"/>
  <c r="P22" i="2"/>
  <c r="L22" i="2"/>
  <c r="H22" i="2"/>
  <c r="D22" i="2"/>
  <c r="BK21" i="2"/>
  <c r="AI22" i="2"/>
  <c r="AE22" i="2"/>
  <c r="AA22" i="2"/>
  <c r="W22" i="2"/>
  <c r="S22" i="2"/>
  <c r="O22" i="2"/>
  <c r="K22" i="2"/>
  <c r="G22" i="2"/>
  <c r="C22" i="2"/>
  <c r="AH22" i="2"/>
  <c r="AD22" i="2"/>
  <c r="V22" i="2"/>
  <c r="R22" i="2"/>
  <c r="J22" i="2"/>
  <c r="B22" i="2"/>
  <c r="AG22" i="2"/>
  <c r="Y22" i="2"/>
  <c r="Q22" i="2"/>
  <c r="I22" i="2"/>
  <c r="A22" i="2"/>
  <c r="OD28" i="4"/>
  <c r="IX28" i="4"/>
  <c r="TO28" i="4"/>
  <c r="OD12" i="4"/>
  <c r="IX12" i="4"/>
  <c r="TO12" i="4"/>
  <c r="TC35" i="4"/>
  <c r="NR35" i="4"/>
  <c r="IL35" i="4"/>
  <c r="SQ37" i="4"/>
  <c r="NF37" i="4"/>
  <c r="HZ37" i="4"/>
  <c r="NF21" i="4"/>
  <c r="HZ21" i="4"/>
  <c r="SQ21" i="4"/>
  <c r="SQ5" i="4"/>
  <c r="SR5" i="4" s="1"/>
  <c r="NF5" i="4"/>
  <c r="HZ5" i="4"/>
  <c r="IA5" i="4" s="1"/>
  <c r="TC36" i="4"/>
  <c r="NR36" i="4"/>
  <c r="IL36" i="4"/>
  <c r="KA8" i="4"/>
  <c r="KA9" i="4" s="1"/>
  <c r="KA10" i="4" s="1"/>
  <c r="KA11" i="4" s="1"/>
  <c r="KA12" i="4" s="1"/>
  <c r="KA13" i="4" s="1"/>
  <c r="KA14" i="4" s="1"/>
  <c r="KA15" i="4" s="1"/>
  <c r="KA16" i="4" s="1"/>
  <c r="KA17" i="4" s="1"/>
  <c r="KA18" i="4" s="1"/>
  <c r="KA19" i="4" s="1"/>
  <c r="KA20" i="4" s="1"/>
  <c r="KA21" i="4" s="1"/>
  <c r="KA22" i="4" s="1"/>
  <c r="KA23" i="4" s="1"/>
  <c r="KA24" i="4" s="1"/>
  <c r="KA25" i="4" s="1"/>
  <c r="KA26" i="4" s="1"/>
  <c r="KA27" i="4" s="1"/>
  <c r="KA28" i="4" s="1"/>
  <c r="KA29" i="4" s="1"/>
  <c r="KA30" i="4" s="1"/>
  <c r="KA31" i="4" s="1"/>
  <c r="KA32" i="4" s="1"/>
  <c r="KA33" i="4" s="1"/>
  <c r="KA34" i="4" s="1"/>
  <c r="KA35" i="4" s="1"/>
  <c r="KA36" i="4" s="1"/>
  <c r="KA37" i="4" s="1"/>
  <c r="KA38" i="4" s="1"/>
  <c r="KA39" i="4" s="1"/>
  <c r="KA40" i="4" s="1"/>
  <c r="AV30" i="3"/>
  <c r="AV19" i="3"/>
  <c r="AV22" i="3"/>
  <c r="AV33" i="3"/>
  <c r="AV9" i="3"/>
  <c r="AV13" i="3"/>
  <c r="AV17" i="3"/>
  <c r="AV35" i="3"/>
  <c r="AV39" i="3"/>
  <c r="NR12" i="4"/>
  <c r="IL12" i="4"/>
  <c r="TC12" i="4"/>
  <c r="SM35" i="4"/>
  <c r="NB35" i="4"/>
  <c r="HV35" i="4"/>
  <c r="SM18" i="4"/>
  <c r="NB18" i="4"/>
  <c r="HV18" i="4"/>
  <c r="HX41" i="4"/>
  <c r="HX37" i="4"/>
  <c r="HX33" i="4"/>
  <c r="HX32" i="4"/>
  <c r="HX25" i="4"/>
  <c r="HX21" i="4"/>
  <c r="HX15" i="4"/>
  <c r="HX13" i="4"/>
  <c r="HX8" i="4"/>
  <c r="HX7" i="4"/>
  <c r="HW5" i="4"/>
  <c r="HW6" i="4" s="1"/>
  <c r="HW7" i="4" s="1"/>
  <c r="HW8" i="4" s="1"/>
  <c r="HW9" i="4" s="1"/>
  <c r="HW10" i="4" s="1"/>
  <c r="HW11" i="4" s="1"/>
  <c r="HW12" i="4" s="1"/>
  <c r="HW13" i="4" s="1"/>
  <c r="HW14" i="4" s="1"/>
  <c r="HW15" i="4" s="1"/>
  <c r="HW16" i="4" s="1"/>
  <c r="HW17" i="4" s="1"/>
  <c r="HW18" i="4" s="1"/>
  <c r="HW19" i="4" s="1"/>
  <c r="HW20" i="4" s="1"/>
  <c r="HW21" i="4" s="1"/>
  <c r="HW22" i="4" s="1"/>
  <c r="HW23" i="4" s="1"/>
  <c r="HW24" i="4" s="1"/>
  <c r="HW25" i="4" s="1"/>
  <c r="HW26" i="4" s="1"/>
  <c r="HW27" i="4" s="1"/>
  <c r="HW28" i="4" s="1"/>
  <c r="HW29" i="4" s="1"/>
  <c r="HW30" i="4" s="1"/>
  <c r="HW31" i="4" s="1"/>
  <c r="HW32" i="4" s="1"/>
  <c r="HW33" i="4" s="1"/>
  <c r="HW34" i="4" s="1"/>
  <c r="HW35" i="4" s="1"/>
  <c r="HW36" i="4" s="1"/>
  <c r="HW37" i="4" s="1"/>
  <c r="HW38" i="4" s="1"/>
  <c r="HW39" i="4" s="1"/>
  <c r="HW40" i="4" s="1"/>
  <c r="BA5" i="3"/>
  <c r="BA6" i="3" s="1"/>
  <c r="BA7" i="3" s="1"/>
  <c r="BA8" i="3" s="1"/>
  <c r="BA9" i="3" s="1"/>
  <c r="BA10" i="3" s="1"/>
  <c r="BA11" i="3" s="1"/>
  <c r="BA12" i="3" s="1"/>
  <c r="BA13" i="3" s="1"/>
  <c r="BA14" i="3" s="1"/>
  <c r="BA15" i="3" s="1"/>
  <c r="BA16" i="3" s="1"/>
  <c r="BA17" i="3" s="1"/>
  <c r="BA18" i="3" s="1"/>
  <c r="BA19" i="3" s="1"/>
  <c r="BA20" i="3" s="1"/>
  <c r="BA21" i="3" s="1"/>
  <c r="BA22" i="3" s="1"/>
  <c r="BA23" i="3" s="1"/>
  <c r="BA24" i="3" s="1"/>
  <c r="BA25" i="3" s="1"/>
  <c r="BA26" i="3" s="1"/>
  <c r="BA27" i="3" s="1"/>
  <c r="BA28" i="3" s="1"/>
  <c r="BA29" i="3" s="1"/>
  <c r="BA30" i="3" s="1"/>
  <c r="BA31" i="3" s="1"/>
  <c r="BA32" i="3" s="1"/>
  <c r="BA33" i="3" s="1"/>
  <c r="BA34" i="3" s="1"/>
  <c r="BA35" i="3" s="1"/>
  <c r="BA36" i="3" s="1"/>
  <c r="BA37" i="3" s="1"/>
  <c r="BA38" i="3" s="1"/>
  <c r="BA39" i="3" s="1"/>
  <c r="BA40" i="3" s="1"/>
  <c r="BA41" i="3" s="1"/>
  <c r="BA42" i="3" s="1"/>
  <c r="BB16" i="3"/>
  <c r="BB12" i="3"/>
  <c r="BB8" i="3"/>
  <c r="BB23" i="3"/>
  <c r="QW5" i="4"/>
  <c r="QW9" i="4"/>
  <c r="QW13" i="4"/>
  <c r="QW19" i="4"/>
  <c r="QW21" i="4"/>
  <c r="QW25" i="4"/>
  <c r="QW28" i="4"/>
  <c r="QW33" i="4"/>
  <c r="QW37" i="4"/>
  <c r="UM34" i="4"/>
  <c r="PB34" i="4"/>
  <c r="JV34" i="4"/>
  <c r="UM19" i="4"/>
  <c r="PB19" i="4"/>
  <c r="JV19" i="4"/>
  <c r="NR23" i="4"/>
  <c r="IL23" i="4"/>
  <c r="TC23" i="4"/>
  <c r="MX25" i="4"/>
  <c r="HR25" i="4"/>
  <c r="SI25" i="4"/>
  <c r="SI9" i="4"/>
  <c r="HR9" i="4"/>
  <c r="MX9" i="4"/>
  <c r="RW31" i="4"/>
  <c r="ML31" i="4"/>
  <c r="HF31" i="4"/>
  <c r="RW15" i="4"/>
  <c r="ML15" i="4"/>
  <c r="HF15" i="4"/>
  <c r="MM5" i="4"/>
  <c r="MM6" i="4" s="1"/>
  <c r="MM7" i="4" s="1"/>
  <c r="MM8" i="4" s="1"/>
  <c r="MM9" i="4" s="1"/>
  <c r="TC18" i="4"/>
  <c r="NR18" i="4"/>
  <c r="IL18" i="4"/>
  <c r="TO31" i="4"/>
  <c r="IX31" i="4"/>
  <c r="OD31" i="4"/>
  <c r="TO15" i="4"/>
  <c r="OD15" i="4"/>
  <c r="IX15" i="4"/>
  <c r="FB39" i="4"/>
  <c r="FB23" i="4"/>
  <c r="NG5" i="4"/>
  <c r="NR13" i="4"/>
  <c r="IL13" i="4"/>
  <c r="TC13" i="4"/>
  <c r="DU4" i="4"/>
  <c r="DU8" i="4"/>
  <c r="DU11" i="4"/>
  <c r="DU15" i="4"/>
  <c r="DU20" i="4"/>
  <c r="DU23" i="4"/>
  <c r="DU28" i="4"/>
  <c r="DU32" i="4"/>
  <c r="DU35" i="4"/>
  <c r="DU40" i="4"/>
  <c r="ON40" i="4"/>
  <c r="ON39" i="4"/>
  <c r="ON36" i="4"/>
  <c r="ON35" i="4"/>
  <c r="ON32" i="4"/>
  <c r="ON31" i="4"/>
  <c r="ON28" i="4"/>
  <c r="ON27" i="4"/>
  <c r="ON23" i="4"/>
  <c r="ON22" i="4"/>
  <c r="ON20" i="4"/>
  <c r="ON19" i="4"/>
  <c r="ON16" i="4"/>
  <c r="ON15" i="4"/>
  <c r="ON13" i="4"/>
  <c r="ON12" i="4"/>
  <c r="ON9" i="4"/>
  <c r="ON7" i="4"/>
  <c r="OM5" i="4"/>
  <c r="OM6" i="4" s="1"/>
  <c r="OM7" i="4" s="1"/>
  <c r="OM8" i="4" s="1"/>
  <c r="OM9" i="4" s="1"/>
  <c r="OM10" i="4" s="1"/>
  <c r="OM11" i="4" s="1"/>
  <c r="OM12" i="4" s="1"/>
  <c r="OM13" i="4" s="1"/>
  <c r="OM14" i="4" s="1"/>
  <c r="OM15" i="4" s="1"/>
  <c r="OM16" i="4" s="1"/>
  <c r="OM17" i="4" s="1"/>
  <c r="OM18" i="4" s="1"/>
  <c r="OM19" i="4" s="1"/>
  <c r="OM20" i="4" s="1"/>
  <c r="OM21" i="4" s="1"/>
  <c r="OM22" i="4" s="1"/>
  <c r="OM23" i="4" s="1"/>
  <c r="OM24" i="4" s="1"/>
  <c r="OM25" i="4" s="1"/>
  <c r="OM26" i="4" s="1"/>
  <c r="OM27" i="4" s="1"/>
  <c r="OM28" i="4" s="1"/>
  <c r="OM29" i="4" s="1"/>
  <c r="OM30" i="4" s="1"/>
  <c r="OM31" i="4" s="1"/>
  <c r="OM32" i="4" s="1"/>
  <c r="OM33" i="4" s="1"/>
  <c r="OM34" i="4" s="1"/>
  <c r="OM35" i="4" s="1"/>
  <c r="OM36" i="4" s="1"/>
  <c r="OM37" i="4" s="1"/>
  <c r="OM38" i="4" s="1"/>
  <c r="OM39" i="4" s="1"/>
  <c r="OM40" i="4" s="1"/>
  <c r="ON5" i="4"/>
  <c r="ON4" i="4"/>
  <c r="UM29" i="4"/>
  <c r="PB29" i="4"/>
  <c r="JV29" i="4"/>
  <c r="UM9" i="4"/>
  <c r="PB9" i="4"/>
  <c r="JV9" i="4"/>
  <c r="MX40" i="4"/>
  <c r="HR40" i="4"/>
  <c r="SI40" i="4"/>
  <c r="SI24" i="4"/>
  <c r="HR24" i="4"/>
  <c r="MX24" i="4"/>
  <c r="SI8" i="4"/>
  <c r="MX8" i="4"/>
  <c r="HR8" i="4"/>
  <c r="RW29" i="4"/>
  <c r="ML29" i="4"/>
  <c r="HF29" i="4"/>
  <c r="ML10" i="4"/>
  <c r="HF10" i="4"/>
  <c r="RW10" i="4"/>
  <c r="DZ7" i="4"/>
  <c r="DZ11" i="4"/>
  <c r="DZ15" i="4"/>
  <c r="DZ19" i="4"/>
  <c r="DZ23" i="4"/>
  <c r="DZ27" i="4"/>
  <c r="DZ31" i="4"/>
  <c r="DZ35" i="4"/>
  <c r="DZ39" i="4"/>
  <c r="TO30" i="4"/>
  <c r="OD30" i="4"/>
  <c r="IX30" i="4"/>
  <c r="OD14" i="4"/>
  <c r="IX14" i="4"/>
  <c r="TO14" i="4"/>
  <c r="CU9" i="4"/>
  <c r="BM5" i="4"/>
  <c r="BM8" i="4"/>
  <c r="BM12" i="4"/>
  <c r="BM17" i="4"/>
  <c r="BM24" i="4"/>
  <c r="BM23" i="4"/>
  <c r="BM30" i="4"/>
  <c r="BM33" i="4"/>
  <c r="BM37" i="4"/>
  <c r="FB38" i="4"/>
  <c r="FB22" i="4"/>
  <c r="FB6" i="4"/>
  <c r="PX27" i="4"/>
  <c r="PX13" i="4"/>
  <c r="SQ33" i="4"/>
  <c r="NF33" i="4"/>
  <c r="HZ33" i="4"/>
  <c r="SQ17" i="4"/>
  <c r="NF17" i="4"/>
  <c r="HZ17" i="4"/>
  <c r="TD5" i="4"/>
  <c r="TD6" i="4" s="1"/>
  <c r="TD7" i="4" s="1"/>
  <c r="TD8" i="4" s="1"/>
  <c r="TD9" i="4" s="1"/>
  <c r="TD10" i="4" s="1"/>
  <c r="TD11" i="4" s="1"/>
  <c r="TD12" i="4" s="1"/>
  <c r="TD13" i="4" s="1"/>
  <c r="TD14" i="4" s="1"/>
  <c r="TD15" i="4" s="1"/>
  <c r="TD16" i="4" s="1"/>
  <c r="TD17" i="4" s="1"/>
  <c r="TD18" i="4" s="1"/>
  <c r="TD19" i="4" s="1"/>
  <c r="TD20" i="4" s="1"/>
  <c r="TD21" i="4" s="1"/>
  <c r="TD22" i="4" s="1"/>
  <c r="TD23" i="4" s="1"/>
  <c r="TD24" i="4" s="1"/>
  <c r="TD25" i="4" s="1"/>
  <c r="TD26" i="4" s="1"/>
  <c r="TD27" i="4" s="1"/>
  <c r="TD28" i="4" s="1"/>
  <c r="TD29" i="4" s="1"/>
  <c r="TD30" i="4" s="1"/>
  <c r="TD31" i="4" s="1"/>
  <c r="TD32" i="4" s="1"/>
  <c r="TD33" i="4" s="1"/>
  <c r="TD34" i="4" s="1"/>
  <c r="TD35" i="4" s="1"/>
  <c r="TD36" i="4" s="1"/>
  <c r="TD37" i="4" s="1"/>
  <c r="TD38" i="4" s="1"/>
  <c r="TD39" i="4" s="1"/>
  <c r="GA6" i="4"/>
  <c r="UM31" i="4"/>
  <c r="PB31" i="4"/>
  <c r="JV31" i="4"/>
  <c r="UM16" i="4"/>
  <c r="JV16" i="4"/>
  <c r="PB16" i="4"/>
  <c r="MX39" i="4"/>
  <c r="HR39" i="4"/>
  <c r="SI39" i="4"/>
  <c r="MX23" i="4"/>
  <c r="HR23" i="4"/>
  <c r="SI23" i="4"/>
  <c r="SI7" i="4"/>
  <c r="MX7" i="4"/>
  <c r="HR7" i="4"/>
  <c r="CX42" i="3"/>
  <c r="CX41" i="3"/>
  <c r="CX40" i="3"/>
  <c r="CX39" i="3"/>
  <c r="CX38" i="3"/>
  <c r="CX37" i="3"/>
  <c r="CX36" i="3"/>
  <c r="CX35" i="3"/>
  <c r="CX34" i="3"/>
  <c r="CX33" i="3"/>
  <c r="CX32" i="3"/>
  <c r="CX31" i="3"/>
  <c r="CX30" i="3"/>
  <c r="CX29" i="3"/>
  <c r="CX28" i="3"/>
  <c r="CX24" i="3"/>
  <c r="CX20" i="3"/>
  <c r="CX5" i="3"/>
  <c r="CX4" i="3"/>
  <c r="CX25" i="3"/>
  <c r="CX21" i="3"/>
  <c r="CX17" i="3"/>
  <c r="CW5" i="3"/>
  <c r="CW6" i="3" s="1"/>
  <c r="CW7" i="3" s="1"/>
  <c r="CW8" i="3" s="1"/>
  <c r="CW9" i="3" s="1"/>
  <c r="CW10" i="3" s="1"/>
  <c r="CW11" i="3" s="1"/>
  <c r="CW12" i="3" s="1"/>
  <c r="CW13" i="3" s="1"/>
  <c r="CW14" i="3" s="1"/>
  <c r="CW15" i="3" s="1"/>
  <c r="CW16" i="3" s="1"/>
  <c r="CW17" i="3" s="1"/>
  <c r="CW18" i="3" s="1"/>
  <c r="CW19" i="3" s="1"/>
  <c r="CW20" i="3" s="1"/>
  <c r="CW21" i="3" s="1"/>
  <c r="CW22" i="3" s="1"/>
  <c r="CW23" i="3" s="1"/>
  <c r="CW24" i="3" s="1"/>
  <c r="CW25" i="3" s="1"/>
  <c r="CW26" i="3" s="1"/>
  <c r="CW27" i="3" s="1"/>
  <c r="CW28" i="3" s="1"/>
  <c r="CW29" i="3" s="1"/>
  <c r="CW30" i="3" s="1"/>
  <c r="CW31" i="3" s="1"/>
  <c r="CW32" i="3" s="1"/>
  <c r="CW33" i="3" s="1"/>
  <c r="CW34" i="3" s="1"/>
  <c r="CW35" i="3" s="1"/>
  <c r="CW36" i="3" s="1"/>
  <c r="CW37" i="3" s="1"/>
  <c r="CW38" i="3" s="1"/>
  <c r="CW39" i="3" s="1"/>
  <c r="CW40" i="3" s="1"/>
  <c r="CW41" i="3" s="1"/>
  <c r="CW42" i="3" s="1"/>
  <c r="CX26" i="3"/>
  <c r="CX22" i="3"/>
  <c r="CX18" i="3"/>
  <c r="CX16" i="3"/>
  <c r="CX15" i="3"/>
  <c r="CX14" i="3"/>
  <c r="CX13" i="3"/>
  <c r="CX12" i="3"/>
  <c r="CX11" i="3"/>
  <c r="CX10" i="3"/>
  <c r="CX9" i="3"/>
  <c r="CX8" i="3"/>
  <c r="CX7" i="3"/>
  <c r="CX6" i="3"/>
  <c r="CX27" i="3"/>
  <c r="CX23" i="3"/>
  <c r="CX19" i="3"/>
  <c r="AP40" i="3"/>
  <c r="AP36" i="3"/>
  <c r="AP32" i="3"/>
  <c r="AP26" i="3"/>
  <c r="AP5" i="3"/>
  <c r="AP19" i="3"/>
  <c r="AO5" i="3"/>
  <c r="AO6" i="3" s="1"/>
  <c r="AO7" i="3" s="1"/>
  <c r="AO8" i="3" s="1"/>
  <c r="AO9" i="3" s="1"/>
  <c r="AO10" i="3" s="1"/>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P20" i="3"/>
  <c r="AP16" i="3"/>
  <c r="AP13" i="3"/>
  <c r="AP12" i="3"/>
  <c r="AP9" i="3"/>
  <c r="AP8" i="3"/>
  <c r="AP25" i="3"/>
  <c r="AP21" i="3"/>
  <c r="TO33" i="4"/>
  <c r="OD33" i="4"/>
  <c r="IX33" i="4"/>
  <c r="TO17" i="4"/>
  <c r="OD17" i="4"/>
  <c r="IX17" i="4"/>
  <c r="FB29" i="4"/>
  <c r="PX30" i="4"/>
  <c r="PX14" i="4"/>
  <c r="NF38" i="4"/>
  <c r="HZ38" i="4"/>
  <c r="SQ38" i="4"/>
  <c r="NF25" i="4"/>
  <c r="HZ25" i="4"/>
  <c r="SQ25" i="4"/>
  <c r="SQ6" i="4"/>
  <c r="NF6" i="4"/>
  <c r="HZ6" i="4"/>
  <c r="GZ40" i="4"/>
  <c r="GZ36" i="4"/>
  <c r="GZ31" i="4"/>
  <c r="GZ28" i="4"/>
  <c r="GZ24" i="4"/>
  <c r="GZ20" i="4"/>
  <c r="GZ15" i="4"/>
  <c r="GZ12" i="4"/>
  <c r="GZ7" i="4"/>
  <c r="GZ6" i="4"/>
  <c r="GY5" i="4"/>
  <c r="GY6" i="4" s="1"/>
  <c r="GY7" i="4" s="1"/>
  <c r="GY8" i="4" s="1"/>
  <c r="GY9" i="4" s="1"/>
  <c r="GY10" i="4" s="1"/>
  <c r="GY11" i="4" s="1"/>
  <c r="GY12" i="4" s="1"/>
  <c r="GY13" i="4" s="1"/>
  <c r="GY14" i="4" s="1"/>
  <c r="GY15" i="4" s="1"/>
  <c r="GY16" i="4" s="1"/>
  <c r="GY17" i="4" s="1"/>
  <c r="GY18" i="4" s="1"/>
  <c r="GY19" i="4" s="1"/>
  <c r="GY20" i="4" s="1"/>
  <c r="GY21" i="4" s="1"/>
  <c r="GY22" i="4" s="1"/>
  <c r="GY23" i="4" s="1"/>
  <c r="GY24" i="4" s="1"/>
  <c r="GY25" i="4" s="1"/>
  <c r="GY26" i="4" s="1"/>
  <c r="GY27" i="4" s="1"/>
  <c r="GY28" i="4" s="1"/>
  <c r="GY29" i="4" s="1"/>
  <c r="GY30" i="4" s="1"/>
  <c r="GY31" i="4" s="1"/>
  <c r="GY32" i="4" s="1"/>
  <c r="GY33" i="4" s="1"/>
  <c r="GY34" i="4" s="1"/>
  <c r="GY35" i="4" s="1"/>
  <c r="GY36" i="4" s="1"/>
  <c r="GY37" i="4" s="1"/>
  <c r="GY38" i="4" s="1"/>
  <c r="GY39" i="4" s="1"/>
  <c r="GY40" i="4" s="1"/>
  <c r="CG4" i="4"/>
  <c r="CG10" i="4"/>
  <c r="CG12" i="4"/>
  <c r="CG17" i="4"/>
  <c r="CG25" i="4"/>
  <c r="CG24" i="4"/>
  <c r="CG30" i="4"/>
  <c r="CG33" i="4"/>
  <c r="CG37" i="4"/>
  <c r="NR40" i="4"/>
  <c r="IL40" i="4"/>
  <c r="TC40" i="4"/>
  <c r="SA9" i="4"/>
  <c r="MP9" i="4"/>
  <c r="HJ9" i="4"/>
  <c r="MP22" i="4"/>
  <c r="HJ22" i="4"/>
  <c r="SA22" i="4"/>
  <c r="MP40" i="4"/>
  <c r="SA40" i="4"/>
  <c r="HJ40" i="4"/>
  <c r="SA17" i="4"/>
  <c r="MP17" i="4"/>
  <c r="HJ17" i="4"/>
  <c r="SA32" i="4"/>
  <c r="MP32" i="4"/>
  <c r="HJ32" i="4"/>
  <c r="SA16" i="4"/>
  <c r="HJ16" i="4"/>
  <c r="MP16" i="4"/>
  <c r="SA30" i="4"/>
  <c r="MP30" i="4"/>
  <c r="HJ30" i="4"/>
  <c r="MP11" i="4"/>
  <c r="HJ11" i="4"/>
  <c r="SA11" i="4"/>
  <c r="MP27" i="4"/>
  <c r="HJ27" i="4"/>
  <c r="SA27" i="4"/>
  <c r="DA17" i="4"/>
  <c r="DA33" i="4"/>
  <c r="DA14" i="4"/>
  <c r="DA29" i="4"/>
  <c r="DA11" i="4"/>
  <c r="DA27" i="4"/>
  <c r="DA4" i="4"/>
  <c r="DA20" i="4"/>
  <c r="DA36" i="4"/>
  <c r="HG6" i="4" l="1"/>
  <c r="HG7" i="4" s="1"/>
  <c r="HG8" i="4" s="1"/>
  <c r="HG9" i="4" s="1"/>
  <c r="HG10" i="4" s="1"/>
  <c r="HG11" i="4" s="1"/>
  <c r="HG12" i="4" s="1"/>
  <c r="HG13" i="4" s="1"/>
  <c r="HG14" i="4" s="1"/>
  <c r="HG15" i="4" s="1"/>
  <c r="HG16" i="4" s="1"/>
  <c r="HG17" i="4" s="1"/>
  <c r="HG18" i="4" s="1"/>
  <c r="HG19" i="4" s="1"/>
  <c r="HG20" i="4" s="1"/>
  <c r="HG21" i="4" s="1"/>
  <c r="HG22" i="4" s="1"/>
  <c r="HG23" i="4" s="1"/>
  <c r="HG24" i="4" s="1"/>
  <c r="HG25" i="4" s="1"/>
  <c r="HG26" i="4" s="1"/>
  <c r="HG27" i="4" s="1"/>
  <c r="HG28" i="4" s="1"/>
  <c r="HG29" i="4" s="1"/>
  <c r="HG30" i="4" s="1"/>
  <c r="HG31" i="4" s="1"/>
  <c r="HG32" i="4" s="1"/>
  <c r="HG33" i="4" s="1"/>
  <c r="HG34" i="4" s="1"/>
  <c r="HG35" i="4" s="1"/>
  <c r="HG36" i="4" s="1"/>
  <c r="HG37" i="4" s="1"/>
  <c r="HG38" i="4" s="1"/>
  <c r="HG39" i="4" s="1"/>
  <c r="HG40" i="4" s="1"/>
  <c r="HH28" i="4"/>
  <c r="HH12" i="4"/>
  <c r="HH30" i="4"/>
  <c r="HH16" i="4"/>
  <c r="HH42" i="4"/>
  <c r="HH26" i="4"/>
  <c r="HH10" i="4"/>
  <c r="HH33" i="4"/>
  <c r="HH15" i="4"/>
  <c r="IA6" i="4"/>
  <c r="IA7" i="4" s="1"/>
  <c r="IA8" i="4" s="1"/>
  <c r="IA9" i="4" s="1"/>
  <c r="IA10" i="4" s="1"/>
  <c r="IA11" i="4" s="1"/>
  <c r="IA12" i="4" s="1"/>
  <c r="IA13" i="4" s="1"/>
  <c r="IA14" i="4" s="1"/>
  <c r="IA15" i="4" s="1"/>
  <c r="IA16" i="4" s="1"/>
  <c r="IA17" i="4" s="1"/>
  <c r="IA18" i="4" s="1"/>
  <c r="IA19" i="4" s="1"/>
  <c r="IA20" i="4" s="1"/>
  <c r="IA21" i="4" s="1"/>
  <c r="IA22" i="4" s="1"/>
  <c r="IA23" i="4" s="1"/>
  <c r="IA24" i="4" s="1"/>
  <c r="IA25" i="4" s="1"/>
  <c r="IA26" i="4" s="1"/>
  <c r="IA27" i="4" s="1"/>
  <c r="IA28" i="4" s="1"/>
  <c r="IA29" i="4" s="1"/>
  <c r="IA30" i="4" s="1"/>
  <c r="IA31" i="4" s="1"/>
  <c r="IA32" i="4" s="1"/>
  <c r="IA33" i="4" s="1"/>
  <c r="IA34" i="4" s="1"/>
  <c r="IA35" i="4" s="1"/>
  <c r="IA36" i="4" s="1"/>
  <c r="IA37" i="4" s="1"/>
  <c r="IA38" i="4" s="1"/>
  <c r="IA39" i="4" s="1"/>
  <c r="IA40" i="4" s="1"/>
  <c r="IB29" i="4"/>
  <c r="IB7" i="4"/>
  <c r="IB35" i="4"/>
  <c r="IB20" i="4"/>
  <c r="IB39" i="4"/>
  <c r="IB23" i="4"/>
  <c r="IB8" i="4"/>
  <c r="IB34" i="4"/>
  <c r="IB19" i="4"/>
  <c r="RX6" i="4"/>
  <c r="RX7" i="4" s="1"/>
  <c r="RX8" i="4" s="1"/>
  <c r="RX9" i="4" s="1"/>
  <c r="RX10" i="4" s="1"/>
  <c r="RX11" i="4" s="1"/>
  <c r="RX12" i="4" s="1"/>
  <c r="RX13" i="4" s="1"/>
  <c r="RX14" i="4" s="1"/>
  <c r="RX15" i="4" s="1"/>
  <c r="RX16" i="4" s="1"/>
  <c r="RX17" i="4" s="1"/>
  <c r="RX18" i="4" s="1"/>
  <c r="RX19" i="4" s="1"/>
  <c r="RX20" i="4" s="1"/>
  <c r="RX21" i="4" s="1"/>
  <c r="RX22" i="4" s="1"/>
  <c r="RX23" i="4" s="1"/>
  <c r="RX24" i="4" s="1"/>
  <c r="RX25" i="4" s="1"/>
  <c r="RX26" i="4" s="1"/>
  <c r="RX27" i="4" s="1"/>
  <c r="RX28" i="4" s="1"/>
  <c r="RX29" i="4" s="1"/>
  <c r="RX30" i="4" s="1"/>
  <c r="RX31" i="4" s="1"/>
  <c r="RX32" i="4" s="1"/>
  <c r="RX33" i="4" s="1"/>
  <c r="RX34" i="4" s="1"/>
  <c r="RX35" i="4" s="1"/>
  <c r="RX36" i="4" s="1"/>
  <c r="RX37" i="4" s="1"/>
  <c r="RX38" i="4" s="1"/>
  <c r="RX39" i="4" s="1"/>
  <c r="RX40" i="4" s="1"/>
  <c r="RY27" i="4"/>
  <c r="RY12" i="4"/>
  <c r="RY29" i="4"/>
  <c r="RY13" i="4"/>
  <c r="RY33" i="4"/>
  <c r="RY19" i="4"/>
  <c r="RY40" i="4"/>
  <c r="RY23" i="4"/>
  <c r="RY8" i="4"/>
  <c r="FC6" i="4"/>
  <c r="FC7" i="4" s="1"/>
  <c r="FC8" i="4" s="1"/>
  <c r="FC9" i="4" s="1"/>
  <c r="FC10" i="4" s="1"/>
  <c r="FC11" i="4" s="1"/>
  <c r="FC12" i="4" s="1"/>
  <c r="FC13" i="4" s="1"/>
  <c r="FC14" i="4" s="1"/>
  <c r="FC15" i="4" s="1"/>
  <c r="FC16" i="4" s="1"/>
  <c r="FC17" i="4" s="1"/>
  <c r="FC18" i="4" s="1"/>
  <c r="FC19" i="4" s="1"/>
  <c r="FC20" i="4" s="1"/>
  <c r="FC21" i="4" s="1"/>
  <c r="FC22" i="4" s="1"/>
  <c r="FC23" i="4" s="1"/>
  <c r="FC24" i="4" s="1"/>
  <c r="FC25" i="4" s="1"/>
  <c r="FC26" i="4" s="1"/>
  <c r="FC27" i="4" s="1"/>
  <c r="FC28" i="4" s="1"/>
  <c r="FC29" i="4" s="1"/>
  <c r="FC30" i="4" s="1"/>
  <c r="FC31" i="4" s="1"/>
  <c r="FC32" i="4" s="1"/>
  <c r="FC33" i="4" s="1"/>
  <c r="FC34" i="4" s="1"/>
  <c r="FC35" i="4" s="1"/>
  <c r="FC36" i="4" s="1"/>
  <c r="FC37" i="4" s="1"/>
  <c r="FC38" i="4" s="1"/>
  <c r="FC39" i="4" s="1"/>
  <c r="FC40" i="4" s="1"/>
  <c r="FD35" i="4"/>
  <c r="FD27" i="4"/>
  <c r="FD21" i="4"/>
  <c r="FD12" i="4"/>
  <c r="FD38" i="4"/>
  <c r="FD30" i="4"/>
  <c r="FD24" i="4"/>
  <c r="FD14" i="4"/>
  <c r="FD6" i="4"/>
  <c r="FD33" i="4"/>
  <c r="FD25" i="4"/>
  <c r="FD17" i="4"/>
  <c r="FD10" i="4"/>
  <c r="FD40" i="4"/>
  <c r="FD31" i="4"/>
  <c r="FD23" i="4"/>
  <c r="FD16" i="4"/>
  <c r="FD7" i="4"/>
  <c r="SR6" i="4"/>
  <c r="SR7" i="4" s="1"/>
  <c r="SR8" i="4" s="1"/>
  <c r="SR9" i="4" s="1"/>
  <c r="SR10" i="4" s="1"/>
  <c r="SR11" i="4" s="1"/>
  <c r="SR12" i="4" s="1"/>
  <c r="SR13" i="4" s="1"/>
  <c r="SR14" i="4" s="1"/>
  <c r="SR15" i="4" s="1"/>
  <c r="SR16" i="4" s="1"/>
  <c r="SR17" i="4" s="1"/>
  <c r="SR18" i="4" s="1"/>
  <c r="SR19" i="4" s="1"/>
  <c r="SR20" i="4" s="1"/>
  <c r="SR21" i="4" s="1"/>
  <c r="SR22" i="4" s="1"/>
  <c r="SR23" i="4" s="1"/>
  <c r="SR24" i="4" s="1"/>
  <c r="SR25" i="4" s="1"/>
  <c r="SR26" i="4" s="1"/>
  <c r="SR27" i="4" s="1"/>
  <c r="SR28" i="4" s="1"/>
  <c r="SR29" i="4" s="1"/>
  <c r="SR30" i="4" s="1"/>
  <c r="SR31" i="4" s="1"/>
  <c r="SR32" i="4" s="1"/>
  <c r="SR33" i="4" s="1"/>
  <c r="SR34" i="4" s="1"/>
  <c r="SR35" i="4" s="1"/>
  <c r="SR36" i="4" s="1"/>
  <c r="SR37" i="4" s="1"/>
  <c r="SR38" i="4" s="1"/>
  <c r="SR39" i="4" s="1"/>
  <c r="SR40" i="4" s="1"/>
  <c r="SS38" i="4"/>
  <c r="SS30" i="4"/>
  <c r="SS26" i="4"/>
  <c r="SS22" i="4"/>
  <c r="SS13" i="4"/>
  <c r="SS10" i="4"/>
  <c r="SS6" i="4"/>
  <c r="SS33" i="4"/>
  <c r="SS28" i="4"/>
  <c r="SS25" i="4"/>
  <c r="SS19" i="4"/>
  <c r="SS15" i="4"/>
  <c r="SS9" i="4"/>
  <c r="SS40" i="4"/>
  <c r="SS34" i="4"/>
  <c r="SS31" i="4"/>
  <c r="SS24" i="4"/>
  <c r="SS20" i="4"/>
  <c r="SS16" i="4"/>
  <c r="SS12" i="4"/>
  <c r="SS7" i="4"/>
  <c r="SS4" i="4"/>
  <c r="SS39" i="4"/>
  <c r="SS35" i="4"/>
  <c r="SS32" i="4"/>
  <c r="SS27" i="4"/>
  <c r="SS23" i="4"/>
  <c r="SS18" i="4"/>
  <c r="SS14" i="4"/>
  <c r="SS11" i="4"/>
  <c r="SS8" i="4"/>
  <c r="AX6" i="2"/>
  <c r="AX9" i="2" s="1"/>
  <c r="AX7" i="2"/>
  <c r="AY8" i="2" s="1"/>
  <c r="AY4" i="2"/>
  <c r="AX5" i="2"/>
  <c r="TK36" i="4"/>
  <c r="NZ36" i="4"/>
  <c r="IT36" i="4"/>
  <c r="TK29" i="4"/>
  <c r="IT29" i="4"/>
  <c r="NZ29" i="4"/>
  <c r="NJ12" i="4"/>
  <c r="ID12" i="4"/>
  <c r="SU12" i="4"/>
  <c r="TK4" i="4"/>
  <c r="TL4" i="4" s="1"/>
  <c r="IT4" i="4"/>
  <c r="IU4" i="4" s="1"/>
  <c r="NZ4" i="4"/>
  <c r="OA4" i="4" s="1"/>
  <c r="BW4" i="3"/>
  <c r="NZ14" i="4"/>
  <c r="IT14" i="4"/>
  <c r="TK14" i="4"/>
  <c r="SU24" i="4"/>
  <c r="NJ24" i="4"/>
  <c r="ID24" i="4"/>
  <c r="NJ10" i="4"/>
  <c r="ID10" i="4"/>
  <c r="SU10" i="4"/>
  <c r="GZ4" i="4"/>
  <c r="GZ9" i="4"/>
  <c r="GZ13" i="4"/>
  <c r="GZ16" i="4"/>
  <c r="GZ21" i="4"/>
  <c r="GZ25" i="4"/>
  <c r="GZ29" i="4"/>
  <c r="GZ33" i="4"/>
  <c r="GZ37" i="4"/>
  <c r="GZ41" i="4"/>
  <c r="AP6" i="3"/>
  <c r="AP10" i="3"/>
  <c r="AP14" i="3"/>
  <c r="AP24" i="3"/>
  <c r="AP23" i="3"/>
  <c r="AP17" i="3"/>
  <c r="AP29" i="3"/>
  <c r="AP33" i="3"/>
  <c r="AP37" i="3"/>
  <c r="AP41" i="3"/>
  <c r="SE30" i="4"/>
  <c r="MT30" i="4"/>
  <c r="HN30" i="4"/>
  <c r="MT12" i="4"/>
  <c r="HN12" i="4"/>
  <c r="SE12" i="4"/>
  <c r="UE31" i="4"/>
  <c r="JN31" i="4"/>
  <c r="OT31" i="4"/>
  <c r="UE15" i="4"/>
  <c r="OT15" i="4"/>
  <c r="JN15" i="4"/>
  <c r="ON6" i="4"/>
  <c r="ON10" i="4"/>
  <c r="ON8" i="4"/>
  <c r="ON17" i="4"/>
  <c r="ON24" i="4"/>
  <c r="ON25" i="4"/>
  <c r="ON29" i="4"/>
  <c r="ON33" i="4"/>
  <c r="ON37" i="4"/>
  <c r="ON41" i="4"/>
  <c r="UA32" i="4"/>
  <c r="OP32" i="4"/>
  <c r="JJ32" i="4"/>
  <c r="UA15" i="4"/>
  <c r="OP15" i="4"/>
  <c r="JJ15" i="4"/>
  <c r="BB27" i="3"/>
  <c r="BB9" i="3"/>
  <c r="BB13" i="3"/>
  <c r="BB18" i="3"/>
  <c r="BB21" i="3"/>
  <c r="BB20" i="3"/>
  <c r="BB30" i="3"/>
  <c r="BB34" i="3"/>
  <c r="BB38" i="3"/>
  <c r="BB42" i="3"/>
  <c r="HX4" i="4"/>
  <c r="HX10" i="4"/>
  <c r="HX9" i="4"/>
  <c r="HX20" i="4"/>
  <c r="HX22" i="4"/>
  <c r="HX26" i="4"/>
  <c r="HX29" i="4"/>
  <c r="HX34" i="4"/>
  <c r="HX38" i="4"/>
  <c r="HX42" i="4"/>
  <c r="NZ39" i="4"/>
  <c r="IT39" i="4"/>
  <c r="TK39" i="4"/>
  <c r="TK9" i="4"/>
  <c r="NZ9" i="4"/>
  <c r="IT9" i="4"/>
  <c r="MP26" i="4"/>
  <c r="HJ26" i="4"/>
  <c r="SA26" i="4"/>
  <c r="SA33" i="4"/>
  <c r="MP33" i="4"/>
  <c r="HJ33" i="4"/>
  <c r="SA4" i="4"/>
  <c r="SB4" i="4" s="1"/>
  <c r="MP4" i="4"/>
  <c r="MQ4" i="4" s="1"/>
  <c r="HJ4" i="4"/>
  <c r="HK4" i="4" s="1"/>
  <c r="BE4" i="3"/>
  <c r="SU36" i="4"/>
  <c r="NJ36" i="4"/>
  <c r="ID36" i="4"/>
  <c r="NJ20" i="4"/>
  <c r="ID20" i="4"/>
  <c r="SU20" i="4"/>
  <c r="SU7" i="4"/>
  <c r="NJ7" i="4"/>
  <c r="ID7" i="4"/>
  <c r="MF10" i="4"/>
  <c r="MF9" i="4"/>
  <c r="MF20" i="4"/>
  <c r="MF21" i="4"/>
  <c r="MF28" i="4"/>
  <c r="MF29" i="4"/>
  <c r="MF33" i="4"/>
  <c r="MF37" i="4"/>
  <c r="MF41" i="4"/>
  <c r="RQ7" i="4"/>
  <c r="RQ12" i="4"/>
  <c r="RQ14" i="4"/>
  <c r="RQ17" i="4"/>
  <c r="RQ22" i="4"/>
  <c r="RQ27" i="4"/>
  <c r="RQ31" i="4"/>
  <c r="RQ36" i="4"/>
  <c r="RQ39" i="4"/>
  <c r="PD41" i="4"/>
  <c r="PD39" i="4"/>
  <c r="PD37" i="4"/>
  <c r="PD35" i="4"/>
  <c r="PD34" i="4"/>
  <c r="PD31" i="4"/>
  <c r="PD29" i="4"/>
  <c r="PD27" i="4"/>
  <c r="PD25" i="4"/>
  <c r="PD22" i="4"/>
  <c r="PD24" i="4"/>
  <c r="PD19" i="4"/>
  <c r="PD17" i="4"/>
  <c r="PD15" i="4"/>
  <c r="PD8" i="4"/>
  <c r="PD12" i="4"/>
  <c r="PD10" i="4"/>
  <c r="PD7" i="4"/>
  <c r="PC5" i="4"/>
  <c r="PC6" i="4" s="1"/>
  <c r="PC7" i="4" s="1"/>
  <c r="PC8" i="4" s="1"/>
  <c r="PC9" i="4" s="1"/>
  <c r="PC10" i="4" s="1"/>
  <c r="PC11" i="4" s="1"/>
  <c r="PC12" i="4" s="1"/>
  <c r="PC13" i="4" s="1"/>
  <c r="PC14" i="4" s="1"/>
  <c r="PC15" i="4" s="1"/>
  <c r="PC16" i="4" s="1"/>
  <c r="PC17" i="4" s="1"/>
  <c r="PC18" i="4" s="1"/>
  <c r="PC19" i="4" s="1"/>
  <c r="PC20" i="4" s="1"/>
  <c r="PC21" i="4" s="1"/>
  <c r="PC22" i="4" s="1"/>
  <c r="PC23" i="4" s="1"/>
  <c r="PC24" i="4" s="1"/>
  <c r="PC25" i="4" s="1"/>
  <c r="PC26" i="4" s="1"/>
  <c r="PC27" i="4" s="1"/>
  <c r="PC28" i="4" s="1"/>
  <c r="PC29" i="4" s="1"/>
  <c r="PC30" i="4" s="1"/>
  <c r="PC31" i="4" s="1"/>
  <c r="PC32" i="4" s="1"/>
  <c r="PC33" i="4" s="1"/>
  <c r="PC34" i="4" s="1"/>
  <c r="PC35" i="4" s="1"/>
  <c r="PC36" i="4" s="1"/>
  <c r="PC37" i="4" s="1"/>
  <c r="PC38" i="4" s="1"/>
  <c r="PC39" i="4" s="1"/>
  <c r="PC40" i="4" s="1"/>
  <c r="PD6" i="4"/>
  <c r="PD4" i="4"/>
  <c r="NS12" i="4"/>
  <c r="MT40" i="4"/>
  <c r="HN40" i="4"/>
  <c r="SE40" i="4"/>
  <c r="MT22" i="4"/>
  <c r="HN22" i="4"/>
  <c r="SE22" i="4"/>
  <c r="SE9" i="4"/>
  <c r="MT9" i="4"/>
  <c r="HN9" i="4"/>
  <c r="OT38" i="4"/>
  <c r="JN38" i="4"/>
  <c r="UE38" i="4"/>
  <c r="OT22" i="4"/>
  <c r="JN22" i="4"/>
  <c r="UE22" i="4"/>
  <c r="UE6" i="4"/>
  <c r="OT6" i="4"/>
  <c r="JN6" i="4"/>
  <c r="JH10" i="4"/>
  <c r="JH14" i="4"/>
  <c r="JH15" i="4"/>
  <c r="JH20" i="4"/>
  <c r="JH24" i="4"/>
  <c r="JH28" i="4"/>
  <c r="JH32" i="4"/>
  <c r="JH36" i="4"/>
  <c r="JH40" i="4"/>
  <c r="UA36" i="4"/>
  <c r="OP36" i="4"/>
  <c r="JJ36" i="4"/>
  <c r="UA19" i="4"/>
  <c r="JJ19" i="4"/>
  <c r="OP19" i="4"/>
  <c r="GM7" i="4"/>
  <c r="DJ8" i="4"/>
  <c r="EY6" i="4"/>
  <c r="EY9" i="4"/>
  <c r="EY13" i="4"/>
  <c r="EY17" i="4"/>
  <c r="EY21" i="4"/>
  <c r="EY25" i="4"/>
  <c r="EY29" i="4"/>
  <c r="EY33" i="4"/>
  <c r="EY37" i="4"/>
  <c r="RU13" i="4"/>
  <c r="RU17" i="4"/>
  <c r="RU25" i="4"/>
  <c r="RU26" i="4"/>
  <c r="RU29" i="4"/>
  <c r="RU35" i="4"/>
  <c r="RU38" i="4"/>
  <c r="BL20" i="3"/>
  <c r="BL32" i="3"/>
  <c r="BL23" i="3"/>
  <c r="BL26" i="3"/>
  <c r="BL6" i="3"/>
  <c r="BL10" i="3"/>
  <c r="BL14" i="3"/>
  <c r="BL21" i="3"/>
  <c r="BL36" i="3"/>
  <c r="BL40" i="3"/>
  <c r="NJ27" i="4"/>
  <c r="ID27" i="4"/>
  <c r="SU27" i="4"/>
  <c r="SU16" i="4"/>
  <c r="NJ16" i="4"/>
  <c r="ID16" i="4"/>
  <c r="AZ18" i="3"/>
  <c r="AZ5" i="3"/>
  <c r="AZ32" i="3"/>
  <c r="AZ28" i="3"/>
  <c r="AZ9" i="3"/>
  <c r="AZ13" i="3"/>
  <c r="AZ19" i="3"/>
  <c r="AZ31" i="3"/>
  <c r="AZ36" i="3"/>
  <c r="AZ40" i="3"/>
  <c r="GJ5" i="4"/>
  <c r="GJ10" i="4"/>
  <c r="GJ14" i="4"/>
  <c r="GJ19" i="4"/>
  <c r="GJ22" i="4"/>
  <c r="GJ26" i="4"/>
  <c r="GJ32" i="4"/>
  <c r="GJ34" i="4"/>
  <c r="GJ38" i="4"/>
  <c r="GJ42" i="4"/>
  <c r="IM8" i="4"/>
  <c r="SE29" i="4"/>
  <c r="HN29" i="4"/>
  <c r="MT29" i="4"/>
  <c r="MT14" i="4"/>
  <c r="HN14" i="4"/>
  <c r="SE14" i="4"/>
  <c r="CD22" i="3"/>
  <c r="CD31" i="3"/>
  <c r="CD35" i="3"/>
  <c r="CD39" i="3"/>
  <c r="BN4" i="3"/>
  <c r="BN26" i="3"/>
  <c r="BN32" i="3"/>
  <c r="BN36" i="3"/>
  <c r="BN40" i="3"/>
  <c r="BD28" i="3"/>
  <c r="BD4" i="3"/>
  <c r="BD23" i="3"/>
  <c r="BD26" i="3"/>
  <c r="BD7" i="3"/>
  <c r="BD11" i="3"/>
  <c r="BD15" i="3"/>
  <c r="BD34" i="3"/>
  <c r="BD38" i="3"/>
  <c r="BD42" i="3"/>
  <c r="TP5" i="4"/>
  <c r="TP6" i="4" s="1"/>
  <c r="TP7" i="4" s="1"/>
  <c r="TP8" i="4" s="1"/>
  <c r="TP9" i="4" s="1"/>
  <c r="TP10" i="4" s="1"/>
  <c r="TP11" i="4" s="1"/>
  <c r="TP12" i="4" s="1"/>
  <c r="TP13" i="4" s="1"/>
  <c r="TP14" i="4" s="1"/>
  <c r="TP15" i="4" s="1"/>
  <c r="TP16" i="4" s="1"/>
  <c r="TP17" i="4" s="1"/>
  <c r="TP18" i="4" s="1"/>
  <c r="TP19" i="4" s="1"/>
  <c r="TP20" i="4" s="1"/>
  <c r="TP21" i="4" s="1"/>
  <c r="TP22" i="4" s="1"/>
  <c r="TP23" i="4" s="1"/>
  <c r="TP24" i="4" s="1"/>
  <c r="TP25" i="4" s="1"/>
  <c r="TP26" i="4" s="1"/>
  <c r="TP27" i="4" s="1"/>
  <c r="TP28" i="4" s="1"/>
  <c r="TP29" i="4" s="1"/>
  <c r="TP30" i="4" s="1"/>
  <c r="TP31" i="4" s="1"/>
  <c r="TP32" i="4" s="1"/>
  <c r="TP33" i="4" s="1"/>
  <c r="TP34" i="4" s="1"/>
  <c r="TP35" i="4" s="1"/>
  <c r="TP36" i="4" s="1"/>
  <c r="TP37" i="4" s="1"/>
  <c r="TP38" i="4" s="1"/>
  <c r="TP39" i="4" s="1"/>
  <c r="TP40" i="4" s="1"/>
  <c r="TK8" i="4"/>
  <c r="IT8" i="4"/>
  <c r="NZ8" i="4"/>
  <c r="TK18" i="4"/>
  <c r="NZ18" i="4"/>
  <c r="IT18" i="4"/>
  <c r="SA29" i="4"/>
  <c r="MP29" i="4"/>
  <c r="HJ29" i="4"/>
  <c r="SA37" i="4"/>
  <c r="MP37" i="4"/>
  <c r="HJ37" i="4"/>
  <c r="MP12" i="4"/>
  <c r="HJ12" i="4"/>
  <c r="SA12" i="4"/>
  <c r="SU29" i="4"/>
  <c r="ID29" i="4"/>
  <c r="NJ29" i="4"/>
  <c r="NJ13" i="4"/>
  <c r="ID13" i="4"/>
  <c r="SU13" i="4"/>
  <c r="RA4" i="4"/>
  <c r="RA9" i="4"/>
  <c r="RA13" i="4"/>
  <c r="RA16" i="4"/>
  <c r="RA18" i="4"/>
  <c r="RA23" i="4"/>
  <c r="RA29" i="4"/>
  <c r="RA31" i="4"/>
  <c r="RA34" i="4"/>
  <c r="RA40" i="4"/>
  <c r="LL6" i="4"/>
  <c r="LL10" i="4"/>
  <c r="LL8" i="4"/>
  <c r="LL17" i="4"/>
  <c r="LL24" i="4"/>
  <c r="LL25" i="4"/>
  <c r="LL29" i="4"/>
  <c r="LL33" i="4"/>
  <c r="LL37" i="4"/>
  <c r="LL41" i="4"/>
  <c r="BT20" i="3"/>
  <c r="BT31" i="3"/>
  <c r="BT17" i="3"/>
  <c r="BT18" i="3"/>
  <c r="BT32" i="3"/>
  <c r="BT9" i="3"/>
  <c r="BT13" i="3"/>
  <c r="BT21" i="3"/>
  <c r="BT36" i="3"/>
  <c r="BT40" i="3"/>
  <c r="LS7" i="4"/>
  <c r="MT26" i="4"/>
  <c r="HN26" i="4"/>
  <c r="SE26" i="4"/>
  <c r="MT10" i="4"/>
  <c r="HN10" i="4"/>
  <c r="SE10" i="4"/>
  <c r="UE32" i="4"/>
  <c r="OT32" i="4"/>
  <c r="JN32" i="4"/>
  <c r="UE16" i="4"/>
  <c r="OT16" i="4"/>
  <c r="JN16" i="4"/>
  <c r="SK40" i="4"/>
  <c r="SK38" i="4"/>
  <c r="SK34" i="4"/>
  <c r="SK35" i="4"/>
  <c r="SK32" i="4"/>
  <c r="SK29" i="4"/>
  <c r="SK28" i="4"/>
  <c r="SK26" i="4"/>
  <c r="SK22" i="4"/>
  <c r="SK25" i="4"/>
  <c r="SK19" i="4"/>
  <c r="SK17" i="4"/>
  <c r="SK15" i="4"/>
  <c r="SK13" i="4"/>
  <c r="SK12" i="4"/>
  <c r="SK10" i="4"/>
  <c r="SK9" i="4"/>
  <c r="SK6" i="4"/>
  <c r="SK4" i="4"/>
  <c r="SJ5" i="4"/>
  <c r="SJ6" i="4" s="1"/>
  <c r="SJ7" i="4" s="1"/>
  <c r="SJ8" i="4" s="1"/>
  <c r="SJ9" i="4" s="1"/>
  <c r="SJ10" i="4" s="1"/>
  <c r="SJ11" i="4" s="1"/>
  <c r="SJ12" i="4" s="1"/>
  <c r="SJ13" i="4" s="1"/>
  <c r="SJ14" i="4" s="1"/>
  <c r="SJ15" i="4" s="1"/>
  <c r="SJ16" i="4" s="1"/>
  <c r="SJ17" i="4" s="1"/>
  <c r="SJ18" i="4" s="1"/>
  <c r="SJ19" i="4" s="1"/>
  <c r="SJ20" i="4" s="1"/>
  <c r="SJ21" i="4" s="1"/>
  <c r="SJ22" i="4" s="1"/>
  <c r="SJ23" i="4" s="1"/>
  <c r="SJ24" i="4" s="1"/>
  <c r="SJ25" i="4" s="1"/>
  <c r="SJ26" i="4" s="1"/>
  <c r="SJ27" i="4" s="1"/>
  <c r="SJ28" i="4" s="1"/>
  <c r="SJ29" i="4" s="1"/>
  <c r="SJ30" i="4" s="1"/>
  <c r="SJ31" i="4" s="1"/>
  <c r="SJ32" i="4" s="1"/>
  <c r="SJ33" i="4" s="1"/>
  <c r="SJ34" i="4" s="1"/>
  <c r="SJ35" i="4" s="1"/>
  <c r="SJ36" i="4" s="1"/>
  <c r="SJ37" i="4" s="1"/>
  <c r="SJ38" i="4" s="1"/>
  <c r="SJ39" i="4" s="1"/>
  <c r="SJ40" i="4" s="1"/>
  <c r="TY5" i="4"/>
  <c r="TY9" i="4"/>
  <c r="TY15" i="4"/>
  <c r="TY19" i="4"/>
  <c r="TY21" i="4"/>
  <c r="TY25" i="4"/>
  <c r="TY28" i="4"/>
  <c r="TY33" i="4"/>
  <c r="TY37" i="4"/>
  <c r="UA37" i="4"/>
  <c r="OP37" i="4"/>
  <c r="JJ37" i="4"/>
  <c r="UA24" i="4"/>
  <c r="OP24" i="4"/>
  <c r="JJ24" i="4"/>
  <c r="UA5" i="4"/>
  <c r="JJ5" i="4"/>
  <c r="OP5" i="4"/>
  <c r="QW30" i="4"/>
  <c r="QW15" i="4"/>
  <c r="MJ10" i="4"/>
  <c r="MJ7" i="4"/>
  <c r="MJ16" i="4"/>
  <c r="MJ20" i="4"/>
  <c r="MJ24" i="4"/>
  <c r="MJ28" i="4"/>
  <c r="MJ32" i="4"/>
  <c r="MJ36" i="4"/>
  <c r="MJ40" i="4"/>
  <c r="CL4" i="4"/>
  <c r="CL8" i="4"/>
  <c r="CL12" i="4"/>
  <c r="CL16" i="4"/>
  <c r="CL20" i="4"/>
  <c r="CL24" i="4"/>
  <c r="CL28" i="4"/>
  <c r="CL32" i="4"/>
  <c r="CL36" i="4"/>
  <c r="CL40" i="4"/>
  <c r="QS20" i="4"/>
  <c r="QS33" i="4"/>
  <c r="QS16" i="4"/>
  <c r="QS28" i="4"/>
  <c r="QS12" i="4"/>
  <c r="QS27" i="4"/>
  <c r="QS7" i="4"/>
  <c r="QS18" i="4"/>
  <c r="QS36" i="4"/>
  <c r="LX9" i="4"/>
  <c r="LX24" i="4"/>
  <c r="LX40" i="4"/>
  <c r="LX19" i="4"/>
  <c r="LX33" i="4"/>
  <c r="LX11" i="4"/>
  <c r="LX25" i="4"/>
  <c r="LX42" i="4"/>
  <c r="LX17" i="4"/>
  <c r="LX35" i="4"/>
  <c r="GR6" i="4"/>
  <c r="GR18" i="4"/>
  <c r="GR37" i="4"/>
  <c r="GR17" i="4"/>
  <c r="GR32" i="4"/>
  <c r="GR8" i="4"/>
  <c r="GR25" i="4"/>
  <c r="GR41" i="4"/>
  <c r="GR20" i="4"/>
  <c r="GR34" i="4"/>
  <c r="NZ20" i="4"/>
  <c r="IT20" i="4"/>
  <c r="TK20" i="4"/>
  <c r="SU30" i="4"/>
  <c r="NJ30" i="4"/>
  <c r="ID30" i="4"/>
  <c r="NZ27" i="4"/>
  <c r="IT27" i="4"/>
  <c r="TK27" i="4"/>
  <c r="TK33" i="4"/>
  <c r="NZ33" i="4"/>
  <c r="IT33" i="4"/>
  <c r="SU37" i="4"/>
  <c r="NJ37" i="4"/>
  <c r="ID37" i="4"/>
  <c r="NJ25" i="4"/>
  <c r="ID25" i="4"/>
  <c r="SU25" i="4"/>
  <c r="SU4" i="4"/>
  <c r="SV4" i="4" s="1"/>
  <c r="ID4" i="4"/>
  <c r="IE4" i="4" s="1"/>
  <c r="NJ4" i="4"/>
  <c r="NK4" i="4" s="1"/>
  <c r="BO4" i="3"/>
  <c r="GZ5" i="4"/>
  <c r="GZ10" i="4"/>
  <c r="GZ14" i="4"/>
  <c r="GZ19" i="4"/>
  <c r="GZ22" i="4"/>
  <c r="GZ26" i="4"/>
  <c r="GZ32" i="4"/>
  <c r="GZ34" i="4"/>
  <c r="GZ38" i="4"/>
  <c r="GZ42" i="4"/>
  <c r="AP7" i="3"/>
  <c r="AP11" i="3"/>
  <c r="AP15" i="3"/>
  <c r="AP28" i="3"/>
  <c r="AP27" i="3"/>
  <c r="AP18" i="3"/>
  <c r="AP30" i="3"/>
  <c r="AP34" i="3"/>
  <c r="AP38" i="3"/>
  <c r="AP42" i="3"/>
  <c r="MT23" i="4"/>
  <c r="HN23" i="4"/>
  <c r="SE23" i="4"/>
  <c r="SE8" i="4"/>
  <c r="HN8" i="4"/>
  <c r="MT8" i="4"/>
  <c r="OT27" i="4"/>
  <c r="JN27" i="4"/>
  <c r="UE27" i="4"/>
  <c r="OT11" i="4"/>
  <c r="JN11" i="4"/>
  <c r="UE11" i="4"/>
  <c r="ON11" i="4"/>
  <c r="ON14" i="4"/>
  <c r="ON18" i="4"/>
  <c r="ON21" i="4"/>
  <c r="ON26" i="4"/>
  <c r="ON30" i="4"/>
  <c r="ON34" i="4"/>
  <c r="ON38" i="4"/>
  <c r="ON42" i="4"/>
  <c r="OP28" i="4"/>
  <c r="JJ28" i="4"/>
  <c r="UA28" i="4"/>
  <c r="OP11" i="4"/>
  <c r="JJ11" i="4"/>
  <c r="UA11" i="4"/>
  <c r="BB17" i="3"/>
  <c r="BB6" i="3"/>
  <c r="BB10" i="3"/>
  <c r="BB14" i="3"/>
  <c r="BB22" i="3"/>
  <c r="BB25" i="3"/>
  <c r="BB24" i="3"/>
  <c r="BB31" i="3"/>
  <c r="BB35" i="3"/>
  <c r="BB39" i="3"/>
  <c r="HX6" i="4"/>
  <c r="HX5" i="4"/>
  <c r="HX11" i="4"/>
  <c r="HX16" i="4"/>
  <c r="HX18" i="4"/>
  <c r="HX23" i="4"/>
  <c r="HX27" i="4"/>
  <c r="HX30" i="4"/>
  <c r="HX35" i="4"/>
  <c r="HX39" i="4"/>
  <c r="NZ21" i="4"/>
  <c r="IT21" i="4"/>
  <c r="TK21" i="4"/>
  <c r="TK31" i="4"/>
  <c r="IT31" i="4"/>
  <c r="NZ31" i="4"/>
  <c r="SA7" i="4"/>
  <c r="HJ7" i="4"/>
  <c r="MP7" i="4"/>
  <c r="MP13" i="4"/>
  <c r="HJ13" i="4"/>
  <c r="SA13" i="4"/>
  <c r="SU32" i="4"/>
  <c r="NJ32" i="4"/>
  <c r="ID32" i="4"/>
  <c r="SU15" i="4"/>
  <c r="NJ15" i="4"/>
  <c r="ID15" i="4"/>
  <c r="UO38" i="4"/>
  <c r="UO36" i="4"/>
  <c r="UO30" i="4"/>
  <c r="UO26" i="4"/>
  <c r="UO22" i="4"/>
  <c r="UO17" i="4"/>
  <c r="UO13" i="4"/>
  <c r="UO10" i="4"/>
  <c r="UO6" i="4"/>
  <c r="UN5" i="4"/>
  <c r="UN6" i="4" s="1"/>
  <c r="UN7" i="4" s="1"/>
  <c r="UN8" i="4" s="1"/>
  <c r="UN9" i="4" s="1"/>
  <c r="UN10" i="4" s="1"/>
  <c r="UN11" i="4" s="1"/>
  <c r="UN12" i="4" s="1"/>
  <c r="UN13" i="4" s="1"/>
  <c r="UN14" i="4" s="1"/>
  <c r="UN15" i="4" s="1"/>
  <c r="UN16" i="4" s="1"/>
  <c r="UN17" i="4" s="1"/>
  <c r="UN18" i="4" s="1"/>
  <c r="UN19" i="4" s="1"/>
  <c r="UN20" i="4" s="1"/>
  <c r="UN21" i="4" s="1"/>
  <c r="UN22" i="4" s="1"/>
  <c r="UN23" i="4" s="1"/>
  <c r="UN24" i="4" s="1"/>
  <c r="UN25" i="4" s="1"/>
  <c r="UN26" i="4" s="1"/>
  <c r="UN27" i="4" s="1"/>
  <c r="UN28" i="4" s="1"/>
  <c r="UN29" i="4" s="1"/>
  <c r="UN30" i="4" s="1"/>
  <c r="UN31" i="4" s="1"/>
  <c r="UN32" i="4" s="1"/>
  <c r="UN33" i="4" s="1"/>
  <c r="UN34" i="4" s="1"/>
  <c r="UN35" i="4" s="1"/>
  <c r="UN36" i="4" s="1"/>
  <c r="UN37" i="4" s="1"/>
  <c r="UN38" i="4" s="1"/>
  <c r="UN39" i="4" s="1"/>
  <c r="UN40" i="4" s="1"/>
  <c r="SE35" i="4"/>
  <c r="MT35" i="4"/>
  <c r="HN35" i="4"/>
  <c r="MT20" i="4"/>
  <c r="HN20" i="4"/>
  <c r="SE20" i="4"/>
  <c r="SE4" i="4"/>
  <c r="SF4" i="4" s="1"/>
  <c r="HN4" i="4"/>
  <c r="HO4" i="4" s="1"/>
  <c r="MT4" i="4"/>
  <c r="MU4" i="4" s="1"/>
  <c r="BG4" i="3"/>
  <c r="UE34" i="4"/>
  <c r="OT34" i="4"/>
  <c r="JN34" i="4"/>
  <c r="UE18" i="4"/>
  <c r="OT18" i="4"/>
  <c r="JN18" i="4"/>
  <c r="JH4" i="4"/>
  <c r="JH11" i="4"/>
  <c r="JH7" i="4"/>
  <c r="JH16" i="4"/>
  <c r="JH21" i="4"/>
  <c r="JH25" i="4"/>
  <c r="JH29" i="4"/>
  <c r="JH33" i="4"/>
  <c r="JH37" i="4"/>
  <c r="JH41" i="4"/>
  <c r="UA31" i="4"/>
  <c r="JJ31" i="4"/>
  <c r="OP31" i="4"/>
  <c r="OP14" i="4"/>
  <c r="JJ14" i="4"/>
  <c r="UA14" i="4"/>
  <c r="N11" i="4"/>
  <c r="EY7" i="4"/>
  <c r="EY10" i="4"/>
  <c r="EY14" i="4"/>
  <c r="EY19" i="4"/>
  <c r="EY22" i="4"/>
  <c r="EY26" i="4"/>
  <c r="EY32" i="4"/>
  <c r="EY34" i="4"/>
  <c r="EY38" i="4"/>
  <c r="RU7" i="4"/>
  <c r="RU11" i="4"/>
  <c r="RU14" i="4"/>
  <c r="RU18" i="4"/>
  <c r="RU21" i="4"/>
  <c r="RU27" i="4"/>
  <c r="RU31" i="4"/>
  <c r="RU36" i="4"/>
  <c r="RU39" i="4"/>
  <c r="BL24" i="3"/>
  <c r="BL4" i="3"/>
  <c r="BL27" i="3"/>
  <c r="BL29" i="3"/>
  <c r="BL7" i="3"/>
  <c r="BL11" i="3"/>
  <c r="BL15" i="3"/>
  <c r="BL25" i="3"/>
  <c r="BL37" i="3"/>
  <c r="BL41" i="3"/>
  <c r="NJ39" i="4"/>
  <c r="ID39" i="4"/>
  <c r="SU39" i="4"/>
  <c r="NJ22" i="4"/>
  <c r="ID22" i="4"/>
  <c r="SU22" i="4"/>
  <c r="SU6" i="4"/>
  <c r="NJ6" i="4"/>
  <c r="ID6" i="4"/>
  <c r="AZ22" i="3"/>
  <c r="AZ21" i="3"/>
  <c r="AZ17" i="3"/>
  <c r="AZ6" i="3"/>
  <c r="AZ10" i="3"/>
  <c r="AZ14" i="3"/>
  <c r="AZ23" i="3"/>
  <c r="AZ33" i="3"/>
  <c r="AZ37" i="3"/>
  <c r="AZ41" i="3"/>
  <c r="GJ7" i="4"/>
  <c r="GJ11" i="4"/>
  <c r="GJ17" i="4"/>
  <c r="GJ18" i="4"/>
  <c r="GJ23" i="4"/>
  <c r="GJ27" i="4"/>
  <c r="GJ30" i="4"/>
  <c r="GJ35" i="4"/>
  <c r="GJ39" i="4"/>
  <c r="MT27" i="4"/>
  <c r="HN27" i="4"/>
  <c r="SE27" i="4"/>
  <c r="SE16" i="4"/>
  <c r="MT16" i="4"/>
  <c r="HN16" i="4"/>
  <c r="CD4" i="3"/>
  <c r="CD26" i="3"/>
  <c r="CD32" i="3"/>
  <c r="CD36" i="3"/>
  <c r="CD40" i="3"/>
  <c r="BN6" i="3"/>
  <c r="BN10" i="3"/>
  <c r="BN14" i="3"/>
  <c r="BN20" i="3"/>
  <c r="BN19" i="3"/>
  <c r="BN5" i="3"/>
  <c r="BN29" i="3"/>
  <c r="BN33" i="3"/>
  <c r="BN37" i="3"/>
  <c r="BN41" i="3"/>
  <c r="BD29" i="3"/>
  <c r="BD5" i="3"/>
  <c r="BD27" i="3"/>
  <c r="BD30" i="3"/>
  <c r="BD8" i="3"/>
  <c r="BD12" i="3"/>
  <c r="BD16" i="3"/>
  <c r="BD35" i="3"/>
  <c r="BD39" i="3"/>
  <c r="QW32" i="4"/>
  <c r="QW14" i="4"/>
  <c r="HD12" i="4"/>
  <c r="HD15" i="4"/>
  <c r="HD18" i="4"/>
  <c r="HD22" i="4"/>
  <c r="HD27" i="4"/>
  <c r="HD31" i="4"/>
  <c r="HD37" i="4"/>
  <c r="HD39" i="4"/>
  <c r="SN11" i="4"/>
  <c r="BY5" i="3"/>
  <c r="BY6" i="3" s="1"/>
  <c r="BY7" i="3" s="1"/>
  <c r="BY8" i="3" s="1"/>
  <c r="BY9" i="3" s="1"/>
  <c r="BY10" i="3" s="1"/>
  <c r="BY11" i="3" s="1"/>
  <c r="BY12" i="3" s="1"/>
  <c r="BY13" i="3" s="1"/>
  <c r="BY14" i="3" s="1"/>
  <c r="BY15" i="3" s="1"/>
  <c r="BY16" i="3" s="1"/>
  <c r="BY17" i="3" s="1"/>
  <c r="BY18" i="3" s="1"/>
  <c r="BY19" i="3" s="1"/>
  <c r="BY20" i="3" s="1"/>
  <c r="BY21" i="3" s="1"/>
  <c r="BY22" i="3" s="1"/>
  <c r="BY23" i="3" s="1"/>
  <c r="BY24" i="3" s="1"/>
  <c r="BY25" i="3" s="1"/>
  <c r="BY26" i="3" s="1"/>
  <c r="BY27" i="3" s="1"/>
  <c r="BY28" i="3" s="1"/>
  <c r="BY29" i="3" s="1"/>
  <c r="BY30" i="3" s="1"/>
  <c r="BY31" i="3" s="1"/>
  <c r="BY32" i="3" s="1"/>
  <c r="BY33" i="3" s="1"/>
  <c r="BY34" i="3" s="1"/>
  <c r="BY35" i="3" s="1"/>
  <c r="BY36" i="3" s="1"/>
  <c r="BY37" i="3" s="1"/>
  <c r="BY38" i="3" s="1"/>
  <c r="BY39" i="3" s="1"/>
  <c r="BY40" i="3" s="1"/>
  <c r="BY41" i="3" s="1"/>
  <c r="BY42" i="3" s="1"/>
  <c r="BZ16" i="3"/>
  <c r="BZ12" i="3"/>
  <c r="BZ8" i="3"/>
  <c r="BZ23" i="3"/>
  <c r="TK30" i="4"/>
  <c r="NZ30" i="4"/>
  <c r="IT30" i="4"/>
  <c r="TK37" i="4"/>
  <c r="NZ37" i="4"/>
  <c r="IT37" i="4"/>
  <c r="MP14" i="4"/>
  <c r="HJ14" i="4"/>
  <c r="SA14" i="4"/>
  <c r="SA19" i="4"/>
  <c r="MP19" i="4"/>
  <c r="HJ19" i="4"/>
  <c r="NJ26" i="4"/>
  <c r="ID26" i="4"/>
  <c r="SU26" i="4"/>
  <c r="SU9" i="4"/>
  <c r="NJ9" i="4"/>
  <c r="ID9" i="4"/>
  <c r="RA5" i="4"/>
  <c r="RA10" i="4"/>
  <c r="RA8" i="4"/>
  <c r="RA19" i="4"/>
  <c r="RA24" i="4"/>
  <c r="RA25" i="4"/>
  <c r="RA30" i="4"/>
  <c r="RA33" i="4"/>
  <c r="RA37" i="4"/>
  <c r="LL11" i="4"/>
  <c r="LL14" i="4"/>
  <c r="LL18" i="4"/>
  <c r="LL21" i="4"/>
  <c r="LL26" i="4"/>
  <c r="LL30" i="4"/>
  <c r="LL34" i="4"/>
  <c r="LL38" i="4"/>
  <c r="LL42" i="4"/>
  <c r="BT24" i="3"/>
  <c r="BT33" i="3"/>
  <c r="BT19" i="3"/>
  <c r="BT22" i="3"/>
  <c r="BT6" i="3"/>
  <c r="BT10" i="3"/>
  <c r="BT14" i="3"/>
  <c r="BT25" i="3"/>
  <c r="BT37" i="3"/>
  <c r="BT41" i="3"/>
  <c r="MT38" i="4"/>
  <c r="SE38" i="4"/>
  <c r="HN38" i="4"/>
  <c r="MT25" i="4"/>
  <c r="HN25" i="4"/>
  <c r="SE25" i="4"/>
  <c r="SE6" i="4"/>
  <c r="MT6" i="4"/>
  <c r="HN6" i="4"/>
  <c r="OT28" i="4"/>
  <c r="JN28" i="4"/>
  <c r="UE28" i="4"/>
  <c r="OT12" i="4"/>
  <c r="JN12" i="4"/>
  <c r="UE12" i="4"/>
  <c r="BJ42" i="3"/>
  <c r="BJ41" i="3"/>
  <c r="BJ38" i="3"/>
  <c r="BJ37" i="3"/>
  <c r="BJ34" i="3"/>
  <c r="BJ33" i="3"/>
  <c r="BJ30" i="3"/>
  <c r="BJ29" i="3"/>
  <c r="BJ20" i="3"/>
  <c r="BJ5" i="3"/>
  <c r="BJ21" i="3"/>
  <c r="BJ17" i="3"/>
  <c r="BI5" i="3"/>
  <c r="BI6" i="3" s="1"/>
  <c r="BI7" i="3" s="1"/>
  <c r="BI8" i="3" s="1"/>
  <c r="BI9" i="3" s="1"/>
  <c r="BI10" i="3" s="1"/>
  <c r="BI11" i="3" s="1"/>
  <c r="BI12" i="3" s="1"/>
  <c r="BI13" i="3" s="1"/>
  <c r="BI14" i="3" s="1"/>
  <c r="BI15" i="3" s="1"/>
  <c r="BI16" i="3" s="1"/>
  <c r="BI17" i="3" s="1"/>
  <c r="BI18" i="3" s="1"/>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BJ22" i="3"/>
  <c r="BJ18" i="3"/>
  <c r="BJ16" i="3"/>
  <c r="BJ14" i="3"/>
  <c r="BJ13" i="3"/>
  <c r="BJ12" i="3"/>
  <c r="BJ10" i="3"/>
  <c r="BJ9" i="3"/>
  <c r="BJ8" i="3"/>
  <c r="BJ6" i="3"/>
  <c r="BJ27" i="3"/>
  <c r="BJ23" i="3"/>
  <c r="TY6" i="4"/>
  <c r="TY10" i="4"/>
  <c r="TY13" i="4"/>
  <c r="TY17" i="4"/>
  <c r="TY22" i="4"/>
  <c r="TY26" i="4"/>
  <c r="TY30" i="4"/>
  <c r="TY36" i="4"/>
  <c r="TY38" i="4"/>
  <c r="UA33" i="4"/>
  <c r="OP33" i="4"/>
  <c r="JJ33" i="4"/>
  <c r="UA17" i="4"/>
  <c r="OP17" i="4"/>
  <c r="JJ17" i="4"/>
  <c r="QW26" i="4"/>
  <c r="QW10" i="4"/>
  <c r="CL5" i="4"/>
  <c r="CL9" i="4"/>
  <c r="CL13" i="4"/>
  <c r="CL17" i="4"/>
  <c r="CL21" i="4"/>
  <c r="CL25" i="4"/>
  <c r="CL29" i="4"/>
  <c r="CL33" i="4"/>
  <c r="CL37" i="4"/>
  <c r="NC11" i="4"/>
  <c r="RD7" i="4"/>
  <c r="QS4" i="4"/>
  <c r="QS25" i="4"/>
  <c r="QS37" i="4"/>
  <c r="QS19" i="4"/>
  <c r="QS35" i="4"/>
  <c r="QS14" i="4"/>
  <c r="QS29" i="4"/>
  <c r="QS8" i="4"/>
  <c r="QS23" i="4"/>
  <c r="QS40" i="4"/>
  <c r="LX13" i="4"/>
  <c r="LX27" i="4"/>
  <c r="LX4" i="4"/>
  <c r="LX21" i="4"/>
  <c r="LX37" i="4"/>
  <c r="LX8" i="4"/>
  <c r="LX32" i="4"/>
  <c r="LX7" i="4"/>
  <c r="LX23" i="4"/>
  <c r="LX39" i="4"/>
  <c r="GR5" i="4"/>
  <c r="GR23" i="4"/>
  <c r="GR39" i="4"/>
  <c r="GR19" i="4"/>
  <c r="GR35" i="4"/>
  <c r="GR13" i="4"/>
  <c r="GR29" i="4"/>
  <c r="GR4" i="4"/>
  <c r="GR22" i="4"/>
  <c r="GR38" i="4"/>
  <c r="NZ11" i="4"/>
  <c r="IT11" i="4"/>
  <c r="TK11" i="4"/>
  <c r="TK17" i="4"/>
  <c r="NZ17" i="4"/>
  <c r="IT17" i="4"/>
  <c r="SU33" i="4"/>
  <c r="NJ33" i="4"/>
  <c r="ID33" i="4"/>
  <c r="SU17" i="4"/>
  <c r="NJ17" i="4"/>
  <c r="ID17" i="4"/>
  <c r="GZ8" i="4"/>
  <c r="GZ11" i="4"/>
  <c r="GZ17" i="4"/>
  <c r="GZ18" i="4"/>
  <c r="GZ23" i="4"/>
  <c r="GZ27" i="4"/>
  <c r="GZ30" i="4"/>
  <c r="GZ35" i="4"/>
  <c r="GZ39" i="4"/>
  <c r="AP4" i="3"/>
  <c r="AP22" i="3"/>
  <c r="AP31" i="3"/>
  <c r="AP35" i="3"/>
  <c r="AP39" i="3"/>
  <c r="GA7" i="4"/>
  <c r="SE37" i="4"/>
  <c r="MT37" i="4"/>
  <c r="HN37" i="4"/>
  <c r="SE24" i="4"/>
  <c r="MT24" i="4"/>
  <c r="HN24" i="4"/>
  <c r="SE5" i="4"/>
  <c r="HN5" i="4"/>
  <c r="MT5" i="4"/>
  <c r="OT39" i="4"/>
  <c r="JN39" i="4"/>
  <c r="UE39" i="4"/>
  <c r="OT23" i="4"/>
  <c r="JN23" i="4"/>
  <c r="UE23" i="4"/>
  <c r="UE7" i="4"/>
  <c r="JN7" i="4"/>
  <c r="OT7" i="4"/>
  <c r="OP40" i="4"/>
  <c r="JJ40" i="4"/>
  <c r="UA40" i="4"/>
  <c r="OP23" i="4"/>
  <c r="JJ23" i="4"/>
  <c r="UA23" i="4"/>
  <c r="UA8" i="4"/>
  <c r="JJ8" i="4"/>
  <c r="OP8" i="4"/>
  <c r="NG6" i="4"/>
  <c r="BB19" i="3"/>
  <c r="BB7" i="3"/>
  <c r="BB11" i="3"/>
  <c r="BB15" i="3"/>
  <c r="BB26" i="3"/>
  <c r="BB4" i="3"/>
  <c r="BB28" i="3"/>
  <c r="BB32" i="3"/>
  <c r="BB36" i="3"/>
  <c r="BB40" i="3"/>
  <c r="HX14" i="4"/>
  <c r="HX12" i="4"/>
  <c r="HX17" i="4"/>
  <c r="HX19" i="4"/>
  <c r="HX24" i="4"/>
  <c r="HX28" i="4"/>
  <c r="HX31" i="4"/>
  <c r="HX36" i="4"/>
  <c r="HX40" i="4"/>
  <c r="TK32" i="4"/>
  <c r="NZ32" i="4"/>
  <c r="IT32" i="4"/>
  <c r="TK7" i="4"/>
  <c r="NZ7" i="4"/>
  <c r="IT7" i="4"/>
  <c r="NZ13" i="4"/>
  <c r="IT13" i="4"/>
  <c r="TK13" i="4"/>
  <c r="MP25" i="4"/>
  <c r="HJ25" i="4"/>
  <c r="SA25" i="4"/>
  <c r="SA35" i="4"/>
  <c r="MP35" i="4"/>
  <c r="HJ35" i="4"/>
  <c r="AM11" i="4"/>
  <c r="NJ28" i="4"/>
  <c r="ID28" i="4"/>
  <c r="SU28" i="4"/>
  <c r="NJ11" i="4"/>
  <c r="ID11" i="4"/>
  <c r="SU11" i="4"/>
  <c r="MF6" i="4"/>
  <c r="MF5" i="4"/>
  <c r="MF12" i="4"/>
  <c r="MF14" i="4"/>
  <c r="MF18" i="4"/>
  <c r="MF23" i="4"/>
  <c r="MF26" i="4"/>
  <c r="MF30" i="4"/>
  <c r="MF35" i="4"/>
  <c r="MF39" i="4"/>
  <c r="RQ5" i="4"/>
  <c r="RQ10" i="4"/>
  <c r="RQ15" i="4"/>
  <c r="RQ19" i="4"/>
  <c r="RQ24" i="4"/>
  <c r="RQ25" i="4"/>
  <c r="RQ30" i="4"/>
  <c r="RQ33" i="4"/>
  <c r="RQ37" i="4"/>
  <c r="CL39" i="3"/>
  <c r="CL35" i="3"/>
  <c r="CL31" i="3"/>
  <c r="CL22" i="3"/>
  <c r="CL27" i="3"/>
  <c r="CK5" i="3"/>
  <c r="CK6" i="3" s="1"/>
  <c r="CK7" i="3" s="1"/>
  <c r="CK8" i="3" s="1"/>
  <c r="CK9" i="3" s="1"/>
  <c r="CK10" i="3" s="1"/>
  <c r="CK11" i="3" s="1"/>
  <c r="CK12" i="3" s="1"/>
  <c r="CK13" i="3" s="1"/>
  <c r="CK14" i="3" s="1"/>
  <c r="CK15" i="3" s="1"/>
  <c r="CK16" i="3" s="1"/>
  <c r="CK17" i="3" s="1"/>
  <c r="CK18" i="3" s="1"/>
  <c r="CK19" i="3" s="1"/>
  <c r="CK20" i="3" s="1"/>
  <c r="CK21" i="3" s="1"/>
  <c r="CK22" i="3" s="1"/>
  <c r="CK23" i="3" s="1"/>
  <c r="CK24" i="3" s="1"/>
  <c r="CK25" i="3" s="1"/>
  <c r="CK26" i="3" s="1"/>
  <c r="CK27" i="3" s="1"/>
  <c r="CK28" i="3" s="1"/>
  <c r="CK29" i="3" s="1"/>
  <c r="CK30" i="3" s="1"/>
  <c r="CK31" i="3" s="1"/>
  <c r="CK32" i="3" s="1"/>
  <c r="CK33" i="3" s="1"/>
  <c r="CK34" i="3" s="1"/>
  <c r="CK35" i="3" s="1"/>
  <c r="CK36" i="3" s="1"/>
  <c r="CK37" i="3" s="1"/>
  <c r="CK38" i="3" s="1"/>
  <c r="CK39" i="3" s="1"/>
  <c r="CK40" i="3" s="1"/>
  <c r="CK41" i="3" s="1"/>
  <c r="CK42" i="3" s="1"/>
  <c r="CL28" i="3"/>
  <c r="CL16" i="3"/>
  <c r="CL15" i="3"/>
  <c r="CL12" i="3"/>
  <c r="CL11" i="3"/>
  <c r="CL8" i="3"/>
  <c r="CL7" i="3"/>
  <c r="CL21" i="3"/>
  <c r="CL17" i="3"/>
  <c r="SE32" i="4"/>
  <c r="MT32" i="4"/>
  <c r="HN32" i="4"/>
  <c r="SE15" i="4"/>
  <c r="MT15" i="4"/>
  <c r="HN15" i="4"/>
  <c r="UE30" i="4"/>
  <c r="OT30" i="4"/>
  <c r="JN30" i="4"/>
  <c r="OT14" i="4"/>
  <c r="JN14" i="4"/>
  <c r="UE14" i="4"/>
  <c r="LO7" i="4"/>
  <c r="OP27" i="4"/>
  <c r="JJ27" i="4"/>
  <c r="UA27" i="4"/>
  <c r="UA16" i="4"/>
  <c r="OP16" i="4"/>
  <c r="JJ16" i="4"/>
  <c r="UY4" i="4"/>
  <c r="UZ4" i="4" s="1"/>
  <c r="PN4" i="4"/>
  <c r="PO4" i="4" s="1"/>
  <c r="KH4" i="4"/>
  <c r="KI4" i="4" s="1"/>
  <c r="CQ4" i="3"/>
  <c r="EY11" i="4"/>
  <c r="EY15" i="4"/>
  <c r="EY18" i="4"/>
  <c r="EY23" i="4"/>
  <c r="EY27" i="4"/>
  <c r="EY30" i="4"/>
  <c r="EY35" i="4"/>
  <c r="EY39" i="4"/>
  <c r="BL28" i="3"/>
  <c r="BL5" i="3"/>
  <c r="BL18" i="3"/>
  <c r="BL31" i="3"/>
  <c r="BL8" i="3"/>
  <c r="BL12" i="3"/>
  <c r="BL16" i="3"/>
  <c r="BL34" i="3"/>
  <c r="BL38" i="3"/>
  <c r="BL42" i="3"/>
  <c r="SU35" i="4"/>
  <c r="NJ35" i="4"/>
  <c r="ID35" i="4"/>
  <c r="SU19" i="4"/>
  <c r="ID19" i="4"/>
  <c r="NJ19" i="4"/>
  <c r="KQ16" i="4"/>
  <c r="AZ26" i="3"/>
  <c r="AZ25" i="3"/>
  <c r="AZ20" i="3"/>
  <c r="AZ7" i="3"/>
  <c r="AZ11" i="3"/>
  <c r="AZ15" i="3"/>
  <c r="AZ27" i="3"/>
  <c r="AZ34" i="3"/>
  <c r="AZ38" i="3"/>
  <c r="AZ42" i="3"/>
  <c r="MT39" i="4"/>
  <c r="HN39" i="4"/>
  <c r="SE39" i="4"/>
  <c r="MT21" i="4"/>
  <c r="HN21" i="4"/>
  <c r="SE21" i="4"/>
  <c r="SE7" i="4"/>
  <c r="MT7" i="4"/>
  <c r="HN7" i="4"/>
  <c r="OF39" i="4"/>
  <c r="OF35" i="4"/>
  <c r="OF31" i="4"/>
  <c r="OF27" i="4"/>
  <c r="OF23" i="4"/>
  <c r="OF18" i="4"/>
  <c r="OF15" i="4"/>
  <c r="OF13" i="4"/>
  <c r="OF8" i="4"/>
  <c r="OE5" i="4"/>
  <c r="OE6" i="4" s="1"/>
  <c r="OE7" i="4" s="1"/>
  <c r="OE8" i="4" s="1"/>
  <c r="OE9" i="4" s="1"/>
  <c r="OE10" i="4" s="1"/>
  <c r="OE11" i="4" s="1"/>
  <c r="OE12" i="4" s="1"/>
  <c r="OE13" i="4" s="1"/>
  <c r="OE14" i="4" s="1"/>
  <c r="OE15" i="4" s="1"/>
  <c r="OE16" i="4" s="1"/>
  <c r="OE17" i="4" s="1"/>
  <c r="OE18" i="4" s="1"/>
  <c r="OE19" i="4" s="1"/>
  <c r="OE20" i="4" s="1"/>
  <c r="OE21" i="4" s="1"/>
  <c r="OE22" i="4" s="1"/>
  <c r="OE23" i="4" s="1"/>
  <c r="OE24" i="4" s="1"/>
  <c r="OE25" i="4" s="1"/>
  <c r="OE26" i="4" s="1"/>
  <c r="OE27" i="4" s="1"/>
  <c r="OE28" i="4" s="1"/>
  <c r="OE29" i="4" s="1"/>
  <c r="OE30" i="4" s="1"/>
  <c r="OE31" i="4" s="1"/>
  <c r="OE32" i="4" s="1"/>
  <c r="OE33" i="4" s="1"/>
  <c r="OE34" i="4" s="1"/>
  <c r="OE35" i="4" s="1"/>
  <c r="OE36" i="4" s="1"/>
  <c r="OE37" i="4" s="1"/>
  <c r="OE38" i="4" s="1"/>
  <c r="OE39" i="4" s="1"/>
  <c r="OE40" i="4" s="1"/>
  <c r="OF6" i="4"/>
  <c r="NZ40" i="4"/>
  <c r="IT40" i="4"/>
  <c r="TK40" i="4"/>
  <c r="TK15" i="4"/>
  <c r="NZ15" i="4"/>
  <c r="IT15" i="4"/>
  <c r="NZ25" i="4"/>
  <c r="IT25" i="4"/>
  <c r="TK25" i="4"/>
  <c r="SA34" i="4"/>
  <c r="MP34" i="4"/>
  <c r="HJ34" i="4"/>
  <c r="SA5" i="4"/>
  <c r="MP5" i="4"/>
  <c r="HJ5" i="4"/>
  <c r="NJ38" i="4"/>
  <c r="ID38" i="4"/>
  <c r="SU38" i="4"/>
  <c r="NJ21" i="4"/>
  <c r="ID21" i="4"/>
  <c r="SU21" i="4"/>
  <c r="SU5" i="4"/>
  <c r="ID5" i="4"/>
  <c r="NJ5" i="4"/>
  <c r="RA6" i="4"/>
  <c r="RA11" i="4"/>
  <c r="RA15" i="4"/>
  <c r="RA20" i="4"/>
  <c r="RA21" i="4"/>
  <c r="RA26" i="4"/>
  <c r="RA28" i="4"/>
  <c r="RA35" i="4"/>
  <c r="RA38" i="4"/>
  <c r="BT28" i="3"/>
  <c r="BT4" i="3"/>
  <c r="BT23" i="3"/>
  <c r="BT26" i="3"/>
  <c r="BT7" i="3"/>
  <c r="BT11" i="3"/>
  <c r="BT15" i="3"/>
  <c r="BT34" i="3"/>
  <c r="BT38" i="3"/>
  <c r="BT42" i="3"/>
  <c r="SE34" i="4"/>
  <c r="MT34" i="4"/>
  <c r="HN34" i="4"/>
  <c r="SE18" i="4"/>
  <c r="MT18" i="4"/>
  <c r="HN18" i="4"/>
  <c r="OT40" i="4"/>
  <c r="JN40" i="4"/>
  <c r="UE40" i="4"/>
  <c r="UE24" i="4"/>
  <c r="JN24" i="4"/>
  <c r="OT24" i="4"/>
  <c r="UE8" i="4"/>
  <c r="OT8" i="4"/>
  <c r="JN8" i="4"/>
  <c r="MZ41" i="4"/>
  <c r="MZ39" i="4"/>
  <c r="MZ37" i="4"/>
  <c r="MZ35" i="4"/>
  <c r="MZ33" i="4"/>
  <c r="MZ31" i="4"/>
  <c r="MZ29" i="4"/>
  <c r="MZ27" i="4"/>
  <c r="MZ25" i="4"/>
  <c r="MZ23" i="4"/>
  <c r="MZ21" i="4"/>
  <c r="MZ18" i="4"/>
  <c r="MZ19" i="4"/>
  <c r="MZ15" i="4"/>
  <c r="MZ9" i="4"/>
  <c r="MZ13" i="4"/>
  <c r="MZ11" i="4"/>
  <c r="MZ8" i="4"/>
  <c r="MZ4" i="4"/>
  <c r="MY5" i="4"/>
  <c r="MY6" i="4" s="1"/>
  <c r="MY7" i="4" s="1"/>
  <c r="MY8" i="4" s="1"/>
  <c r="MY9" i="4" s="1"/>
  <c r="MY10" i="4" s="1"/>
  <c r="MY11" i="4" s="1"/>
  <c r="MY12" i="4" s="1"/>
  <c r="MY13" i="4" s="1"/>
  <c r="MY14" i="4" s="1"/>
  <c r="MY15" i="4" s="1"/>
  <c r="MY16" i="4" s="1"/>
  <c r="MY17" i="4" s="1"/>
  <c r="MY18" i="4" s="1"/>
  <c r="MY19" i="4" s="1"/>
  <c r="MY20" i="4" s="1"/>
  <c r="MY21" i="4" s="1"/>
  <c r="MY22" i="4" s="1"/>
  <c r="MY23" i="4" s="1"/>
  <c r="MY24" i="4" s="1"/>
  <c r="MY25" i="4" s="1"/>
  <c r="MY26" i="4" s="1"/>
  <c r="MY27" i="4" s="1"/>
  <c r="MY28" i="4" s="1"/>
  <c r="MY29" i="4" s="1"/>
  <c r="MY30" i="4" s="1"/>
  <c r="MY31" i="4" s="1"/>
  <c r="MY32" i="4" s="1"/>
  <c r="MY33" i="4" s="1"/>
  <c r="MY34" i="4" s="1"/>
  <c r="MY35" i="4" s="1"/>
  <c r="MY36" i="4" s="1"/>
  <c r="MY37" i="4" s="1"/>
  <c r="MY38" i="4" s="1"/>
  <c r="MY39" i="4" s="1"/>
  <c r="MY40" i="4" s="1"/>
  <c r="MZ6" i="4"/>
  <c r="TY8" i="4"/>
  <c r="TY11" i="4"/>
  <c r="TY14" i="4"/>
  <c r="TY18" i="4"/>
  <c r="TY23" i="4"/>
  <c r="TY27" i="4"/>
  <c r="TY32" i="4"/>
  <c r="TY34" i="4"/>
  <c r="TY39" i="4"/>
  <c r="UA29" i="4"/>
  <c r="JJ29" i="4"/>
  <c r="OP29" i="4"/>
  <c r="OP12" i="4"/>
  <c r="JJ12" i="4"/>
  <c r="UA12" i="4"/>
  <c r="QW38" i="4"/>
  <c r="QW22" i="4"/>
  <c r="QW6" i="4"/>
  <c r="CL6" i="4"/>
  <c r="CL10" i="4"/>
  <c r="CL14" i="4"/>
  <c r="CL18" i="4"/>
  <c r="CL22" i="4"/>
  <c r="CL26" i="4"/>
  <c r="CL30" i="4"/>
  <c r="CL34" i="4"/>
  <c r="CL38" i="4"/>
  <c r="GR11" i="4"/>
  <c r="GR27" i="4"/>
  <c r="GR14" i="4"/>
  <c r="GR24" i="4"/>
  <c r="GR40" i="4"/>
  <c r="GR15" i="4"/>
  <c r="GR33" i="4"/>
  <c r="GR10" i="4"/>
  <c r="GR26" i="4"/>
  <c r="GR42" i="4"/>
  <c r="TD40" i="4"/>
  <c r="TE15" i="4" s="1"/>
  <c r="TE12" i="4"/>
  <c r="TE17" i="4"/>
  <c r="TE27" i="4"/>
  <c r="TE34" i="4"/>
  <c r="SE33" i="4"/>
  <c r="MT33" i="4"/>
  <c r="HN33" i="4"/>
  <c r="SE17" i="4"/>
  <c r="MT17" i="4"/>
  <c r="HN17" i="4"/>
  <c r="CU10" i="4"/>
  <c r="UE35" i="4"/>
  <c r="OT35" i="4"/>
  <c r="JN35" i="4"/>
  <c r="UE19" i="4"/>
  <c r="JN19" i="4"/>
  <c r="OT19" i="4"/>
  <c r="UA35" i="4"/>
  <c r="OP35" i="4"/>
  <c r="JJ35" i="4"/>
  <c r="OP20" i="4"/>
  <c r="JJ20" i="4"/>
  <c r="UA20" i="4"/>
  <c r="UA4" i="4"/>
  <c r="UB4" i="4" s="1"/>
  <c r="JJ4" i="4"/>
  <c r="JK4" i="4" s="1"/>
  <c r="OP4" i="4"/>
  <c r="OQ4" i="4" s="1"/>
  <c r="CE4" i="3"/>
  <c r="MM10" i="4"/>
  <c r="MM11" i="4" s="1"/>
  <c r="MM12" i="4" s="1"/>
  <c r="MM13" i="4" s="1"/>
  <c r="MM14" i="4" s="1"/>
  <c r="MM15" i="4" s="1"/>
  <c r="MM16" i="4" s="1"/>
  <c r="MM17" i="4" s="1"/>
  <c r="MM18" i="4" s="1"/>
  <c r="MM19" i="4" s="1"/>
  <c r="MM20" i="4" s="1"/>
  <c r="MM21" i="4" s="1"/>
  <c r="MM22" i="4" s="1"/>
  <c r="MM23" i="4" s="1"/>
  <c r="MM24" i="4" s="1"/>
  <c r="MM25" i="4" s="1"/>
  <c r="MM26" i="4" s="1"/>
  <c r="MM27" i="4" s="1"/>
  <c r="MM28" i="4" s="1"/>
  <c r="MM29" i="4" s="1"/>
  <c r="MM30" i="4" s="1"/>
  <c r="MM31" i="4" s="1"/>
  <c r="MM32" i="4" s="1"/>
  <c r="MM33" i="4" s="1"/>
  <c r="MM34" i="4" s="1"/>
  <c r="MM35" i="4" s="1"/>
  <c r="MM36" i="4" s="1"/>
  <c r="MM37" i="4" s="1"/>
  <c r="MM38" i="4" s="1"/>
  <c r="MM39" i="4" s="1"/>
  <c r="MM40" i="4" s="1"/>
  <c r="MN7" i="4"/>
  <c r="MN12" i="4"/>
  <c r="MN15" i="4"/>
  <c r="MN17" i="4"/>
  <c r="MN23" i="4"/>
  <c r="MN26" i="4"/>
  <c r="MN30" i="4"/>
  <c r="MN35" i="4"/>
  <c r="MN39" i="4"/>
  <c r="BB5" i="3"/>
  <c r="BB29" i="3"/>
  <c r="BB33" i="3"/>
  <c r="BB37" i="3"/>
  <c r="BB41" i="3"/>
  <c r="TK16" i="4"/>
  <c r="NZ16" i="4"/>
  <c r="IT16" i="4"/>
  <c r="NZ26" i="4"/>
  <c r="IT26" i="4"/>
  <c r="TK26" i="4"/>
  <c r="MP39" i="4"/>
  <c r="HJ39" i="4"/>
  <c r="SA39" i="4"/>
  <c r="MP10" i="4"/>
  <c r="HJ10" i="4"/>
  <c r="SA10" i="4"/>
  <c r="SA18" i="4"/>
  <c r="MP18" i="4"/>
  <c r="HJ18" i="4"/>
  <c r="NJ40" i="4"/>
  <c r="ID40" i="4"/>
  <c r="SU40" i="4"/>
  <c r="NJ23" i="4"/>
  <c r="ID23" i="4"/>
  <c r="SU23" i="4"/>
  <c r="SU8" i="4"/>
  <c r="ID8" i="4"/>
  <c r="NJ8" i="4"/>
  <c r="JW5" i="4"/>
  <c r="JW6" i="4" s="1"/>
  <c r="JW7" i="4" s="1"/>
  <c r="JW8" i="4" s="1"/>
  <c r="JW9" i="4" s="1"/>
  <c r="JW10" i="4" s="1"/>
  <c r="JW11" i="4" s="1"/>
  <c r="JW12" i="4" s="1"/>
  <c r="JW13" i="4" s="1"/>
  <c r="JW14" i="4" s="1"/>
  <c r="JW15" i="4" s="1"/>
  <c r="JW16" i="4" s="1"/>
  <c r="JW17" i="4" s="1"/>
  <c r="JW18" i="4" s="1"/>
  <c r="JW19" i="4" s="1"/>
  <c r="JW20" i="4" s="1"/>
  <c r="JW21" i="4" s="1"/>
  <c r="JW22" i="4" s="1"/>
  <c r="JW23" i="4" s="1"/>
  <c r="JW24" i="4" s="1"/>
  <c r="JW25" i="4" s="1"/>
  <c r="JW26" i="4" s="1"/>
  <c r="JW27" i="4" s="1"/>
  <c r="JW28" i="4" s="1"/>
  <c r="JW29" i="4" s="1"/>
  <c r="JW30" i="4" s="1"/>
  <c r="JW31" i="4" s="1"/>
  <c r="JW32" i="4" s="1"/>
  <c r="JW33" i="4" s="1"/>
  <c r="JW34" i="4" s="1"/>
  <c r="JW35" i="4" s="1"/>
  <c r="JW36" i="4" s="1"/>
  <c r="JW37" i="4" s="1"/>
  <c r="JW38" i="4" s="1"/>
  <c r="JW39" i="4" s="1"/>
  <c r="JW40" i="4" s="1"/>
  <c r="MT28" i="4"/>
  <c r="HN28" i="4"/>
  <c r="SE28" i="4"/>
  <c r="MT11" i="4"/>
  <c r="HN11" i="4"/>
  <c r="SE11" i="4"/>
  <c r="OT26" i="4"/>
  <c r="JN26" i="4"/>
  <c r="UE26" i="4"/>
  <c r="OT10" i="4"/>
  <c r="JN10" i="4"/>
  <c r="UE10" i="4"/>
  <c r="OP39" i="4"/>
  <c r="JJ39" i="4"/>
  <c r="UA39" i="4"/>
  <c r="OP22" i="4"/>
  <c r="JJ22" i="4"/>
  <c r="UA22" i="4"/>
  <c r="UA7" i="4"/>
  <c r="OP7" i="4"/>
  <c r="JJ7" i="4"/>
  <c r="UY5" i="4"/>
  <c r="PN5" i="4"/>
  <c r="KH5" i="4"/>
  <c r="UY8" i="4"/>
  <c r="PN8" i="4"/>
  <c r="KH8" i="4"/>
  <c r="PN12" i="4"/>
  <c r="KH12" i="4"/>
  <c r="UY12" i="4"/>
  <c r="UY16" i="4"/>
  <c r="KH16" i="4"/>
  <c r="PN16" i="4"/>
  <c r="PN20" i="4"/>
  <c r="KH20" i="4"/>
  <c r="UY20" i="4"/>
  <c r="UY24" i="4"/>
  <c r="KH24" i="4"/>
  <c r="PN24" i="4"/>
  <c r="PN28" i="4"/>
  <c r="KH28" i="4"/>
  <c r="UY28" i="4"/>
  <c r="UY31" i="4"/>
  <c r="PN31" i="4"/>
  <c r="KH31" i="4"/>
  <c r="UY36" i="4"/>
  <c r="PN36" i="4"/>
  <c r="KH36" i="4"/>
  <c r="PN40" i="4"/>
  <c r="KH40" i="4"/>
  <c r="UY40" i="4"/>
  <c r="BL30" i="3"/>
  <c r="BL19" i="3"/>
  <c r="BL22" i="3"/>
  <c r="BL33" i="3"/>
  <c r="BL9" i="3"/>
  <c r="BL13" i="3"/>
  <c r="BL17" i="3"/>
  <c r="BL35" i="3"/>
  <c r="BL39" i="3"/>
  <c r="SU31" i="4"/>
  <c r="ID31" i="4"/>
  <c r="NJ31" i="4"/>
  <c r="NJ14" i="4"/>
  <c r="ID14" i="4"/>
  <c r="SU14" i="4"/>
  <c r="AZ4" i="3"/>
  <c r="AZ30" i="3"/>
  <c r="AZ24" i="3"/>
  <c r="AZ8" i="3"/>
  <c r="AZ12" i="3"/>
  <c r="AZ16" i="3"/>
  <c r="AZ29" i="3"/>
  <c r="AZ35" i="3"/>
  <c r="AZ39" i="3"/>
  <c r="SE36" i="4"/>
  <c r="MT36" i="4"/>
  <c r="HN36" i="4"/>
  <c r="SE19" i="4"/>
  <c r="HN19" i="4"/>
  <c r="MT19" i="4"/>
  <c r="IY5" i="4"/>
  <c r="IY6" i="4" s="1"/>
  <c r="IY7" i="4" s="1"/>
  <c r="IY8" i="4" s="1"/>
  <c r="IY9" i="4" s="1"/>
  <c r="IY10" i="4" s="1"/>
  <c r="IY11" i="4" s="1"/>
  <c r="IY12" i="4" s="1"/>
  <c r="IY13" i="4" s="1"/>
  <c r="IY14" i="4" s="1"/>
  <c r="IY15" i="4" s="1"/>
  <c r="IY16" i="4" s="1"/>
  <c r="IY17" i="4" s="1"/>
  <c r="IY18" i="4" s="1"/>
  <c r="IY19" i="4" s="1"/>
  <c r="IY20" i="4" s="1"/>
  <c r="IY21" i="4" s="1"/>
  <c r="IY22" i="4" s="1"/>
  <c r="IY23" i="4" s="1"/>
  <c r="IY24" i="4" s="1"/>
  <c r="IY25" i="4" s="1"/>
  <c r="IY26" i="4" s="1"/>
  <c r="IY27" i="4" s="1"/>
  <c r="IY28" i="4" s="1"/>
  <c r="IY29" i="4" s="1"/>
  <c r="IY30" i="4" s="1"/>
  <c r="IY31" i="4" s="1"/>
  <c r="IY32" i="4" s="1"/>
  <c r="IY33" i="4" s="1"/>
  <c r="IY34" i="4" s="1"/>
  <c r="IY35" i="4" s="1"/>
  <c r="IY36" i="4" s="1"/>
  <c r="IY37" i="4" s="1"/>
  <c r="IY38" i="4" s="1"/>
  <c r="IY39" i="4" s="1"/>
  <c r="IY40" i="4" s="1"/>
  <c r="NZ22" i="4"/>
  <c r="IT22" i="4"/>
  <c r="TK22" i="4"/>
  <c r="TK34" i="4"/>
  <c r="NZ34" i="4"/>
  <c r="IT34" i="4"/>
  <c r="TK5" i="4"/>
  <c r="IT5" i="4"/>
  <c r="NZ5" i="4"/>
  <c r="MP20" i="4"/>
  <c r="SA20" i="4"/>
  <c r="HJ20" i="4"/>
  <c r="MP28" i="4"/>
  <c r="HJ28" i="4"/>
  <c r="SA28" i="4"/>
  <c r="SU34" i="4"/>
  <c r="NJ34" i="4"/>
  <c r="ID34" i="4"/>
  <c r="SU18" i="4"/>
  <c r="NJ18" i="4"/>
  <c r="ID18" i="4"/>
  <c r="RA7" i="4"/>
  <c r="RA12" i="4"/>
  <c r="RA14" i="4"/>
  <c r="RA17" i="4"/>
  <c r="RA22" i="4"/>
  <c r="RA27" i="4"/>
  <c r="RA32" i="4"/>
  <c r="RA36" i="4"/>
  <c r="RA39" i="4"/>
  <c r="BT29" i="3"/>
  <c r="BT5" i="3"/>
  <c r="BT27" i="3"/>
  <c r="BT30" i="3"/>
  <c r="BT8" i="3"/>
  <c r="BT12" i="3"/>
  <c r="BT16" i="3"/>
  <c r="BT35" i="3"/>
  <c r="BT39" i="3"/>
  <c r="SE31" i="4"/>
  <c r="HN31" i="4"/>
  <c r="MT31" i="4"/>
  <c r="MT13" i="4"/>
  <c r="HN13" i="4"/>
  <c r="SE13" i="4"/>
  <c r="UE36" i="4"/>
  <c r="OT36" i="4"/>
  <c r="JN36" i="4"/>
  <c r="OT20" i="4"/>
  <c r="JN20" i="4"/>
  <c r="UE20" i="4"/>
  <c r="UE4" i="4"/>
  <c r="UF4" i="4" s="1"/>
  <c r="JN4" i="4"/>
  <c r="JO4" i="4" s="1"/>
  <c r="OT4" i="4"/>
  <c r="OU4" i="4" s="1"/>
  <c r="CG4" i="3"/>
  <c r="HS5" i="4"/>
  <c r="HS6" i="4" s="1"/>
  <c r="HS7" i="4" s="1"/>
  <c r="HS8" i="4" s="1"/>
  <c r="HS9" i="4" s="1"/>
  <c r="HS10" i="4" s="1"/>
  <c r="HS11" i="4" s="1"/>
  <c r="HS12" i="4" s="1"/>
  <c r="HS13" i="4" s="1"/>
  <c r="HS14" i="4" s="1"/>
  <c r="HS15" i="4" s="1"/>
  <c r="HS16" i="4" s="1"/>
  <c r="HS17" i="4" s="1"/>
  <c r="HS18" i="4" s="1"/>
  <c r="HS19" i="4" s="1"/>
  <c r="HS20" i="4" s="1"/>
  <c r="HS21" i="4" s="1"/>
  <c r="HS22" i="4" s="1"/>
  <c r="HS23" i="4" s="1"/>
  <c r="HS24" i="4" s="1"/>
  <c r="HS25" i="4" s="1"/>
  <c r="HS26" i="4" s="1"/>
  <c r="HS27" i="4" s="1"/>
  <c r="HS28" i="4" s="1"/>
  <c r="HS29" i="4" s="1"/>
  <c r="HS30" i="4" s="1"/>
  <c r="HS31" i="4" s="1"/>
  <c r="HS32" i="4" s="1"/>
  <c r="HS33" i="4" s="1"/>
  <c r="HS34" i="4" s="1"/>
  <c r="HS35" i="4" s="1"/>
  <c r="HS36" i="4" s="1"/>
  <c r="HS37" i="4" s="1"/>
  <c r="HS38" i="4" s="1"/>
  <c r="HS39" i="4" s="1"/>
  <c r="HS40" i="4" s="1"/>
  <c r="TY4" i="4"/>
  <c r="TY7" i="4"/>
  <c r="TY12" i="4"/>
  <c r="TY16" i="4"/>
  <c r="TY20" i="4"/>
  <c r="TY24" i="4"/>
  <c r="TY29" i="4"/>
  <c r="TY31" i="4"/>
  <c r="TY35" i="4"/>
  <c r="TY40" i="4"/>
  <c r="OP25" i="4"/>
  <c r="JJ25" i="4"/>
  <c r="UA25" i="4"/>
  <c r="UA9" i="4"/>
  <c r="OP9" i="4"/>
  <c r="JJ9" i="4"/>
  <c r="QW36" i="4"/>
  <c r="QW20" i="4"/>
  <c r="CL7" i="4"/>
  <c r="CL11" i="4"/>
  <c r="CL15" i="4"/>
  <c r="CL19" i="4"/>
  <c r="CL23" i="4"/>
  <c r="CL27" i="4"/>
  <c r="CL31" i="4"/>
  <c r="CL35" i="4"/>
  <c r="CL39" i="4"/>
  <c r="QS31" i="4"/>
  <c r="HT15" i="4" l="1"/>
  <c r="HT22" i="4"/>
  <c r="HT31" i="4"/>
  <c r="HT37" i="4"/>
  <c r="HT39" i="4"/>
  <c r="JX14" i="4"/>
  <c r="JX15" i="4"/>
  <c r="JX20" i="4"/>
  <c r="JX24" i="4"/>
  <c r="JX28" i="4"/>
  <c r="JX32" i="4"/>
  <c r="JX36" i="4"/>
  <c r="JX40" i="4"/>
  <c r="JK5" i="4"/>
  <c r="JK6" i="4" s="1"/>
  <c r="JK7" i="4" s="1"/>
  <c r="JK8" i="4" s="1"/>
  <c r="JK9" i="4" s="1"/>
  <c r="JK10" i="4" s="1"/>
  <c r="JK11" i="4" s="1"/>
  <c r="JK12" i="4" s="1"/>
  <c r="JK13" i="4" s="1"/>
  <c r="JK14" i="4" s="1"/>
  <c r="JK15" i="4" s="1"/>
  <c r="JK16" i="4" s="1"/>
  <c r="JK17" i="4" s="1"/>
  <c r="JK18" i="4" s="1"/>
  <c r="JK19" i="4" s="1"/>
  <c r="JK20" i="4" s="1"/>
  <c r="JK21" i="4" s="1"/>
  <c r="JK22" i="4" s="1"/>
  <c r="JK23" i="4" s="1"/>
  <c r="JK24" i="4" s="1"/>
  <c r="JK25" i="4" s="1"/>
  <c r="JK26" i="4" s="1"/>
  <c r="JK27" i="4" s="1"/>
  <c r="JK28" i="4" s="1"/>
  <c r="JK29" i="4" s="1"/>
  <c r="JK30" i="4" s="1"/>
  <c r="JK31" i="4" s="1"/>
  <c r="JK32" i="4" s="1"/>
  <c r="JK33" i="4" s="1"/>
  <c r="JK34" i="4" s="1"/>
  <c r="JK35" i="4" s="1"/>
  <c r="JK36" i="4" s="1"/>
  <c r="JK37" i="4" s="1"/>
  <c r="JK38" i="4" s="1"/>
  <c r="JK39" i="4" s="1"/>
  <c r="JK40" i="4" s="1"/>
  <c r="SY34" i="4"/>
  <c r="NN34" i="4"/>
  <c r="IH34" i="4"/>
  <c r="SY18" i="4"/>
  <c r="NN18" i="4"/>
  <c r="IH18" i="4"/>
  <c r="OF4" i="4"/>
  <c r="OF11" i="4"/>
  <c r="OF9" i="4"/>
  <c r="OF19" i="4"/>
  <c r="OF21" i="4"/>
  <c r="OF25" i="4"/>
  <c r="OF29" i="4"/>
  <c r="OF33" i="4"/>
  <c r="OF37" i="4"/>
  <c r="OF41" i="4"/>
  <c r="PN27" i="4"/>
  <c r="KH27" i="4"/>
  <c r="UY27" i="4"/>
  <c r="PN11" i="4"/>
  <c r="KH11" i="4"/>
  <c r="UY11" i="4"/>
  <c r="UZ5" i="4"/>
  <c r="CL25" i="3"/>
  <c r="CL9" i="3"/>
  <c r="CL13" i="3"/>
  <c r="CL20" i="3"/>
  <c r="CL19" i="3"/>
  <c r="CL5" i="3"/>
  <c r="CL29" i="3"/>
  <c r="CL33" i="3"/>
  <c r="CL37" i="3"/>
  <c r="CL41" i="3"/>
  <c r="AM12" i="4"/>
  <c r="MN38" i="4"/>
  <c r="MN22" i="4"/>
  <c r="MN5" i="4"/>
  <c r="TE32" i="4"/>
  <c r="TE13" i="4"/>
  <c r="NC12" i="4"/>
  <c r="NN25" i="4"/>
  <c r="IH25" i="4"/>
  <c r="SY25" i="4"/>
  <c r="SY9" i="4"/>
  <c r="IH9" i="4"/>
  <c r="NN9" i="4"/>
  <c r="BJ19" i="3"/>
  <c r="BJ7" i="3"/>
  <c r="BJ11" i="3"/>
  <c r="BJ15" i="3"/>
  <c r="BJ26" i="3"/>
  <c r="BJ25" i="3"/>
  <c r="BJ24" i="3"/>
  <c r="BJ31" i="3"/>
  <c r="BJ35" i="3"/>
  <c r="BJ39" i="3"/>
  <c r="BZ6" i="3"/>
  <c r="BZ10" i="3"/>
  <c r="BZ14" i="3"/>
  <c r="BZ22" i="3"/>
  <c r="BZ21" i="3"/>
  <c r="BZ20" i="3"/>
  <c r="BZ30" i="3"/>
  <c r="BZ34" i="3"/>
  <c r="BZ38" i="3"/>
  <c r="BZ42" i="3"/>
  <c r="UY34" i="4"/>
  <c r="PN34" i="4"/>
  <c r="KH34" i="4"/>
  <c r="UY19" i="4"/>
  <c r="PN19" i="4"/>
  <c r="KH19" i="4"/>
  <c r="MV42" i="4"/>
  <c r="MV37" i="4"/>
  <c r="MV33" i="4"/>
  <c r="MV32" i="4"/>
  <c r="MV28" i="4"/>
  <c r="MV21" i="4"/>
  <c r="MV20" i="4"/>
  <c r="MV9" i="4"/>
  <c r="MV10" i="4"/>
  <c r="MV7" i="4"/>
  <c r="MU5" i="4"/>
  <c r="MU6" i="4" s="1"/>
  <c r="MU7" i="4" s="1"/>
  <c r="MU8" i="4" s="1"/>
  <c r="MU9" i="4" s="1"/>
  <c r="MU10" i="4" s="1"/>
  <c r="MU11" i="4" s="1"/>
  <c r="MU12" i="4" s="1"/>
  <c r="MU13" i="4" s="1"/>
  <c r="MU14" i="4" s="1"/>
  <c r="MU15" i="4" s="1"/>
  <c r="MU16" i="4" s="1"/>
  <c r="MU17" i="4" s="1"/>
  <c r="MU18" i="4" s="1"/>
  <c r="MU19" i="4" s="1"/>
  <c r="MU20" i="4" s="1"/>
  <c r="MU21" i="4" s="1"/>
  <c r="MU22" i="4" s="1"/>
  <c r="MU23" i="4" s="1"/>
  <c r="MU24" i="4" s="1"/>
  <c r="MU25" i="4" s="1"/>
  <c r="MU26" i="4" s="1"/>
  <c r="MU27" i="4" s="1"/>
  <c r="MU28" i="4" s="1"/>
  <c r="MU29" i="4" s="1"/>
  <c r="MU30" i="4" s="1"/>
  <c r="MU31" i="4" s="1"/>
  <c r="MU32" i="4" s="1"/>
  <c r="MU33" i="4" s="1"/>
  <c r="MU34" i="4" s="1"/>
  <c r="MU35" i="4" s="1"/>
  <c r="MU36" i="4" s="1"/>
  <c r="MU37" i="4" s="1"/>
  <c r="MU38" i="4" s="1"/>
  <c r="MU39" i="4" s="1"/>
  <c r="MU40" i="4" s="1"/>
  <c r="UO4" i="4"/>
  <c r="UO7" i="4"/>
  <c r="UO12" i="4"/>
  <c r="UO16" i="4"/>
  <c r="UO20" i="4"/>
  <c r="UO24" i="4"/>
  <c r="UO29" i="4"/>
  <c r="UO31" i="4"/>
  <c r="UO35" i="4"/>
  <c r="UO40" i="4"/>
  <c r="MN37" i="4"/>
  <c r="MN21" i="4"/>
  <c r="MN4" i="4"/>
  <c r="TE24" i="4"/>
  <c r="TE10" i="4"/>
  <c r="BO5" i="3"/>
  <c r="BO6" i="3" s="1"/>
  <c r="BO7" i="3" s="1"/>
  <c r="BO8" i="3" s="1"/>
  <c r="BO9" i="3" s="1"/>
  <c r="BO10" i="3" s="1"/>
  <c r="BO11" i="3" s="1"/>
  <c r="BO12" i="3" s="1"/>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SY36" i="4"/>
  <c r="NN36" i="4"/>
  <c r="IH36" i="4"/>
  <c r="NN20" i="4"/>
  <c r="IH20" i="4"/>
  <c r="SY20" i="4"/>
  <c r="SY4" i="4"/>
  <c r="SZ4" i="4" s="1"/>
  <c r="IH4" i="4"/>
  <c r="II4" i="4" s="1"/>
  <c r="NN4" i="4"/>
  <c r="NO4" i="4" s="1"/>
  <c r="BQ4" i="3"/>
  <c r="TQ4" i="4"/>
  <c r="TQ8" i="4"/>
  <c r="TQ13" i="4"/>
  <c r="TQ20" i="4"/>
  <c r="TQ24" i="4"/>
  <c r="TQ23" i="4"/>
  <c r="TQ30" i="4"/>
  <c r="TQ33" i="4"/>
  <c r="TQ37" i="4"/>
  <c r="PN25" i="4"/>
  <c r="KH25" i="4"/>
  <c r="UY25" i="4"/>
  <c r="UY9" i="4"/>
  <c r="KH9" i="4"/>
  <c r="PN9" i="4"/>
  <c r="DJ9" i="4"/>
  <c r="GM8" i="4"/>
  <c r="SC37" i="4"/>
  <c r="SC33" i="4"/>
  <c r="SC28" i="4"/>
  <c r="SC25" i="4"/>
  <c r="SC21" i="4"/>
  <c r="SC19" i="4"/>
  <c r="SC15" i="4"/>
  <c r="SC9" i="4"/>
  <c r="SC5" i="4"/>
  <c r="SB5" i="4"/>
  <c r="SB6" i="4" s="1"/>
  <c r="SB7" i="4" s="1"/>
  <c r="SB8" i="4" s="1"/>
  <c r="SB9" i="4" s="1"/>
  <c r="SB10" i="4" s="1"/>
  <c r="SB11" i="4" s="1"/>
  <c r="SB12" i="4" s="1"/>
  <c r="SB13" i="4" s="1"/>
  <c r="SB14" i="4" s="1"/>
  <c r="SB15" i="4" s="1"/>
  <c r="SB16" i="4" s="1"/>
  <c r="SB17" i="4" s="1"/>
  <c r="SB18" i="4" s="1"/>
  <c r="SB19" i="4" s="1"/>
  <c r="SB20" i="4" s="1"/>
  <c r="SB21" i="4" s="1"/>
  <c r="SB22" i="4" s="1"/>
  <c r="SB23" i="4" s="1"/>
  <c r="SB24" i="4" s="1"/>
  <c r="SB25" i="4" s="1"/>
  <c r="SB26" i="4" s="1"/>
  <c r="SB27" i="4" s="1"/>
  <c r="SB28" i="4" s="1"/>
  <c r="SB29" i="4" s="1"/>
  <c r="SB30" i="4" s="1"/>
  <c r="SB31" i="4" s="1"/>
  <c r="SB32" i="4" s="1"/>
  <c r="SB33" i="4" s="1"/>
  <c r="SB34" i="4" s="1"/>
  <c r="SB35" i="4" s="1"/>
  <c r="SB36" i="4" s="1"/>
  <c r="SB37" i="4" s="1"/>
  <c r="SB38" i="4" s="1"/>
  <c r="SB39" i="4" s="1"/>
  <c r="SB40" i="4" s="1"/>
  <c r="MN27" i="4"/>
  <c r="MN13" i="4"/>
  <c r="TE30" i="4"/>
  <c r="TE9" i="4"/>
  <c r="IV41" i="4"/>
  <c r="IV37" i="4"/>
  <c r="IV33" i="4"/>
  <c r="IV29" i="4"/>
  <c r="IV25" i="4"/>
  <c r="IV21" i="4"/>
  <c r="IV16" i="4"/>
  <c r="IV14" i="4"/>
  <c r="IV10" i="4"/>
  <c r="IV4" i="4"/>
  <c r="IU5" i="4"/>
  <c r="IU6" i="4" s="1"/>
  <c r="IU7" i="4" s="1"/>
  <c r="IU8" i="4" s="1"/>
  <c r="IU9" i="4" s="1"/>
  <c r="IU10" i="4" s="1"/>
  <c r="IU11" i="4" s="1"/>
  <c r="IU12" i="4" s="1"/>
  <c r="IU13" i="4" s="1"/>
  <c r="IU14" i="4" s="1"/>
  <c r="IU15" i="4" s="1"/>
  <c r="IU16" i="4" s="1"/>
  <c r="IU17" i="4" s="1"/>
  <c r="IU18" i="4" s="1"/>
  <c r="IU19" i="4" s="1"/>
  <c r="IU20" i="4" s="1"/>
  <c r="IU21" i="4" s="1"/>
  <c r="IU22" i="4" s="1"/>
  <c r="IU23" i="4" s="1"/>
  <c r="IU24" i="4" s="1"/>
  <c r="IU25" i="4" s="1"/>
  <c r="IU26" i="4" s="1"/>
  <c r="IU27" i="4" s="1"/>
  <c r="IU28" i="4" s="1"/>
  <c r="IU29" i="4" s="1"/>
  <c r="IU30" i="4" s="1"/>
  <c r="IU31" i="4" s="1"/>
  <c r="IU32" i="4" s="1"/>
  <c r="IU33" i="4" s="1"/>
  <c r="IU34" i="4" s="1"/>
  <c r="IU35" i="4" s="1"/>
  <c r="IU36" i="4" s="1"/>
  <c r="IU37" i="4" s="1"/>
  <c r="IU38" i="4" s="1"/>
  <c r="IU39" i="4" s="1"/>
  <c r="IU40" i="4" s="1"/>
  <c r="AY7" i="2"/>
  <c r="AY6" i="2"/>
  <c r="AY9" i="2" s="1"/>
  <c r="AY5" i="2"/>
  <c r="VC7" i="4"/>
  <c r="KL7" i="4"/>
  <c r="PR7" i="4"/>
  <c r="PR23" i="4"/>
  <c r="KL23" i="4"/>
  <c r="VC23" i="4"/>
  <c r="PR40" i="4"/>
  <c r="KL40" i="4"/>
  <c r="VC40" i="4"/>
  <c r="VC17" i="4"/>
  <c r="PR17" i="4"/>
  <c r="KL17" i="4"/>
  <c r="VC33" i="4"/>
  <c r="PR33" i="4"/>
  <c r="KL33" i="4"/>
  <c r="PR14" i="4"/>
  <c r="KL14" i="4"/>
  <c r="VC14" i="4"/>
  <c r="VC30" i="4"/>
  <c r="PR30" i="4"/>
  <c r="KL30" i="4"/>
  <c r="PR12" i="4"/>
  <c r="KL12" i="4"/>
  <c r="VC12" i="4"/>
  <c r="PR27" i="4"/>
  <c r="KL27" i="4"/>
  <c r="VC27" i="4"/>
  <c r="RY15" i="4"/>
  <c r="RY32" i="4"/>
  <c r="RY10" i="4"/>
  <c r="RY24" i="4"/>
  <c r="RY5" i="4"/>
  <c r="RY21" i="4"/>
  <c r="RY38" i="4"/>
  <c r="RY17" i="4"/>
  <c r="RY34" i="4"/>
  <c r="IB12" i="4"/>
  <c r="IB26" i="4"/>
  <c r="IB42" i="4"/>
  <c r="IB15" i="4"/>
  <c r="IB31" i="4"/>
  <c r="IB14" i="4"/>
  <c r="IB28" i="4"/>
  <c r="IB4" i="4"/>
  <c r="IB21" i="4"/>
  <c r="IB36" i="4"/>
  <c r="HH8" i="4"/>
  <c r="HH25" i="4"/>
  <c r="HH41" i="4"/>
  <c r="HH20" i="4"/>
  <c r="HH34" i="4"/>
  <c r="HH5" i="4"/>
  <c r="HH23" i="4"/>
  <c r="HH39" i="4"/>
  <c r="HH19" i="4"/>
  <c r="HH36" i="4"/>
  <c r="NN23" i="4"/>
  <c r="IH23" i="4"/>
  <c r="SY23" i="4"/>
  <c r="JX10" i="4"/>
  <c r="SY35" i="4"/>
  <c r="NN35" i="4"/>
  <c r="IH35" i="4"/>
  <c r="SY19" i="4"/>
  <c r="IH19" i="4"/>
  <c r="NN19" i="4"/>
  <c r="HT5" i="4"/>
  <c r="HT9" i="4"/>
  <c r="HT13" i="4"/>
  <c r="HT16" i="4"/>
  <c r="HT20" i="4"/>
  <c r="HT23" i="4"/>
  <c r="HT28" i="4"/>
  <c r="HT32" i="4"/>
  <c r="HT35" i="4"/>
  <c r="HT40" i="4"/>
  <c r="OV42" i="4"/>
  <c r="OV41" i="4"/>
  <c r="OV40" i="4"/>
  <c r="OV39" i="4"/>
  <c r="OV38" i="4"/>
  <c r="OV37" i="4"/>
  <c r="OV36" i="4"/>
  <c r="OV35" i="4"/>
  <c r="OV34" i="4"/>
  <c r="OV33" i="4"/>
  <c r="OV32" i="4"/>
  <c r="OV31" i="4"/>
  <c r="OV30" i="4"/>
  <c r="OV29" i="4"/>
  <c r="OV28" i="4"/>
  <c r="OV27" i="4"/>
  <c r="OV26" i="4"/>
  <c r="OV25" i="4"/>
  <c r="OV24" i="4"/>
  <c r="OV23" i="4"/>
  <c r="OV22" i="4"/>
  <c r="OV21" i="4"/>
  <c r="OV20" i="4"/>
  <c r="OV18" i="4"/>
  <c r="OV17" i="4"/>
  <c r="OV19" i="4"/>
  <c r="OV16" i="4"/>
  <c r="OV15" i="4"/>
  <c r="OV14" i="4"/>
  <c r="OV9" i="4"/>
  <c r="OV7" i="4"/>
  <c r="OV13" i="4"/>
  <c r="OV12" i="4"/>
  <c r="OV11" i="4"/>
  <c r="OV10" i="4"/>
  <c r="OV8" i="4"/>
  <c r="OV5" i="4"/>
  <c r="OV4" i="4"/>
  <c r="OU5" i="4"/>
  <c r="OU6" i="4" s="1"/>
  <c r="OU7" i="4" s="1"/>
  <c r="OU8" i="4" s="1"/>
  <c r="OU9" i="4" s="1"/>
  <c r="OU10" i="4" s="1"/>
  <c r="OU11" i="4" s="1"/>
  <c r="OU12" i="4" s="1"/>
  <c r="OU13" i="4" s="1"/>
  <c r="OU14" i="4" s="1"/>
  <c r="OU15" i="4" s="1"/>
  <c r="OU16" i="4" s="1"/>
  <c r="OU17" i="4" s="1"/>
  <c r="OU18" i="4" s="1"/>
  <c r="OU19" i="4" s="1"/>
  <c r="OU20" i="4" s="1"/>
  <c r="OU21" i="4" s="1"/>
  <c r="OU22" i="4" s="1"/>
  <c r="OU23" i="4" s="1"/>
  <c r="OU24" i="4" s="1"/>
  <c r="OU25" i="4" s="1"/>
  <c r="OU26" i="4" s="1"/>
  <c r="OU27" i="4" s="1"/>
  <c r="OU28" i="4" s="1"/>
  <c r="OU29" i="4" s="1"/>
  <c r="OU30" i="4" s="1"/>
  <c r="OU31" i="4" s="1"/>
  <c r="OU32" i="4" s="1"/>
  <c r="OU33" i="4" s="1"/>
  <c r="OU34" i="4" s="1"/>
  <c r="OU35" i="4" s="1"/>
  <c r="OU36" i="4" s="1"/>
  <c r="OU37" i="4" s="1"/>
  <c r="OU38" i="4" s="1"/>
  <c r="OU39" i="4" s="1"/>
  <c r="OU40" i="4" s="1"/>
  <c r="OV6" i="4"/>
  <c r="IZ4" i="4"/>
  <c r="IZ7" i="4"/>
  <c r="IZ12" i="4"/>
  <c r="IZ15" i="4"/>
  <c r="IZ19" i="4"/>
  <c r="IZ22" i="4"/>
  <c r="IZ26" i="4"/>
  <c r="IZ31" i="4"/>
  <c r="IZ35" i="4"/>
  <c r="IZ39" i="4"/>
  <c r="JX4" i="4"/>
  <c r="JX11" i="4"/>
  <c r="JX7" i="4"/>
  <c r="JX16" i="4"/>
  <c r="JX21" i="4"/>
  <c r="JX25" i="4"/>
  <c r="JX29" i="4"/>
  <c r="JX33" i="4"/>
  <c r="JX37" i="4"/>
  <c r="JX41" i="4"/>
  <c r="UB5" i="4"/>
  <c r="UB6" i="4" s="1"/>
  <c r="UB7" i="4" s="1"/>
  <c r="UB8" i="4" s="1"/>
  <c r="UB9" i="4" s="1"/>
  <c r="UB10" i="4" s="1"/>
  <c r="UB11" i="4" s="1"/>
  <c r="UB12" i="4" s="1"/>
  <c r="UB13" i="4" s="1"/>
  <c r="UB14" i="4" s="1"/>
  <c r="UB15" i="4" s="1"/>
  <c r="UB16" i="4" s="1"/>
  <c r="UB17" i="4" s="1"/>
  <c r="UB18" i="4" s="1"/>
  <c r="UB19" i="4" s="1"/>
  <c r="UB20" i="4" s="1"/>
  <c r="UB21" i="4" s="1"/>
  <c r="UB22" i="4" s="1"/>
  <c r="UB23" i="4" s="1"/>
  <c r="UB24" i="4" s="1"/>
  <c r="UB25" i="4" s="1"/>
  <c r="UB26" i="4" s="1"/>
  <c r="UB27" i="4" s="1"/>
  <c r="UB28" i="4" s="1"/>
  <c r="UB29" i="4" s="1"/>
  <c r="UB30" i="4" s="1"/>
  <c r="UB31" i="4" s="1"/>
  <c r="UB32" i="4" s="1"/>
  <c r="UB33" i="4" s="1"/>
  <c r="UB34" i="4" s="1"/>
  <c r="UB35" i="4" s="1"/>
  <c r="UB36" i="4" s="1"/>
  <c r="UB37" i="4" s="1"/>
  <c r="UB38" i="4" s="1"/>
  <c r="UB39" i="4" s="1"/>
  <c r="UB40" i="4" s="1"/>
  <c r="TE39" i="4"/>
  <c r="TE22" i="4"/>
  <c r="TE6" i="4"/>
  <c r="SY30" i="4"/>
  <c r="NN30" i="4"/>
  <c r="IH30" i="4"/>
  <c r="NN14" i="4"/>
  <c r="IH14" i="4"/>
  <c r="SY14" i="4"/>
  <c r="MZ5" i="4"/>
  <c r="MZ12" i="4"/>
  <c r="MZ14" i="4"/>
  <c r="MZ17" i="4"/>
  <c r="MZ22" i="4"/>
  <c r="MZ26" i="4"/>
  <c r="MZ30" i="4"/>
  <c r="MZ34" i="4"/>
  <c r="MZ38" i="4"/>
  <c r="MZ42" i="4"/>
  <c r="OF5" i="4"/>
  <c r="OF12" i="4"/>
  <c r="OF14" i="4"/>
  <c r="OF17" i="4"/>
  <c r="OF22" i="4"/>
  <c r="OF26" i="4"/>
  <c r="OF30" i="4"/>
  <c r="OF34" i="4"/>
  <c r="OF38" i="4"/>
  <c r="OF42" i="4"/>
  <c r="PN39" i="4"/>
  <c r="KH39" i="4"/>
  <c r="UY39" i="4"/>
  <c r="PN23" i="4"/>
  <c r="KH23" i="4"/>
  <c r="UY23" i="4"/>
  <c r="CR40" i="3"/>
  <c r="CR36" i="3"/>
  <c r="CR21" i="3"/>
  <c r="CR14" i="3"/>
  <c r="CR10" i="3"/>
  <c r="CR6" i="3"/>
  <c r="CR26" i="3"/>
  <c r="CR23" i="3"/>
  <c r="CR32" i="3"/>
  <c r="CR20" i="3"/>
  <c r="CQ5" i="3"/>
  <c r="CQ6" i="3" s="1"/>
  <c r="CQ7" i="3" s="1"/>
  <c r="CQ8" i="3" s="1"/>
  <c r="CQ9" i="3" s="1"/>
  <c r="CQ10" i="3" s="1"/>
  <c r="CQ11" i="3" s="1"/>
  <c r="CQ12" i="3" s="1"/>
  <c r="CQ13" i="3" s="1"/>
  <c r="CQ14" i="3" s="1"/>
  <c r="CQ15" i="3" s="1"/>
  <c r="CQ16" i="3" s="1"/>
  <c r="CQ17" i="3" s="1"/>
  <c r="CQ18" i="3" s="1"/>
  <c r="CQ19" i="3" s="1"/>
  <c r="CQ20" i="3" s="1"/>
  <c r="CQ21" i="3" s="1"/>
  <c r="CQ22" i="3" s="1"/>
  <c r="CQ23" i="3" s="1"/>
  <c r="CQ24" i="3" s="1"/>
  <c r="CQ25" i="3" s="1"/>
  <c r="CQ26" i="3" s="1"/>
  <c r="CQ27" i="3" s="1"/>
  <c r="CQ28" i="3" s="1"/>
  <c r="CQ29" i="3" s="1"/>
  <c r="CQ30" i="3" s="1"/>
  <c r="CQ31" i="3" s="1"/>
  <c r="CQ32" i="3" s="1"/>
  <c r="CQ33" i="3" s="1"/>
  <c r="CQ34" i="3" s="1"/>
  <c r="CQ35" i="3" s="1"/>
  <c r="CQ36" i="3" s="1"/>
  <c r="CQ37" i="3" s="1"/>
  <c r="CQ38" i="3" s="1"/>
  <c r="CQ39" i="3" s="1"/>
  <c r="CQ40" i="3" s="1"/>
  <c r="CQ41" i="3" s="1"/>
  <c r="CQ42" i="3" s="1"/>
  <c r="LO8" i="4"/>
  <c r="CL6" i="3"/>
  <c r="CL10" i="3"/>
  <c r="CL14" i="3"/>
  <c r="CL24" i="3"/>
  <c r="CL23" i="3"/>
  <c r="CL18" i="3"/>
  <c r="CL30" i="3"/>
  <c r="CL34" i="3"/>
  <c r="CL38" i="3"/>
  <c r="CL42" i="3"/>
  <c r="MN34" i="4"/>
  <c r="MN20" i="4"/>
  <c r="TE26" i="4"/>
  <c r="TE11" i="4"/>
  <c r="GA8" i="4"/>
  <c r="SY37" i="4"/>
  <c r="NN37" i="4"/>
  <c r="IH37" i="4"/>
  <c r="NN21" i="4"/>
  <c r="IH21" i="4"/>
  <c r="SY21" i="4"/>
  <c r="SY5" i="4"/>
  <c r="IH5" i="4"/>
  <c r="NN5" i="4"/>
  <c r="BJ4" i="3"/>
  <c r="BJ28" i="3"/>
  <c r="BJ32" i="3"/>
  <c r="BJ36" i="3"/>
  <c r="BJ40" i="3"/>
  <c r="BZ19" i="3"/>
  <c r="BZ7" i="3"/>
  <c r="BZ11" i="3"/>
  <c r="BZ15" i="3"/>
  <c r="BZ26" i="3"/>
  <c r="BZ25" i="3"/>
  <c r="BZ24" i="3"/>
  <c r="BZ31" i="3"/>
  <c r="BZ35" i="3"/>
  <c r="BZ39" i="3"/>
  <c r="UY32" i="4"/>
  <c r="PN32" i="4"/>
  <c r="KH32" i="4"/>
  <c r="PN14" i="4"/>
  <c r="KH14" i="4"/>
  <c r="UY14" i="4"/>
  <c r="N12" i="4"/>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O32" i="4"/>
  <c r="O17" i="4"/>
  <c r="O8" i="4"/>
  <c r="O6" i="4"/>
  <c r="HO5" i="4"/>
  <c r="HO6" i="4" s="1"/>
  <c r="HO7" i="4" s="1"/>
  <c r="HO8" i="4" s="1"/>
  <c r="HO9" i="4" s="1"/>
  <c r="HO10" i="4" s="1"/>
  <c r="HO11" i="4" s="1"/>
  <c r="HO12" i="4" s="1"/>
  <c r="HO13" i="4" s="1"/>
  <c r="HO14" i="4" s="1"/>
  <c r="HO15" i="4" s="1"/>
  <c r="HO16" i="4" s="1"/>
  <c r="HO17" i="4" s="1"/>
  <c r="HO18" i="4" s="1"/>
  <c r="HO19" i="4" s="1"/>
  <c r="HO20" i="4" s="1"/>
  <c r="HO21" i="4" s="1"/>
  <c r="HO22" i="4" s="1"/>
  <c r="HO23" i="4" s="1"/>
  <c r="HO24" i="4" s="1"/>
  <c r="HO25" i="4" s="1"/>
  <c r="HO26" i="4" s="1"/>
  <c r="HO27" i="4" s="1"/>
  <c r="HO28" i="4" s="1"/>
  <c r="HO29" i="4" s="1"/>
  <c r="HO30" i="4" s="1"/>
  <c r="HO31" i="4" s="1"/>
  <c r="HO32" i="4" s="1"/>
  <c r="HO33" i="4" s="1"/>
  <c r="HO34" i="4" s="1"/>
  <c r="HO35" i="4" s="1"/>
  <c r="HO36" i="4" s="1"/>
  <c r="HO37" i="4" s="1"/>
  <c r="HO38" i="4" s="1"/>
  <c r="HO39" i="4" s="1"/>
  <c r="HO40" i="4" s="1"/>
  <c r="UO5" i="4"/>
  <c r="UO9" i="4"/>
  <c r="UO15" i="4"/>
  <c r="UO19" i="4"/>
  <c r="UO21" i="4"/>
  <c r="UO25" i="4"/>
  <c r="UO28" i="4"/>
  <c r="UO33" i="4"/>
  <c r="UO37" i="4"/>
  <c r="MN33" i="4"/>
  <c r="MN19" i="4"/>
  <c r="TE37" i="4"/>
  <c r="TE25" i="4"/>
  <c r="TE4" i="4"/>
  <c r="NK5" i="4"/>
  <c r="NK6" i="4" s="1"/>
  <c r="NK7" i="4" s="1"/>
  <c r="NK8" i="4" s="1"/>
  <c r="NK9" i="4" s="1"/>
  <c r="NK10" i="4" s="1"/>
  <c r="NK11" i="4" s="1"/>
  <c r="NK12" i="4" s="1"/>
  <c r="NK13" i="4" s="1"/>
  <c r="NK14" i="4" s="1"/>
  <c r="NK15" i="4" s="1"/>
  <c r="NK16" i="4" s="1"/>
  <c r="NK17" i="4" s="1"/>
  <c r="NK18" i="4" s="1"/>
  <c r="NK19" i="4" s="1"/>
  <c r="NK20" i="4" s="1"/>
  <c r="NK21" i="4" s="1"/>
  <c r="NK22" i="4" s="1"/>
  <c r="NK23" i="4" s="1"/>
  <c r="NK24" i="4" s="1"/>
  <c r="NK25" i="4" s="1"/>
  <c r="NK26" i="4" s="1"/>
  <c r="NK27" i="4" s="1"/>
  <c r="NK28" i="4" s="1"/>
  <c r="NK29" i="4" s="1"/>
  <c r="NK30" i="4" s="1"/>
  <c r="NK31" i="4" s="1"/>
  <c r="NK32" i="4" s="1"/>
  <c r="NK33" i="4" s="1"/>
  <c r="NK34" i="4" s="1"/>
  <c r="NK35" i="4" s="1"/>
  <c r="NK36" i="4" s="1"/>
  <c r="NK37" i="4" s="1"/>
  <c r="NK38" i="4" s="1"/>
  <c r="NK39" i="4" s="1"/>
  <c r="NK40" i="4" s="1"/>
  <c r="SY32" i="4"/>
  <c r="NN32" i="4"/>
  <c r="IH32" i="4"/>
  <c r="SY16" i="4"/>
  <c r="NN16" i="4"/>
  <c r="IH16" i="4"/>
  <c r="SK5" i="4"/>
  <c r="SK8" i="4"/>
  <c r="SK16" i="4"/>
  <c r="SK20" i="4"/>
  <c r="SK24" i="4"/>
  <c r="SK23" i="4"/>
  <c r="SK30" i="4"/>
  <c r="SK33" i="4"/>
  <c r="SK37" i="4"/>
  <c r="LS8" i="4"/>
  <c r="TQ5" i="4"/>
  <c r="TQ10" i="4"/>
  <c r="TQ14" i="4"/>
  <c r="TQ17" i="4"/>
  <c r="TQ25" i="4"/>
  <c r="TQ26" i="4"/>
  <c r="TQ29" i="4"/>
  <c r="TQ35" i="4"/>
  <c r="TQ38" i="4"/>
  <c r="UY37" i="4"/>
  <c r="PN37" i="4"/>
  <c r="KH37" i="4"/>
  <c r="PN21" i="4"/>
  <c r="KH21" i="4"/>
  <c r="UY21" i="4"/>
  <c r="UY6" i="4"/>
  <c r="PN6" i="4"/>
  <c r="KH6" i="4"/>
  <c r="NS13" i="4"/>
  <c r="PD11" i="4"/>
  <c r="PD14" i="4"/>
  <c r="PD18" i="4"/>
  <c r="PD21" i="4"/>
  <c r="PD26" i="4"/>
  <c r="PD30" i="4"/>
  <c r="PD33" i="4"/>
  <c r="PD38" i="4"/>
  <c r="PD42" i="4"/>
  <c r="BF42" i="3"/>
  <c r="BF38" i="3"/>
  <c r="BF34" i="3"/>
  <c r="BF30" i="3"/>
  <c r="BF18" i="3"/>
  <c r="BF27" i="3"/>
  <c r="BE5" i="3"/>
  <c r="BE6" i="3" s="1"/>
  <c r="BE7" i="3" s="1"/>
  <c r="BE8" i="3" s="1"/>
  <c r="BE9" i="3" s="1"/>
  <c r="BE10" i="3" s="1"/>
  <c r="BE11" i="3" s="1"/>
  <c r="BE12" i="3" s="1"/>
  <c r="BE13" i="3" s="1"/>
  <c r="BE14" i="3" s="1"/>
  <c r="BE15" i="3" s="1"/>
  <c r="BE16" i="3" s="1"/>
  <c r="BE17" i="3" s="1"/>
  <c r="BE18" i="3" s="1"/>
  <c r="BE19" i="3" s="1"/>
  <c r="BE20" i="3" s="1"/>
  <c r="BE21" i="3" s="1"/>
  <c r="BE22" i="3" s="1"/>
  <c r="BE23" i="3" s="1"/>
  <c r="BE24" i="3" s="1"/>
  <c r="BE25" i="3" s="1"/>
  <c r="BE26" i="3" s="1"/>
  <c r="BE27" i="3" s="1"/>
  <c r="BE28" i="3" s="1"/>
  <c r="BE29" i="3" s="1"/>
  <c r="BE30" i="3" s="1"/>
  <c r="BE31" i="3" s="1"/>
  <c r="BE32" i="3" s="1"/>
  <c r="BE33" i="3" s="1"/>
  <c r="BE34" i="3" s="1"/>
  <c r="BE35" i="3" s="1"/>
  <c r="BE36" i="3" s="1"/>
  <c r="BE37" i="3" s="1"/>
  <c r="BE38" i="3" s="1"/>
  <c r="BE39" i="3" s="1"/>
  <c r="BE40" i="3" s="1"/>
  <c r="BE41" i="3" s="1"/>
  <c r="BE42" i="3" s="1"/>
  <c r="BF28" i="3"/>
  <c r="BF16" i="3"/>
  <c r="BF15" i="3"/>
  <c r="BF12" i="3"/>
  <c r="BF11" i="3"/>
  <c r="BF8" i="3"/>
  <c r="BF7" i="3"/>
  <c r="BF21" i="3"/>
  <c r="MN40" i="4"/>
  <c r="MN24" i="4"/>
  <c r="MN9" i="4"/>
  <c r="TE40" i="4"/>
  <c r="TE23" i="4"/>
  <c r="TE8" i="4"/>
  <c r="TL5" i="4"/>
  <c r="TL6" i="4" s="1"/>
  <c r="TL7" i="4" s="1"/>
  <c r="TL8" i="4" s="1"/>
  <c r="TL9" i="4" s="1"/>
  <c r="TL10" i="4" s="1"/>
  <c r="TL11" i="4" s="1"/>
  <c r="TL12" i="4" s="1"/>
  <c r="TL13" i="4" s="1"/>
  <c r="TL14" i="4" s="1"/>
  <c r="TL15" i="4" s="1"/>
  <c r="TL16" i="4" s="1"/>
  <c r="TL17" i="4" s="1"/>
  <c r="TL18" i="4" s="1"/>
  <c r="TL19" i="4" s="1"/>
  <c r="TL20" i="4" s="1"/>
  <c r="TL21" i="4" s="1"/>
  <c r="TL22" i="4" s="1"/>
  <c r="TL23" i="4" s="1"/>
  <c r="TL24" i="4" s="1"/>
  <c r="TL25" i="4" s="1"/>
  <c r="TL26" i="4" s="1"/>
  <c r="TL27" i="4" s="1"/>
  <c r="TL28" i="4" s="1"/>
  <c r="TL29" i="4" s="1"/>
  <c r="TL30" i="4" s="1"/>
  <c r="TL31" i="4" s="1"/>
  <c r="TL32" i="4" s="1"/>
  <c r="TL33" i="4" s="1"/>
  <c r="TL34" i="4" s="1"/>
  <c r="TL35" i="4" s="1"/>
  <c r="TL36" i="4" s="1"/>
  <c r="TL37" i="4" s="1"/>
  <c r="TL38" i="4" s="1"/>
  <c r="TL39" i="4" s="1"/>
  <c r="TL40" i="4" s="1"/>
  <c r="FD13" i="4"/>
  <c r="FD28" i="4"/>
  <c r="FD5" i="4"/>
  <c r="FD18" i="4"/>
  <c r="FD37" i="4"/>
  <c r="FD19" i="4"/>
  <c r="FD34" i="4"/>
  <c r="FD15" i="4"/>
  <c r="FD32" i="4"/>
  <c r="RY7" i="4"/>
  <c r="RY18" i="4"/>
  <c r="RY36" i="4"/>
  <c r="RY16" i="4"/>
  <c r="RY28" i="4"/>
  <c r="RY11" i="4"/>
  <c r="RY26" i="4"/>
  <c r="RY6" i="4"/>
  <c r="RY22" i="4"/>
  <c r="RY39" i="4"/>
  <c r="IB9" i="4"/>
  <c r="IB30" i="4"/>
  <c r="IB6" i="4"/>
  <c r="IB18" i="4"/>
  <c r="IB37" i="4"/>
  <c r="IB17" i="4"/>
  <c r="IB32" i="4"/>
  <c r="IB11" i="4"/>
  <c r="IB25" i="4"/>
  <c r="IB41" i="4"/>
  <c r="HH13" i="4"/>
  <c r="HH29" i="4"/>
  <c r="HH4" i="4"/>
  <c r="HH22" i="4"/>
  <c r="HH38" i="4"/>
  <c r="HH11" i="4"/>
  <c r="HH27" i="4"/>
  <c r="HH14" i="4"/>
  <c r="HH24" i="4"/>
  <c r="HH40" i="4"/>
  <c r="NN39" i="4"/>
  <c r="IH39" i="4"/>
  <c r="SY39" i="4"/>
  <c r="SY7" i="4"/>
  <c r="IH7" i="4"/>
  <c r="NN7" i="4"/>
  <c r="HT4" i="4"/>
  <c r="HT12" i="4"/>
  <c r="HT19" i="4"/>
  <c r="HT27" i="4"/>
  <c r="CH42" i="3"/>
  <c r="CH41" i="3"/>
  <c r="CH40" i="3"/>
  <c r="CH39" i="3"/>
  <c r="CH38" i="3"/>
  <c r="CH37" i="3"/>
  <c r="CH36" i="3"/>
  <c r="CH35" i="3"/>
  <c r="CH34" i="3"/>
  <c r="CH33" i="3"/>
  <c r="CH32" i="3"/>
  <c r="CH31" i="3"/>
  <c r="CH30" i="3"/>
  <c r="CH29" i="3"/>
  <c r="CH28" i="3"/>
  <c r="CH24" i="3"/>
  <c r="CH20" i="3"/>
  <c r="CH5" i="3"/>
  <c r="CH4" i="3"/>
  <c r="CH25" i="3"/>
  <c r="CH21" i="3"/>
  <c r="CH17" i="3"/>
  <c r="CG5" i="3"/>
  <c r="CG6" i="3" s="1"/>
  <c r="CG7" i="3" s="1"/>
  <c r="CG8" i="3" s="1"/>
  <c r="CG9" i="3" s="1"/>
  <c r="CG10" i="3" s="1"/>
  <c r="CG11" i="3" s="1"/>
  <c r="CG12" i="3" s="1"/>
  <c r="CG13" i="3" s="1"/>
  <c r="CG14" i="3" s="1"/>
  <c r="CG15" i="3" s="1"/>
  <c r="CG16" i="3" s="1"/>
  <c r="CG17" i="3" s="1"/>
  <c r="CG18" i="3" s="1"/>
  <c r="CG19" i="3" s="1"/>
  <c r="CG20" i="3" s="1"/>
  <c r="CG21" i="3" s="1"/>
  <c r="CG22" i="3" s="1"/>
  <c r="CG23" i="3" s="1"/>
  <c r="CG24" i="3" s="1"/>
  <c r="CG25" i="3" s="1"/>
  <c r="CG26" i="3" s="1"/>
  <c r="CG27" i="3" s="1"/>
  <c r="CG28" i="3" s="1"/>
  <c r="CG29" i="3" s="1"/>
  <c r="CG30" i="3" s="1"/>
  <c r="CG31" i="3" s="1"/>
  <c r="CG32" i="3" s="1"/>
  <c r="CG33" i="3" s="1"/>
  <c r="CG34" i="3" s="1"/>
  <c r="CG35" i="3" s="1"/>
  <c r="CG36" i="3" s="1"/>
  <c r="CG37" i="3" s="1"/>
  <c r="CG38" i="3" s="1"/>
  <c r="CG39" i="3" s="1"/>
  <c r="CG40" i="3" s="1"/>
  <c r="CG41" i="3" s="1"/>
  <c r="CG42" i="3" s="1"/>
  <c r="CH26" i="3"/>
  <c r="CH22" i="3"/>
  <c r="CH18" i="3"/>
  <c r="CH16" i="3"/>
  <c r="CH15" i="3"/>
  <c r="CH14" i="3"/>
  <c r="CH13" i="3"/>
  <c r="CH12" i="3"/>
  <c r="CH11" i="3"/>
  <c r="CH10" i="3"/>
  <c r="CH9" i="3"/>
  <c r="CH8" i="3"/>
  <c r="CH7" i="3"/>
  <c r="CH6" i="3"/>
  <c r="CH27" i="3"/>
  <c r="CH23" i="3"/>
  <c r="CH19" i="3"/>
  <c r="IZ11" i="4"/>
  <c r="IZ18" i="4"/>
  <c r="IZ25" i="4"/>
  <c r="IZ34" i="4"/>
  <c r="IZ42" i="4"/>
  <c r="SY31" i="4"/>
  <c r="IH31" i="4"/>
  <c r="NN31" i="4"/>
  <c r="HT6" i="4"/>
  <c r="HT10" i="4"/>
  <c r="HT8" i="4"/>
  <c r="HT17" i="4"/>
  <c r="HT24" i="4"/>
  <c r="HT25" i="4"/>
  <c r="HT29" i="4"/>
  <c r="HT33" i="4"/>
  <c r="HT36" i="4"/>
  <c r="HT41" i="4"/>
  <c r="JP42" i="4"/>
  <c r="JP41" i="4"/>
  <c r="JP40" i="4"/>
  <c r="JP39" i="4"/>
  <c r="JP38" i="4"/>
  <c r="JP37" i="4"/>
  <c r="JP36" i="4"/>
  <c r="JP35" i="4"/>
  <c r="JP34" i="4"/>
  <c r="JP33" i="4"/>
  <c r="JP32" i="4"/>
  <c r="JP31" i="4"/>
  <c r="JP30" i="4"/>
  <c r="JP29" i="4"/>
  <c r="JP27" i="4"/>
  <c r="JP26" i="4"/>
  <c r="JP25" i="4"/>
  <c r="JP28" i="4"/>
  <c r="JP23" i="4"/>
  <c r="JP22" i="4"/>
  <c r="JP21" i="4"/>
  <c r="JP24" i="4"/>
  <c r="JP20" i="4"/>
  <c r="JP19" i="4"/>
  <c r="JP18" i="4"/>
  <c r="JP17" i="4"/>
  <c r="JP16" i="4"/>
  <c r="JP15" i="4"/>
  <c r="JP14" i="4"/>
  <c r="JP8" i="4"/>
  <c r="JP13" i="4"/>
  <c r="JP12" i="4"/>
  <c r="JP11" i="4"/>
  <c r="JP10" i="4"/>
  <c r="JP9" i="4"/>
  <c r="JP7" i="4"/>
  <c r="JO5" i="4"/>
  <c r="JO6" i="4" s="1"/>
  <c r="JO7" i="4" s="1"/>
  <c r="JO8" i="4" s="1"/>
  <c r="JO9" i="4" s="1"/>
  <c r="JO10" i="4" s="1"/>
  <c r="JO11" i="4" s="1"/>
  <c r="JO12" i="4" s="1"/>
  <c r="JO13" i="4" s="1"/>
  <c r="JO14" i="4" s="1"/>
  <c r="JO15" i="4" s="1"/>
  <c r="JO16" i="4" s="1"/>
  <c r="JO17" i="4" s="1"/>
  <c r="JO18" i="4" s="1"/>
  <c r="JO19" i="4" s="1"/>
  <c r="JO20" i="4" s="1"/>
  <c r="JO21" i="4" s="1"/>
  <c r="JO22" i="4" s="1"/>
  <c r="JO23" i="4" s="1"/>
  <c r="JO24" i="4" s="1"/>
  <c r="JO25" i="4" s="1"/>
  <c r="JO26" i="4" s="1"/>
  <c r="JO27" i="4" s="1"/>
  <c r="JO28" i="4" s="1"/>
  <c r="JO29" i="4" s="1"/>
  <c r="JO30" i="4" s="1"/>
  <c r="JO31" i="4" s="1"/>
  <c r="JO32" i="4" s="1"/>
  <c r="JO33" i="4" s="1"/>
  <c r="JO34" i="4" s="1"/>
  <c r="JO35" i="4" s="1"/>
  <c r="JO36" i="4" s="1"/>
  <c r="JO37" i="4" s="1"/>
  <c r="JO38" i="4" s="1"/>
  <c r="JO39" i="4" s="1"/>
  <c r="JO40" i="4" s="1"/>
  <c r="JP6" i="4"/>
  <c r="JP5" i="4"/>
  <c r="JP4" i="4"/>
  <c r="IZ5" i="4"/>
  <c r="IZ9" i="4"/>
  <c r="IZ13" i="4"/>
  <c r="IZ16" i="4"/>
  <c r="IZ20" i="4"/>
  <c r="IZ23" i="4"/>
  <c r="IZ27" i="4"/>
  <c r="IZ32" i="4"/>
  <c r="IZ36" i="4"/>
  <c r="IZ40" i="4"/>
  <c r="JX5" i="4"/>
  <c r="JX12" i="4"/>
  <c r="JX9" i="4"/>
  <c r="JX19" i="4"/>
  <c r="JX22" i="4"/>
  <c r="JX26" i="4"/>
  <c r="JX30" i="4"/>
  <c r="JX34" i="4"/>
  <c r="JX38" i="4"/>
  <c r="JX42" i="4"/>
  <c r="CF42" i="3"/>
  <c r="CF38" i="3"/>
  <c r="CF34" i="3"/>
  <c r="CF27" i="3"/>
  <c r="CF15" i="3"/>
  <c r="CF11" i="3"/>
  <c r="CF7" i="3"/>
  <c r="CF20" i="3"/>
  <c r="CF21" i="3"/>
  <c r="CF26" i="3"/>
  <c r="CE5" i="3"/>
  <c r="CE6" i="3" s="1"/>
  <c r="CE7" i="3" s="1"/>
  <c r="CE8" i="3" s="1"/>
  <c r="CE9" i="3" s="1"/>
  <c r="CE10" i="3" s="1"/>
  <c r="CE11" i="3" s="1"/>
  <c r="CE12" i="3" s="1"/>
  <c r="CE13" i="3" s="1"/>
  <c r="CE14" i="3" s="1"/>
  <c r="CE15" i="3" s="1"/>
  <c r="CE16" i="3" s="1"/>
  <c r="CE17" i="3" s="1"/>
  <c r="CE18" i="3" s="1"/>
  <c r="CE19" i="3" s="1"/>
  <c r="CE20" i="3" s="1"/>
  <c r="CE21" i="3" s="1"/>
  <c r="CE22" i="3" s="1"/>
  <c r="CE23" i="3" s="1"/>
  <c r="CE24" i="3" s="1"/>
  <c r="CE25" i="3" s="1"/>
  <c r="CE26" i="3" s="1"/>
  <c r="CE27" i="3" s="1"/>
  <c r="CE28" i="3" s="1"/>
  <c r="CE29" i="3" s="1"/>
  <c r="CE30" i="3" s="1"/>
  <c r="CE31" i="3" s="1"/>
  <c r="CE32" i="3" s="1"/>
  <c r="CE33" i="3" s="1"/>
  <c r="CE34" i="3" s="1"/>
  <c r="CE35" i="3" s="1"/>
  <c r="CE36" i="3" s="1"/>
  <c r="CE37" i="3" s="1"/>
  <c r="CE38" i="3" s="1"/>
  <c r="CE39" i="3" s="1"/>
  <c r="CE40" i="3" s="1"/>
  <c r="CE41" i="3" s="1"/>
  <c r="CE42" i="3" s="1"/>
  <c r="CU11" i="4"/>
  <c r="NN26" i="4"/>
  <c r="IH26" i="4"/>
  <c r="SY26" i="4"/>
  <c r="NN10" i="4"/>
  <c r="IH10" i="4"/>
  <c r="SY10" i="4"/>
  <c r="UY35" i="4"/>
  <c r="PN35" i="4"/>
  <c r="KH35" i="4"/>
  <c r="UY18" i="4"/>
  <c r="PN18" i="4"/>
  <c r="KH18" i="4"/>
  <c r="KI5" i="4"/>
  <c r="KI6" i="4" s="1"/>
  <c r="MN32" i="4"/>
  <c r="MN14" i="4"/>
  <c r="NG7" i="4"/>
  <c r="TE38" i="4"/>
  <c r="TE21" i="4"/>
  <c r="TE5" i="4"/>
  <c r="RD8" i="4"/>
  <c r="SY33" i="4"/>
  <c r="NN33" i="4"/>
  <c r="IH33" i="4"/>
  <c r="SY17" i="4"/>
  <c r="NN17" i="4"/>
  <c r="IH17" i="4"/>
  <c r="BZ4" i="3"/>
  <c r="BZ28" i="3"/>
  <c r="BZ32" i="3"/>
  <c r="BZ36" i="3"/>
  <c r="BZ40" i="3"/>
  <c r="SN12" i="4"/>
  <c r="PN26" i="4"/>
  <c r="KH26" i="4"/>
  <c r="UY26" i="4"/>
  <c r="PN10" i="4"/>
  <c r="KH10" i="4"/>
  <c r="UY10" i="4"/>
  <c r="SG40" i="4"/>
  <c r="SG38" i="4"/>
  <c r="SG37" i="4"/>
  <c r="SG34" i="4"/>
  <c r="SG35" i="4"/>
  <c r="SG33" i="4"/>
  <c r="SG32" i="4"/>
  <c r="SG28" i="4"/>
  <c r="SG30" i="4"/>
  <c r="SG29" i="4"/>
  <c r="SG26" i="4"/>
  <c r="SG25" i="4"/>
  <c r="SG23" i="4"/>
  <c r="SG21" i="4"/>
  <c r="SG24" i="4"/>
  <c r="SG18" i="4"/>
  <c r="SG20" i="4"/>
  <c r="SG19" i="4"/>
  <c r="SG16" i="4"/>
  <c r="SG13" i="4"/>
  <c r="SG15" i="4"/>
  <c r="SG8" i="4"/>
  <c r="SG11" i="4"/>
  <c r="SG10" i="4"/>
  <c r="SG9" i="4"/>
  <c r="SG6" i="4"/>
  <c r="SG5" i="4"/>
  <c r="SG4" i="4"/>
  <c r="SF5" i="4"/>
  <c r="SF6" i="4" s="1"/>
  <c r="SF7" i="4" s="1"/>
  <c r="SF8" i="4" s="1"/>
  <c r="SF9" i="4" s="1"/>
  <c r="SF10" i="4" s="1"/>
  <c r="SF11" i="4" s="1"/>
  <c r="SF12" i="4" s="1"/>
  <c r="SF13" i="4" s="1"/>
  <c r="SF14" i="4" s="1"/>
  <c r="SF15" i="4" s="1"/>
  <c r="SF16" i="4" s="1"/>
  <c r="SF17" i="4" s="1"/>
  <c r="SF18" i="4" s="1"/>
  <c r="SF19" i="4" s="1"/>
  <c r="SF20" i="4" s="1"/>
  <c r="SF21" i="4" s="1"/>
  <c r="SF22" i="4" s="1"/>
  <c r="SF23" i="4" s="1"/>
  <c r="SF24" i="4" s="1"/>
  <c r="SF25" i="4" s="1"/>
  <c r="SF26" i="4" s="1"/>
  <c r="SF27" i="4" s="1"/>
  <c r="SF28" i="4" s="1"/>
  <c r="SF29" i="4" s="1"/>
  <c r="SF30" i="4" s="1"/>
  <c r="SF31" i="4" s="1"/>
  <c r="SF32" i="4" s="1"/>
  <c r="SF33" i="4" s="1"/>
  <c r="SF34" i="4" s="1"/>
  <c r="SF35" i="4" s="1"/>
  <c r="SF36" i="4" s="1"/>
  <c r="SF37" i="4" s="1"/>
  <c r="SF38" i="4" s="1"/>
  <c r="SF39" i="4" s="1"/>
  <c r="SF40" i="4" s="1"/>
  <c r="MN29" i="4"/>
  <c r="MN8" i="4"/>
  <c r="TE33" i="4"/>
  <c r="TE19" i="4"/>
  <c r="IF42" i="4"/>
  <c r="IF41" i="4"/>
  <c r="IF40" i="4"/>
  <c r="IF38" i="4"/>
  <c r="IF37" i="4"/>
  <c r="IF36" i="4"/>
  <c r="IF34" i="4"/>
  <c r="IF33" i="4"/>
  <c r="IF31" i="4"/>
  <c r="IF32" i="4"/>
  <c r="IF29" i="4"/>
  <c r="IF28" i="4"/>
  <c r="IF26" i="4"/>
  <c r="IF25" i="4"/>
  <c r="IF24" i="4"/>
  <c r="IF22" i="4"/>
  <c r="IF21" i="4"/>
  <c r="IF18" i="4"/>
  <c r="IF19" i="4"/>
  <c r="IF16" i="4"/>
  <c r="IF15" i="4"/>
  <c r="IF14" i="4"/>
  <c r="IF13" i="4"/>
  <c r="IF12" i="4"/>
  <c r="IF10" i="4"/>
  <c r="IF9" i="4"/>
  <c r="IF8" i="4"/>
  <c r="IF5" i="4"/>
  <c r="IF4" i="4"/>
  <c r="IF6" i="4"/>
  <c r="IE5" i="4"/>
  <c r="IE6" i="4" s="1"/>
  <c r="IE7" i="4" s="1"/>
  <c r="IE8" i="4" s="1"/>
  <c r="IE9" i="4" s="1"/>
  <c r="IE10" i="4" s="1"/>
  <c r="IE11" i="4" s="1"/>
  <c r="IE12" i="4" s="1"/>
  <c r="IE13" i="4" s="1"/>
  <c r="IE14" i="4" s="1"/>
  <c r="IE15" i="4" s="1"/>
  <c r="IE16" i="4" s="1"/>
  <c r="IE17" i="4" s="1"/>
  <c r="IE18" i="4" s="1"/>
  <c r="IE19" i="4" s="1"/>
  <c r="IE20" i="4" s="1"/>
  <c r="IE21" i="4" s="1"/>
  <c r="IE22" i="4" s="1"/>
  <c r="IE23" i="4" s="1"/>
  <c r="IE24" i="4" s="1"/>
  <c r="IE25" i="4" s="1"/>
  <c r="IE26" i="4" s="1"/>
  <c r="IE27" i="4" s="1"/>
  <c r="IE28" i="4" s="1"/>
  <c r="IE29" i="4" s="1"/>
  <c r="IE30" i="4" s="1"/>
  <c r="IE31" i="4" s="1"/>
  <c r="IE32" i="4" s="1"/>
  <c r="IE33" i="4" s="1"/>
  <c r="IE34" i="4" s="1"/>
  <c r="IE35" i="4" s="1"/>
  <c r="IE36" i="4" s="1"/>
  <c r="IE37" i="4" s="1"/>
  <c r="IE38" i="4" s="1"/>
  <c r="IE39" i="4" s="1"/>
  <c r="IE40" i="4" s="1"/>
  <c r="NN28" i="4"/>
  <c r="IH28" i="4"/>
  <c r="SY28" i="4"/>
  <c r="NN12" i="4"/>
  <c r="IH12" i="4"/>
  <c r="SY12" i="4"/>
  <c r="TQ7" i="4"/>
  <c r="TQ11" i="4"/>
  <c r="TQ16" i="4"/>
  <c r="TQ18" i="4"/>
  <c r="TQ21" i="4"/>
  <c r="TQ27" i="4"/>
  <c r="TQ31" i="4"/>
  <c r="TQ36" i="4"/>
  <c r="TQ39" i="4"/>
  <c r="IM9" i="4"/>
  <c r="UY33" i="4"/>
  <c r="PN33" i="4"/>
  <c r="KH33" i="4"/>
  <c r="UY17" i="4"/>
  <c r="PN17" i="4"/>
  <c r="KH17" i="4"/>
  <c r="HL42" i="4"/>
  <c r="HL40" i="4"/>
  <c r="HL39" i="4"/>
  <c r="HL38" i="4"/>
  <c r="HL35" i="4"/>
  <c r="HL37" i="4"/>
  <c r="HL34" i="4"/>
  <c r="HL32" i="4"/>
  <c r="HL31" i="4"/>
  <c r="HL30" i="4"/>
  <c r="HL28" i="4"/>
  <c r="HL27" i="4"/>
  <c r="HL26" i="4"/>
  <c r="HL24" i="4"/>
  <c r="HL23" i="4"/>
  <c r="HL22" i="4"/>
  <c r="HL20" i="4"/>
  <c r="HL18" i="4"/>
  <c r="HL19" i="4"/>
  <c r="HL17" i="4"/>
  <c r="HL15" i="4"/>
  <c r="HL9" i="4"/>
  <c r="HL13" i="4"/>
  <c r="HL12" i="4"/>
  <c r="HL11" i="4"/>
  <c r="HL8" i="4"/>
  <c r="HL5" i="4"/>
  <c r="HL4" i="4"/>
  <c r="HK5" i="4"/>
  <c r="HK6" i="4" s="1"/>
  <c r="HK7" i="4" s="1"/>
  <c r="HK8" i="4" s="1"/>
  <c r="HK9" i="4" s="1"/>
  <c r="HK10" i="4" s="1"/>
  <c r="HK11" i="4" s="1"/>
  <c r="HK12" i="4" s="1"/>
  <c r="HK13" i="4" s="1"/>
  <c r="HK14" i="4" s="1"/>
  <c r="HK15" i="4" s="1"/>
  <c r="HK16" i="4" s="1"/>
  <c r="HK17" i="4" s="1"/>
  <c r="HK18" i="4" s="1"/>
  <c r="HK19" i="4" s="1"/>
  <c r="HK20" i="4" s="1"/>
  <c r="HK21" i="4" s="1"/>
  <c r="HK22" i="4" s="1"/>
  <c r="HK23" i="4" s="1"/>
  <c r="HK24" i="4" s="1"/>
  <c r="HK25" i="4" s="1"/>
  <c r="HK26" i="4" s="1"/>
  <c r="HK27" i="4" s="1"/>
  <c r="HK28" i="4" s="1"/>
  <c r="HK29" i="4" s="1"/>
  <c r="HK30" i="4" s="1"/>
  <c r="HK31" i="4" s="1"/>
  <c r="HK32" i="4" s="1"/>
  <c r="HK33" i="4" s="1"/>
  <c r="HK34" i="4" s="1"/>
  <c r="HK35" i="4" s="1"/>
  <c r="HK36" i="4" s="1"/>
  <c r="HK37" i="4" s="1"/>
  <c r="HK38" i="4" s="1"/>
  <c r="HK39" i="4" s="1"/>
  <c r="HK40" i="4" s="1"/>
  <c r="HL7" i="4"/>
  <c r="HL6" i="4"/>
  <c r="MN36" i="4"/>
  <c r="MN18" i="4"/>
  <c r="MN6" i="4"/>
  <c r="TE36" i="4"/>
  <c r="TE18" i="4"/>
  <c r="TE7" i="4"/>
  <c r="BX41" i="3"/>
  <c r="BX40" i="3"/>
  <c r="BX37" i="3"/>
  <c r="BX36" i="3"/>
  <c r="BX32" i="3"/>
  <c r="BX30" i="3"/>
  <c r="BX19" i="3"/>
  <c r="BX16" i="3"/>
  <c r="BX13" i="3"/>
  <c r="BX12" i="3"/>
  <c r="BX9" i="3"/>
  <c r="BX8" i="3"/>
  <c r="BX28" i="3"/>
  <c r="BX24" i="3"/>
  <c r="BX31" i="3"/>
  <c r="BX29" i="3"/>
  <c r="BX5" i="3"/>
  <c r="BX4" i="3"/>
  <c r="BX18" i="3"/>
  <c r="BX17" i="3"/>
  <c r="BW5" i="3"/>
  <c r="BW6" i="3" s="1"/>
  <c r="BW7" i="3" s="1"/>
  <c r="BW8" i="3" s="1"/>
  <c r="BW9" i="3" s="1"/>
  <c r="BW10" i="3" s="1"/>
  <c r="BW11" i="3" s="1"/>
  <c r="BW12" i="3" s="1"/>
  <c r="BW13" i="3" s="1"/>
  <c r="BW14" i="3" s="1"/>
  <c r="BW15" i="3" s="1"/>
  <c r="BW16" i="3" s="1"/>
  <c r="BW17" i="3" s="1"/>
  <c r="BW18" i="3" s="1"/>
  <c r="BW19" i="3" s="1"/>
  <c r="BW20" i="3" s="1"/>
  <c r="BW21" i="3" s="1"/>
  <c r="BW22" i="3" s="1"/>
  <c r="BW23" i="3" s="1"/>
  <c r="BW24" i="3" s="1"/>
  <c r="BW25" i="3" s="1"/>
  <c r="BW26" i="3" s="1"/>
  <c r="BW27" i="3" s="1"/>
  <c r="BW28" i="3" s="1"/>
  <c r="BW29" i="3" s="1"/>
  <c r="BW30" i="3" s="1"/>
  <c r="BW31" i="3" s="1"/>
  <c r="BW32" i="3" s="1"/>
  <c r="BW33" i="3" s="1"/>
  <c r="BW34" i="3" s="1"/>
  <c r="BW35" i="3" s="1"/>
  <c r="BW36" i="3" s="1"/>
  <c r="BW37" i="3" s="1"/>
  <c r="BW38" i="3" s="1"/>
  <c r="BW39" i="3" s="1"/>
  <c r="BW40" i="3" s="1"/>
  <c r="BW41" i="3" s="1"/>
  <c r="BW42" i="3" s="1"/>
  <c r="VC16" i="4"/>
  <c r="KL16" i="4"/>
  <c r="PR16" i="4"/>
  <c r="VC31" i="4"/>
  <c r="PR31" i="4"/>
  <c r="KL31" i="4"/>
  <c r="PR10" i="4"/>
  <c r="KL10" i="4"/>
  <c r="VC10" i="4"/>
  <c r="PR25" i="4"/>
  <c r="KL25" i="4"/>
  <c r="VC25" i="4"/>
  <c r="VC6" i="4"/>
  <c r="PR6" i="4"/>
  <c r="KL6" i="4"/>
  <c r="VC24" i="4"/>
  <c r="PR24" i="4"/>
  <c r="KL24" i="4"/>
  <c r="PR38" i="4"/>
  <c r="KL38" i="4"/>
  <c r="VC38" i="4"/>
  <c r="PR21" i="4"/>
  <c r="KL21" i="4"/>
  <c r="VC21" i="4"/>
  <c r="VC35" i="4"/>
  <c r="PR35" i="4"/>
  <c r="KL35" i="4"/>
  <c r="IZ14" i="4"/>
  <c r="IZ21" i="4"/>
  <c r="IZ30" i="4"/>
  <c r="IZ38" i="4"/>
  <c r="SY15" i="4"/>
  <c r="NN15" i="4"/>
  <c r="IH15" i="4"/>
  <c r="NN27" i="4"/>
  <c r="IH27" i="4"/>
  <c r="SY27" i="4"/>
  <c r="NN11" i="4"/>
  <c r="IH11" i="4"/>
  <c r="SY11" i="4"/>
  <c r="HT7" i="4"/>
  <c r="HT11" i="4"/>
  <c r="HT14" i="4"/>
  <c r="HT18" i="4"/>
  <c r="HT21" i="4"/>
  <c r="HT26" i="4"/>
  <c r="HT30" i="4"/>
  <c r="HT34" i="4"/>
  <c r="HT38" i="4"/>
  <c r="HT42" i="4"/>
  <c r="UG40" i="4"/>
  <c r="UG39" i="4"/>
  <c r="UG38" i="4"/>
  <c r="UG37" i="4"/>
  <c r="UG36" i="4"/>
  <c r="UG35" i="4"/>
  <c r="UG34" i="4"/>
  <c r="UG33" i="4"/>
  <c r="UG32" i="4"/>
  <c r="UG31" i="4"/>
  <c r="UG29" i="4"/>
  <c r="UG30" i="4"/>
  <c r="UG28" i="4"/>
  <c r="UG27" i="4"/>
  <c r="UG26" i="4"/>
  <c r="UG23" i="4"/>
  <c r="UG22" i="4"/>
  <c r="UG21" i="4"/>
  <c r="UG25" i="4"/>
  <c r="UG24" i="4"/>
  <c r="UG19" i="4"/>
  <c r="UG18" i="4"/>
  <c r="UG17" i="4"/>
  <c r="UG20" i="4"/>
  <c r="UG15" i="4"/>
  <c r="UG16" i="4"/>
  <c r="UG14" i="4"/>
  <c r="UG13" i="4"/>
  <c r="UG12" i="4"/>
  <c r="UG11" i="4"/>
  <c r="UG10" i="4"/>
  <c r="UG8" i="4"/>
  <c r="UG9" i="4"/>
  <c r="UG7" i="4"/>
  <c r="UG5" i="4"/>
  <c r="UG4" i="4"/>
  <c r="UG6" i="4"/>
  <c r="UF5" i="4"/>
  <c r="UF6" i="4" s="1"/>
  <c r="UF7" i="4" s="1"/>
  <c r="UF8" i="4" s="1"/>
  <c r="UF9" i="4" s="1"/>
  <c r="UF10" i="4" s="1"/>
  <c r="UF11" i="4" s="1"/>
  <c r="UF12" i="4" s="1"/>
  <c r="UF13" i="4" s="1"/>
  <c r="UF14" i="4" s="1"/>
  <c r="UF15" i="4" s="1"/>
  <c r="UF16" i="4" s="1"/>
  <c r="UF17" i="4" s="1"/>
  <c r="UF18" i="4" s="1"/>
  <c r="UF19" i="4" s="1"/>
  <c r="UF20" i="4" s="1"/>
  <c r="UF21" i="4" s="1"/>
  <c r="UF22" i="4" s="1"/>
  <c r="UF23" i="4" s="1"/>
  <c r="UF24" i="4" s="1"/>
  <c r="UF25" i="4" s="1"/>
  <c r="UF26" i="4" s="1"/>
  <c r="UF27" i="4" s="1"/>
  <c r="UF28" i="4" s="1"/>
  <c r="UF29" i="4" s="1"/>
  <c r="UF30" i="4" s="1"/>
  <c r="UF31" i="4" s="1"/>
  <c r="UF32" i="4" s="1"/>
  <c r="UF33" i="4" s="1"/>
  <c r="UF34" i="4" s="1"/>
  <c r="UF35" i="4" s="1"/>
  <c r="UF36" i="4" s="1"/>
  <c r="UF37" i="4" s="1"/>
  <c r="UF38" i="4" s="1"/>
  <c r="UF39" i="4" s="1"/>
  <c r="UF40" i="4" s="1"/>
  <c r="IZ6" i="4"/>
  <c r="IZ10" i="4"/>
  <c r="IZ8" i="4"/>
  <c r="IZ17" i="4"/>
  <c r="IZ24" i="4"/>
  <c r="IZ28" i="4"/>
  <c r="IZ29" i="4"/>
  <c r="IZ33" i="4"/>
  <c r="IZ37" i="4"/>
  <c r="IZ41" i="4"/>
  <c r="JX6" i="4"/>
  <c r="JX8" i="4"/>
  <c r="JX13" i="4"/>
  <c r="JX17" i="4"/>
  <c r="JX18" i="4"/>
  <c r="JX23" i="4"/>
  <c r="JX27" i="4"/>
  <c r="JX31" i="4"/>
  <c r="JX35" i="4"/>
  <c r="JX39" i="4"/>
  <c r="OQ5" i="4"/>
  <c r="OQ6" i="4" s="1"/>
  <c r="OQ7" i="4" s="1"/>
  <c r="OQ8" i="4" s="1"/>
  <c r="OQ9" i="4" s="1"/>
  <c r="OQ10" i="4" s="1"/>
  <c r="OQ11" i="4" s="1"/>
  <c r="OQ12" i="4" s="1"/>
  <c r="OQ13" i="4" s="1"/>
  <c r="OQ14" i="4" s="1"/>
  <c r="OQ15" i="4" s="1"/>
  <c r="OQ16" i="4" s="1"/>
  <c r="OQ17" i="4" s="1"/>
  <c r="OQ18" i="4" s="1"/>
  <c r="OQ19" i="4" s="1"/>
  <c r="OQ20" i="4" s="1"/>
  <c r="OQ21" i="4" s="1"/>
  <c r="OQ22" i="4" s="1"/>
  <c r="OQ23" i="4" s="1"/>
  <c r="OQ24" i="4" s="1"/>
  <c r="OQ25" i="4" s="1"/>
  <c r="OQ26" i="4" s="1"/>
  <c r="OQ27" i="4" s="1"/>
  <c r="OQ28" i="4" s="1"/>
  <c r="OQ29" i="4" s="1"/>
  <c r="OQ30" i="4" s="1"/>
  <c r="OQ31" i="4" s="1"/>
  <c r="OQ32" i="4" s="1"/>
  <c r="OQ33" i="4" s="1"/>
  <c r="OQ34" i="4" s="1"/>
  <c r="OQ35" i="4" s="1"/>
  <c r="OQ36" i="4" s="1"/>
  <c r="OQ37" i="4" s="1"/>
  <c r="OQ38" i="4" s="1"/>
  <c r="OQ39" i="4" s="1"/>
  <c r="OQ40" i="4" s="1"/>
  <c r="TE28" i="4"/>
  <c r="TE14" i="4"/>
  <c r="NN38" i="4"/>
  <c r="IH38" i="4"/>
  <c r="SY38" i="4"/>
  <c r="NN22" i="4"/>
  <c r="IH22" i="4"/>
  <c r="SY22" i="4"/>
  <c r="SY6" i="4"/>
  <c r="NN6" i="4"/>
  <c r="IH6" i="4"/>
  <c r="MZ10" i="4"/>
  <c r="MZ7" i="4"/>
  <c r="MZ16" i="4"/>
  <c r="MZ20" i="4"/>
  <c r="MZ24" i="4"/>
  <c r="MZ28" i="4"/>
  <c r="MZ32" i="4"/>
  <c r="MZ36" i="4"/>
  <c r="MZ40" i="4"/>
  <c r="OF10" i="4"/>
  <c r="OF7" i="4"/>
  <c r="OF16" i="4"/>
  <c r="OF20" i="4"/>
  <c r="OF24" i="4"/>
  <c r="OF28" i="4"/>
  <c r="OF32" i="4"/>
  <c r="OF36" i="4"/>
  <c r="OF40" i="4"/>
  <c r="KQ17" i="4"/>
  <c r="UY30" i="4"/>
  <c r="PN30" i="4"/>
  <c r="KH30" i="4"/>
  <c r="UY15" i="4"/>
  <c r="PN15" i="4"/>
  <c r="KH15" i="4"/>
  <c r="PO5" i="4"/>
  <c r="PO6" i="4" s="1"/>
  <c r="CL4" i="3"/>
  <c r="CL26" i="3"/>
  <c r="CL32" i="3"/>
  <c r="CL36" i="3"/>
  <c r="CL40" i="3"/>
  <c r="MN42" i="4"/>
  <c r="MN25" i="4"/>
  <c r="MN11" i="4"/>
  <c r="TE35" i="4"/>
  <c r="TE20" i="4"/>
  <c r="SY29" i="4"/>
  <c r="IH29" i="4"/>
  <c r="NN29" i="4"/>
  <c r="NN13" i="4"/>
  <c r="IH13" i="4"/>
  <c r="SY13" i="4"/>
  <c r="BZ27" i="3"/>
  <c r="BZ9" i="3"/>
  <c r="BZ13" i="3"/>
  <c r="BZ18" i="3"/>
  <c r="BZ17" i="3"/>
  <c r="BZ5" i="3"/>
  <c r="BZ29" i="3"/>
  <c r="BZ33" i="3"/>
  <c r="BZ37" i="3"/>
  <c r="BZ41" i="3"/>
  <c r="PN38" i="4"/>
  <c r="KH38" i="4"/>
  <c r="UY38" i="4"/>
  <c r="PN22" i="4"/>
  <c r="KH22" i="4"/>
  <c r="UY22" i="4"/>
  <c r="UY7" i="4"/>
  <c r="KH7" i="4"/>
  <c r="PN7" i="4"/>
  <c r="BH42" i="3"/>
  <c r="BH38" i="3"/>
  <c r="BH34" i="3"/>
  <c r="BH23" i="3"/>
  <c r="BH14" i="3"/>
  <c r="BH10" i="3"/>
  <c r="BH6" i="3"/>
  <c r="BH33" i="3"/>
  <c r="BH21" i="3"/>
  <c r="BH22" i="3"/>
  <c r="BG5" i="3"/>
  <c r="BG6" i="3" s="1"/>
  <c r="BG7" i="3" s="1"/>
  <c r="BG8" i="3" s="1"/>
  <c r="BG9" i="3" s="1"/>
  <c r="BG10" i="3" s="1"/>
  <c r="BG11" i="3" s="1"/>
  <c r="BG12" i="3" s="1"/>
  <c r="BG13" i="3" s="1"/>
  <c r="BG14" i="3" s="1"/>
  <c r="BG15" i="3" s="1"/>
  <c r="BG16" i="3" s="1"/>
  <c r="BG17" i="3" s="1"/>
  <c r="BG18" i="3" s="1"/>
  <c r="BG19" i="3" s="1"/>
  <c r="BG20" i="3" s="1"/>
  <c r="BG21" i="3" s="1"/>
  <c r="BG22" i="3" s="1"/>
  <c r="BG23" i="3" s="1"/>
  <c r="BG24" i="3" s="1"/>
  <c r="BG25" i="3" s="1"/>
  <c r="BG26" i="3" s="1"/>
  <c r="BG27" i="3" s="1"/>
  <c r="BG28" i="3" s="1"/>
  <c r="BG29" i="3" s="1"/>
  <c r="BG30" i="3" s="1"/>
  <c r="BG31" i="3" s="1"/>
  <c r="BG32" i="3" s="1"/>
  <c r="BG33" i="3" s="1"/>
  <c r="BG34" i="3" s="1"/>
  <c r="BG35" i="3" s="1"/>
  <c r="BG36" i="3" s="1"/>
  <c r="BG37" i="3" s="1"/>
  <c r="BG38" i="3" s="1"/>
  <c r="BG39" i="3" s="1"/>
  <c r="BG40" i="3" s="1"/>
  <c r="BG41" i="3" s="1"/>
  <c r="BG42" i="3" s="1"/>
  <c r="UO8" i="4"/>
  <c r="UO11" i="4"/>
  <c r="UO14" i="4"/>
  <c r="UO18" i="4"/>
  <c r="UO23" i="4"/>
  <c r="UO27" i="4"/>
  <c r="UO32" i="4"/>
  <c r="UO34" i="4"/>
  <c r="UO39" i="4"/>
  <c r="MN41" i="4"/>
  <c r="MN28" i="4"/>
  <c r="MN10" i="4"/>
  <c r="TE31" i="4"/>
  <c r="TE16" i="4"/>
  <c r="SW38" i="4"/>
  <c r="SW35" i="4"/>
  <c r="SW28" i="4"/>
  <c r="SW26" i="4"/>
  <c r="SW21" i="4"/>
  <c r="SW20" i="4"/>
  <c r="SW16" i="4"/>
  <c r="SW11" i="4"/>
  <c r="SW6" i="4"/>
  <c r="SV5" i="4"/>
  <c r="SV6" i="4" s="1"/>
  <c r="SV7" i="4" s="1"/>
  <c r="SV8" i="4" s="1"/>
  <c r="SV9" i="4" s="1"/>
  <c r="SV10" i="4" s="1"/>
  <c r="SV11" i="4" s="1"/>
  <c r="SV12" i="4" s="1"/>
  <c r="SV13" i="4" s="1"/>
  <c r="SV14" i="4" s="1"/>
  <c r="SV15" i="4" s="1"/>
  <c r="SV16" i="4" s="1"/>
  <c r="SV17" i="4" s="1"/>
  <c r="SV18" i="4" s="1"/>
  <c r="SV19" i="4" s="1"/>
  <c r="SV20" i="4" s="1"/>
  <c r="SV21" i="4" s="1"/>
  <c r="SV22" i="4" s="1"/>
  <c r="SV23" i="4" s="1"/>
  <c r="SV24" i="4" s="1"/>
  <c r="SV25" i="4" s="1"/>
  <c r="SV26" i="4" s="1"/>
  <c r="SV27" i="4" s="1"/>
  <c r="SV28" i="4" s="1"/>
  <c r="SV29" i="4" s="1"/>
  <c r="SV30" i="4" s="1"/>
  <c r="SV31" i="4" s="1"/>
  <c r="SV32" i="4" s="1"/>
  <c r="SV33" i="4" s="1"/>
  <c r="SV34" i="4" s="1"/>
  <c r="SV35" i="4" s="1"/>
  <c r="SV36" i="4" s="1"/>
  <c r="SV37" i="4" s="1"/>
  <c r="SV38" i="4" s="1"/>
  <c r="SV39" i="4" s="1"/>
  <c r="SV40" i="4" s="1"/>
  <c r="NN40" i="4"/>
  <c r="IH40" i="4"/>
  <c r="SY40" i="4"/>
  <c r="SY24" i="4"/>
  <c r="IH24" i="4"/>
  <c r="NN24" i="4"/>
  <c r="SY8" i="4"/>
  <c r="NN8" i="4"/>
  <c r="IH8" i="4"/>
  <c r="SK7" i="4"/>
  <c r="SK11" i="4"/>
  <c r="SK14" i="4"/>
  <c r="SK18" i="4"/>
  <c r="SK21" i="4"/>
  <c r="SK27" i="4"/>
  <c r="SK31" i="4"/>
  <c r="SK36" i="4"/>
  <c r="SK39" i="4"/>
  <c r="TQ6" i="4"/>
  <c r="TQ9" i="4"/>
  <c r="TQ12" i="4"/>
  <c r="TQ15" i="4"/>
  <c r="TQ19" i="4"/>
  <c r="TQ22" i="4"/>
  <c r="TQ28" i="4"/>
  <c r="TQ32" i="4"/>
  <c r="TQ34" i="4"/>
  <c r="TQ40" i="4"/>
  <c r="UY29" i="4"/>
  <c r="PN29" i="4"/>
  <c r="KH29" i="4"/>
  <c r="PN13" i="4"/>
  <c r="KH13" i="4"/>
  <c r="UY13" i="4"/>
  <c r="PD5" i="4"/>
  <c r="PD9" i="4"/>
  <c r="PD13" i="4"/>
  <c r="PD16" i="4"/>
  <c r="PD20" i="4"/>
  <c r="PD23" i="4"/>
  <c r="PD28" i="4"/>
  <c r="PD32" i="4"/>
  <c r="PD36" i="4"/>
  <c r="PD40" i="4"/>
  <c r="MQ5" i="4"/>
  <c r="MQ6" i="4" s="1"/>
  <c r="MQ7" i="4" s="1"/>
  <c r="MQ8" i="4" s="1"/>
  <c r="MQ9" i="4" s="1"/>
  <c r="MQ10" i="4" s="1"/>
  <c r="MQ11" i="4" s="1"/>
  <c r="MQ12" i="4" s="1"/>
  <c r="MQ13" i="4" s="1"/>
  <c r="MQ14" i="4" s="1"/>
  <c r="MQ15" i="4" s="1"/>
  <c r="MQ16" i="4" s="1"/>
  <c r="MQ17" i="4" s="1"/>
  <c r="MQ18" i="4" s="1"/>
  <c r="MQ19" i="4" s="1"/>
  <c r="MQ20" i="4" s="1"/>
  <c r="MQ21" i="4" s="1"/>
  <c r="MQ22" i="4" s="1"/>
  <c r="MQ23" i="4" s="1"/>
  <c r="MQ24" i="4" s="1"/>
  <c r="MQ25" i="4" s="1"/>
  <c r="MQ26" i="4" s="1"/>
  <c r="MQ27" i="4" s="1"/>
  <c r="MQ28" i="4" s="1"/>
  <c r="MQ29" i="4" s="1"/>
  <c r="MQ30" i="4" s="1"/>
  <c r="MQ31" i="4" s="1"/>
  <c r="MQ32" i="4" s="1"/>
  <c r="MQ33" i="4" s="1"/>
  <c r="MQ34" i="4" s="1"/>
  <c r="MQ35" i="4" s="1"/>
  <c r="MQ36" i="4" s="1"/>
  <c r="MQ37" i="4" s="1"/>
  <c r="MQ38" i="4" s="1"/>
  <c r="MQ39" i="4" s="1"/>
  <c r="MQ40" i="4" s="1"/>
  <c r="MN31" i="4"/>
  <c r="MN16" i="4"/>
  <c r="TE29" i="4"/>
  <c r="OB42" i="4"/>
  <c r="OB41" i="4"/>
  <c r="OB39" i="4"/>
  <c r="OB38" i="4"/>
  <c r="OB37" i="4"/>
  <c r="OB35" i="4"/>
  <c r="OB33" i="4"/>
  <c r="OB34" i="4"/>
  <c r="OB30" i="4"/>
  <c r="OB29" i="4"/>
  <c r="OB32" i="4"/>
  <c r="OB26" i="4"/>
  <c r="OB25" i="4"/>
  <c r="OB28" i="4"/>
  <c r="OB23" i="4"/>
  <c r="OB22" i="4"/>
  <c r="OB21" i="4"/>
  <c r="OB18" i="4"/>
  <c r="OB17" i="4"/>
  <c r="OB20" i="4"/>
  <c r="OB14" i="4"/>
  <c r="OB16" i="4"/>
  <c r="OB9" i="4"/>
  <c r="OB12" i="4"/>
  <c r="OB11" i="4"/>
  <c r="OB10" i="4"/>
  <c r="OB5" i="4"/>
  <c r="OB4" i="4"/>
  <c r="OB7" i="4"/>
  <c r="OA5" i="4"/>
  <c r="OA6" i="4" s="1"/>
  <c r="OA7" i="4" s="1"/>
  <c r="OA8" i="4" s="1"/>
  <c r="OA9" i="4" s="1"/>
  <c r="OA10" i="4" s="1"/>
  <c r="OA11" i="4" s="1"/>
  <c r="OA12" i="4" s="1"/>
  <c r="OA13" i="4" s="1"/>
  <c r="OA14" i="4" s="1"/>
  <c r="OA15" i="4" s="1"/>
  <c r="OA16" i="4" s="1"/>
  <c r="OA17" i="4" s="1"/>
  <c r="OA18" i="4" s="1"/>
  <c r="OA19" i="4" s="1"/>
  <c r="OA20" i="4" s="1"/>
  <c r="OA21" i="4" s="1"/>
  <c r="OA22" i="4" s="1"/>
  <c r="OA23" i="4" s="1"/>
  <c r="OA24" i="4" s="1"/>
  <c r="OA25" i="4" s="1"/>
  <c r="OA26" i="4" s="1"/>
  <c r="OA27" i="4" s="1"/>
  <c r="OA28" i="4" s="1"/>
  <c r="OA29" i="4" s="1"/>
  <c r="OA30" i="4" s="1"/>
  <c r="OA31" i="4" s="1"/>
  <c r="OA32" i="4" s="1"/>
  <c r="OA33" i="4" s="1"/>
  <c r="OA34" i="4" s="1"/>
  <c r="OA35" i="4" s="1"/>
  <c r="OA36" i="4" s="1"/>
  <c r="OA37" i="4" s="1"/>
  <c r="OA38" i="4" s="1"/>
  <c r="OA39" i="4" s="1"/>
  <c r="OA40" i="4" s="1"/>
  <c r="OB6" i="4"/>
  <c r="SS29" i="4"/>
  <c r="SS5" i="4"/>
  <c r="SS21" i="4"/>
  <c r="SS37" i="4"/>
  <c r="SS17" i="4"/>
  <c r="SS36" i="4"/>
  <c r="FD4" i="4"/>
  <c r="FD20" i="4"/>
  <c r="FD36" i="4"/>
  <c r="FD9" i="4"/>
  <c r="FD29" i="4"/>
  <c r="FD11" i="4"/>
  <c r="FD26" i="4"/>
  <c r="FD8" i="4"/>
  <c r="FD22" i="4"/>
  <c r="FD39" i="4"/>
  <c r="RY9" i="4"/>
  <c r="RY30" i="4"/>
  <c r="RY4" i="4"/>
  <c r="RY25" i="4"/>
  <c r="RY37" i="4"/>
  <c r="RY20" i="4"/>
  <c r="RY35" i="4"/>
  <c r="RY14" i="4"/>
  <c r="RY31" i="4"/>
  <c r="IB5" i="4"/>
  <c r="IB22" i="4"/>
  <c r="IB38" i="4"/>
  <c r="IB13" i="4"/>
  <c r="IB27" i="4"/>
  <c r="IB10" i="4"/>
  <c r="IB24" i="4"/>
  <c r="IB40" i="4"/>
  <c r="IB16" i="4"/>
  <c r="IB33" i="4"/>
  <c r="HH7" i="4"/>
  <c r="HH21" i="4"/>
  <c r="HH37" i="4"/>
  <c r="HH9" i="4"/>
  <c r="HH32" i="4"/>
  <c r="HH6" i="4"/>
  <c r="HH18" i="4"/>
  <c r="HH35" i="4"/>
  <c r="HH17" i="4"/>
  <c r="HH31" i="4"/>
  <c r="PR11" i="4" l="1"/>
  <c r="KL11" i="4"/>
  <c r="VC11" i="4"/>
  <c r="MR11" i="4"/>
  <c r="MR18" i="4"/>
  <c r="MR26" i="4"/>
  <c r="MR34" i="4"/>
  <c r="MR38" i="4"/>
  <c r="VC29" i="4"/>
  <c r="PR29" i="4"/>
  <c r="KL29" i="4"/>
  <c r="MR19" i="4"/>
  <c r="BH26" i="3"/>
  <c r="BH25" i="3"/>
  <c r="BH20" i="3"/>
  <c r="BH7" i="3"/>
  <c r="BH11" i="3"/>
  <c r="BH15" i="3"/>
  <c r="BH27" i="3"/>
  <c r="BH35" i="3"/>
  <c r="BH39" i="3"/>
  <c r="OR4" i="4"/>
  <c r="OR11" i="4"/>
  <c r="OR16" i="4"/>
  <c r="OR17" i="4"/>
  <c r="OR22" i="4"/>
  <c r="OR25" i="4"/>
  <c r="OR32" i="4"/>
  <c r="OR33" i="4"/>
  <c r="OR38" i="4"/>
  <c r="OR42" i="4"/>
  <c r="NG8" i="4"/>
  <c r="KI7" i="4"/>
  <c r="CF4" i="3"/>
  <c r="CF25" i="3"/>
  <c r="CF24" i="3"/>
  <c r="CF8" i="3"/>
  <c r="CF12" i="3"/>
  <c r="CF16" i="3"/>
  <c r="CF29" i="3"/>
  <c r="CF35" i="3"/>
  <c r="CF39" i="3"/>
  <c r="VC34" i="4"/>
  <c r="PR34" i="4"/>
  <c r="KL34" i="4"/>
  <c r="VC5" i="4"/>
  <c r="PR5" i="4"/>
  <c r="KL5" i="4"/>
  <c r="TM4" i="4"/>
  <c r="TM9" i="4"/>
  <c r="TM8" i="4"/>
  <c r="TM14" i="4"/>
  <c r="TM18" i="4"/>
  <c r="TM23" i="4"/>
  <c r="TM29" i="4"/>
  <c r="TM32" i="4"/>
  <c r="TM34" i="4"/>
  <c r="TM40" i="4"/>
  <c r="BF4" i="3"/>
  <c r="BF22" i="3"/>
  <c r="BF31" i="3"/>
  <c r="BF35" i="3"/>
  <c r="BF39" i="3"/>
  <c r="NL4" i="4"/>
  <c r="NL11" i="4"/>
  <c r="NL16" i="4"/>
  <c r="NL17" i="4"/>
  <c r="NL22" i="4"/>
  <c r="NL25" i="4"/>
  <c r="NL32" i="4"/>
  <c r="NL34" i="4"/>
  <c r="NL38" i="4"/>
  <c r="NL41" i="4"/>
  <c r="HP6" i="4"/>
  <c r="HP7" i="4"/>
  <c r="HP12" i="4"/>
  <c r="HP15" i="4"/>
  <c r="HP18" i="4"/>
  <c r="HP24" i="4"/>
  <c r="HP28" i="4"/>
  <c r="HP31" i="4"/>
  <c r="HP36" i="4"/>
  <c r="HP40" i="4"/>
  <c r="RK8" i="4"/>
  <c r="LF8" i="4"/>
  <c r="GD8" i="4"/>
  <c r="O4" i="4"/>
  <c r="O35" i="4"/>
  <c r="O39" i="4"/>
  <c r="O40" i="4"/>
  <c r="O23" i="4"/>
  <c r="O36" i="4"/>
  <c r="O28" i="4"/>
  <c r="O29" i="4"/>
  <c r="O30" i="4"/>
  <c r="O10" i="4"/>
  <c r="O12" i="4"/>
  <c r="O37" i="4"/>
  <c r="O26" i="4"/>
  <c r="O18" i="4"/>
  <c r="O19" i="4"/>
  <c r="O16" i="4"/>
  <c r="O31" i="4"/>
  <c r="O20" i="4"/>
  <c r="O14" i="4"/>
  <c r="O7" i="4"/>
  <c r="O25" i="4"/>
  <c r="O11" i="4"/>
  <c r="O5" i="4"/>
  <c r="O21" i="4"/>
  <c r="O13" i="4"/>
  <c r="O22" i="4"/>
  <c r="O24" i="4"/>
  <c r="O27" i="4"/>
  <c r="O9" i="4"/>
  <c r="O33" i="4"/>
  <c r="O38" i="4"/>
  <c r="O15" i="4"/>
  <c r="GA9" i="4"/>
  <c r="CR24" i="3"/>
  <c r="CR4" i="3"/>
  <c r="CR27" i="3"/>
  <c r="CR29" i="3"/>
  <c r="CR7" i="3"/>
  <c r="CR11" i="3"/>
  <c r="CR15" i="3"/>
  <c r="CR25" i="3"/>
  <c r="CR37" i="3"/>
  <c r="CR41" i="3"/>
  <c r="UC4" i="4"/>
  <c r="UC9" i="4"/>
  <c r="UC8" i="4"/>
  <c r="UC14" i="4"/>
  <c r="UC18" i="4"/>
  <c r="UC23" i="4"/>
  <c r="UC29" i="4"/>
  <c r="UC32" i="4"/>
  <c r="UC36" i="4"/>
  <c r="UC40" i="4"/>
  <c r="IV5" i="4"/>
  <c r="IV11" i="4"/>
  <c r="IV8" i="4"/>
  <c r="IV19" i="4"/>
  <c r="IV22" i="4"/>
  <c r="IV26" i="4"/>
  <c r="IV32" i="4"/>
  <c r="IV34" i="4"/>
  <c r="IV38" i="4"/>
  <c r="IV42" i="4"/>
  <c r="SC6" i="4"/>
  <c r="SC10" i="4"/>
  <c r="SC13" i="4"/>
  <c r="SC17" i="4"/>
  <c r="SC22" i="4"/>
  <c r="SC26" i="4"/>
  <c r="SC30" i="4"/>
  <c r="SC36" i="4"/>
  <c r="SC38" i="4"/>
  <c r="II5" i="4"/>
  <c r="II6" i="4" s="1"/>
  <c r="II7" i="4" s="1"/>
  <c r="II8" i="4" s="1"/>
  <c r="II9" i="4" s="1"/>
  <c r="II10" i="4" s="1"/>
  <c r="II11" i="4" s="1"/>
  <c r="II12" i="4" s="1"/>
  <c r="II13" i="4" s="1"/>
  <c r="II14" i="4" s="1"/>
  <c r="II15" i="4" s="1"/>
  <c r="II16" i="4" s="1"/>
  <c r="II17" i="4" s="1"/>
  <c r="II18" i="4" s="1"/>
  <c r="II19" i="4" s="1"/>
  <c r="II20" i="4" s="1"/>
  <c r="II21" i="4" s="1"/>
  <c r="II22" i="4" s="1"/>
  <c r="II23" i="4" s="1"/>
  <c r="II24" i="4" s="1"/>
  <c r="II25" i="4" s="1"/>
  <c r="II26" i="4" s="1"/>
  <c r="II27" i="4" s="1"/>
  <c r="II28" i="4" s="1"/>
  <c r="II29" i="4" s="1"/>
  <c r="II30" i="4" s="1"/>
  <c r="II31" i="4" s="1"/>
  <c r="II32" i="4" s="1"/>
  <c r="II33" i="4" s="1"/>
  <c r="II34" i="4" s="1"/>
  <c r="II35" i="4" s="1"/>
  <c r="II36" i="4" s="1"/>
  <c r="II37" i="4" s="1"/>
  <c r="II38" i="4" s="1"/>
  <c r="II39" i="4" s="1"/>
  <c r="II40" i="4" s="1"/>
  <c r="BP18" i="3"/>
  <c r="BP5" i="3"/>
  <c r="BP32" i="3"/>
  <c r="BP28" i="3"/>
  <c r="BP9" i="3"/>
  <c r="BP13" i="3"/>
  <c r="BP19" i="3"/>
  <c r="BP31" i="3"/>
  <c r="BP36" i="3"/>
  <c r="BP40" i="3"/>
  <c r="MV4" i="4"/>
  <c r="MV11" i="4"/>
  <c r="MV16" i="4"/>
  <c r="MV17" i="4"/>
  <c r="MV22" i="4"/>
  <c r="MV25" i="4"/>
  <c r="MV29" i="4"/>
  <c r="MV34" i="4"/>
  <c r="MV38" i="4"/>
  <c r="MV41" i="4"/>
  <c r="AM13" i="4"/>
  <c r="JL6" i="4"/>
  <c r="JL9" i="4"/>
  <c r="JL13" i="4"/>
  <c r="JL17" i="4"/>
  <c r="JL18" i="4"/>
  <c r="JL24" i="4"/>
  <c r="JL28" i="4"/>
  <c r="JL31" i="4"/>
  <c r="JL36" i="4"/>
  <c r="JL40" i="4"/>
  <c r="PR39" i="4"/>
  <c r="KL39" i="4"/>
  <c r="VC39" i="4"/>
  <c r="PR20" i="4"/>
  <c r="KL20" i="4"/>
  <c r="VC20" i="4"/>
  <c r="MR4" i="4"/>
  <c r="MR7" i="4"/>
  <c r="MR15" i="4"/>
  <c r="MR22" i="4"/>
  <c r="MR27" i="4"/>
  <c r="MR31" i="4"/>
  <c r="MR35" i="4"/>
  <c r="MR39" i="4"/>
  <c r="SW7" i="4"/>
  <c r="SW12" i="4"/>
  <c r="SW13" i="4"/>
  <c r="SW17" i="4"/>
  <c r="SW22" i="4"/>
  <c r="SW27" i="4"/>
  <c r="SW31" i="4"/>
  <c r="SW36" i="4"/>
  <c r="SW39" i="4"/>
  <c r="VC8" i="4"/>
  <c r="KL8" i="4"/>
  <c r="PR8" i="4"/>
  <c r="VC9" i="4"/>
  <c r="PR9" i="4"/>
  <c r="KL9" i="4"/>
  <c r="OB8" i="4"/>
  <c r="OB13" i="4"/>
  <c r="OB15" i="4"/>
  <c r="OB19" i="4"/>
  <c r="OB24" i="4"/>
  <c r="OB27" i="4"/>
  <c r="OB31" i="4"/>
  <c r="OB36" i="4"/>
  <c r="OB40" i="4"/>
  <c r="MR5" i="4"/>
  <c r="MR9" i="4"/>
  <c r="MR13" i="4"/>
  <c r="MR16" i="4"/>
  <c r="MR20" i="4"/>
  <c r="MR23" i="4"/>
  <c r="MR28" i="4"/>
  <c r="MR32" i="4"/>
  <c r="MR36" i="4"/>
  <c r="MR40" i="4"/>
  <c r="SW4" i="4"/>
  <c r="SW9" i="4"/>
  <c r="SW8" i="4"/>
  <c r="SW14" i="4"/>
  <c r="SW18" i="4"/>
  <c r="SW23" i="4"/>
  <c r="SW29" i="4"/>
  <c r="SW32" i="4"/>
  <c r="SW34" i="4"/>
  <c r="SW40" i="4"/>
  <c r="BH17" i="3"/>
  <c r="BH4" i="3"/>
  <c r="BH29" i="3"/>
  <c r="BH24" i="3"/>
  <c r="BH8" i="3"/>
  <c r="BH12" i="3"/>
  <c r="BH16" i="3"/>
  <c r="BH30" i="3"/>
  <c r="BH36" i="3"/>
  <c r="BH40" i="3"/>
  <c r="PO7" i="4"/>
  <c r="OR6" i="4"/>
  <c r="OR5" i="4"/>
  <c r="OR12" i="4"/>
  <c r="OR14" i="4"/>
  <c r="OR18" i="4"/>
  <c r="OR23" i="4"/>
  <c r="OR26" i="4"/>
  <c r="OR30" i="4"/>
  <c r="OR35" i="4"/>
  <c r="OR39" i="4"/>
  <c r="BX22" i="3"/>
  <c r="BX21" i="3"/>
  <c r="BX33" i="3"/>
  <c r="BX6" i="3"/>
  <c r="BX10" i="3"/>
  <c r="BX14" i="3"/>
  <c r="BX23" i="3"/>
  <c r="BX34" i="3"/>
  <c r="BX38" i="3"/>
  <c r="BX42" i="3"/>
  <c r="HL10" i="4"/>
  <c r="HL14" i="4"/>
  <c r="HL16" i="4"/>
  <c r="HL21" i="4"/>
  <c r="HL25" i="4"/>
  <c r="HL29" i="4"/>
  <c r="HL33" i="4"/>
  <c r="HL36" i="4"/>
  <c r="HL41" i="4"/>
  <c r="IM10" i="4"/>
  <c r="IF7" i="4"/>
  <c r="IF11" i="4"/>
  <c r="IF17" i="4"/>
  <c r="IF20" i="4"/>
  <c r="IF23" i="4"/>
  <c r="IF27" i="4"/>
  <c r="IF30" i="4"/>
  <c r="IF35" i="4"/>
  <c r="IF39" i="4"/>
  <c r="SG7" i="4"/>
  <c r="SG12" i="4"/>
  <c r="SG14" i="4"/>
  <c r="SG17" i="4"/>
  <c r="SG22" i="4"/>
  <c r="SG27" i="4"/>
  <c r="SG31" i="4"/>
  <c r="SG36" i="4"/>
  <c r="SG39" i="4"/>
  <c r="RD9" i="4"/>
  <c r="CF18" i="3"/>
  <c r="CF5" i="3"/>
  <c r="CF30" i="3"/>
  <c r="CF28" i="3"/>
  <c r="CF9" i="3"/>
  <c r="CF13" i="3"/>
  <c r="CF19" i="3"/>
  <c r="CF31" i="3"/>
  <c r="CF36" i="3"/>
  <c r="CF40" i="3"/>
  <c r="VC19" i="4"/>
  <c r="PR19" i="4"/>
  <c r="KL19" i="4"/>
  <c r="PR28" i="4"/>
  <c r="KL28" i="4"/>
  <c r="VC28" i="4"/>
  <c r="TM5" i="4"/>
  <c r="TM10" i="4"/>
  <c r="TM15" i="4"/>
  <c r="TM19" i="4"/>
  <c r="TM24" i="4"/>
  <c r="TM25" i="4"/>
  <c r="TM30" i="4"/>
  <c r="TM33" i="4"/>
  <c r="TM37" i="4"/>
  <c r="BF25" i="3"/>
  <c r="BF9" i="3"/>
  <c r="BF13" i="3"/>
  <c r="BF20" i="3"/>
  <c r="BF19" i="3"/>
  <c r="BF5" i="3"/>
  <c r="BF26" i="3"/>
  <c r="BF32" i="3"/>
  <c r="BF36" i="3"/>
  <c r="BF40" i="3"/>
  <c r="NS14" i="4"/>
  <c r="LS9" i="4"/>
  <c r="NL6" i="4"/>
  <c r="NL5" i="4"/>
  <c r="NL12" i="4"/>
  <c r="NL14" i="4"/>
  <c r="NL18" i="4"/>
  <c r="NL23" i="4"/>
  <c r="NL26" i="4"/>
  <c r="NL30" i="4"/>
  <c r="NL35" i="4"/>
  <c r="NL39" i="4"/>
  <c r="HP8" i="4"/>
  <c r="HP9" i="4"/>
  <c r="HP13" i="4"/>
  <c r="HP16" i="4"/>
  <c r="HP21" i="4"/>
  <c r="HP25" i="4"/>
  <c r="HP29" i="4"/>
  <c r="HP33" i="4"/>
  <c r="HP37" i="4"/>
  <c r="HP41" i="4"/>
  <c r="O34" i="4"/>
  <c r="LO9" i="4"/>
  <c r="CR28" i="3"/>
  <c r="CR5" i="3"/>
  <c r="CR18" i="3"/>
  <c r="CR31" i="3"/>
  <c r="CR8" i="3"/>
  <c r="CR12" i="3"/>
  <c r="CR16" i="3"/>
  <c r="CR34" i="3"/>
  <c r="CR38" i="3"/>
  <c r="CR42" i="3"/>
  <c r="UC5" i="4"/>
  <c r="UC10" i="4"/>
  <c r="UC15" i="4"/>
  <c r="UC19" i="4"/>
  <c r="UC24" i="4"/>
  <c r="UC25" i="4"/>
  <c r="UC30" i="4"/>
  <c r="UC33" i="4"/>
  <c r="UC37" i="4"/>
  <c r="IV7" i="4"/>
  <c r="IV12" i="4"/>
  <c r="IV15" i="4"/>
  <c r="IV20" i="4"/>
  <c r="IV23" i="4"/>
  <c r="IV27" i="4"/>
  <c r="IV30" i="4"/>
  <c r="IV35" i="4"/>
  <c r="IV39" i="4"/>
  <c r="SC8" i="4"/>
  <c r="SC11" i="4"/>
  <c r="SC14" i="4"/>
  <c r="SC18" i="4"/>
  <c r="SC23" i="4"/>
  <c r="SC27" i="4"/>
  <c r="SC32" i="4"/>
  <c r="SC35" i="4"/>
  <c r="SC39" i="4"/>
  <c r="SZ5" i="4"/>
  <c r="SZ6" i="4" s="1"/>
  <c r="SZ7" i="4" s="1"/>
  <c r="SZ8" i="4" s="1"/>
  <c r="SZ9" i="4" s="1"/>
  <c r="SZ10" i="4" s="1"/>
  <c r="SZ11" i="4" s="1"/>
  <c r="SZ12" i="4" s="1"/>
  <c r="SZ13" i="4" s="1"/>
  <c r="SZ14" i="4" s="1"/>
  <c r="SZ15" i="4" s="1"/>
  <c r="SZ16" i="4" s="1"/>
  <c r="SZ17" i="4" s="1"/>
  <c r="SZ18" i="4" s="1"/>
  <c r="SZ19" i="4" s="1"/>
  <c r="SZ20" i="4" s="1"/>
  <c r="SZ21" i="4" s="1"/>
  <c r="SZ22" i="4" s="1"/>
  <c r="SZ23" i="4" s="1"/>
  <c r="SZ24" i="4" s="1"/>
  <c r="SZ25" i="4" s="1"/>
  <c r="SZ26" i="4" s="1"/>
  <c r="SZ27" i="4" s="1"/>
  <c r="SZ28" i="4" s="1"/>
  <c r="SZ29" i="4" s="1"/>
  <c r="SZ30" i="4" s="1"/>
  <c r="SZ31" i="4" s="1"/>
  <c r="SZ32" i="4" s="1"/>
  <c r="SZ33" i="4" s="1"/>
  <c r="SZ34" i="4" s="1"/>
  <c r="SZ35" i="4" s="1"/>
  <c r="SZ36" i="4" s="1"/>
  <c r="SZ37" i="4" s="1"/>
  <c r="SZ38" i="4" s="1"/>
  <c r="SZ39" i="4" s="1"/>
  <c r="SZ40" i="4" s="1"/>
  <c r="BP22" i="3"/>
  <c r="BP21" i="3"/>
  <c r="BP17" i="3"/>
  <c r="BP6" i="3"/>
  <c r="BP10" i="3"/>
  <c r="BP14" i="3"/>
  <c r="BP23" i="3"/>
  <c r="BP33" i="3"/>
  <c r="BP37" i="3"/>
  <c r="BP41" i="3"/>
  <c r="MV6" i="4"/>
  <c r="MV5" i="4"/>
  <c r="MV12" i="4"/>
  <c r="MV14" i="4"/>
  <c r="MV18" i="4"/>
  <c r="MV23" i="4"/>
  <c r="MV26" i="4"/>
  <c r="MV30" i="4"/>
  <c r="MV35" i="4"/>
  <c r="MV39" i="4"/>
  <c r="NC13" i="4"/>
  <c r="JL4" i="4"/>
  <c r="JL10" i="4"/>
  <c r="JL14" i="4"/>
  <c r="JL16" i="4"/>
  <c r="JL21" i="4"/>
  <c r="JL25" i="4"/>
  <c r="JL29" i="4"/>
  <c r="JL33" i="4"/>
  <c r="JL37" i="4"/>
  <c r="JL41" i="4"/>
  <c r="MR14" i="4"/>
  <c r="MR21" i="4"/>
  <c r="MR30" i="4"/>
  <c r="MR42" i="4"/>
  <c r="PR22" i="4"/>
  <c r="KL22" i="4"/>
  <c r="VC22" i="4"/>
  <c r="VC4" i="4"/>
  <c r="VD4" i="4" s="1"/>
  <c r="PR4" i="4"/>
  <c r="PS4" i="4" s="1"/>
  <c r="KL4" i="4"/>
  <c r="KM4" i="4" s="1"/>
  <c r="CS4" i="3"/>
  <c r="MR12" i="4"/>
  <c r="PR26" i="4"/>
  <c r="KL26" i="4"/>
  <c r="VC26" i="4"/>
  <c r="VC36" i="4"/>
  <c r="PR36" i="4"/>
  <c r="KL36" i="4"/>
  <c r="MR6" i="4"/>
  <c r="MR10" i="4"/>
  <c r="MR8" i="4"/>
  <c r="MR17" i="4"/>
  <c r="MR24" i="4"/>
  <c r="MR25" i="4"/>
  <c r="MR29" i="4"/>
  <c r="MR33" i="4"/>
  <c r="MR37" i="4"/>
  <c r="MR41" i="4"/>
  <c r="SW5" i="4"/>
  <c r="SW10" i="4"/>
  <c r="SW15" i="4"/>
  <c r="SW19" i="4"/>
  <c r="SW24" i="4"/>
  <c r="SW25" i="4"/>
  <c r="SW30" i="4"/>
  <c r="SW33" i="4"/>
  <c r="SW37" i="4"/>
  <c r="BH18" i="3"/>
  <c r="BH5" i="3"/>
  <c r="BH31" i="3"/>
  <c r="BH28" i="3"/>
  <c r="BH9" i="3"/>
  <c r="BH13" i="3"/>
  <c r="BH19" i="3"/>
  <c r="BH32" i="3"/>
  <c r="BH37" i="3"/>
  <c r="BH41" i="3"/>
  <c r="OR7" i="4"/>
  <c r="OR8" i="4"/>
  <c r="OR13" i="4"/>
  <c r="OR15" i="4"/>
  <c r="OR19" i="4"/>
  <c r="OR24" i="4"/>
  <c r="OR27" i="4"/>
  <c r="OR31" i="4"/>
  <c r="OR36" i="4"/>
  <c r="OR40" i="4"/>
  <c r="BX26" i="3"/>
  <c r="BX25" i="3"/>
  <c r="BX20" i="3"/>
  <c r="BX7" i="3"/>
  <c r="BX11" i="3"/>
  <c r="BX15" i="3"/>
  <c r="BX27" i="3"/>
  <c r="BX35" i="3"/>
  <c r="BX39" i="3"/>
  <c r="SN13" i="4"/>
  <c r="CF22" i="3"/>
  <c r="CF17" i="3"/>
  <c r="CF32" i="3"/>
  <c r="CF6" i="3"/>
  <c r="CF10" i="3"/>
  <c r="CF14" i="3"/>
  <c r="CF23" i="3"/>
  <c r="CF33" i="3"/>
  <c r="CF37" i="3"/>
  <c r="CF41" i="3"/>
  <c r="VC32" i="4"/>
  <c r="PR32" i="4"/>
  <c r="KL32" i="4"/>
  <c r="VC37" i="4"/>
  <c r="PR37" i="4"/>
  <c r="KL37" i="4"/>
  <c r="PR13" i="4"/>
  <c r="KL13" i="4"/>
  <c r="VC13" i="4"/>
  <c r="TM6" i="4"/>
  <c r="TM11" i="4"/>
  <c r="TM16" i="4"/>
  <c r="TM20" i="4"/>
  <c r="TM21" i="4"/>
  <c r="TM26" i="4"/>
  <c r="TM28" i="4"/>
  <c r="TM35" i="4"/>
  <c r="TM38" i="4"/>
  <c r="BF6" i="3"/>
  <c r="BF10" i="3"/>
  <c r="BF14" i="3"/>
  <c r="BF24" i="3"/>
  <c r="BF23" i="3"/>
  <c r="BF17" i="3"/>
  <c r="BF29" i="3"/>
  <c r="BF33" i="3"/>
  <c r="BF37" i="3"/>
  <c r="BF41" i="3"/>
  <c r="NL7" i="4"/>
  <c r="NL8" i="4"/>
  <c r="NL13" i="4"/>
  <c r="NL15" i="4"/>
  <c r="NL19" i="4"/>
  <c r="NL24" i="4"/>
  <c r="NL27" i="4"/>
  <c r="NL31" i="4"/>
  <c r="NL36" i="4"/>
  <c r="NL40" i="4"/>
  <c r="HP4" i="4"/>
  <c r="HP10" i="4"/>
  <c r="HP14" i="4"/>
  <c r="HP19" i="4"/>
  <c r="HP22" i="4"/>
  <c r="HP26" i="4"/>
  <c r="HP32" i="4"/>
  <c r="HP34" i="4"/>
  <c r="HP38" i="4"/>
  <c r="HP42" i="4"/>
  <c r="RK17" i="4"/>
  <c r="LF17" i="4"/>
  <c r="GD17" i="4"/>
  <c r="CR30" i="3"/>
  <c r="CR19" i="3"/>
  <c r="CR22" i="3"/>
  <c r="CR33" i="3"/>
  <c r="CR9" i="3"/>
  <c r="CR13" i="3"/>
  <c r="CR17" i="3"/>
  <c r="CR35" i="3"/>
  <c r="CR39" i="3"/>
  <c r="UC6" i="4"/>
  <c r="UC11" i="4"/>
  <c r="UC16" i="4"/>
  <c r="UC20" i="4"/>
  <c r="UC21" i="4"/>
  <c r="UC26" i="4"/>
  <c r="UC28" i="4"/>
  <c r="UC35" i="4"/>
  <c r="UC38" i="4"/>
  <c r="IV6" i="4"/>
  <c r="IV9" i="4"/>
  <c r="IV13" i="4"/>
  <c r="IV17" i="4"/>
  <c r="IV18" i="4"/>
  <c r="IV24" i="4"/>
  <c r="IV28" i="4"/>
  <c r="IV31" i="4"/>
  <c r="IV36" i="4"/>
  <c r="IV40" i="4"/>
  <c r="SC4" i="4"/>
  <c r="SC7" i="4"/>
  <c r="SC12" i="4"/>
  <c r="SC16" i="4"/>
  <c r="SC20" i="4"/>
  <c r="SC24" i="4"/>
  <c r="SC29" i="4"/>
  <c r="SC31" i="4"/>
  <c r="SC34" i="4"/>
  <c r="SC40" i="4"/>
  <c r="BQ5" i="3"/>
  <c r="BQ6" i="3" s="1"/>
  <c r="BQ7" i="3" s="1"/>
  <c r="BQ8" i="3" s="1"/>
  <c r="BQ9" i="3" s="1"/>
  <c r="BQ10" i="3" s="1"/>
  <c r="BQ11" i="3" s="1"/>
  <c r="BQ12" i="3" s="1"/>
  <c r="BQ13" i="3" s="1"/>
  <c r="BQ14" i="3" s="1"/>
  <c r="BQ15" i="3" s="1"/>
  <c r="BQ16" i="3" s="1"/>
  <c r="BQ17" i="3" s="1"/>
  <c r="BQ18" i="3" s="1"/>
  <c r="BQ19" i="3" s="1"/>
  <c r="BQ20" i="3" s="1"/>
  <c r="BQ21" i="3" s="1"/>
  <c r="BQ22" i="3" s="1"/>
  <c r="BQ23" i="3" s="1"/>
  <c r="BQ24" i="3" s="1"/>
  <c r="BQ25" i="3" s="1"/>
  <c r="BQ26" i="3" s="1"/>
  <c r="BQ27" i="3" s="1"/>
  <c r="BQ28" i="3" s="1"/>
  <c r="BQ29" i="3" s="1"/>
  <c r="BQ30" i="3" s="1"/>
  <c r="BQ31" i="3" s="1"/>
  <c r="BQ32" i="3" s="1"/>
  <c r="BQ33" i="3" s="1"/>
  <c r="BQ34" i="3" s="1"/>
  <c r="BQ35" i="3" s="1"/>
  <c r="BQ36" i="3" s="1"/>
  <c r="BQ37" i="3" s="1"/>
  <c r="BQ38" i="3" s="1"/>
  <c r="BQ39" i="3" s="1"/>
  <c r="BQ40" i="3" s="1"/>
  <c r="BQ41" i="3" s="1"/>
  <c r="BQ42" i="3" s="1"/>
  <c r="BR16" i="3"/>
  <c r="BR12" i="3"/>
  <c r="BR8" i="3"/>
  <c r="BR23" i="3"/>
  <c r="BP26" i="3"/>
  <c r="BP25" i="3"/>
  <c r="BP20" i="3"/>
  <c r="BP7" i="3"/>
  <c r="BP11" i="3"/>
  <c r="BP15" i="3"/>
  <c r="BP27" i="3"/>
  <c r="BP34" i="3"/>
  <c r="BP38" i="3"/>
  <c r="BP42" i="3"/>
  <c r="MV8" i="4"/>
  <c r="MV13" i="4"/>
  <c r="MV15" i="4"/>
  <c r="MV19" i="4"/>
  <c r="MV24" i="4"/>
  <c r="MV27" i="4"/>
  <c r="MV31" i="4"/>
  <c r="MV36" i="4"/>
  <c r="MV40" i="4"/>
  <c r="UZ6" i="4"/>
  <c r="JL5" i="4"/>
  <c r="JL11" i="4"/>
  <c r="JL8" i="4"/>
  <c r="JL19" i="4"/>
  <c r="JL22" i="4"/>
  <c r="JL26" i="4"/>
  <c r="JL32" i="4"/>
  <c r="JL34" i="4"/>
  <c r="JL38" i="4"/>
  <c r="JL42" i="4"/>
  <c r="KQ18" i="4"/>
  <c r="OR10" i="4"/>
  <c r="OR9" i="4"/>
  <c r="OR20" i="4"/>
  <c r="OR21" i="4"/>
  <c r="OR28" i="4"/>
  <c r="OR29" i="4"/>
  <c r="OR34" i="4"/>
  <c r="OR37" i="4"/>
  <c r="OR41" i="4"/>
  <c r="CU12" i="4"/>
  <c r="VC15" i="4"/>
  <c r="PR15" i="4"/>
  <c r="KL15" i="4"/>
  <c r="VC18" i="4"/>
  <c r="PR18" i="4"/>
  <c r="KL18" i="4"/>
  <c r="TM7" i="4"/>
  <c r="TM12" i="4"/>
  <c r="TM13" i="4"/>
  <c r="TM17" i="4"/>
  <c r="TM22" i="4"/>
  <c r="TM27" i="4"/>
  <c r="TM31" i="4"/>
  <c r="TM36" i="4"/>
  <c r="TM39" i="4"/>
  <c r="NL10" i="4"/>
  <c r="NL9" i="4"/>
  <c r="NL20" i="4"/>
  <c r="NL21" i="4"/>
  <c r="NL28" i="4"/>
  <c r="NL29" i="4"/>
  <c r="NL33" i="4"/>
  <c r="NL37" i="4"/>
  <c r="NL42" i="4"/>
  <c r="HP5" i="4"/>
  <c r="HP11" i="4"/>
  <c r="HP17" i="4"/>
  <c r="HP20" i="4"/>
  <c r="HP23" i="4"/>
  <c r="HP27" i="4"/>
  <c r="HP30" i="4"/>
  <c r="HP35" i="4"/>
  <c r="HP39" i="4"/>
  <c r="RK6" i="4"/>
  <c r="LF6" i="4"/>
  <c r="GD6" i="4"/>
  <c r="RK32" i="4"/>
  <c r="LF32" i="4"/>
  <c r="GD32" i="4"/>
  <c r="UC7" i="4"/>
  <c r="UC12" i="4"/>
  <c r="UC13" i="4"/>
  <c r="UC17" i="4"/>
  <c r="UC22" i="4"/>
  <c r="UC27" i="4"/>
  <c r="UC31" i="4"/>
  <c r="UC34" i="4"/>
  <c r="UC39" i="4"/>
  <c r="GM9" i="4"/>
  <c r="DJ10" i="4"/>
  <c r="NO5" i="4"/>
  <c r="NO6" i="4" s="1"/>
  <c r="NO7" i="4" s="1"/>
  <c r="NO8" i="4" s="1"/>
  <c r="NO9" i="4" s="1"/>
  <c r="NO10" i="4" s="1"/>
  <c r="NO11" i="4" s="1"/>
  <c r="NO12" i="4" s="1"/>
  <c r="NO13" i="4" s="1"/>
  <c r="NO14" i="4" s="1"/>
  <c r="NO15" i="4" s="1"/>
  <c r="NO16" i="4" s="1"/>
  <c r="NO17" i="4" s="1"/>
  <c r="NO18" i="4" s="1"/>
  <c r="NO19" i="4" s="1"/>
  <c r="NO20" i="4" s="1"/>
  <c r="NO21" i="4" s="1"/>
  <c r="NO22" i="4" s="1"/>
  <c r="NO23" i="4" s="1"/>
  <c r="NO24" i="4" s="1"/>
  <c r="NO25" i="4" s="1"/>
  <c r="NO26" i="4" s="1"/>
  <c r="NO27" i="4" s="1"/>
  <c r="NO28" i="4" s="1"/>
  <c r="NO29" i="4" s="1"/>
  <c r="NO30" i="4" s="1"/>
  <c r="NO31" i="4" s="1"/>
  <c r="NO32" i="4" s="1"/>
  <c r="NO33" i="4" s="1"/>
  <c r="NO34" i="4" s="1"/>
  <c r="NO35" i="4" s="1"/>
  <c r="NO36" i="4" s="1"/>
  <c r="NO37" i="4" s="1"/>
  <c r="NO38" i="4" s="1"/>
  <c r="NO39" i="4" s="1"/>
  <c r="NO40" i="4" s="1"/>
  <c r="BP4" i="3"/>
  <c r="BP30" i="3"/>
  <c r="BP24" i="3"/>
  <c r="BP8" i="3"/>
  <c r="BP12" i="3"/>
  <c r="BP16" i="3"/>
  <c r="BP29" i="3"/>
  <c r="BP35" i="3"/>
  <c r="BP39" i="3"/>
  <c r="JL7" i="4"/>
  <c r="JL12" i="4"/>
  <c r="JL15" i="4"/>
  <c r="JL20" i="4"/>
  <c r="JL23" i="4"/>
  <c r="JL27" i="4"/>
  <c r="JL30" i="4"/>
  <c r="JL35" i="4"/>
  <c r="JL39" i="4"/>
  <c r="NP5" i="4" l="1"/>
  <c r="NP12" i="4"/>
  <c r="NP14" i="4"/>
  <c r="NP17" i="4"/>
  <c r="NP22" i="4"/>
  <c r="NP26" i="4"/>
  <c r="NP30" i="4"/>
  <c r="NP34" i="4"/>
  <c r="NP38" i="4"/>
  <c r="NP42" i="4"/>
  <c r="DJ11" i="4"/>
  <c r="UZ7" i="4"/>
  <c r="BR17" i="3"/>
  <c r="BR6" i="3"/>
  <c r="BR10" i="3"/>
  <c r="BR14" i="3"/>
  <c r="BR22" i="3"/>
  <c r="BR25" i="3"/>
  <c r="BR24" i="3"/>
  <c r="BR31" i="3"/>
  <c r="BR35" i="3"/>
  <c r="BR39" i="3"/>
  <c r="SN14" i="4"/>
  <c r="KM5" i="4"/>
  <c r="KM6" i="4" s="1"/>
  <c r="KM7" i="4" s="1"/>
  <c r="KM8" i="4" s="1"/>
  <c r="KM9" i="4" s="1"/>
  <c r="KM10" i="4" s="1"/>
  <c r="KM11" i="4" s="1"/>
  <c r="KM12" i="4" s="1"/>
  <c r="KM13" i="4" s="1"/>
  <c r="KM14" i="4" s="1"/>
  <c r="KM15" i="4" s="1"/>
  <c r="KM16" i="4" s="1"/>
  <c r="KM17" i="4" s="1"/>
  <c r="KM18" i="4" s="1"/>
  <c r="KM19" i="4" s="1"/>
  <c r="KM20" i="4" s="1"/>
  <c r="KM21" i="4" s="1"/>
  <c r="KM22" i="4" s="1"/>
  <c r="KM23" i="4" s="1"/>
  <c r="KM24" i="4" s="1"/>
  <c r="KM25" i="4" s="1"/>
  <c r="KM26" i="4" s="1"/>
  <c r="KM27" i="4" s="1"/>
  <c r="KM28" i="4" s="1"/>
  <c r="KM29" i="4" s="1"/>
  <c r="KM30" i="4" s="1"/>
  <c r="KM31" i="4" s="1"/>
  <c r="KM32" i="4" s="1"/>
  <c r="KM33" i="4" s="1"/>
  <c r="KM34" i="4" s="1"/>
  <c r="KM35" i="4" s="1"/>
  <c r="KM36" i="4" s="1"/>
  <c r="KM37" i="4" s="1"/>
  <c r="KM38" i="4" s="1"/>
  <c r="KM39" i="4" s="1"/>
  <c r="KM40" i="4" s="1"/>
  <c r="NC14" i="4"/>
  <c r="TA5" i="4"/>
  <c r="TA8" i="4"/>
  <c r="TA13" i="4"/>
  <c r="TA20" i="4"/>
  <c r="TA24" i="4"/>
  <c r="TA23" i="4"/>
  <c r="TA30" i="4"/>
  <c r="TA33" i="4"/>
  <c r="TA37" i="4"/>
  <c r="LO10" i="4"/>
  <c r="RK34" i="4"/>
  <c r="LF34" i="4"/>
  <c r="GD34" i="4"/>
  <c r="IJ5" i="4"/>
  <c r="IJ9" i="4"/>
  <c r="IJ13" i="4"/>
  <c r="IJ16" i="4"/>
  <c r="IJ20" i="4"/>
  <c r="IJ23" i="4"/>
  <c r="IJ27" i="4"/>
  <c r="IJ32" i="4"/>
  <c r="IJ35" i="4"/>
  <c r="IJ40" i="4"/>
  <c r="RK15" i="4"/>
  <c r="LF15" i="4"/>
  <c r="GD15" i="4"/>
  <c r="LF27" i="4"/>
  <c r="GD27" i="4"/>
  <c r="RK27" i="4"/>
  <c r="LF21" i="4"/>
  <c r="GD21" i="4"/>
  <c r="RK21" i="4"/>
  <c r="RK7" i="4"/>
  <c r="LF7" i="4"/>
  <c r="GD7" i="4"/>
  <c r="RK16" i="4"/>
  <c r="GD16" i="4"/>
  <c r="LF16" i="4"/>
  <c r="RK37" i="4"/>
  <c r="LF37" i="4"/>
  <c r="GD37" i="4"/>
  <c r="RK29" i="4"/>
  <c r="LF29" i="4"/>
  <c r="GD29" i="4"/>
  <c r="LF40" i="4"/>
  <c r="RK40" i="4"/>
  <c r="GD40" i="4"/>
  <c r="NG9" i="4"/>
  <c r="NP7" i="4"/>
  <c r="NP20" i="4"/>
  <c r="NP28" i="4"/>
  <c r="NP36" i="4"/>
  <c r="NP6" i="4"/>
  <c r="NP8" i="4"/>
  <c r="NP13" i="4"/>
  <c r="NP15" i="4"/>
  <c r="NP18" i="4"/>
  <c r="NP23" i="4"/>
  <c r="NP27" i="4"/>
  <c r="NP31" i="4"/>
  <c r="NP35" i="4"/>
  <c r="NP39" i="4"/>
  <c r="KQ19" i="4"/>
  <c r="BR19" i="3"/>
  <c r="BR7" i="3"/>
  <c r="BR11" i="3"/>
  <c r="BR15" i="3"/>
  <c r="BR26" i="3"/>
  <c r="BR4" i="3"/>
  <c r="BR28" i="3"/>
  <c r="BR32" i="3"/>
  <c r="BR36" i="3"/>
  <c r="BR40" i="3"/>
  <c r="PS5" i="4"/>
  <c r="PS6" i="4" s="1"/>
  <c r="PS7" i="4" s="1"/>
  <c r="PS8" i="4" s="1"/>
  <c r="PS9" i="4" s="1"/>
  <c r="PS10" i="4" s="1"/>
  <c r="PS11" i="4" s="1"/>
  <c r="PS12" i="4" s="1"/>
  <c r="PS13" i="4" s="1"/>
  <c r="PS14" i="4" s="1"/>
  <c r="PS15" i="4" s="1"/>
  <c r="PS16" i="4" s="1"/>
  <c r="PS17" i="4" s="1"/>
  <c r="PS18" i="4" s="1"/>
  <c r="PS19" i="4" s="1"/>
  <c r="PS20" i="4" s="1"/>
  <c r="PS21" i="4" s="1"/>
  <c r="PS22" i="4" s="1"/>
  <c r="PS23" i="4" s="1"/>
  <c r="PS24" i="4" s="1"/>
  <c r="PS25" i="4" s="1"/>
  <c r="PS26" i="4" s="1"/>
  <c r="PS27" i="4" s="1"/>
  <c r="PS28" i="4" s="1"/>
  <c r="PS29" i="4" s="1"/>
  <c r="PS30" i="4" s="1"/>
  <c r="PS31" i="4" s="1"/>
  <c r="PS32" i="4" s="1"/>
  <c r="PS33" i="4" s="1"/>
  <c r="PS34" i="4" s="1"/>
  <c r="PS35" i="4" s="1"/>
  <c r="PS36" i="4" s="1"/>
  <c r="PS37" i="4" s="1"/>
  <c r="PS38" i="4" s="1"/>
  <c r="PS39" i="4" s="1"/>
  <c r="PS40" i="4" s="1"/>
  <c r="TA6" i="4"/>
  <c r="TA10" i="4"/>
  <c r="TA14" i="4"/>
  <c r="TA17" i="4"/>
  <c r="TA25" i="4"/>
  <c r="TA26" i="4"/>
  <c r="TA29" i="4"/>
  <c r="TA35" i="4"/>
  <c r="TA38" i="4"/>
  <c r="LS10" i="4"/>
  <c r="AM14" i="4"/>
  <c r="AM15" i="4" s="1"/>
  <c r="AM16" i="4" s="1"/>
  <c r="AM17" i="4" s="1"/>
  <c r="AM18" i="4" s="1"/>
  <c r="AM19" i="4" s="1"/>
  <c r="AM20" i="4" s="1"/>
  <c r="AM21" i="4" s="1"/>
  <c r="AM22" i="4" s="1"/>
  <c r="AM23" i="4" s="1"/>
  <c r="AM24" i="4" s="1"/>
  <c r="AM25" i="4" s="1"/>
  <c r="AM26" i="4" s="1"/>
  <c r="AM27" i="4" s="1"/>
  <c r="AM28" i="4" s="1"/>
  <c r="AM29" i="4" s="1"/>
  <c r="AM30" i="4" s="1"/>
  <c r="AM31" i="4" s="1"/>
  <c r="AM32" i="4" s="1"/>
  <c r="AM33" i="4" s="1"/>
  <c r="AM34" i="4" s="1"/>
  <c r="AM35" i="4" s="1"/>
  <c r="AM36" i="4" s="1"/>
  <c r="AM37" i="4" s="1"/>
  <c r="AM38" i="4" s="1"/>
  <c r="AM39" i="4" s="1"/>
  <c r="AM40" i="4" s="1"/>
  <c r="AN20" i="4" s="1"/>
  <c r="AN5" i="4"/>
  <c r="AN13" i="4"/>
  <c r="IJ6" i="4"/>
  <c r="IJ10" i="4"/>
  <c r="IJ8" i="4"/>
  <c r="IJ17" i="4"/>
  <c r="IJ24" i="4"/>
  <c r="IJ28" i="4"/>
  <c r="IJ29" i="4"/>
  <c r="IJ33" i="4"/>
  <c r="IJ36" i="4"/>
  <c r="IJ41" i="4"/>
  <c r="GA10" i="4"/>
  <c r="LF38" i="4"/>
  <c r="RK38" i="4"/>
  <c r="GD38" i="4"/>
  <c r="RK24" i="4"/>
  <c r="GD24" i="4"/>
  <c r="LF24" i="4"/>
  <c r="RK5" i="4"/>
  <c r="LF5" i="4"/>
  <c r="GD5" i="4"/>
  <c r="LF14" i="4"/>
  <c r="GD14" i="4"/>
  <c r="RK14" i="4"/>
  <c r="RK19" i="4"/>
  <c r="LF19" i="4"/>
  <c r="GD19" i="4"/>
  <c r="LF12" i="4"/>
  <c r="GD12" i="4"/>
  <c r="RK12" i="4"/>
  <c r="LF28" i="4"/>
  <c r="GD28" i="4"/>
  <c r="RK28" i="4"/>
  <c r="LF39" i="4"/>
  <c r="GD39" i="4"/>
  <c r="RK39" i="4"/>
  <c r="KI8" i="4"/>
  <c r="NP10" i="4"/>
  <c r="NP16" i="4"/>
  <c r="NP24" i="4"/>
  <c r="NP32" i="4"/>
  <c r="NP40" i="4"/>
  <c r="GM10" i="4"/>
  <c r="BR5" i="3"/>
  <c r="BR29" i="3"/>
  <c r="BR33" i="3"/>
  <c r="BR37" i="3"/>
  <c r="BR41" i="3"/>
  <c r="VE40" i="4"/>
  <c r="VE36" i="4"/>
  <c r="VE31" i="4"/>
  <c r="VE29" i="4"/>
  <c r="VE24" i="4"/>
  <c r="VE20" i="4"/>
  <c r="VE16" i="4"/>
  <c r="VE12" i="4"/>
  <c r="VE7" i="4"/>
  <c r="VE4" i="4"/>
  <c r="VD5" i="4"/>
  <c r="VD6" i="4" s="1"/>
  <c r="VD7" i="4" s="1"/>
  <c r="VD8" i="4" s="1"/>
  <c r="VD9" i="4" s="1"/>
  <c r="VD10" i="4" s="1"/>
  <c r="VD11" i="4" s="1"/>
  <c r="VD12" i="4" s="1"/>
  <c r="VD13" i="4" s="1"/>
  <c r="VD14" i="4" s="1"/>
  <c r="VD15" i="4" s="1"/>
  <c r="VD16" i="4" s="1"/>
  <c r="VD17" i="4" s="1"/>
  <c r="VD18" i="4" s="1"/>
  <c r="VD19" i="4" s="1"/>
  <c r="VD20" i="4" s="1"/>
  <c r="VD21" i="4" s="1"/>
  <c r="VD22" i="4" s="1"/>
  <c r="VD23" i="4" s="1"/>
  <c r="VD24" i="4" s="1"/>
  <c r="VD25" i="4" s="1"/>
  <c r="VD26" i="4" s="1"/>
  <c r="VD27" i="4" s="1"/>
  <c r="VD28" i="4" s="1"/>
  <c r="VD29" i="4" s="1"/>
  <c r="VD30" i="4" s="1"/>
  <c r="VD31" i="4" s="1"/>
  <c r="VD32" i="4" s="1"/>
  <c r="VD33" i="4" s="1"/>
  <c r="VD34" i="4" s="1"/>
  <c r="VD35" i="4" s="1"/>
  <c r="VD36" i="4" s="1"/>
  <c r="VD37" i="4" s="1"/>
  <c r="VD38" i="4" s="1"/>
  <c r="VD39" i="4" s="1"/>
  <c r="VD40" i="4" s="1"/>
  <c r="TA7" i="4"/>
  <c r="TA11" i="4"/>
  <c r="TA16" i="4"/>
  <c r="TA18" i="4"/>
  <c r="TA21" i="4"/>
  <c r="TA27" i="4"/>
  <c r="TA31" i="4"/>
  <c r="TA36" i="4"/>
  <c r="TA39" i="4"/>
  <c r="IM11" i="4"/>
  <c r="IJ11" i="4"/>
  <c r="IJ14" i="4"/>
  <c r="IJ18" i="4"/>
  <c r="IJ21" i="4"/>
  <c r="IJ25" i="4"/>
  <c r="IJ30" i="4"/>
  <c r="IJ34" i="4"/>
  <c r="IJ38" i="4"/>
  <c r="IJ42" i="4"/>
  <c r="RK33" i="4"/>
  <c r="LF33" i="4"/>
  <c r="GD33" i="4"/>
  <c r="LF22" i="4"/>
  <c r="GD22" i="4"/>
  <c r="RK22" i="4"/>
  <c r="LF11" i="4"/>
  <c r="GD11" i="4"/>
  <c r="RK11" i="4"/>
  <c r="LF20" i="4"/>
  <c r="RK20" i="4"/>
  <c r="GD20" i="4"/>
  <c r="RK18" i="4"/>
  <c r="LF18" i="4"/>
  <c r="GD18" i="4"/>
  <c r="LF10" i="4"/>
  <c r="GD10" i="4"/>
  <c r="RK10" i="4"/>
  <c r="RK36" i="4"/>
  <c r="LF36" i="4"/>
  <c r="GD36" i="4"/>
  <c r="RK35" i="4"/>
  <c r="GD35" i="4"/>
  <c r="LF35" i="4"/>
  <c r="NP4" i="4"/>
  <c r="NP11" i="4"/>
  <c r="NP9" i="4"/>
  <c r="NP19" i="4"/>
  <c r="NP21" i="4"/>
  <c r="NP25" i="4"/>
  <c r="NP29" i="4"/>
  <c r="NP33" i="4"/>
  <c r="NP37" i="4"/>
  <c r="NP41" i="4"/>
  <c r="CU13" i="4"/>
  <c r="CU14" i="4" s="1"/>
  <c r="CU15" i="4" s="1"/>
  <c r="CU16" i="4" s="1"/>
  <c r="CU17" i="4" s="1"/>
  <c r="CU18" i="4" s="1"/>
  <c r="CU19" i="4" s="1"/>
  <c r="CU20" i="4" s="1"/>
  <c r="CU21" i="4" s="1"/>
  <c r="CU22" i="4" s="1"/>
  <c r="CU23" i="4" s="1"/>
  <c r="CU24" i="4" s="1"/>
  <c r="CU25" i="4" s="1"/>
  <c r="CU26" i="4" s="1"/>
  <c r="CU27" i="4" s="1"/>
  <c r="CU28" i="4" s="1"/>
  <c r="CU29" i="4" s="1"/>
  <c r="CU30" i="4" s="1"/>
  <c r="CU31" i="4" s="1"/>
  <c r="CU32" i="4" s="1"/>
  <c r="CU33" i="4" s="1"/>
  <c r="CU34" i="4" s="1"/>
  <c r="CU35" i="4" s="1"/>
  <c r="CU36" i="4" s="1"/>
  <c r="CU37" i="4" s="1"/>
  <c r="CU38" i="4" s="1"/>
  <c r="CU39" i="4" s="1"/>
  <c r="CU40" i="4" s="1"/>
  <c r="CV19" i="4"/>
  <c r="BR27" i="3"/>
  <c r="BR9" i="3"/>
  <c r="BR13" i="3"/>
  <c r="BR18" i="3"/>
  <c r="BR21" i="3"/>
  <c r="BR20" i="3"/>
  <c r="BR30" i="3"/>
  <c r="BR34" i="3"/>
  <c r="BR38" i="3"/>
  <c r="BR42" i="3"/>
  <c r="CS5" i="3"/>
  <c r="CS6" i="3" s="1"/>
  <c r="CS7" i="3" s="1"/>
  <c r="CS8" i="3" s="1"/>
  <c r="CS9" i="3" s="1"/>
  <c r="CS10" i="3" s="1"/>
  <c r="CS11" i="3" s="1"/>
  <c r="CS12" i="3" s="1"/>
  <c r="CS13" i="3" s="1"/>
  <c r="CS14" i="3" s="1"/>
  <c r="CS15" i="3" s="1"/>
  <c r="CS16" i="3" s="1"/>
  <c r="CS17" i="3" s="1"/>
  <c r="CS18" i="3" s="1"/>
  <c r="CS19" i="3" s="1"/>
  <c r="CS20" i="3" s="1"/>
  <c r="CS21" i="3" s="1"/>
  <c r="CS22" i="3" s="1"/>
  <c r="CS23" i="3" s="1"/>
  <c r="CS24" i="3" s="1"/>
  <c r="CS25" i="3" s="1"/>
  <c r="CS26" i="3" s="1"/>
  <c r="CS27" i="3" s="1"/>
  <c r="CS28" i="3" s="1"/>
  <c r="CS29" i="3" s="1"/>
  <c r="CS30" i="3" s="1"/>
  <c r="CS31" i="3" s="1"/>
  <c r="CS32" i="3" s="1"/>
  <c r="CS33" i="3" s="1"/>
  <c r="CS34" i="3" s="1"/>
  <c r="CS35" i="3" s="1"/>
  <c r="CS36" i="3" s="1"/>
  <c r="CS37" i="3" s="1"/>
  <c r="CS38" i="3" s="1"/>
  <c r="CS39" i="3" s="1"/>
  <c r="CS40" i="3" s="1"/>
  <c r="CS41" i="3" s="1"/>
  <c r="CS42" i="3" s="1"/>
  <c r="TA4" i="4"/>
  <c r="TA9" i="4"/>
  <c r="TA12" i="4"/>
  <c r="TA15" i="4"/>
  <c r="TA19" i="4"/>
  <c r="TA22" i="4"/>
  <c r="TA28" i="4"/>
  <c r="TA32" i="4"/>
  <c r="TA34" i="4"/>
  <c r="TA40" i="4"/>
  <c r="NS15" i="4"/>
  <c r="RD10" i="4"/>
  <c r="PO8" i="4"/>
  <c r="IJ4" i="4"/>
  <c r="IJ7" i="4"/>
  <c r="IJ12" i="4"/>
  <c r="IJ15" i="4"/>
  <c r="IJ19" i="4"/>
  <c r="IJ22" i="4"/>
  <c r="IJ26" i="4"/>
  <c r="IJ31" i="4"/>
  <c r="IJ37" i="4"/>
  <c r="IJ39" i="4"/>
  <c r="RK9" i="4"/>
  <c r="GD9" i="4"/>
  <c r="LF9" i="4"/>
  <c r="LF13" i="4"/>
  <c r="GD13" i="4"/>
  <c r="RK13" i="4"/>
  <c r="LF25" i="4"/>
  <c r="GD25" i="4"/>
  <c r="RK25" i="4"/>
  <c r="RK31" i="4"/>
  <c r="LF31" i="4"/>
  <c r="GD31" i="4"/>
  <c r="LF26" i="4"/>
  <c r="GD26" i="4"/>
  <c r="RK26" i="4"/>
  <c r="RK30" i="4"/>
  <c r="GD30" i="4"/>
  <c r="LF30" i="4"/>
  <c r="LF23" i="4"/>
  <c r="GD23" i="4"/>
  <c r="RK23" i="4"/>
  <c r="RK4" i="4"/>
  <c r="RL4" i="4" s="1"/>
  <c r="LF4" i="4"/>
  <c r="LG4" i="4" s="1"/>
  <c r="GD4" i="4"/>
  <c r="GE4" i="4" s="1"/>
  <c r="AM4" i="3"/>
  <c r="LZ20" i="4" l="1"/>
  <c r="RG20" i="4"/>
  <c r="GT20" i="4"/>
  <c r="RL5" i="4"/>
  <c r="RL6" i="4" s="1"/>
  <c r="RL7" i="4" s="1"/>
  <c r="RL8" i="4" s="1"/>
  <c r="RL9" i="4" s="1"/>
  <c r="RL10" i="4" s="1"/>
  <c r="RL11" i="4" s="1"/>
  <c r="RL12" i="4" s="1"/>
  <c r="RL13" i="4" s="1"/>
  <c r="RL14" i="4" s="1"/>
  <c r="RL15" i="4" s="1"/>
  <c r="RL16" i="4" s="1"/>
  <c r="RL17" i="4" s="1"/>
  <c r="RL18" i="4" s="1"/>
  <c r="RL19" i="4" s="1"/>
  <c r="RL20" i="4" s="1"/>
  <c r="RL21" i="4" s="1"/>
  <c r="RL22" i="4" s="1"/>
  <c r="RL23" i="4" s="1"/>
  <c r="RL24" i="4" s="1"/>
  <c r="RL25" i="4" s="1"/>
  <c r="RL26" i="4" s="1"/>
  <c r="RL27" i="4" s="1"/>
  <c r="RL28" i="4" s="1"/>
  <c r="RL29" i="4" s="1"/>
  <c r="RL30" i="4" s="1"/>
  <c r="RL31" i="4" s="1"/>
  <c r="RL32" i="4" s="1"/>
  <c r="RL33" i="4" s="1"/>
  <c r="RL34" i="4" s="1"/>
  <c r="RL35" i="4" s="1"/>
  <c r="RL36" i="4" s="1"/>
  <c r="RL37" i="4" s="1"/>
  <c r="RL38" i="4" s="1"/>
  <c r="RL39" i="4" s="1"/>
  <c r="RL40" i="4" s="1"/>
  <c r="NS16" i="4"/>
  <c r="CT6" i="3"/>
  <c r="CT10" i="3"/>
  <c r="CT14" i="3"/>
  <c r="CT24" i="3"/>
  <c r="CT27" i="3"/>
  <c r="CT22" i="3"/>
  <c r="CT30" i="3"/>
  <c r="CT34" i="3"/>
  <c r="CT38" i="3"/>
  <c r="CT42" i="3"/>
  <c r="CV40" i="4"/>
  <c r="CV8" i="4"/>
  <c r="CV30" i="4"/>
  <c r="CV22" i="4"/>
  <c r="CV26" i="4"/>
  <c r="CV37" i="4"/>
  <c r="CV16" i="4"/>
  <c r="CV36" i="4"/>
  <c r="CV35" i="4"/>
  <c r="CV15" i="4"/>
  <c r="CV20" i="4"/>
  <c r="CV11" i="4"/>
  <c r="CV5" i="4"/>
  <c r="CV13" i="4"/>
  <c r="CV4" i="4"/>
  <c r="CV33" i="4"/>
  <c r="CV23" i="4"/>
  <c r="CV10" i="4"/>
  <c r="CV39" i="4"/>
  <c r="CV18" i="4"/>
  <c r="CV7" i="4"/>
  <c r="CV21" i="4"/>
  <c r="CV12" i="4"/>
  <c r="CV28" i="4"/>
  <c r="CV32" i="4"/>
  <c r="CV9" i="4"/>
  <c r="CV38" i="4"/>
  <c r="CV31" i="4"/>
  <c r="CV27" i="4"/>
  <c r="CV17" i="4"/>
  <c r="CV24" i="4"/>
  <c r="VE8" i="4"/>
  <c r="VE11" i="4"/>
  <c r="VE14" i="4"/>
  <c r="VE18" i="4"/>
  <c r="VE23" i="4"/>
  <c r="VE27" i="4"/>
  <c r="VE32" i="4"/>
  <c r="VE35" i="4"/>
  <c r="VE39" i="4"/>
  <c r="AN34" i="4"/>
  <c r="AN26" i="4"/>
  <c r="PT6" i="4"/>
  <c r="PT10" i="4"/>
  <c r="PT8" i="4"/>
  <c r="PT17" i="4"/>
  <c r="PT24" i="4"/>
  <c r="PT25" i="4"/>
  <c r="PT29" i="4"/>
  <c r="PT34" i="4"/>
  <c r="PT37" i="4"/>
  <c r="PT41" i="4"/>
  <c r="KN6" i="4"/>
  <c r="KN8" i="4"/>
  <c r="KN13" i="4"/>
  <c r="KN17" i="4"/>
  <c r="KN18" i="4"/>
  <c r="KN23" i="4"/>
  <c r="KN27" i="4"/>
  <c r="KN31" i="4"/>
  <c r="KN35" i="4"/>
  <c r="KN39" i="4"/>
  <c r="AM5" i="3"/>
  <c r="AM6" i="3" s="1"/>
  <c r="AM7" i="3" s="1"/>
  <c r="AM8" i="3" s="1"/>
  <c r="AM9" i="3" s="1"/>
  <c r="AM10" i="3" s="1"/>
  <c r="AM11" i="3" s="1"/>
  <c r="AM12" i="3" s="1"/>
  <c r="AM13" i="3" s="1"/>
  <c r="AM14" i="3" s="1"/>
  <c r="AM15" i="3" s="1"/>
  <c r="AM16" i="3" s="1"/>
  <c r="AM17" i="3" s="1"/>
  <c r="AM18" i="3" s="1"/>
  <c r="AM19" i="3" s="1"/>
  <c r="AM20" i="3" s="1"/>
  <c r="AM21" i="3" s="1"/>
  <c r="AM22" i="3" s="1"/>
  <c r="AM23" i="3" s="1"/>
  <c r="AM24" i="3" s="1"/>
  <c r="AM25" i="3" s="1"/>
  <c r="AM26" i="3" s="1"/>
  <c r="AM27" i="3" s="1"/>
  <c r="AM28" i="3" s="1"/>
  <c r="AM29" i="3" s="1"/>
  <c r="AM30" i="3" s="1"/>
  <c r="AM31" i="3" s="1"/>
  <c r="AM32" i="3" s="1"/>
  <c r="AM33" i="3" s="1"/>
  <c r="AM34" i="3" s="1"/>
  <c r="AM35" i="3" s="1"/>
  <c r="AM36" i="3" s="1"/>
  <c r="AM37" i="3" s="1"/>
  <c r="AM38" i="3" s="1"/>
  <c r="AM39" i="3" s="1"/>
  <c r="AM40" i="3" s="1"/>
  <c r="AM41" i="3" s="1"/>
  <c r="AM42" i="3" s="1"/>
  <c r="CT31" i="3"/>
  <c r="TG19" i="4"/>
  <c r="NV19" i="4"/>
  <c r="IP19" i="4"/>
  <c r="LZ13" i="4"/>
  <c r="GT13" i="4"/>
  <c r="RG13" i="4"/>
  <c r="RG5" i="4"/>
  <c r="LZ5" i="4"/>
  <c r="GT5" i="4"/>
  <c r="AN7" i="4"/>
  <c r="AN23" i="4"/>
  <c r="AN11" i="4"/>
  <c r="AN40" i="4"/>
  <c r="AN9" i="4"/>
  <c r="AN4" i="4"/>
  <c r="AN39" i="4"/>
  <c r="AN19" i="4"/>
  <c r="AN27" i="4"/>
  <c r="AN36" i="4"/>
  <c r="AN22" i="4"/>
  <c r="AN33" i="4"/>
  <c r="AN14" i="4"/>
  <c r="AN38" i="4"/>
  <c r="AN31" i="4"/>
  <c r="AN8" i="4"/>
  <c r="AN32" i="4"/>
  <c r="AN6" i="4"/>
  <c r="AN25" i="4"/>
  <c r="AN28" i="4"/>
  <c r="AN16" i="4"/>
  <c r="AN24" i="4"/>
  <c r="AN12" i="4"/>
  <c r="AN29" i="4"/>
  <c r="AN15" i="4"/>
  <c r="AN18" i="4"/>
  <c r="AN35" i="4"/>
  <c r="AN17" i="4"/>
  <c r="PT11" i="4"/>
  <c r="PT14" i="4"/>
  <c r="PT18" i="4"/>
  <c r="PT21" i="4"/>
  <c r="PT26" i="4"/>
  <c r="PT30" i="4"/>
  <c r="PT33" i="4"/>
  <c r="PT38" i="4"/>
  <c r="PT42" i="4"/>
  <c r="KN10" i="4"/>
  <c r="KN14" i="4"/>
  <c r="KN15" i="4"/>
  <c r="KN20" i="4"/>
  <c r="KN24" i="4"/>
  <c r="KN28" i="4"/>
  <c r="KN32" i="4"/>
  <c r="KN36" i="4"/>
  <c r="KN40" i="4"/>
  <c r="UZ8" i="4"/>
  <c r="DJ12" i="4"/>
  <c r="DJ13" i="4" s="1"/>
  <c r="DJ14" i="4" s="1"/>
  <c r="DJ15" i="4" s="1"/>
  <c r="DJ16" i="4" s="1"/>
  <c r="DJ17" i="4" s="1"/>
  <c r="DJ18" i="4" s="1"/>
  <c r="DJ19" i="4" s="1"/>
  <c r="DJ20" i="4" s="1"/>
  <c r="DJ21" i="4" s="1"/>
  <c r="DJ22" i="4" s="1"/>
  <c r="DJ23" i="4" s="1"/>
  <c r="DJ24" i="4" s="1"/>
  <c r="DJ25" i="4" s="1"/>
  <c r="DJ26" i="4" s="1"/>
  <c r="DJ27" i="4" s="1"/>
  <c r="DJ28" i="4" s="1"/>
  <c r="DJ29" i="4" s="1"/>
  <c r="DJ30" i="4" s="1"/>
  <c r="DJ31" i="4" s="1"/>
  <c r="DJ32" i="4" s="1"/>
  <c r="DJ33" i="4" s="1"/>
  <c r="DJ34" i="4" s="1"/>
  <c r="DJ35" i="4" s="1"/>
  <c r="DJ36" i="4" s="1"/>
  <c r="DJ37" i="4" s="1"/>
  <c r="DJ38" i="4" s="1"/>
  <c r="DJ39" i="4" s="1"/>
  <c r="DJ40" i="4" s="1"/>
  <c r="DK21" i="4"/>
  <c r="DK13" i="4"/>
  <c r="DK35" i="4"/>
  <c r="GE5" i="4"/>
  <c r="GE6" i="4" s="1"/>
  <c r="GE7" i="4" s="1"/>
  <c r="GE8" i="4" s="1"/>
  <c r="GE9" i="4" s="1"/>
  <c r="GE10" i="4" s="1"/>
  <c r="GE11" i="4" s="1"/>
  <c r="GE12" i="4" s="1"/>
  <c r="GE13" i="4" s="1"/>
  <c r="GE14" i="4" s="1"/>
  <c r="GE15" i="4" s="1"/>
  <c r="GE16" i="4" s="1"/>
  <c r="GE17" i="4" s="1"/>
  <c r="GE18" i="4" s="1"/>
  <c r="GE19" i="4" s="1"/>
  <c r="GE20" i="4" s="1"/>
  <c r="GE21" i="4" s="1"/>
  <c r="GE22" i="4" s="1"/>
  <c r="GE23" i="4" s="1"/>
  <c r="GE24" i="4" s="1"/>
  <c r="GE25" i="4" s="1"/>
  <c r="GE26" i="4" s="1"/>
  <c r="GE27" i="4" s="1"/>
  <c r="GE28" i="4" s="1"/>
  <c r="GE29" i="4" s="1"/>
  <c r="GE30" i="4" s="1"/>
  <c r="GE31" i="4" s="1"/>
  <c r="GE32" i="4" s="1"/>
  <c r="GE33" i="4" s="1"/>
  <c r="GE34" i="4" s="1"/>
  <c r="GE35" i="4" s="1"/>
  <c r="GE36" i="4" s="1"/>
  <c r="GE37" i="4" s="1"/>
  <c r="GE38" i="4" s="1"/>
  <c r="GE39" i="4" s="1"/>
  <c r="GE40" i="4" s="1"/>
  <c r="PO9" i="4"/>
  <c r="CT21" i="3"/>
  <c r="CT8" i="3"/>
  <c r="CT12" i="3"/>
  <c r="CT16" i="3"/>
  <c r="CT19" i="3"/>
  <c r="CT5" i="3"/>
  <c r="CT28" i="3"/>
  <c r="CT32" i="3"/>
  <c r="CT36" i="3"/>
  <c r="CT40" i="3"/>
  <c r="CV34" i="4"/>
  <c r="VE5" i="4"/>
  <c r="VE9" i="4"/>
  <c r="VE15" i="4"/>
  <c r="VE19" i="4"/>
  <c r="VE21" i="4"/>
  <c r="VE25" i="4"/>
  <c r="VE28" i="4"/>
  <c r="VE33" i="4"/>
  <c r="VE37" i="4"/>
  <c r="GM11" i="4"/>
  <c r="KI9" i="4"/>
  <c r="GA11" i="4"/>
  <c r="AN30" i="4"/>
  <c r="AN21" i="4"/>
  <c r="LS11" i="4"/>
  <c r="PT4" i="4"/>
  <c r="PT7" i="4"/>
  <c r="PT12" i="4"/>
  <c r="PT15" i="4"/>
  <c r="PT19" i="4"/>
  <c r="PT22" i="4"/>
  <c r="PT27" i="4"/>
  <c r="PT31" i="4"/>
  <c r="PT35" i="4"/>
  <c r="PT39" i="4"/>
  <c r="KQ20" i="4"/>
  <c r="NG10" i="4"/>
  <c r="KN4" i="4"/>
  <c r="KN11" i="4"/>
  <c r="KN7" i="4"/>
  <c r="KN16" i="4"/>
  <c r="KN21" i="4"/>
  <c r="KN25" i="4"/>
  <c r="KN29" i="4"/>
  <c r="KN33" i="4"/>
  <c r="KN37" i="4"/>
  <c r="KN41" i="4"/>
  <c r="CV14" i="4"/>
  <c r="DK4" i="4"/>
  <c r="RD11" i="4"/>
  <c r="CT17" i="3"/>
  <c r="CT7" i="3"/>
  <c r="CT11" i="3"/>
  <c r="CT15" i="3"/>
  <c r="CT4" i="3"/>
  <c r="CT26" i="3"/>
  <c r="CT35" i="3"/>
  <c r="CT39" i="3"/>
  <c r="LH41" i="4"/>
  <c r="LH40" i="4"/>
  <c r="LH37" i="4"/>
  <c r="LH36" i="4"/>
  <c r="LH33" i="4"/>
  <c r="LH31" i="4"/>
  <c r="LH29" i="4"/>
  <c r="LH27" i="4"/>
  <c r="LH28" i="4"/>
  <c r="LH24" i="4"/>
  <c r="LH21" i="4"/>
  <c r="LH18" i="4"/>
  <c r="LH16" i="4"/>
  <c r="LH17" i="4"/>
  <c r="LH14" i="4"/>
  <c r="LH13" i="4"/>
  <c r="LH11" i="4"/>
  <c r="LH10" i="4"/>
  <c r="LH9" i="4"/>
  <c r="LH5" i="4"/>
  <c r="LH4" i="4"/>
  <c r="LH6" i="4"/>
  <c r="LG5" i="4"/>
  <c r="LG6" i="4" s="1"/>
  <c r="LG7" i="4" s="1"/>
  <c r="LG8" i="4" s="1"/>
  <c r="LG9" i="4" s="1"/>
  <c r="LG10" i="4" s="1"/>
  <c r="LG11" i="4" s="1"/>
  <c r="LG12" i="4" s="1"/>
  <c r="LG13" i="4" s="1"/>
  <c r="LG14" i="4" s="1"/>
  <c r="LG15" i="4" s="1"/>
  <c r="LG16" i="4" s="1"/>
  <c r="LG17" i="4" s="1"/>
  <c r="LG18" i="4" s="1"/>
  <c r="LG19" i="4" s="1"/>
  <c r="LG20" i="4" s="1"/>
  <c r="LG21" i="4" s="1"/>
  <c r="LG22" i="4" s="1"/>
  <c r="LG23" i="4" s="1"/>
  <c r="LG24" i="4" s="1"/>
  <c r="LG25" i="4" s="1"/>
  <c r="LG26" i="4" s="1"/>
  <c r="LG27" i="4" s="1"/>
  <c r="LG28" i="4" s="1"/>
  <c r="LG29" i="4" s="1"/>
  <c r="LG30" i="4" s="1"/>
  <c r="LG31" i="4" s="1"/>
  <c r="LG32" i="4" s="1"/>
  <c r="LG33" i="4" s="1"/>
  <c r="LG34" i="4" s="1"/>
  <c r="LG35" i="4" s="1"/>
  <c r="LG36" i="4" s="1"/>
  <c r="LG37" i="4" s="1"/>
  <c r="LG38" i="4" s="1"/>
  <c r="LG39" i="4" s="1"/>
  <c r="LG40" i="4" s="1"/>
  <c r="LH8" i="4" s="1"/>
  <c r="CT25" i="3"/>
  <c r="CT9" i="3"/>
  <c r="CT13" i="3"/>
  <c r="CT20" i="3"/>
  <c r="CT23" i="3"/>
  <c r="CT18" i="3"/>
  <c r="CT29" i="3"/>
  <c r="CT33" i="3"/>
  <c r="CT37" i="3"/>
  <c r="CT41" i="3"/>
  <c r="CV29" i="4"/>
  <c r="IM12" i="4"/>
  <c r="VE6" i="4"/>
  <c r="VE10" i="4"/>
  <c r="VE13" i="4"/>
  <c r="VE17" i="4"/>
  <c r="VE22" i="4"/>
  <c r="VE26" i="4"/>
  <c r="VE30" i="4"/>
  <c r="VE34" i="4"/>
  <c r="VE38" i="4"/>
  <c r="AN10" i="4"/>
  <c r="AN37" i="4"/>
  <c r="PT5" i="4"/>
  <c r="PT9" i="4"/>
  <c r="PT13" i="4"/>
  <c r="PT16" i="4"/>
  <c r="PT20" i="4"/>
  <c r="PT23" i="4"/>
  <c r="PT28" i="4"/>
  <c r="PT32" i="4"/>
  <c r="PT36" i="4"/>
  <c r="PT40" i="4"/>
  <c r="LO11" i="4"/>
  <c r="NC15" i="4"/>
  <c r="KN5" i="4"/>
  <c r="KN12" i="4"/>
  <c r="KN9" i="4"/>
  <c r="KN19" i="4"/>
  <c r="KN22" i="4"/>
  <c r="KN26" i="4"/>
  <c r="KN30" i="4"/>
  <c r="KN34" i="4"/>
  <c r="KN38" i="4"/>
  <c r="KN42" i="4"/>
  <c r="SN15" i="4"/>
  <c r="CV25" i="4"/>
  <c r="DK8" i="4"/>
  <c r="CV6" i="4"/>
  <c r="TS8" i="4" l="1"/>
  <c r="OH8" i="4"/>
  <c r="JB8" i="4"/>
  <c r="NC16" i="4"/>
  <c r="TS4" i="4"/>
  <c r="TT4" i="4" s="1"/>
  <c r="OH4" i="4"/>
  <c r="OI4" i="4" s="1"/>
  <c r="JB4" i="4"/>
  <c r="JC4" i="4" s="1"/>
  <c r="CA4" i="3"/>
  <c r="RG30" i="4"/>
  <c r="LZ30" i="4"/>
  <c r="GT30" i="4"/>
  <c r="KI10" i="4"/>
  <c r="TG34" i="4"/>
  <c r="NV34" i="4"/>
  <c r="IP34" i="4"/>
  <c r="PO10" i="4"/>
  <c r="GF4" i="4"/>
  <c r="GF11" i="4"/>
  <c r="GF9" i="4"/>
  <c r="GF19" i="4"/>
  <c r="GF22" i="4"/>
  <c r="GF26" i="4"/>
  <c r="GF32" i="4"/>
  <c r="GF34" i="4"/>
  <c r="GF38" i="4"/>
  <c r="GF42" i="4"/>
  <c r="OH13" i="4"/>
  <c r="JB13" i="4"/>
  <c r="TS13" i="4"/>
  <c r="DK38" i="4"/>
  <c r="DK31" i="4"/>
  <c r="DK32" i="4"/>
  <c r="DK20" i="4"/>
  <c r="DK19" i="4"/>
  <c r="DK5" i="4"/>
  <c r="DK14" i="4"/>
  <c r="DK36" i="4"/>
  <c r="DK17" i="4"/>
  <c r="DK11" i="4"/>
  <c r="DK7" i="4"/>
  <c r="DK22" i="4"/>
  <c r="DK26" i="4"/>
  <c r="DK29" i="4"/>
  <c r="DK16" i="4"/>
  <c r="DK23" i="4"/>
  <c r="DK12" i="4"/>
  <c r="DK18" i="4"/>
  <c r="DK15" i="4"/>
  <c r="DK28" i="4"/>
  <c r="DK30" i="4"/>
  <c r="DK37" i="4"/>
  <c r="DK6" i="4"/>
  <c r="DK27" i="4"/>
  <c r="DK34" i="4"/>
  <c r="DK24" i="4"/>
  <c r="DK25" i="4"/>
  <c r="DK39" i="4"/>
  <c r="UZ9" i="4"/>
  <c r="RG15" i="4"/>
  <c r="LZ15" i="4"/>
  <c r="GT15" i="4"/>
  <c r="RG16" i="4"/>
  <c r="GT16" i="4"/>
  <c r="LZ16" i="4"/>
  <c r="RG32" i="4"/>
  <c r="LZ32" i="4"/>
  <c r="GT32" i="4"/>
  <c r="LZ14" i="4"/>
  <c r="GT14" i="4"/>
  <c r="RG14" i="4"/>
  <c r="LZ27" i="4"/>
  <c r="GT27" i="4"/>
  <c r="RG27" i="4"/>
  <c r="RG9" i="4"/>
  <c r="LZ9" i="4"/>
  <c r="GT9" i="4"/>
  <c r="RG7" i="4"/>
  <c r="GT7" i="4"/>
  <c r="LZ7" i="4"/>
  <c r="AN20" i="3"/>
  <c r="AN31" i="3"/>
  <c r="AN17" i="3"/>
  <c r="AN18" i="3"/>
  <c r="AN32" i="3"/>
  <c r="AN9" i="3"/>
  <c r="AN13" i="3"/>
  <c r="AN21" i="3"/>
  <c r="AN36" i="3"/>
  <c r="AN40" i="3"/>
  <c r="RG34" i="4"/>
  <c r="LZ34" i="4"/>
  <c r="GT34" i="4"/>
  <c r="NV27" i="4"/>
  <c r="IP27" i="4"/>
  <c r="TG27" i="4"/>
  <c r="TG32" i="4"/>
  <c r="NV32" i="4"/>
  <c r="IP32" i="4"/>
  <c r="TG7" i="4"/>
  <c r="IP7" i="4"/>
  <c r="NV7" i="4"/>
  <c r="NV23" i="4"/>
  <c r="IP23" i="4"/>
  <c r="TG23" i="4"/>
  <c r="TG5" i="4"/>
  <c r="NV5" i="4"/>
  <c r="IP5" i="4"/>
  <c r="TG35" i="4"/>
  <c r="NV35" i="4"/>
  <c r="IP35" i="4"/>
  <c r="NV26" i="4"/>
  <c r="IP26" i="4"/>
  <c r="TG26" i="4"/>
  <c r="NV40" i="4"/>
  <c r="TG40" i="4"/>
  <c r="IP40" i="4"/>
  <c r="NS17" i="4"/>
  <c r="RM6" i="4"/>
  <c r="RM10" i="4"/>
  <c r="RM13" i="4"/>
  <c r="RM20" i="4"/>
  <c r="RM22" i="4"/>
  <c r="RM26" i="4"/>
  <c r="RM30" i="4"/>
  <c r="RM36" i="4"/>
  <c r="RM38" i="4"/>
  <c r="LZ10" i="4"/>
  <c r="GT10" i="4"/>
  <c r="RG10" i="4"/>
  <c r="NV25" i="4"/>
  <c r="IP25" i="4"/>
  <c r="TG25" i="4"/>
  <c r="LO12" i="4"/>
  <c r="IM13" i="4"/>
  <c r="LH19" i="4"/>
  <c r="LH22" i="4"/>
  <c r="LH25" i="4"/>
  <c r="LH32" i="4"/>
  <c r="LH34" i="4"/>
  <c r="LH38" i="4"/>
  <c r="LH42" i="4"/>
  <c r="NG11" i="4"/>
  <c r="GA12" i="4"/>
  <c r="GM12" i="4"/>
  <c r="GM13" i="4" s="1"/>
  <c r="GM14" i="4" s="1"/>
  <c r="GM15" i="4" s="1"/>
  <c r="GM16" i="4" s="1"/>
  <c r="GM17" i="4" s="1"/>
  <c r="GM18" i="4" s="1"/>
  <c r="GM19" i="4" s="1"/>
  <c r="GM20" i="4" s="1"/>
  <c r="GM21" i="4" s="1"/>
  <c r="GM22" i="4" s="1"/>
  <c r="GM23" i="4" s="1"/>
  <c r="GM24" i="4" s="1"/>
  <c r="GM25" i="4" s="1"/>
  <c r="GM26" i="4" s="1"/>
  <c r="GM27" i="4" s="1"/>
  <c r="GM28" i="4" s="1"/>
  <c r="GM29" i="4" s="1"/>
  <c r="GM30" i="4" s="1"/>
  <c r="GM31" i="4" s="1"/>
  <c r="GM32" i="4" s="1"/>
  <c r="GM33" i="4" s="1"/>
  <c r="GM34" i="4" s="1"/>
  <c r="GM35" i="4" s="1"/>
  <c r="GM36" i="4" s="1"/>
  <c r="GM37" i="4" s="1"/>
  <c r="GM38" i="4" s="1"/>
  <c r="GM39" i="4" s="1"/>
  <c r="GM40" i="4" s="1"/>
  <c r="GN22" i="4" s="1"/>
  <c r="GN40" i="4"/>
  <c r="GN4" i="4"/>
  <c r="GF6" i="4"/>
  <c r="GF5" i="4"/>
  <c r="GF12" i="4"/>
  <c r="GF15" i="4"/>
  <c r="GF18" i="4"/>
  <c r="GF23" i="4"/>
  <c r="GF27" i="4"/>
  <c r="GF30" i="4"/>
  <c r="GF37" i="4"/>
  <c r="GF39" i="4"/>
  <c r="DK33" i="4"/>
  <c r="DK9" i="4"/>
  <c r="RG17" i="4"/>
  <c r="LZ17" i="4"/>
  <c r="GT17" i="4"/>
  <c r="RG29" i="4"/>
  <c r="LZ29" i="4"/>
  <c r="GT29" i="4"/>
  <c r="LZ28" i="4"/>
  <c r="GT28" i="4"/>
  <c r="RG28" i="4"/>
  <c r="RG8" i="4"/>
  <c r="LZ8" i="4"/>
  <c r="GT8" i="4"/>
  <c r="RG33" i="4"/>
  <c r="LZ33" i="4"/>
  <c r="GT33" i="4"/>
  <c r="RG19" i="4"/>
  <c r="LZ19" i="4"/>
  <c r="GT19" i="4"/>
  <c r="LZ40" i="4"/>
  <c r="GT40" i="4"/>
  <c r="RG40" i="4"/>
  <c r="AN24" i="3"/>
  <c r="AN33" i="3"/>
  <c r="AN19" i="3"/>
  <c r="AN22" i="3"/>
  <c r="AN6" i="3"/>
  <c r="AN10" i="3"/>
  <c r="AN14" i="3"/>
  <c r="AN25" i="3"/>
  <c r="AN37" i="3"/>
  <c r="AN41" i="3"/>
  <c r="TG31" i="4"/>
  <c r="NV31" i="4"/>
  <c r="IP31" i="4"/>
  <c r="NV28" i="4"/>
  <c r="IP28" i="4"/>
  <c r="TG28" i="4"/>
  <c r="TG18" i="4"/>
  <c r="NV18" i="4"/>
  <c r="IP18" i="4"/>
  <c r="TG33" i="4"/>
  <c r="NV33" i="4"/>
  <c r="IP33" i="4"/>
  <c r="NV11" i="4"/>
  <c r="IP11" i="4"/>
  <c r="TG11" i="4"/>
  <c r="TG36" i="4"/>
  <c r="NV36" i="4"/>
  <c r="IP36" i="4"/>
  <c r="NV22" i="4"/>
  <c r="IP22" i="4"/>
  <c r="TG22" i="4"/>
  <c r="RM8" i="4"/>
  <c r="RM11" i="4"/>
  <c r="RM14" i="4"/>
  <c r="RM17" i="4"/>
  <c r="RM23" i="4"/>
  <c r="RM27" i="4"/>
  <c r="RM32" i="4"/>
  <c r="RM35" i="4"/>
  <c r="RM39" i="4"/>
  <c r="SN16" i="4"/>
  <c r="TG6" i="4"/>
  <c r="NV6" i="4"/>
  <c r="IP6" i="4"/>
  <c r="RG37" i="4"/>
  <c r="LZ37" i="4"/>
  <c r="GT37" i="4"/>
  <c r="TG29" i="4"/>
  <c r="NV29" i="4"/>
  <c r="IP29" i="4"/>
  <c r="LH7" i="4"/>
  <c r="LH12" i="4"/>
  <c r="LH15" i="4"/>
  <c r="LH20" i="4"/>
  <c r="LH23" i="4"/>
  <c r="LH26" i="4"/>
  <c r="LH30" i="4"/>
  <c r="LH35" i="4"/>
  <c r="LH39" i="4"/>
  <c r="NV14" i="4"/>
  <c r="IP14" i="4"/>
  <c r="TG14" i="4"/>
  <c r="KQ21" i="4"/>
  <c r="KQ22" i="4" s="1"/>
  <c r="KQ23" i="4" s="1"/>
  <c r="KQ24" i="4" s="1"/>
  <c r="KQ25" i="4" s="1"/>
  <c r="KQ26" i="4" s="1"/>
  <c r="KQ27" i="4" s="1"/>
  <c r="KQ28" i="4" s="1"/>
  <c r="KQ29" i="4" s="1"/>
  <c r="KQ30" i="4" s="1"/>
  <c r="KQ31" i="4" s="1"/>
  <c r="KQ32" i="4" s="1"/>
  <c r="KQ33" i="4" s="1"/>
  <c r="KQ34" i="4" s="1"/>
  <c r="KQ35" i="4" s="1"/>
  <c r="KQ36" i="4" s="1"/>
  <c r="KQ37" i="4" s="1"/>
  <c r="KQ38" i="4" s="1"/>
  <c r="KQ39" i="4" s="1"/>
  <c r="KQ40" i="4" s="1"/>
  <c r="KR14" i="4" s="1"/>
  <c r="LS12" i="4"/>
  <c r="GN11" i="4"/>
  <c r="GF7" i="4"/>
  <c r="GF8" i="4"/>
  <c r="GF13" i="4"/>
  <c r="GF17" i="4"/>
  <c r="GF20" i="4"/>
  <c r="GF24" i="4"/>
  <c r="GF28" i="4"/>
  <c r="GF31" i="4"/>
  <c r="GF35" i="4"/>
  <c r="GF40" i="4"/>
  <c r="DK10" i="4"/>
  <c r="DK40" i="4"/>
  <c r="RG35" i="4"/>
  <c r="LZ35" i="4"/>
  <c r="GT35" i="4"/>
  <c r="LZ12" i="4"/>
  <c r="GT12" i="4"/>
  <c r="RG12" i="4"/>
  <c r="LZ25" i="4"/>
  <c r="GT25" i="4"/>
  <c r="RG25" i="4"/>
  <c r="RG31" i="4"/>
  <c r="LZ31" i="4"/>
  <c r="GT31" i="4"/>
  <c r="LZ22" i="4"/>
  <c r="GT22" i="4"/>
  <c r="RG22" i="4"/>
  <c r="LZ39" i="4"/>
  <c r="GT39" i="4"/>
  <c r="RG39" i="4"/>
  <c r="LZ11" i="4"/>
  <c r="GT11" i="4"/>
  <c r="RG11" i="4"/>
  <c r="AN28" i="3"/>
  <c r="AN4" i="3"/>
  <c r="AN23" i="3"/>
  <c r="AN26" i="3"/>
  <c r="AN7" i="3"/>
  <c r="AN11" i="3"/>
  <c r="AN15" i="3"/>
  <c r="AN34" i="3"/>
  <c r="AN38" i="3"/>
  <c r="AN42" i="3"/>
  <c r="TG24" i="4"/>
  <c r="NV24" i="4"/>
  <c r="IP24" i="4"/>
  <c r="NV38" i="4"/>
  <c r="IP38" i="4"/>
  <c r="TG38" i="4"/>
  <c r="NV12" i="4"/>
  <c r="IP12" i="4"/>
  <c r="TG12" i="4"/>
  <c r="NV39" i="4"/>
  <c r="IP39" i="4"/>
  <c r="TG39" i="4"/>
  <c r="TG4" i="4"/>
  <c r="TH4" i="4" s="1"/>
  <c r="NV4" i="4"/>
  <c r="NW4" i="4" s="1"/>
  <c r="IP4" i="4"/>
  <c r="IQ4" i="4" s="1"/>
  <c r="BU4" i="3"/>
  <c r="NV20" i="4"/>
  <c r="IP20" i="4"/>
  <c r="TG20" i="4"/>
  <c r="TG16" i="4"/>
  <c r="IP16" i="4"/>
  <c r="NV16" i="4"/>
  <c r="TG30" i="4"/>
  <c r="NV30" i="4"/>
  <c r="IP30" i="4"/>
  <c r="RM4" i="4"/>
  <c r="RM7" i="4"/>
  <c r="RM12" i="4"/>
  <c r="RM16" i="4"/>
  <c r="RM18" i="4"/>
  <c r="RM24" i="4"/>
  <c r="RM29" i="4"/>
  <c r="RM31" i="4"/>
  <c r="RM34" i="4"/>
  <c r="RM40" i="4"/>
  <c r="RD12" i="4"/>
  <c r="LZ21" i="4"/>
  <c r="GT21" i="4"/>
  <c r="RG21" i="4"/>
  <c r="GF10" i="4"/>
  <c r="GF14" i="4"/>
  <c r="GF16" i="4"/>
  <c r="GF21" i="4"/>
  <c r="GF25" i="4"/>
  <c r="GF29" i="4"/>
  <c r="GF33" i="4"/>
  <c r="GF36" i="4"/>
  <c r="GF41" i="4"/>
  <c r="TS35" i="4"/>
  <c r="OH35" i="4"/>
  <c r="JB35" i="4"/>
  <c r="OH21" i="4"/>
  <c r="JB21" i="4"/>
  <c r="TS21" i="4"/>
  <c r="RG18" i="4"/>
  <c r="LZ18" i="4"/>
  <c r="GT18" i="4"/>
  <c r="RG24" i="4"/>
  <c r="LZ24" i="4"/>
  <c r="GT24" i="4"/>
  <c r="RG6" i="4"/>
  <c r="LZ6" i="4"/>
  <c r="GT6" i="4"/>
  <c r="LZ38" i="4"/>
  <c r="RG38" i="4"/>
  <c r="GT38" i="4"/>
  <c r="RG36" i="4"/>
  <c r="LZ36" i="4"/>
  <c r="GT36" i="4"/>
  <c r="RG4" i="4"/>
  <c r="RH4" i="4" s="1"/>
  <c r="LZ4" i="4"/>
  <c r="MA4" i="4" s="1"/>
  <c r="GT4" i="4"/>
  <c r="GU4" i="4" s="1"/>
  <c r="AW4" i="3"/>
  <c r="LZ23" i="4"/>
  <c r="GT23" i="4"/>
  <c r="RG23" i="4"/>
  <c r="AN29" i="3"/>
  <c r="AN5" i="3"/>
  <c r="AN27" i="3"/>
  <c r="AN30" i="3"/>
  <c r="AN8" i="3"/>
  <c r="AN12" i="3"/>
  <c r="AN16" i="3"/>
  <c r="AN35" i="3"/>
  <c r="AN39" i="3"/>
  <c r="LZ26" i="4"/>
  <c r="GT26" i="4"/>
  <c r="RG26" i="4"/>
  <c r="TG17" i="4"/>
  <c r="NV17" i="4"/>
  <c r="IP17" i="4"/>
  <c r="TG9" i="4"/>
  <c r="NV9" i="4"/>
  <c r="IP9" i="4"/>
  <c r="NV21" i="4"/>
  <c r="IP21" i="4"/>
  <c r="TG21" i="4"/>
  <c r="NV10" i="4"/>
  <c r="IP10" i="4"/>
  <c r="TG10" i="4"/>
  <c r="NV13" i="4"/>
  <c r="IP13" i="4"/>
  <c r="TG13" i="4"/>
  <c r="TG15" i="4"/>
  <c r="NV15" i="4"/>
  <c r="IP15" i="4"/>
  <c r="TG37" i="4"/>
  <c r="NV37" i="4"/>
  <c r="IP37" i="4"/>
  <c r="TG8" i="4"/>
  <c r="IP8" i="4"/>
  <c r="NV8" i="4"/>
  <c r="RM5" i="4"/>
  <c r="RM9" i="4"/>
  <c r="RM15" i="4"/>
  <c r="RM19" i="4"/>
  <c r="RM21" i="4"/>
  <c r="RM25" i="4"/>
  <c r="RM28" i="4"/>
  <c r="RM33" i="4"/>
  <c r="RM37" i="4"/>
  <c r="MA5" i="4" l="1"/>
  <c r="MA6" i="4" s="1"/>
  <c r="MA7" i="4" s="1"/>
  <c r="MA8" i="4" s="1"/>
  <c r="MA9" i="4" s="1"/>
  <c r="MA10" i="4" s="1"/>
  <c r="MA11" i="4" s="1"/>
  <c r="MA12" i="4" s="1"/>
  <c r="MA13" i="4" s="1"/>
  <c r="MA14" i="4" s="1"/>
  <c r="MA15" i="4" s="1"/>
  <c r="MA16" i="4" s="1"/>
  <c r="MA17" i="4" s="1"/>
  <c r="MA18" i="4" s="1"/>
  <c r="MA19" i="4" s="1"/>
  <c r="MA20" i="4" s="1"/>
  <c r="MA21" i="4" s="1"/>
  <c r="MA22" i="4" s="1"/>
  <c r="MA23" i="4" s="1"/>
  <c r="MA24" i="4" s="1"/>
  <c r="MA25" i="4" s="1"/>
  <c r="MA26" i="4" s="1"/>
  <c r="MA27" i="4" s="1"/>
  <c r="MA28" i="4" s="1"/>
  <c r="MA29" i="4" s="1"/>
  <c r="MA30" i="4" s="1"/>
  <c r="MA31" i="4" s="1"/>
  <c r="MA32" i="4" s="1"/>
  <c r="MA33" i="4" s="1"/>
  <c r="MA34" i="4" s="1"/>
  <c r="MA35" i="4" s="1"/>
  <c r="MA36" i="4" s="1"/>
  <c r="MA37" i="4" s="1"/>
  <c r="MA38" i="4" s="1"/>
  <c r="MA39" i="4" s="1"/>
  <c r="MA40" i="4" s="1"/>
  <c r="NW5" i="4"/>
  <c r="NW6" i="4" s="1"/>
  <c r="NW7" i="4" s="1"/>
  <c r="NW8" i="4" s="1"/>
  <c r="NW9" i="4" s="1"/>
  <c r="NW10" i="4" s="1"/>
  <c r="NW11" i="4" s="1"/>
  <c r="NW12" i="4" s="1"/>
  <c r="NW13" i="4" s="1"/>
  <c r="NW14" i="4" s="1"/>
  <c r="NW15" i="4" s="1"/>
  <c r="NW16" i="4" s="1"/>
  <c r="NW17" i="4" s="1"/>
  <c r="NW18" i="4" s="1"/>
  <c r="NW19" i="4" s="1"/>
  <c r="NW20" i="4" s="1"/>
  <c r="NW21" i="4" s="1"/>
  <c r="NW22" i="4" s="1"/>
  <c r="NW23" i="4" s="1"/>
  <c r="NW24" i="4" s="1"/>
  <c r="NW25" i="4" s="1"/>
  <c r="NW26" i="4" s="1"/>
  <c r="NW27" i="4" s="1"/>
  <c r="NW28" i="4" s="1"/>
  <c r="NW29" i="4" s="1"/>
  <c r="NW30" i="4" s="1"/>
  <c r="NW31" i="4" s="1"/>
  <c r="NW32" i="4" s="1"/>
  <c r="NW33" i="4" s="1"/>
  <c r="NW34" i="4" s="1"/>
  <c r="NW35" i="4" s="1"/>
  <c r="NW36" i="4" s="1"/>
  <c r="NW37" i="4" s="1"/>
  <c r="NW38" i="4" s="1"/>
  <c r="NW39" i="4" s="1"/>
  <c r="NW40" i="4" s="1"/>
  <c r="TS33" i="4"/>
  <c r="OH33" i="4"/>
  <c r="JB33" i="4"/>
  <c r="GN32" i="4"/>
  <c r="GN30" i="4"/>
  <c r="OH39" i="4"/>
  <c r="JB39" i="4"/>
  <c r="TS39" i="4"/>
  <c r="OH27" i="4"/>
  <c r="JB27" i="4"/>
  <c r="TS27" i="4"/>
  <c r="OH28" i="4"/>
  <c r="JB28" i="4"/>
  <c r="TS28" i="4"/>
  <c r="OH23" i="4"/>
  <c r="JB23" i="4"/>
  <c r="TS23" i="4"/>
  <c r="OH22" i="4"/>
  <c r="JB22" i="4"/>
  <c r="TS22" i="4"/>
  <c r="TS36" i="4"/>
  <c r="OH36" i="4"/>
  <c r="JB36" i="4"/>
  <c r="OH20" i="4"/>
  <c r="JB20" i="4"/>
  <c r="TS20" i="4"/>
  <c r="TI38" i="4"/>
  <c r="TI36" i="4"/>
  <c r="TI30" i="4"/>
  <c r="TI26" i="4"/>
  <c r="TI22" i="4"/>
  <c r="TI17" i="4"/>
  <c r="TI13" i="4"/>
  <c r="TI10" i="4"/>
  <c r="TI6" i="4"/>
  <c r="TH5" i="4"/>
  <c r="TH6" i="4" s="1"/>
  <c r="TH7" i="4" s="1"/>
  <c r="TH8" i="4" s="1"/>
  <c r="TH9" i="4" s="1"/>
  <c r="TH10" i="4" s="1"/>
  <c r="TH11" i="4" s="1"/>
  <c r="TH12" i="4" s="1"/>
  <c r="TH13" i="4" s="1"/>
  <c r="TH14" i="4" s="1"/>
  <c r="TH15" i="4" s="1"/>
  <c r="TH16" i="4" s="1"/>
  <c r="TH17" i="4" s="1"/>
  <c r="TH18" i="4" s="1"/>
  <c r="TH19" i="4" s="1"/>
  <c r="TH20" i="4" s="1"/>
  <c r="TH21" i="4" s="1"/>
  <c r="TH22" i="4" s="1"/>
  <c r="TH23" i="4" s="1"/>
  <c r="TH24" i="4" s="1"/>
  <c r="TH25" i="4" s="1"/>
  <c r="TH26" i="4" s="1"/>
  <c r="TH27" i="4" s="1"/>
  <c r="TH28" i="4" s="1"/>
  <c r="TH29" i="4" s="1"/>
  <c r="TH30" i="4" s="1"/>
  <c r="TH31" i="4" s="1"/>
  <c r="TH32" i="4" s="1"/>
  <c r="TH33" i="4" s="1"/>
  <c r="TH34" i="4" s="1"/>
  <c r="TH35" i="4" s="1"/>
  <c r="TH36" i="4" s="1"/>
  <c r="TH37" i="4" s="1"/>
  <c r="TH38" i="4" s="1"/>
  <c r="TH39" i="4" s="1"/>
  <c r="TH40" i="4" s="1"/>
  <c r="LS13" i="4"/>
  <c r="LS14" i="4" s="1"/>
  <c r="LS15" i="4" s="1"/>
  <c r="LS16" i="4" s="1"/>
  <c r="LS17" i="4" s="1"/>
  <c r="LS18" i="4" s="1"/>
  <c r="LS19" i="4" s="1"/>
  <c r="LS20" i="4" s="1"/>
  <c r="LS21" i="4" s="1"/>
  <c r="LS22" i="4" s="1"/>
  <c r="LS23" i="4" s="1"/>
  <c r="LS24" i="4" s="1"/>
  <c r="LS25" i="4" s="1"/>
  <c r="LS26" i="4" s="1"/>
  <c r="LS27" i="4" s="1"/>
  <c r="LS28" i="4" s="1"/>
  <c r="LS29" i="4" s="1"/>
  <c r="LS30" i="4" s="1"/>
  <c r="LS31" i="4" s="1"/>
  <c r="LS32" i="4" s="1"/>
  <c r="LS33" i="4" s="1"/>
  <c r="LS34" i="4" s="1"/>
  <c r="LS35" i="4" s="1"/>
  <c r="LS36" i="4" s="1"/>
  <c r="LS37" i="4" s="1"/>
  <c r="LS38" i="4" s="1"/>
  <c r="LS39" i="4" s="1"/>
  <c r="LS40" i="4" s="1"/>
  <c r="LT13" i="4" s="1"/>
  <c r="LT37" i="4"/>
  <c r="LT41" i="4"/>
  <c r="GN12" i="4"/>
  <c r="GN41" i="4"/>
  <c r="GN36" i="4"/>
  <c r="GN33" i="4"/>
  <c r="GN17" i="4"/>
  <c r="GN5" i="4"/>
  <c r="GN31" i="4"/>
  <c r="GN29" i="4"/>
  <c r="GN16" i="4"/>
  <c r="GN39" i="4"/>
  <c r="GN19" i="4"/>
  <c r="GN10" i="4"/>
  <c r="GN13" i="4"/>
  <c r="GN37" i="4"/>
  <c r="GN24" i="4"/>
  <c r="GN23" i="4"/>
  <c r="GN15" i="4"/>
  <c r="GN27" i="4"/>
  <c r="GN25" i="4"/>
  <c r="GN18" i="4"/>
  <c r="GN9" i="4"/>
  <c r="GN6" i="4"/>
  <c r="GN34" i="4"/>
  <c r="GN8" i="4"/>
  <c r="GN20" i="4"/>
  <c r="GN42" i="4"/>
  <c r="GN35" i="4"/>
  <c r="GA13" i="4"/>
  <c r="GA14" i="4" s="1"/>
  <c r="GA15" i="4" s="1"/>
  <c r="GA16" i="4" s="1"/>
  <c r="GA17" i="4" s="1"/>
  <c r="GA18" i="4" s="1"/>
  <c r="GA19" i="4" s="1"/>
  <c r="GA20" i="4" s="1"/>
  <c r="GA21" i="4" s="1"/>
  <c r="GA22" i="4" s="1"/>
  <c r="GA23" i="4" s="1"/>
  <c r="GA24" i="4" s="1"/>
  <c r="GA25" i="4" s="1"/>
  <c r="GA26" i="4" s="1"/>
  <c r="GA27" i="4" s="1"/>
  <c r="GA28" i="4" s="1"/>
  <c r="GA29" i="4" s="1"/>
  <c r="GA30" i="4" s="1"/>
  <c r="GA31" i="4" s="1"/>
  <c r="GA32" i="4" s="1"/>
  <c r="GA33" i="4" s="1"/>
  <c r="GA34" i="4" s="1"/>
  <c r="GA35" i="4" s="1"/>
  <c r="GA36" i="4" s="1"/>
  <c r="GA37" i="4" s="1"/>
  <c r="GA38" i="4" s="1"/>
  <c r="GA39" i="4" s="1"/>
  <c r="GA40" i="4" s="1"/>
  <c r="GB15" i="4" s="1"/>
  <c r="GB7" i="4"/>
  <c r="GB31" i="4"/>
  <c r="GB21" i="4"/>
  <c r="GB37" i="4"/>
  <c r="GB11" i="4"/>
  <c r="GB42" i="4"/>
  <c r="GB4" i="4"/>
  <c r="GB9" i="4"/>
  <c r="GB29" i="4"/>
  <c r="OH25" i="4"/>
  <c r="JB25" i="4"/>
  <c r="TS25" i="4"/>
  <c r="TS6" i="4"/>
  <c r="OH6" i="4"/>
  <c r="JB6" i="4"/>
  <c r="TS15" i="4"/>
  <c r="OH15" i="4"/>
  <c r="JB15" i="4"/>
  <c r="TS16" i="4"/>
  <c r="JB16" i="4"/>
  <c r="OH16" i="4"/>
  <c r="TS7" i="4"/>
  <c r="JB7" i="4"/>
  <c r="OH7" i="4"/>
  <c r="OH14" i="4"/>
  <c r="JB14" i="4"/>
  <c r="TS14" i="4"/>
  <c r="TS32" i="4"/>
  <c r="OH32" i="4"/>
  <c r="JB32" i="4"/>
  <c r="KI11" i="4"/>
  <c r="CA5" i="3"/>
  <c r="CA6" i="3" s="1"/>
  <c r="CA7" i="3" s="1"/>
  <c r="CA8" i="3" s="1"/>
  <c r="CA9" i="3" s="1"/>
  <c r="CA10" i="3" s="1"/>
  <c r="CA11" i="3" s="1"/>
  <c r="CA12" i="3" s="1"/>
  <c r="CA13" i="3" s="1"/>
  <c r="CA14" i="3" s="1"/>
  <c r="CA15" i="3" s="1"/>
  <c r="CA16" i="3" s="1"/>
  <c r="CA17" i="3" s="1"/>
  <c r="CA18" i="3" s="1"/>
  <c r="CA19" i="3" s="1"/>
  <c r="CA20" i="3" s="1"/>
  <c r="CA21" i="3" s="1"/>
  <c r="CA22" i="3" s="1"/>
  <c r="CA23" i="3" s="1"/>
  <c r="CA24" i="3" s="1"/>
  <c r="CA25" i="3" s="1"/>
  <c r="CA26" i="3" s="1"/>
  <c r="CA27" i="3" s="1"/>
  <c r="CA28" i="3" s="1"/>
  <c r="CA29" i="3" s="1"/>
  <c r="CA30" i="3" s="1"/>
  <c r="CA31" i="3" s="1"/>
  <c r="CA32" i="3" s="1"/>
  <c r="CA33" i="3" s="1"/>
  <c r="CA34" i="3" s="1"/>
  <c r="CA35" i="3" s="1"/>
  <c r="CA36" i="3" s="1"/>
  <c r="CA37" i="3" s="1"/>
  <c r="CA38" i="3" s="1"/>
  <c r="CA39" i="3" s="1"/>
  <c r="CA40" i="3" s="1"/>
  <c r="CA41" i="3" s="1"/>
  <c r="CA42" i="3" s="1"/>
  <c r="RI40" i="4"/>
  <c r="RI38" i="4"/>
  <c r="RI37" i="4"/>
  <c r="RI36" i="4"/>
  <c r="RI35" i="4"/>
  <c r="RI33" i="4"/>
  <c r="RI31" i="4"/>
  <c r="RI29" i="4"/>
  <c r="RI28" i="4"/>
  <c r="RI30" i="4"/>
  <c r="RI26" i="4"/>
  <c r="RI24" i="4"/>
  <c r="RI23" i="4"/>
  <c r="RI21" i="4"/>
  <c r="RI25" i="4"/>
  <c r="RI18" i="4"/>
  <c r="RI19" i="4"/>
  <c r="RI20" i="4"/>
  <c r="RI15" i="4"/>
  <c r="RI16" i="4"/>
  <c r="RI9" i="4"/>
  <c r="RI13" i="4"/>
  <c r="RI11" i="4"/>
  <c r="RI10" i="4"/>
  <c r="RI8" i="4"/>
  <c r="RI6" i="4"/>
  <c r="RI5" i="4"/>
  <c r="RI4" i="4"/>
  <c r="RH5" i="4"/>
  <c r="RH6" i="4" s="1"/>
  <c r="RH7" i="4" s="1"/>
  <c r="RH8" i="4" s="1"/>
  <c r="RH9" i="4" s="1"/>
  <c r="RH10" i="4" s="1"/>
  <c r="RH11" i="4" s="1"/>
  <c r="RH12" i="4" s="1"/>
  <c r="RH13" i="4" s="1"/>
  <c r="RH14" i="4" s="1"/>
  <c r="RH15" i="4" s="1"/>
  <c r="RH16" i="4" s="1"/>
  <c r="RH17" i="4" s="1"/>
  <c r="RH18" i="4" s="1"/>
  <c r="RH19" i="4" s="1"/>
  <c r="RH20" i="4" s="1"/>
  <c r="RH21" i="4" s="1"/>
  <c r="RH22" i="4" s="1"/>
  <c r="RH23" i="4" s="1"/>
  <c r="RH24" i="4" s="1"/>
  <c r="RH25" i="4" s="1"/>
  <c r="RH26" i="4" s="1"/>
  <c r="RH27" i="4" s="1"/>
  <c r="RH28" i="4" s="1"/>
  <c r="RH29" i="4" s="1"/>
  <c r="RH30" i="4" s="1"/>
  <c r="RH31" i="4" s="1"/>
  <c r="RH32" i="4" s="1"/>
  <c r="RH33" i="4" s="1"/>
  <c r="RH34" i="4" s="1"/>
  <c r="RH35" i="4" s="1"/>
  <c r="RH36" i="4" s="1"/>
  <c r="RH37" i="4" s="1"/>
  <c r="RH38" i="4" s="1"/>
  <c r="RH39" i="4" s="1"/>
  <c r="RH40" i="4" s="1"/>
  <c r="AX41" i="3"/>
  <c r="AX37" i="3"/>
  <c r="AX33" i="3"/>
  <c r="AX29" i="3"/>
  <c r="AX5" i="3"/>
  <c r="AX19" i="3"/>
  <c r="AW5" i="3"/>
  <c r="AW6" i="3" s="1"/>
  <c r="AW7" i="3" s="1"/>
  <c r="AW8" i="3" s="1"/>
  <c r="AW9" i="3" s="1"/>
  <c r="AW10" i="3" s="1"/>
  <c r="AW11" i="3" s="1"/>
  <c r="AW12" i="3" s="1"/>
  <c r="AW13" i="3" s="1"/>
  <c r="AW14" i="3" s="1"/>
  <c r="AW15" i="3" s="1"/>
  <c r="AW16" i="3" s="1"/>
  <c r="AW17" i="3" s="1"/>
  <c r="AW18" i="3" s="1"/>
  <c r="AW19" i="3" s="1"/>
  <c r="AW20" i="3" s="1"/>
  <c r="AW21" i="3" s="1"/>
  <c r="AW22" i="3" s="1"/>
  <c r="AW23" i="3" s="1"/>
  <c r="AW24" i="3" s="1"/>
  <c r="AW25" i="3" s="1"/>
  <c r="AW26" i="3" s="1"/>
  <c r="AW27" i="3" s="1"/>
  <c r="AW28" i="3" s="1"/>
  <c r="AW29" i="3" s="1"/>
  <c r="AW30" i="3" s="1"/>
  <c r="AW31" i="3" s="1"/>
  <c r="AW32" i="3" s="1"/>
  <c r="AW33" i="3" s="1"/>
  <c r="AW34" i="3" s="1"/>
  <c r="AW35" i="3" s="1"/>
  <c r="AW36" i="3" s="1"/>
  <c r="AW37" i="3" s="1"/>
  <c r="AW38" i="3" s="1"/>
  <c r="AW39" i="3" s="1"/>
  <c r="AW40" i="3" s="1"/>
  <c r="AW41" i="3" s="1"/>
  <c r="AW42" i="3" s="1"/>
  <c r="AX20" i="3"/>
  <c r="AX17" i="3"/>
  <c r="AX14" i="3"/>
  <c r="AX13" i="3"/>
  <c r="AX10" i="3"/>
  <c r="AX9" i="3"/>
  <c r="AX6" i="3"/>
  <c r="AX25" i="3"/>
  <c r="RD13" i="4"/>
  <c r="RD14" i="4" s="1"/>
  <c r="RD15" i="4" s="1"/>
  <c r="RD16" i="4" s="1"/>
  <c r="RD17" i="4" s="1"/>
  <c r="RD18" i="4" s="1"/>
  <c r="RD19" i="4" s="1"/>
  <c r="RD20" i="4" s="1"/>
  <c r="RD21" i="4" s="1"/>
  <c r="RD22" i="4" s="1"/>
  <c r="RD23" i="4" s="1"/>
  <c r="RD24" i="4" s="1"/>
  <c r="RD25" i="4" s="1"/>
  <c r="RD26" i="4" s="1"/>
  <c r="RD27" i="4" s="1"/>
  <c r="RD28" i="4" s="1"/>
  <c r="RD29" i="4" s="1"/>
  <c r="RD30" i="4" s="1"/>
  <c r="RD31" i="4" s="1"/>
  <c r="RD32" i="4" s="1"/>
  <c r="RD33" i="4" s="1"/>
  <c r="RD34" i="4" s="1"/>
  <c r="RD35" i="4" s="1"/>
  <c r="RD36" i="4" s="1"/>
  <c r="RD37" i="4" s="1"/>
  <c r="RD38" i="4" s="1"/>
  <c r="RD39" i="4" s="1"/>
  <c r="RD40" i="4" s="1"/>
  <c r="RE10" i="4"/>
  <c r="RE26" i="4"/>
  <c r="BV40" i="3"/>
  <c r="BV36" i="3"/>
  <c r="BV32" i="3"/>
  <c r="BV26" i="3"/>
  <c r="BV5" i="3"/>
  <c r="BV19" i="3"/>
  <c r="BU5" i="3"/>
  <c r="BU6" i="3" s="1"/>
  <c r="BU7" i="3" s="1"/>
  <c r="BU8" i="3" s="1"/>
  <c r="BU9" i="3" s="1"/>
  <c r="BU10" i="3" s="1"/>
  <c r="BU11" i="3" s="1"/>
  <c r="BU12" i="3" s="1"/>
  <c r="BU13" i="3" s="1"/>
  <c r="BU14" i="3" s="1"/>
  <c r="BU15" i="3" s="1"/>
  <c r="BU16" i="3" s="1"/>
  <c r="BU17" i="3" s="1"/>
  <c r="BU18" i="3" s="1"/>
  <c r="BU19" i="3" s="1"/>
  <c r="BU20" i="3" s="1"/>
  <c r="BU21" i="3" s="1"/>
  <c r="BU22" i="3" s="1"/>
  <c r="BU23" i="3" s="1"/>
  <c r="BU24" i="3" s="1"/>
  <c r="BU25" i="3" s="1"/>
  <c r="BU26" i="3" s="1"/>
  <c r="BU27" i="3" s="1"/>
  <c r="BU28" i="3" s="1"/>
  <c r="BU29" i="3" s="1"/>
  <c r="BU30" i="3" s="1"/>
  <c r="BU31" i="3" s="1"/>
  <c r="BU32" i="3" s="1"/>
  <c r="BU33" i="3" s="1"/>
  <c r="BU34" i="3" s="1"/>
  <c r="BU35" i="3" s="1"/>
  <c r="BU36" i="3" s="1"/>
  <c r="BU37" i="3" s="1"/>
  <c r="BU38" i="3" s="1"/>
  <c r="BU39" i="3" s="1"/>
  <c r="BU40" i="3" s="1"/>
  <c r="BU41" i="3" s="1"/>
  <c r="BU42" i="3" s="1"/>
  <c r="BV20" i="3"/>
  <c r="BV16" i="3"/>
  <c r="BV13" i="3"/>
  <c r="BV12" i="3"/>
  <c r="BV9" i="3"/>
  <c r="BV8" i="3"/>
  <c r="BV25" i="3"/>
  <c r="BV21" i="3"/>
  <c r="OH40" i="4"/>
  <c r="JB40" i="4"/>
  <c r="TS40" i="4"/>
  <c r="GN21" i="4"/>
  <c r="GN38" i="4"/>
  <c r="GN26" i="4"/>
  <c r="NG12" i="4"/>
  <c r="IM14" i="4"/>
  <c r="LO13" i="4"/>
  <c r="LO14" i="4" s="1"/>
  <c r="LO15" i="4" s="1"/>
  <c r="LO16" i="4" s="1"/>
  <c r="LO17" i="4" s="1"/>
  <c r="LO18" i="4" s="1"/>
  <c r="LO19" i="4" s="1"/>
  <c r="LO20" i="4" s="1"/>
  <c r="LO21" i="4" s="1"/>
  <c r="LO22" i="4" s="1"/>
  <c r="LO23" i="4" s="1"/>
  <c r="LO24" i="4" s="1"/>
  <c r="LO25" i="4" s="1"/>
  <c r="LO26" i="4" s="1"/>
  <c r="LO27" i="4" s="1"/>
  <c r="LO28" i="4" s="1"/>
  <c r="LO29" i="4" s="1"/>
  <c r="LO30" i="4" s="1"/>
  <c r="LO31" i="4" s="1"/>
  <c r="LO32" i="4" s="1"/>
  <c r="LO33" i="4" s="1"/>
  <c r="LO34" i="4" s="1"/>
  <c r="LO35" i="4" s="1"/>
  <c r="LO36" i="4" s="1"/>
  <c r="LO37" i="4" s="1"/>
  <c r="LO38" i="4" s="1"/>
  <c r="LO39" i="4" s="1"/>
  <c r="LO40" i="4" s="1"/>
  <c r="LP11" i="4"/>
  <c r="LP16" i="4"/>
  <c r="LP18" i="4"/>
  <c r="TS24" i="4"/>
  <c r="JB24" i="4"/>
  <c r="OH24" i="4"/>
  <c r="TS37" i="4"/>
  <c r="OH37" i="4"/>
  <c r="JB37" i="4"/>
  <c r="TS18" i="4"/>
  <c r="OH18" i="4"/>
  <c r="JB18" i="4"/>
  <c r="TS29" i="4"/>
  <c r="OH29" i="4"/>
  <c r="JB29" i="4"/>
  <c r="OH11" i="4"/>
  <c r="JB11" i="4"/>
  <c r="TS11" i="4"/>
  <c r="TS5" i="4"/>
  <c r="TT5" i="4" s="1"/>
  <c r="OH5" i="4"/>
  <c r="JB5" i="4"/>
  <c r="TS31" i="4"/>
  <c r="OH31" i="4"/>
  <c r="JB31" i="4"/>
  <c r="JC5" i="4"/>
  <c r="JC6" i="4" s="1"/>
  <c r="JC7" i="4" s="1"/>
  <c r="JC8" i="4" s="1"/>
  <c r="NC17" i="4"/>
  <c r="GU5" i="4"/>
  <c r="GU6" i="4" s="1"/>
  <c r="GU7" i="4" s="1"/>
  <c r="GU8" i="4" s="1"/>
  <c r="GU9" i="4" s="1"/>
  <c r="GU10" i="4" s="1"/>
  <c r="GU11" i="4" s="1"/>
  <c r="GU12" i="4" s="1"/>
  <c r="GU13" i="4" s="1"/>
  <c r="GU14" i="4" s="1"/>
  <c r="GU15" i="4" s="1"/>
  <c r="GU16" i="4" s="1"/>
  <c r="GU17" i="4" s="1"/>
  <c r="GU18" i="4" s="1"/>
  <c r="GU19" i="4" s="1"/>
  <c r="GU20" i="4" s="1"/>
  <c r="GU21" i="4" s="1"/>
  <c r="GU22" i="4" s="1"/>
  <c r="GU23" i="4" s="1"/>
  <c r="GU24" i="4" s="1"/>
  <c r="GU25" i="4" s="1"/>
  <c r="GU26" i="4" s="1"/>
  <c r="GU27" i="4" s="1"/>
  <c r="GU28" i="4" s="1"/>
  <c r="GU29" i="4" s="1"/>
  <c r="GU30" i="4" s="1"/>
  <c r="GU31" i="4" s="1"/>
  <c r="GU32" i="4" s="1"/>
  <c r="GU33" i="4" s="1"/>
  <c r="GU34" i="4" s="1"/>
  <c r="GU35" i="4" s="1"/>
  <c r="GU36" i="4" s="1"/>
  <c r="GU37" i="4" s="1"/>
  <c r="GU38" i="4" s="1"/>
  <c r="GU39" i="4" s="1"/>
  <c r="GU40" i="4" s="1"/>
  <c r="IR41" i="4"/>
  <c r="IR36" i="4"/>
  <c r="IR33" i="4"/>
  <c r="IR29" i="4"/>
  <c r="IR25" i="4"/>
  <c r="IR21" i="4"/>
  <c r="IR16" i="4"/>
  <c r="IR7" i="4"/>
  <c r="IR11" i="4"/>
  <c r="IR4" i="4"/>
  <c r="IQ5" i="4"/>
  <c r="IQ6" i="4" s="1"/>
  <c r="IQ7" i="4" s="1"/>
  <c r="IQ8" i="4" s="1"/>
  <c r="IQ9" i="4" s="1"/>
  <c r="IQ10" i="4" s="1"/>
  <c r="IQ11" i="4" s="1"/>
  <c r="IQ12" i="4" s="1"/>
  <c r="IQ13" i="4" s="1"/>
  <c r="IQ14" i="4" s="1"/>
  <c r="IQ15" i="4" s="1"/>
  <c r="IQ16" i="4" s="1"/>
  <c r="IQ17" i="4" s="1"/>
  <c r="IQ18" i="4" s="1"/>
  <c r="IQ19" i="4" s="1"/>
  <c r="IQ20" i="4" s="1"/>
  <c r="IQ21" i="4" s="1"/>
  <c r="IQ22" i="4" s="1"/>
  <c r="IQ23" i="4" s="1"/>
  <c r="IQ24" i="4" s="1"/>
  <c r="IQ25" i="4" s="1"/>
  <c r="IQ26" i="4" s="1"/>
  <c r="IQ27" i="4" s="1"/>
  <c r="IQ28" i="4" s="1"/>
  <c r="IQ29" i="4" s="1"/>
  <c r="IQ30" i="4" s="1"/>
  <c r="IQ31" i="4" s="1"/>
  <c r="IQ32" i="4" s="1"/>
  <c r="IQ33" i="4" s="1"/>
  <c r="IQ34" i="4" s="1"/>
  <c r="IQ35" i="4" s="1"/>
  <c r="IQ36" i="4" s="1"/>
  <c r="IQ37" i="4" s="1"/>
  <c r="IQ38" i="4" s="1"/>
  <c r="IQ39" i="4" s="1"/>
  <c r="IQ40" i="4" s="1"/>
  <c r="OH10" i="4"/>
  <c r="JB10" i="4"/>
  <c r="TS10" i="4"/>
  <c r="KR7" i="4"/>
  <c r="KR23" i="4"/>
  <c r="KR10" i="4"/>
  <c r="KR13" i="4"/>
  <c r="KR31" i="4"/>
  <c r="KR42" i="4"/>
  <c r="KR41" i="4"/>
  <c r="KR30" i="4"/>
  <c r="KR4" i="4"/>
  <c r="KR19" i="4"/>
  <c r="KR27" i="4"/>
  <c r="KR18" i="4"/>
  <c r="KR40" i="4"/>
  <c r="KR38" i="4"/>
  <c r="KR39" i="4"/>
  <c r="KR24" i="4"/>
  <c r="KR36" i="4"/>
  <c r="KR15" i="4"/>
  <c r="KR20" i="4"/>
  <c r="KR37" i="4"/>
  <c r="KR32" i="4"/>
  <c r="KR21" i="4"/>
  <c r="KR25" i="4"/>
  <c r="KR33" i="4"/>
  <c r="KR16" i="4"/>
  <c r="KR12" i="4"/>
  <c r="KR29" i="4"/>
  <c r="KR26" i="4"/>
  <c r="KR8" i="4"/>
  <c r="KR6" i="4"/>
  <c r="KR11" i="4"/>
  <c r="KR34" i="4"/>
  <c r="KR5" i="4"/>
  <c r="KR22" i="4"/>
  <c r="KR28" i="4"/>
  <c r="KR17" i="4"/>
  <c r="KR35" i="4"/>
  <c r="KR9" i="4"/>
  <c r="SN17" i="4"/>
  <c r="TS9" i="4"/>
  <c r="JB9" i="4"/>
  <c r="OH9" i="4"/>
  <c r="GN14" i="4"/>
  <c r="GN28" i="4"/>
  <c r="GN7" i="4"/>
  <c r="NS18" i="4"/>
  <c r="UZ10" i="4"/>
  <c r="TS34" i="4"/>
  <c r="OH34" i="4"/>
  <c r="JB34" i="4"/>
  <c r="TS30" i="4"/>
  <c r="OH30" i="4"/>
  <c r="JB30" i="4"/>
  <c r="OH12" i="4"/>
  <c r="JB12" i="4"/>
  <c r="TS12" i="4"/>
  <c r="OH26" i="4"/>
  <c r="JB26" i="4"/>
  <c r="TS26" i="4"/>
  <c r="TS17" i="4"/>
  <c r="OH17" i="4"/>
  <c r="JB17" i="4"/>
  <c r="TS19" i="4"/>
  <c r="OH19" i="4"/>
  <c r="JB19" i="4"/>
  <c r="OH38" i="4"/>
  <c r="JB38" i="4"/>
  <c r="TS38" i="4"/>
  <c r="PO11" i="4"/>
  <c r="OI5" i="4"/>
  <c r="OI6" i="4" s="1"/>
  <c r="OI7" i="4" s="1"/>
  <c r="OI8" i="4" s="1"/>
  <c r="OI9" i="4" s="1"/>
  <c r="OI10" i="4" s="1"/>
  <c r="OI11" i="4" s="1"/>
  <c r="OI12" i="4" s="1"/>
  <c r="OI13" i="4" s="1"/>
  <c r="OI14" i="4" s="1"/>
  <c r="OI15" i="4" s="1"/>
  <c r="OI16" i="4" s="1"/>
  <c r="OI17" i="4" s="1"/>
  <c r="OI18" i="4" s="1"/>
  <c r="OI19" i="4" s="1"/>
  <c r="OI20" i="4" s="1"/>
  <c r="OI21" i="4" s="1"/>
  <c r="OI22" i="4" s="1"/>
  <c r="OI23" i="4" s="1"/>
  <c r="OI24" i="4" s="1"/>
  <c r="OI25" i="4" s="1"/>
  <c r="OI26" i="4" s="1"/>
  <c r="OI27" i="4" s="1"/>
  <c r="OI28" i="4" s="1"/>
  <c r="OI29" i="4" s="1"/>
  <c r="OI30" i="4" s="1"/>
  <c r="OI31" i="4" s="1"/>
  <c r="OI32" i="4" s="1"/>
  <c r="OI33" i="4" s="1"/>
  <c r="OI34" i="4" s="1"/>
  <c r="OI35" i="4" s="1"/>
  <c r="OI36" i="4" s="1"/>
  <c r="OI37" i="4" s="1"/>
  <c r="OI38" i="4" s="1"/>
  <c r="OI39" i="4" s="1"/>
  <c r="OI40" i="4" s="1"/>
  <c r="TT6" i="4" l="1"/>
  <c r="TT7" i="4" s="1"/>
  <c r="TT8" i="4" s="1"/>
  <c r="TT9" i="4" s="1"/>
  <c r="TT10" i="4" s="1"/>
  <c r="TT11" i="4" s="1"/>
  <c r="TT12" i="4" s="1"/>
  <c r="TT13" i="4" s="1"/>
  <c r="TT14" i="4" s="1"/>
  <c r="TT15" i="4" s="1"/>
  <c r="TT16" i="4" s="1"/>
  <c r="TT17" i="4" s="1"/>
  <c r="TT18" i="4" s="1"/>
  <c r="TT19" i="4" s="1"/>
  <c r="TT20" i="4" s="1"/>
  <c r="TT21" i="4" s="1"/>
  <c r="TT22" i="4" s="1"/>
  <c r="TT23" i="4" s="1"/>
  <c r="TT24" i="4" s="1"/>
  <c r="TT25" i="4" s="1"/>
  <c r="TT26" i="4" s="1"/>
  <c r="TT27" i="4" s="1"/>
  <c r="TT28" i="4" s="1"/>
  <c r="TT29" i="4" s="1"/>
  <c r="TT30" i="4" s="1"/>
  <c r="TT31" i="4" s="1"/>
  <c r="TT32" i="4" s="1"/>
  <c r="TT33" i="4" s="1"/>
  <c r="TT34" i="4" s="1"/>
  <c r="TT35" i="4" s="1"/>
  <c r="TT36" i="4" s="1"/>
  <c r="TT37" i="4" s="1"/>
  <c r="TT38" i="4" s="1"/>
  <c r="TT39" i="4" s="1"/>
  <c r="TT40" i="4" s="1"/>
  <c r="TU30" i="4"/>
  <c r="TU9" i="4"/>
  <c r="TU34" i="4"/>
  <c r="TU17" i="4"/>
  <c r="TU38" i="4"/>
  <c r="TU21" i="4"/>
  <c r="TU7" i="4"/>
  <c r="TU24" i="4"/>
  <c r="TU10" i="4"/>
  <c r="OJ6" i="4"/>
  <c r="OJ9" i="4"/>
  <c r="OJ13" i="4"/>
  <c r="OJ16" i="4"/>
  <c r="OJ18" i="4"/>
  <c r="OJ24" i="4"/>
  <c r="OJ27" i="4"/>
  <c r="OJ31" i="4"/>
  <c r="OJ36" i="4"/>
  <c r="OJ40" i="4"/>
  <c r="PO12" i="4"/>
  <c r="SN18" i="4"/>
  <c r="SN19" i="4" s="1"/>
  <c r="SN20" i="4" s="1"/>
  <c r="SN21" i="4" s="1"/>
  <c r="SN22" i="4" s="1"/>
  <c r="SN23" i="4" s="1"/>
  <c r="SN24" i="4" s="1"/>
  <c r="SN25" i="4" s="1"/>
  <c r="SN26" i="4" s="1"/>
  <c r="SN27" i="4" s="1"/>
  <c r="SN28" i="4" s="1"/>
  <c r="SN29" i="4" s="1"/>
  <c r="SN30" i="4" s="1"/>
  <c r="SN31" i="4" s="1"/>
  <c r="SN32" i="4" s="1"/>
  <c r="SN33" i="4" s="1"/>
  <c r="SN34" i="4" s="1"/>
  <c r="SN35" i="4" s="1"/>
  <c r="SN36" i="4" s="1"/>
  <c r="SN37" i="4" s="1"/>
  <c r="SN38" i="4" s="1"/>
  <c r="SN39" i="4" s="1"/>
  <c r="SN40" i="4" s="1"/>
  <c r="SO33" i="4" s="1"/>
  <c r="SO32" i="4"/>
  <c r="SO19" i="4"/>
  <c r="SO36" i="4"/>
  <c r="SO10" i="4"/>
  <c r="SO29" i="4"/>
  <c r="SO21" i="4"/>
  <c r="SO6" i="4"/>
  <c r="OJ10" i="4"/>
  <c r="OJ21" i="4"/>
  <c r="OJ34" i="4"/>
  <c r="IR5" i="4"/>
  <c r="IR12" i="4"/>
  <c r="IR9" i="4"/>
  <c r="IR19" i="4"/>
  <c r="IR22" i="4"/>
  <c r="IR26" i="4"/>
  <c r="IR30" i="4"/>
  <c r="IR34" i="4"/>
  <c r="IR38" i="4"/>
  <c r="IR42" i="4"/>
  <c r="GV4" i="4"/>
  <c r="GV11" i="4"/>
  <c r="GV9" i="4"/>
  <c r="GV19" i="4"/>
  <c r="GV22" i="4"/>
  <c r="GV26" i="4"/>
  <c r="GV32" i="4"/>
  <c r="GV34" i="4"/>
  <c r="GV38" i="4"/>
  <c r="GV42" i="4"/>
  <c r="NC18" i="4"/>
  <c r="NC19" i="4" s="1"/>
  <c r="NC20" i="4" s="1"/>
  <c r="NC21" i="4" s="1"/>
  <c r="NC22" i="4" s="1"/>
  <c r="NC23" i="4" s="1"/>
  <c r="NC24" i="4" s="1"/>
  <c r="NC25" i="4" s="1"/>
  <c r="NC26" i="4" s="1"/>
  <c r="NC27" i="4" s="1"/>
  <c r="NC28" i="4" s="1"/>
  <c r="NC29" i="4" s="1"/>
  <c r="NC30" i="4" s="1"/>
  <c r="NC31" i="4" s="1"/>
  <c r="NC32" i="4" s="1"/>
  <c r="NC33" i="4" s="1"/>
  <c r="NC34" i="4" s="1"/>
  <c r="NC35" i="4" s="1"/>
  <c r="NC36" i="4" s="1"/>
  <c r="NC37" i="4" s="1"/>
  <c r="NC38" i="4" s="1"/>
  <c r="NC39" i="4" s="1"/>
  <c r="NC40" i="4" s="1"/>
  <c r="ND21" i="4" s="1"/>
  <c r="ND8" i="4"/>
  <c r="ND37" i="4"/>
  <c r="ND6" i="4"/>
  <c r="ND13" i="4"/>
  <c r="ND4" i="4"/>
  <c r="ND36" i="4"/>
  <c r="ND18" i="4"/>
  <c r="ND29" i="4"/>
  <c r="LP12" i="4"/>
  <c r="LP4" i="4"/>
  <c r="LP42" i="4"/>
  <c r="LP23" i="4"/>
  <c r="LP40" i="4"/>
  <c r="LP38" i="4"/>
  <c r="LP22" i="4"/>
  <c r="LP28" i="4"/>
  <c r="LP19" i="4"/>
  <c r="LP10" i="4"/>
  <c r="LP24" i="4"/>
  <c r="LP14" i="4"/>
  <c r="LP7" i="4"/>
  <c r="LP25" i="4"/>
  <c r="LP27" i="4"/>
  <c r="LP15" i="4"/>
  <c r="LP29" i="4"/>
  <c r="LP9" i="4"/>
  <c r="LP34" i="4"/>
  <c r="LP17" i="4"/>
  <c r="LP5" i="4"/>
  <c r="LP39" i="4"/>
  <c r="LP35" i="4"/>
  <c r="LP36" i="4"/>
  <c r="LP8" i="4"/>
  <c r="LP31" i="4"/>
  <c r="LP37" i="4"/>
  <c r="LP41" i="4"/>
  <c r="LP20" i="4"/>
  <c r="LP33" i="4"/>
  <c r="LP6" i="4"/>
  <c r="LP13" i="4"/>
  <c r="LP32" i="4"/>
  <c r="LP21" i="4"/>
  <c r="LP30" i="4"/>
  <c r="IM15" i="4"/>
  <c r="IM16" i="4" s="1"/>
  <c r="IM17" i="4" s="1"/>
  <c r="IM18" i="4" s="1"/>
  <c r="IM19" i="4" s="1"/>
  <c r="IM20" i="4" s="1"/>
  <c r="IM21" i="4" s="1"/>
  <c r="IM22" i="4" s="1"/>
  <c r="IM23" i="4" s="1"/>
  <c r="IM24" i="4" s="1"/>
  <c r="IM25" i="4" s="1"/>
  <c r="IM26" i="4" s="1"/>
  <c r="IM27" i="4" s="1"/>
  <c r="IM28" i="4" s="1"/>
  <c r="IM29" i="4" s="1"/>
  <c r="IM30" i="4" s="1"/>
  <c r="IM31" i="4" s="1"/>
  <c r="IM32" i="4" s="1"/>
  <c r="IM33" i="4" s="1"/>
  <c r="IM34" i="4" s="1"/>
  <c r="IM35" i="4" s="1"/>
  <c r="IM36" i="4" s="1"/>
  <c r="IM37" i="4" s="1"/>
  <c r="IM38" i="4" s="1"/>
  <c r="IM39" i="4" s="1"/>
  <c r="IM40" i="4" s="1"/>
  <c r="IN12" i="4" s="1"/>
  <c r="IN19" i="4"/>
  <c r="IN14" i="4"/>
  <c r="IN23" i="4"/>
  <c r="NG13" i="4"/>
  <c r="NG14" i="4" s="1"/>
  <c r="NG15" i="4" s="1"/>
  <c r="NG16" i="4" s="1"/>
  <c r="NG17" i="4" s="1"/>
  <c r="NG18" i="4" s="1"/>
  <c r="NG19" i="4" s="1"/>
  <c r="NG20" i="4" s="1"/>
  <c r="NG21" i="4" s="1"/>
  <c r="NG22" i="4" s="1"/>
  <c r="NG23" i="4" s="1"/>
  <c r="NG24" i="4" s="1"/>
  <c r="NG25" i="4" s="1"/>
  <c r="NG26" i="4" s="1"/>
  <c r="NG27" i="4" s="1"/>
  <c r="NG28" i="4" s="1"/>
  <c r="NG29" i="4" s="1"/>
  <c r="NG30" i="4" s="1"/>
  <c r="NG31" i="4" s="1"/>
  <c r="NG32" i="4" s="1"/>
  <c r="NG33" i="4" s="1"/>
  <c r="NG34" i="4" s="1"/>
  <c r="NG35" i="4" s="1"/>
  <c r="NG36" i="4" s="1"/>
  <c r="NG37" i="4" s="1"/>
  <c r="NG38" i="4" s="1"/>
  <c r="NG39" i="4" s="1"/>
  <c r="NG40" i="4" s="1"/>
  <c r="NH12" i="4" s="1"/>
  <c r="NH27" i="4"/>
  <c r="NH7" i="4"/>
  <c r="NH22" i="4"/>
  <c r="BV6" i="3"/>
  <c r="BV10" i="3"/>
  <c r="BV14" i="3"/>
  <c r="BV24" i="3"/>
  <c r="BV23" i="3"/>
  <c r="BV17" i="3"/>
  <c r="BV29" i="3"/>
  <c r="BV33" i="3"/>
  <c r="BV37" i="3"/>
  <c r="BV41" i="3"/>
  <c r="RE7" i="4"/>
  <c r="RE12" i="4"/>
  <c r="RE39" i="4"/>
  <c r="RE38" i="4"/>
  <c r="RE37" i="4"/>
  <c r="RE21" i="4"/>
  <c r="RE23" i="4"/>
  <c r="RE29" i="4"/>
  <c r="RE36" i="4"/>
  <c r="RE16" i="4"/>
  <c r="RE11" i="4"/>
  <c r="RE17" i="4"/>
  <c r="RE33" i="4"/>
  <c r="RE35" i="4"/>
  <c r="RE27" i="4"/>
  <c r="RE31" i="4"/>
  <c r="RE5" i="4"/>
  <c r="RE8" i="4"/>
  <c r="RE25" i="4"/>
  <c r="RE9" i="4"/>
  <c r="RE14" i="4"/>
  <c r="RE20" i="4"/>
  <c r="RE6" i="4"/>
  <c r="RE24" i="4"/>
  <c r="RE28" i="4"/>
  <c r="RE32" i="4"/>
  <c r="RE15" i="4"/>
  <c r="RE13" i="4"/>
  <c r="RE4" i="4"/>
  <c r="RE30" i="4"/>
  <c r="RE18" i="4"/>
  <c r="RE19" i="4"/>
  <c r="RE34" i="4"/>
  <c r="RE40" i="4"/>
  <c r="RE22" i="4"/>
  <c r="AX7" i="3"/>
  <c r="AX11" i="3"/>
  <c r="AX15" i="3"/>
  <c r="AX24" i="3"/>
  <c r="AX23" i="3"/>
  <c r="AX18" i="3"/>
  <c r="AX30" i="3"/>
  <c r="AX34" i="3"/>
  <c r="AX38" i="3"/>
  <c r="AX42" i="3"/>
  <c r="CB20" i="3"/>
  <c r="CB32" i="3"/>
  <c r="CB23" i="3"/>
  <c r="CB26" i="3"/>
  <c r="CB6" i="3"/>
  <c r="CB10" i="3"/>
  <c r="CB14" i="3"/>
  <c r="CB21" i="3"/>
  <c r="CB36" i="3"/>
  <c r="CB40" i="3"/>
  <c r="LT23" i="4"/>
  <c r="LT39" i="4"/>
  <c r="TI8" i="4"/>
  <c r="TI11" i="4"/>
  <c r="TI14" i="4"/>
  <c r="TI18" i="4"/>
  <c r="TI23" i="4"/>
  <c r="TI27" i="4"/>
  <c r="TI32" i="4"/>
  <c r="TI35" i="4"/>
  <c r="TI39" i="4"/>
  <c r="NX4" i="4"/>
  <c r="NX7" i="4"/>
  <c r="NX12" i="4"/>
  <c r="NX15" i="4"/>
  <c r="NX19" i="4"/>
  <c r="NX22" i="4"/>
  <c r="NX27" i="4"/>
  <c r="NX31" i="4"/>
  <c r="NX35" i="4"/>
  <c r="NX39" i="4"/>
  <c r="MB4" i="4"/>
  <c r="MB7" i="4"/>
  <c r="MB12" i="4"/>
  <c r="MB15" i="4"/>
  <c r="MB19" i="4"/>
  <c r="MB22" i="4"/>
  <c r="MB27" i="4"/>
  <c r="MB31" i="4"/>
  <c r="MB35" i="4"/>
  <c r="MB39" i="4"/>
  <c r="OJ12" i="4"/>
  <c r="OJ17" i="4"/>
  <c r="OJ26" i="4"/>
  <c r="OJ35" i="4"/>
  <c r="OJ4" i="4"/>
  <c r="OJ8" i="4"/>
  <c r="OJ19" i="4"/>
  <c r="OJ28" i="4"/>
  <c r="OJ29" i="4"/>
  <c r="OJ37" i="4"/>
  <c r="OJ42" i="4"/>
  <c r="OJ5" i="4"/>
  <c r="OJ11" i="4"/>
  <c r="OJ14" i="4"/>
  <c r="OJ20" i="4"/>
  <c r="OJ22" i="4"/>
  <c r="OJ25" i="4"/>
  <c r="OJ32" i="4"/>
  <c r="OJ33" i="4"/>
  <c r="OJ38" i="4"/>
  <c r="OJ41" i="4"/>
  <c r="IR6" i="4"/>
  <c r="IR8" i="4"/>
  <c r="IR13" i="4"/>
  <c r="IR17" i="4"/>
  <c r="IR18" i="4"/>
  <c r="IR23" i="4"/>
  <c r="IR27" i="4"/>
  <c r="IR31" i="4"/>
  <c r="IR37" i="4"/>
  <c r="IR39" i="4"/>
  <c r="GV6" i="4"/>
  <c r="GV5" i="4"/>
  <c r="GV12" i="4"/>
  <c r="GV15" i="4"/>
  <c r="GV18" i="4"/>
  <c r="GV23" i="4"/>
  <c r="GV27" i="4"/>
  <c r="GV30" i="4"/>
  <c r="GV37" i="4"/>
  <c r="GV39" i="4"/>
  <c r="LP26" i="4"/>
  <c r="BV7" i="3"/>
  <c r="BV11" i="3"/>
  <c r="BV15" i="3"/>
  <c r="BV28" i="3"/>
  <c r="BV27" i="3"/>
  <c r="BV18" i="3"/>
  <c r="BV30" i="3"/>
  <c r="BV34" i="3"/>
  <c r="BV38" i="3"/>
  <c r="BV42" i="3"/>
  <c r="AX21" i="3"/>
  <c r="AX8" i="3"/>
  <c r="AX12" i="3"/>
  <c r="AX16" i="3"/>
  <c r="AX28" i="3"/>
  <c r="AX27" i="3"/>
  <c r="AX22" i="3"/>
  <c r="AX31" i="3"/>
  <c r="AX35" i="3"/>
  <c r="AX39" i="3"/>
  <c r="RI7" i="4"/>
  <c r="RI12" i="4"/>
  <c r="RI14" i="4"/>
  <c r="RI17" i="4"/>
  <c r="RI22" i="4"/>
  <c r="RI27" i="4"/>
  <c r="RI32" i="4"/>
  <c r="RI34" i="4"/>
  <c r="RI39" i="4"/>
  <c r="CB24" i="3"/>
  <c r="CB4" i="3"/>
  <c r="CB27" i="3"/>
  <c r="CB29" i="3"/>
  <c r="CB7" i="3"/>
  <c r="CB11" i="3"/>
  <c r="CB15" i="3"/>
  <c r="CB25" i="3"/>
  <c r="CB37" i="3"/>
  <c r="CB41" i="3"/>
  <c r="GB30" i="4"/>
  <c r="GB27" i="4"/>
  <c r="LT19" i="4"/>
  <c r="LT25" i="4"/>
  <c r="TI4" i="4"/>
  <c r="TI7" i="4"/>
  <c r="TI12" i="4"/>
  <c r="TI16" i="4"/>
  <c r="TI20" i="4"/>
  <c r="TI24" i="4"/>
  <c r="TI29" i="4"/>
  <c r="TI31" i="4"/>
  <c r="TI34" i="4"/>
  <c r="TI40" i="4"/>
  <c r="NX5" i="4"/>
  <c r="NX9" i="4"/>
  <c r="NX13" i="4"/>
  <c r="NX16" i="4"/>
  <c r="NX20" i="4"/>
  <c r="NX23" i="4"/>
  <c r="NX28" i="4"/>
  <c r="NX32" i="4"/>
  <c r="NX36" i="4"/>
  <c r="NX40" i="4"/>
  <c r="MB5" i="4"/>
  <c r="MB9" i="4"/>
  <c r="MB13" i="4"/>
  <c r="MB16" i="4"/>
  <c r="MB20" i="4"/>
  <c r="MB23" i="4"/>
  <c r="MB28" i="4"/>
  <c r="MB32" i="4"/>
  <c r="MB36" i="4"/>
  <c r="MB40" i="4"/>
  <c r="UZ11" i="4"/>
  <c r="IR10" i="4"/>
  <c r="IR14" i="4"/>
  <c r="IR15" i="4"/>
  <c r="IR20" i="4"/>
  <c r="IR24" i="4"/>
  <c r="IR28" i="4"/>
  <c r="IR32" i="4"/>
  <c r="IR35" i="4"/>
  <c r="IR40" i="4"/>
  <c r="GV7" i="4"/>
  <c r="GV8" i="4"/>
  <c r="GV13" i="4"/>
  <c r="GV17" i="4"/>
  <c r="GV20" i="4"/>
  <c r="GV24" i="4"/>
  <c r="GV28" i="4"/>
  <c r="GV31" i="4"/>
  <c r="GV35" i="4"/>
  <c r="GV40" i="4"/>
  <c r="JC9" i="4"/>
  <c r="BV4" i="3"/>
  <c r="BV22" i="3"/>
  <c r="BV31" i="3"/>
  <c r="BV35" i="3"/>
  <c r="BV39" i="3"/>
  <c r="AX4" i="3"/>
  <c r="AX26" i="3"/>
  <c r="AX32" i="3"/>
  <c r="AX36" i="3"/>
  <c r="AX40" i="3"/>
  <c r="CB28" i="3"/>
  <c r="CB5" i="3"/>
  <c r="CB18" i="3"/>
  <c r="CB31" i="3"/>
  <c r="CB8" i="3"/>
  <c r="CB12" i="3"/>
  <c r="CB16" i="3"/>
  <c r="CB34" i="3"/>
  <c r="CB38" i="3"/>
  <c r="CB42" i="3"/>
  <c r="GB28" i="4"/>
  <c r="GB14" i="4"/>
  <c r="GB40" i="4"/>
  <c r="GB12" i="4"/>
  <c r="GB24" i="4"/>
  <c r="GB25" i="4"/>
  <c r="GB39" i="4"/>
  <c r="GB34" i="4"/>
  <c r="GB41" i="4"/>
  <c r="GB20" i="4"/>
  <c r="GB23" i="4"/>
  <c r="GB5" i="4"/>
  <c r="GB8" i="4"/>
  <c r="GB38" i="4"/>
  <c r="GB17" i="4"/>
  <c r="GB36" i="4"/>
  <c r="GB10" i="4"/>
  <c r="GB18" i="4"/>
  <c r="GB19" i="4"/>
  <c r="GB26" i="4"/>
  <c r="GB16" i="4"/>
  <c r="GB32" i="4"/>
  <c r="GB22" i="4"/>
  <c r="GB35" i="4"/>
  <c r="GB33" i="4"/>
  <c r="GB13" i="4"/>
  <c r="GB6" i="4"/>
  <c r="LT7" i="4"/>
  <c r="LT29" i="4"/>
  <c r="TI5" i="4"/>
  <c r="TI9" i="4"/>
  <c r="TI15" i="4"/>
  <c r="TI19" i="4"/>
  <c r="TI21" i="4"/>
  <c r="TI25" i="4"/>
  <c r="TI28" i="4"/>
  <c r="TI33" i="4"/>
  <c r="TI37" i="4"/>
  <c r="NX6" i="4"/>
  <c r="NX10" i="4"/>
  <c r="NX8" i="4"/>
  <c r="NX17" i="4"/>
  <c r="NX24" i="4"/>
  <c r="NX25" i="4"/>
  <c r="NX29" i="4"/>
  <c r="NX34" i="4"/>
  <c r="NX37" i="4"/>
  <c r="NX41" i="4"/>
  <c r="MB6" i="4"/>
  <c r="MB10" i="4"/>
  <c r="MB8" i="4"/>
  <c r="MB17" i="4"/>
  <c r="MB24" i="4"/>
  <c r="MB25" i="4"/>
  <c r="MB29" i="4"/>
  <c r="MB33" i="4"/>
  <c r="MB37" i="4"/>
  <c r="MB41" i="4"/>
  <c r="OJ7" i="4"/>
  <c r="OJ15" i="4"/>
  <c r="OJ23" i="4"/>
  <c r="OJ30" i="4"/>
  <c r="OJ39" i="4"/>
  <c r="NS19" i="4"/>
  <c r="NS20" i="4" s="1"/>
  <c r="NS21" i="4" s="1"/>
  <c r="NS22" i="4" s="1"/>
  <c r="NS23" i="4" s="1"/>
  <c r="NS24" i="4" s="1"/>
  <c r="NS25" i="4" s="1"/>
  <c r="NS26" i="4" s="1"/>
  <c r="NS27" i="4" s="1"/>
  <c r="NS28" i="4" s="1"/>
  <c r="NS29" i="4" s="1"/>
  <c r="NS30" i="4" s="1"/>
  <c r="NS31" i="4" s="1"/>
  <c r="NS32" i="4" s="1"/>
  <c r="NS33" i="4" s="1"/>
  <c r="NS34" i="4" s="1"/>
  <c r="NS35" i="4" s="1"/>
  <c r="NS36" i="4" s="1"/>
  <c r="NS37" i="4" s="1"/>
  <c r="NS38" i="4" s="1"/>
  <c r="NS39" i="4" s="1"/>
  <c r="NS40" i="4" s="1"/>
  <c r="NT32" i="4" s="1"/>
  <c r="NT33" i="4"/>
  <c r="GV10" i="4"/>
  <c r="GV14" i="4"/>
  <c r="GV16" i="4"/>
  <c r="GV21" i="4"/>
  <c r="GV25" i="4"/>
  <c r="GV29" i="4"/>
  <c r="GV33" i="4"/>
  <c r="GV36" i="4"/>
  <c r="GV41" i="4"/>
  <c r="CB30" i="3"/>
  <c r="CB19" i="3"/>
  <c r="CB22" i="3"/>
  <c r="CB33" i="3"/>
  <c r="CB9" i="3"/>
  <c r="CB13" i="3"/>
  <c r="CB17" i="3"/>
  <c r="CB35" i="3"/>
  <c r="CB39" i="3"/>
  <c r="KI12" i="4"/>
  <c r="LT18" i="4"/>
  <c r="LT21" i="4"/>
  <c r="LT8" i="4"/>
  <c r="LT31" i="4"/>
  <c r="LT11" i="4"/>
  <c r="LT28" i="4"/>
  <c r="LT27" i="4"/>
  <c r="LT9" i="4"/>
  <c r="LT33" i="4"/>
  <c r="LT17" i="4"/>
  <c r="LT42" i="4"/>
  <c r="LT35" i="4"/>
  <c r="LT6" i="4"/>
  <c r="LT10" i="4"/>
  <c r="LT24" i="4"/>
  <c r="LT30" i="4"/>
  <c r="LT5" i="4"/>
  <c r="LT36" i="4"/>
  <c r="LT38" i="4"/>
  <c r="LT12" i="4"/>
  <c r="LT26" i="4"/>
  <c r="LT14" i="4"/>
  <c r="LT34" i="4"/>
  <c r="LT16" i="4"/>
  <c r="LT22" i="4"/>
  <c r="LT32" i="4"/>
  <c r="LT15" i="4"/>
  <c r="LT20" i="4"/>
  <c r="LT40" i="4"/>
  <c r="LT4" i="4"/>
  <c r="NX11" i="4"/>
  <c r="NX14" i="4"/>
  <c r="NX18" i="4"/>
  <c r="NX21" i="4"/>
  <c r="NX26" i="4"/>
  <c r="NX30" i="4"/>
  <c r="NX33" i="4"/>
  <c r="NX38" i="4"/>
  <c r="NX42" i="4"/>
  <c r="MB11" i="4"/>
  <c r="MB14" i="4"/>
  <c r="MB18" i="4"/>
  <c r="MB21" i="4"/>
  <c r="MB26" i="4"/>
  <c r="MB30" i="4"/>
  <c r="MB34" i="4"/>
  <c r="MB38" i="4"/>
  <c r="MB42" i="4"/>
  <c r="NT21" i="4" l="1"/>
  <c r="IN7" i="4"/>
  <c r="IN16" i="4"/>
  <c r="IN40" i="4"/>
  <c r="ND27" i="4"/>
  <c r="SO15" i="4"/>
  <c r="SO40" i="4"/>
  <c r="TU5" i="4"/>
  <c r="TU25" i="4"/>
  <c r="TU37" i="4"/>
  <c r="TU20" i="4"/>
  <c r="TU35" i="4"/>
  <c r="TU14" i="4"/>
  <c r="TU32" i="4"/>
  <c r="TU8" i="4"/>
  <c r="TU23" i="4"/>
  <c r="TU40" i="4"/>
  <c r="JC10" i="4"/>
  <c r="IN29" i="4"/>
  <c r="IN8" i="4"/>
  <c r="IN26" i="4"/>
  <c r="IN41" i="4"/>
  <c r="IN36" i="4"/>
  <c r="IN9" i="4"/>
  <c r="IN4" i="4"/>
  <c r="IN13" i="4"/>
  <c r="IN25" i="4"/>
  <c r="IN17" i="4"/>
  <c r="IN22" i="4"/>
  <c r="IN32" i="4"/>
  <c r="IN39" i="4"/>
  <c r="IN33" i="4"/>
  <c r="IN28" i="4"/>
  <c r="IN42" i="4"/>
  <c r="IN38" i="4"/>
  <c r="IN6" i="4"/>
  <c r="IN30" i="4"/>
  <c r="IN37" i="4"/>
  <c r="IN11" i="4"/>
  <c r="IN20" i="4"/>
  <c r="IN10" i="4"/>
  <c r="IN34" i="4"/>
  <c r="IN21" i="4"/>
  <c r="PO13" i="4"/>
  <c r="NT15" i="4"/>
  <c r="NT39" i="4"/>
  <c r="NT36" i="4"/>
  <c r="NT24" i="4"/>
  <c r="NT26" i="4"/>
  <c r="NT12" i="4"/>
  <c r="NT4" i="4"/>
  <c r="NT23" i="4"/>
  <c r="NT6" i="4"/>
  <c r="NT8" i="4"/>
  <c r="NT18" i="4"/>
  <c r="NT13" i="4"/>
  <c r="NT41" i="4"/>
  <c r="NT11" i="4"/>
  <c r="NT30" i="4"/>
  <c r="NT25" i="4"/>
  <c r="NT31" i="4"/>
  <c r="NT14" i="4"/>
  <c r="NT10" i="4"/>
  <c r="NT7" i="4"/>
  <c r="NT5" i="4"/>
  <c r="NT16" i="4"/>
  <c r="NT22" i="4"/>
  <c r="NT37" i="4"/>
  <c r="NT40" i="4"/>
  <c r="NT42" i="4"/>
  <c r="NT9" i="4"/>
  <c r="NT38" i="4"/>
  <c r="NT28" i="4"/>
  <c r="NT20" i="4"/>
  <c r="NT27" i="4"/>
  <c r="NT17" i="4"/>
  <c r="NT19" i="4"/>
  <c r="NT35" i="4"/>
  <c r="NT34" i="4"/>
  <c r="NH16" i="4"/>
  <c r="NH41" i="4"/>
  <c r="NH6" i="4"/>
  <c r="NH42" i="4"/>
  <c r="NH33" i="4"/>
  <c r="NH17" i="4"/>
  <c r="NH30" i="4"/>
  <c r="NH25" i="4"/>
  <c r="NH32" i="4"/>
  <c r="NH11" i="4"/>
  <c r="NH26" i="4"/>
  <c r="NH36" i="4"/>
  <c r="NH10" i="4"/>
  <c r="NH24" i="4"/>
  <c r="NH14" i="4"/>
  <c r="NH20" i="4"/>
  <c r="NH5" i="4"/>
  <c r="NH37" i="4"/>
  <c r="NH23" i="4"/>
  <c r="NH40" i="4"/>
  <c r="NH38" i="4"/>
  <c r="NH21" i="4"/>
  <c r="NH34" i="4"/>
  <c r="NH28" i="4"/>
  <c r="NH29" i="4"/>
  <c r="NH19" i="4"/>
  <c r="NH13" i="4"/>
  <c r="NH8" i="4"/>
  <c r="NH18" i="4"/>
  <c r="NH9" i="4"/>
  <c r="NH4" i="4"/>
  <c r="NH31" i="4"/>
  <c r="NH35" i="4"/>
  <c r="NH15" i="4"/>
  <c r="IN15" i="4"/>
  <c r="IN27" i="4"/>
  <c r="IN18" i="4"/>
  <c r="SO7" i="4"/>
  <c r="SO12" i="4"/>
  <c r="SO39" i="4"/>
  <c r="SO22" i="4"/>
  <c r="SO27" i="4"/>
  <c r="SO14" i="4"/>
  <c r="SO28" i="4"/>
  <c r="SO37" i="4"/>
  <c r="SO9" i="4"/>
  <c r="SO25" i="4"/>
  <c r="SO35" i="4"/>
  <c r="SO17" i="4"/>
  <c r="SO30" i="4"/>
  <c r="SO5" i="4"/>
  <c r="SO20" i="4"/>
  <c r="SO18" i="4"/>
  <c r="SO26" i="4"/>
  <c r="SO13" i="4"/>
  <c r="SO8" i="4"/>
  <c r="SO34" i="4"/>
  <c r="SO11" i="4"/>
  <c r="SO4" i="4"/>
  <c r="SO31" i="4"/>
  <c r="SO23" i="4"/>
  <c r="TU16" i="4"/>
  <c r="TU28" i="4"/>
  <c r="TU11" i="4"/>
  <c r="TU26" i="4"/>
  <c r="TU6" i="4"/>
  <c r="TU22" i="4"/>
  <c r="TU39" i="4"/>
  <c r="TU15" i="4"/>
  <c r="TU31" i="4"/>
  <c r="KI13" i="4"/>
  <c r="NT29" i="4"/>
  <c r="UZ12" i="4"/>
  <c r="NH39" i="4"/>
  <c r="IN24" i="4"/>
  <c r="IN35" i="4"/>
  <c r="IN5" i="4"/>
  <c r="IN31" i="4"/>
  <c r="ND41" i="4"/>
  <c r="ND20" i="4"/>
  <c r="ND14" i="4"/>
  <c r="ND40" i="4"/>
  <c r="ND19" i="4"/>
  <c r="ND32" i="4"/>
  <c r="ND31" i="4"/>
  <c r="ND25" i="4"/>
  <c r="ND42" i="4"/>
  <c r="ND35" i="4"/>
  <c r="ND38" i="4"/>
  <c r="ND5" i="4"/>
  <c r="ND16" i="4"/>
  <c r="ND34" i="4"/>
  <c r="ND22" i="4"/>
  <c r="ND7" i="4"/>
  <c r="ND12" i="4"/>
  <c r="ND11" i="4"/>
  <c r="ND28" i="4"/>
  <c r="ND10" i="4"/>
  <c r="ND39" i="4"/>
  <c r="ND33" i="4"/>
  <c r="ND24" i="4"/>
  <c r="ND15" i="4"/>
  <c r="ND17" i="4"/>
  <c r="ND23" i="4"/>
  <c r="ND26" i="4"/>
  <c r="ND9" i="4"/>
  <c r="ND30" i="4"/>
  <c r="SO38" i="4"/>
  <c r="SO24" i="4"/>
  <c r="SO16" i="4"/>
  <c r="TU19" i="4"/>
  <c r="TU33" i="4"/>
  <c r="TU13" i="4"/>
  <c r="TU29" i="4"/>
  <c r="TU12" i="4"/>
  <c r="TU27" i="4"/>
  <c r="TU4" i="4"/>
  <c r="TU18" i="4"/>
  <c r="TU36" i="4"/>
  <c r="UZ13" i="4" l="1"/>
  <c r="UZ14" i="4" s="1"/>
  <c r="UZ15" i="4" s="1"/>
  <c r="UZ16" i="4" s="1"/>
  <c r="UZ17" i="4" s="1"/>
  <c r="UZ18" i="4" s="1"/>
  <c r="UZ19" i="4" s="1"/>
  <c r="UZ20" i="4" s="1"/>
  <c r="UZ21" i="4" s="1"/>
  <c r="UZ22" i="4" s="1"/>
  <c r="UZ23" i="4" s="1"/>
  <c r="UZ24" i="4" s="1"/>
  <c r="UZ25" i="4" s="1"/>
  <c r="UZ26" i="4" s="1"/>
  <c r="UZ27" i="4" s="1"/>
  <c r="UZ28" i="4" s="1"/>
  <c r="UZ29" i="4" s="1"/>
  <c r="UZ30" i="4" s="1"/>
  <c r="UZ31" i="4" s="1"/>
  <c r="UZ32" i="4" s="1"/>
  <c r="UZ33" i="4" s="1"/>
  <c r="UZ34" i="4" s="1"/>
  <c r="UZ35" i="4" s="1"/>
  <c r="UZ36" i="4" s="1"/>
  <c r="UZ37" i="4" s="1"/>
  <c r="UZ38" i="4" s="1"/>
  <c r="UZ39" i="4" s="1"/>
  <c r="UZ40" i="4" s="1"/>
  <c r="VA35" i="4" s="1"/>
  <c r="PO14" i="4"/>
  <c r="PO15" i="4" s="1"/>
  <c r="PO16" i="4" s="1"/>
  <c r="PO17" i="4" s="1"/>
  <c r="PO18" i="4" s="1"/>
  <c r="PO19" i="4" s="1"/>
  <c r="PO20" i="4" s="1"/>
  <c r="PO21" i="4" s="1"/>
  <c r="PO22" i="4" s="1"/>
  <c r="PO23" i="4" s="1"/>
  <c r="PO24" i="4" s="1"/>
  <c r="PO25" i="4" s="1"/>
  <c r="PO26" i="4" s="1"/>
  <c r="PO27" i="4" s="1"/>
  <c r="PO28" i="4" s="1"/>
  <c r="PO29" i="4" s="1"/>
  <c r="PO30" i="4" s="1"/>
  <c r="PO31" i="4" s="1"/>
  <c r="PO32" i="4" s="1"/>
  <c r="PO33" i="4" s="1"/>
  <c r="PO34" i="4" s="1"/>
  <c r="PO35" i="4" s="1"/>
  <c r="PO36" i="4" s="1"/>
  <c r="PO37" i="4" s="1"/>
  <c r="PO38" i="4" s="1"/>
  <c r="PO39" i="4" s="1"/>
  <c r="PO40" i="4" s="1"/>
  <c r="PP41" i="4" s="1"/>
  <c r="JC11" i="4"/>
  <c r="KI14" i="4"/>
  <c r="KI15" i="4" s="1"/>
  <c r="KI16" i="4" s="1"/>
  <c r="KI17" i="4" s="1"/>
  <c r="KI18" i="4" s="1"/>
  <c r="KI19" i="4" s="1"/>
  <c r="KI20" i="4" s="1"/>
  <c r="KI21" i="4" s="1"/>
  <c r="KI22" i="4" s="1"/>
  <c r="KI23" i="4" s="1"/>
  <c r="KI24" i="4" s="1"/>
  <c r="KI25" i="4" s="1"/>
  <c r="KI26" i="4" s="1"/>
  <c r="KI27" i="4" s="1"/>
  <c r="KI28" i="4" s="1"/>
  <c r="KI29" i="4" s="1"/>
  <c r="KI30" i="4" s="1"/>
  <c r="KI31" i="4" s="1"/>
  <c r="KI32" i="4" s="1"/>
  <c r="KI33" i="4" s="1"/>
  <c r="KI34" i="4" s="1"/>
  <c r="KI35" i="4" s="1"/>
  <c r="KI36" i="4" s="1"/>
  <c r="KI37" i="4" s="1"/>
  <c r="KI38" i="4" s="1"/>
  <c r="KI39" i="4" s="1"/>
  <c r="KI40" i="4" s="1"/>
  <c r="KJ14" i="4" l="1"/>
  <c r="KJ40" i="4"/>
  <c r="KJ15" i="4"/>
  <c r="KJ31" i="4"/>
  <c r="KJ24" i="4"/>
  <c r="KJ26" i="4"/>
  <c r="KJ32" i="4"/>
  <c r="KJ25" i="4"/>
  <c r="KJ28" i="4"/>
  <c r="KJ37" i="4"/>
  <c r="KJ13" i="4"/>
  <c r="KJ38" i="4"/>
  <c r="KJ7" i="4"/>
  <c r="KJ9" i="4"/>
  <c r="KJ22" i="4"/>
  <c r="KJ4" i="4"/>
  <c r="KJ20" i="4"/>
  <c r="KJ12" i="4"/>
  <c r="KJ36" i="4"/>
  <c r="KJ17" i="4"/>
  <c r="KJ42" i="4"/>
  <c r="KJ29" i="4"/>
  <c r="KJ8" i="4"/>
  <c r="KJ19" i="4"/>
  <c r="KJ33" i="4"/>
  <c r="KJ10" i="4"/>
  <c r="KJ39" i="4"/>
  <c r="KJ11" i="4"/>
  <c r="KJ30" i="4"/>
  <c r="KJ5" i="4"/>
  <c r="KJ23" i="4"/>
  <c r="KJ21" i="4"/>
  <c r="KJ16" i="4"/>
  <c r="KJ27" i="4"/>
  <c r="KJ34" i="4"/>
  <c r="KJ35" i="4"/>
  <c r="KJ41" i="4"/>
  <c r="VA20" i="4"/>
  <c r="PP33" i="4"/>
  <c r="PP35" i="4"/>
  <c r="PP26" i="4"/>
  <c r="PP36" i="4"/>
  <c r="PP32" i="4"/>
  <c r="PP4" i="4"/>
  <c r="PP38" i="4"/>
  <c r="PP27" i="4"/>
  <c r="PP8" i="4"/>
  <c r="PP19" i="4"/>
  <c r="PP22" i="4"/>
  <c r="PP20" i="4"/>
  <c r="PP18" i="4"/>
  <c r="PP7" i="4"/>
  <c r="PP9" i="4"/>
  <c r="PP10" i="4"/>
  <c r="PP30" i="4"/>
  <c r="PP12" i="4"/>
  <c r="PP11" i="4"/>
  <c r="PP39" i="4"/>
  <c r="PP24" i="4"/>
  <c r="PP25" i="4"/>
  <c r="PP5" i="4"/>
  <c r="PP17" i="4"/>
  <c r="PP31" i="4"/>
  <c r="PP40" i="4"/>
  <c r="PP23" i="4"/>
  <c r="PP34" i="4"/>
  <c r="PP13" i="4"/>
  <c r="PP21" i="4"/>
  <c r="PP29" i="4"/>
  <c r="PP16" i="4"/>
  <c r="PP6" i="4"/>
  <c r="PP15" i="4"/>
  <c r="PP42" i="4"/>
  <c r="PP28" i="4"/>
  <c r="VA37" i="4"/>
  <c r="VA40" i="4"/>
  <c r="VA5" i="4"/>
  <c r="VA25" i="4"/>
  <c r="VA24" i="4"/>
  <c r="VA9" i="4"/>
  <c r="VA34" i="4"/>
  <c r="VA7" i="4"/>
  <c r="VA6" i="4"/>
  <c r="VA31" i="4"/>
  <c r="VA11" i="4"/>
  <c r="VA33" i="4"/>
  <c r="VA32" i="4"/>
  <c r="VA8" i="4"/>
  <c r="VA39" i="4"/>
  <c r="VA26" i="4"/>
  <c r="VA13" i="4"/>
  <c r="VA28" i="4"/>
  <c r="VA23" i="4"/>
  <c r="VA17" i="4"/>
  <c r="VA36" i="4"/>
  <c r="VA22" i="4"/>
  <c r="VA14" i="4"/>
  <c r="VA19" i="4"/>
  <c r="VA21" i="4"/>
  <c r="VA38" i="4"/>
  <c r="VA16" i="4"/>
  <c r="VA12" i="4"/>
  <c r="VA15" i="4"/>
  <c r="VA4" i="4"/>
  <c r="VA27" i="4"/>
  <c r="VA29" i="4"/>
  <c r="VA18" i="4"/>
  <c r="KJ18" i="4"/>
  <c r="KJ6" i="4"/>
  <c r="PP37" i="4"/>
  <c r="VA30" i="4"/>
  <c r="JC12" i="4"/>
  <c r="PP14" i="4"/>
  <c r="VA10" i="4"/>
  <c r="JC13" i="4" l="1"/>
  <c r="JC14" i="4" l="1"/>
  <c r="JC15" i="4" l="1"/>
  <c r="JC16" i="4" l="1"/>
  <c r="JC17" i="4" s="1"/>
  <c r="JC18" i="4" s="1"/>
  <c r="JC19" i="4" s="1"/>
  <c r="JC20" i="4" s="1"/>
  <c r="JC21" i="4" s="1"/>
  <c r="JC22" i="4" s="1"/>
  <c r="JC23" i="4" s="1"/>
  <c r="JC24" i="4" s="1"/>
  <c r="JC25" i="4" s="1"/>
  <c r="JC26" i="4" s="1"/>
  <c r="JC27" i="4" s="1"/>
  <c r="JC28" i="4" s="1"/>
  <c r="JC29" i="4" s="1"/>
  <c r="JC30" i="4" s="1"/>
  <c r="JC31" i="4" s="1"/>
  <c r="JC32" i="4" s="1"/>
  <c r="JC33" i="4" s="1"/>
  <c r="JC34" i="4" s="1"/>
  <c r="JC35" i="4" s="1"/>
  <c r="JC36" i="4" s="1"/>
  <c r="JC37" i="4" s="1"/>
  <c r="JC38" i="4" s="1"/>
  <c r="JC39" i="4" s="1"/>
  <c r="JC40" i="4" s="1"/>
  <c r="JD7" i="4" s="1"/>
  <c r="JD32" i="4" l="1"/>
  <c r="JD8" i="4"/>
  <c r="JD17" i="4"/>
  <c r="JD25" i="4"/>
  <c r="JD13" i="4"/>
  <c r="JD41" i="4"/>
  <c r="JD40" i="4"/>
  <c r="JD4" i="4"/>
  <c r="JD21" i="4"/>
  <c r="JD27" i="4"/>
  <c r="JD22" i="4"/>
  <c r="JD24" i="4"/>
  <c r="JD11" i="4"/>
  <c r="JD14" i="4"/>
  <c r="JD16" i="4"/>
  <c r="JD31" i="4"/>
  <c r="JD38" i="4"/>
  <c r="JD37" i="4"/>
  <c r="JD15" i="4"/>
  <c r="JD12" i="4"/>
  <c r="JD18" i="4"/>
  <c r="JD20" i="4"/>
  <c r="JD34" i="4"/>
  <c r="JD9" i="4"/>
  <c r="JD6" i="4"/>
  <c r="JD30" i="4"/>
  <c r="JD39" i="4"/>
  <c r="JD23" i="4"/>
  <c r="JD35" i="4"/>
  <c r="JD29" i="4"/>
  <c r="JD10" i="4"/>
  <c r="JD42" i="4"/>
  <c r="JD26" i="4"/>
  <c r="JD5" i="4"/>
  <c r="JD28" i="4"/>
  <c r="JD36" i="4"/>
  <c r="JD33" i="4"/>
  <c r="JD19" i="4"/>
</calcChain>
</file>

<file path=xl/sharedStrings.xml><?xml version="1.0" encoding="utf-8"?>
<sst xmlns="http://schemas.openxmlformats.org/spreadsheetml/2006/main" count="1138" uniqueCount="645">
  <si>
    <t>MSTC LIMITED  •  LIVE SEARCH   (results grouped by the value you typed, each group totalled, TOTAL MATCHED beneath them, the misses greyed in a REMAINING block, a GRAND TOTAL of both at the foot)</t>
  </si>
  <si>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</si>
  <si>
    <t>🔍  SEARCH  ▸</t>
  </si>
  <si>
    <t>SEARCH IN  ▸</t>
  </si>
  <si>
    <t>Lot No. + Buyer + Name</t>
  </si>
  <si>
    <t>MATCHES  ▸</t>
  </si>
  <si>
    <t>SUGGESTIONS ▸</t>
  </si>
  <si>
    <t>the text this lot is searched in</t>
  </si>
  <si>
    <t>1 = this lot matches the search box</t>
  </si>
  <si>
    <t>the 'search in' list</t>
  </si>
  <si>
    <t>the box with &amp; -&gt; + and / -&gt; ,</t>
  </si>
  <si>
    <t>term 1 - rows 4..9: text left, delimiter pos, the term, delimiter, running facet, facet no.</t>
  </si>
  <si>
    <t>#</t>
  </si>
  <si>
    <t>Lot No.</t>
  </si>
  <si>
    <t>Buyer</t>
  </si>
  <si>
    <t>Lot Name</t>
  </si>
  <si>
    <t>Bid Sheet</t>
  </si>
  <si>
    <t>Quantity</t>
  </si>
  <si>
    <t>Unit</t>
  </si>
  <si>
    <t>Rate</t>
  </si>
  <si>
    <t>Mat. Value</t>
  </si>
  <si>
    <t>GST</t>
  </si>
  <si>
    <t>Mat. Value + GST</t>
  </si>
  <si>
    <t>TCS</t>
  </si>
  <si>
    <t>TDS u/s 194(O)</t>
  </si>
  <si>
    <t>Service Charge to MSTC</t>
  </si>
  <si>
    <t>TDS u/s 194(H)</t>
  </si>
  <si>
    <t>Net Service Charge (post TDS 194H)</t>
  </si>
  <si>
    <t>Service charge to MSTC</t>
  </si>
  <si>
    <t>GST TDS Rate</t>
  </si>
  <si>
    <t>GST TDS</t>
  </si>
  <si>
    <t>Total Receivables in Cash</t>
  </si>
  <si>
    <t>Security Deposit (Expected)</t>
  </si>
  <si>
    <t>Security Deposit (Received)</t>
  </si>
  <si>
    <t>Date of Receipt (col V)</t>
  </si>
  <si>
    <t>Final Payment (Expected)</t>
  </si>
  <si>
    <t>Final Payment (Received)</t>
  </si>
  <si>
    <t>Date of Receipt (col Y)</t>
  </si>
  <si>
    <t>LPP Expected</t>
  </si>
  <si>
    <t>LPP Received</t>
  </si>
  <si>
    <t>Date of Recepit of LPP</t>
  </si>
  <si>
    <t>Total Received</t>
  </si>
  <si>
    <t>Outstanding</t>
  </si>
  <si>
    <t>Payment Status</t>
  </si>
  <si>
    <t>Invoice No.</t>
  </si>
  <si>
    <t>SAP Document</t>
  </si>
  <si>
    <t>Doc./Invoice Date</t>
  </si>
  <si>
    <t>MSTC LIMITED - COMBINED BID SHEET (Auctions 21977, 21978, 21979, 21980)</t>
  </si>
  <si>
    <t>Service Charge
to MSTC</t>
  </si>
  <si>
    <t>Net Service Charge
(post TDS 194H)</t>
  </si>
  <si>
    <t>Date of Receipt</t>
  </si>
  <si>
    <t xml:space="preserve">Invoice No. </t>
  </si>
  <si>
    <t>SCRAP COPPER OF T/F WINDING (Oil impregnated paper insulated T/F winding)</t>
  </si>
  <si>
    <t>KG</t>
  </si>
  <si>
    <t>AL HAMD TRADE CORPORATION</t>
  </si>
  <si>
    <t>24.08.2026</t>
  </si>
  <si>
    <t>18.08.2026</t>
  </si>
  <si>
    <t>DR2640100029</t>
  </si>
  <si>
    <t>Scrap of Empty oil drum</t>
  </si>
  <si>
    <t>NO</t>
  </si>
  <si>
    <t>NATIONAL ENTERPRISES</t>
  </si>
  <si>
    <t>13.08.2026</t>
  </si>
  <si>
    <t>DR2640100030</t>
  </si>
  <si>
    <t>27.08.2026</t>
  </si>
  <si>
    <t>Scrap of Copper of faulty AC compressor</t>
  </si>
  <si>
    <t>F R KHANS ENTERPRISES</t>
  </si>
  <si>
    <t>11.08.2026</t>
  </si>
  <si>
    <t>20.08.2026</t>
  </si>
  <si>
    <t>DR2640100047</t>
  </si>
  <si>
    <t>Scrap of MS (extracted from equip cage and empty Sf6 gas cylinder)</t>
  </si>
  <si>
    <t>DR2640100048</t>
  </si>
  <si>
    <t>SCRAP ACSR CONDUCTORS (Conductor Pieces)</t>
  </si>
  <si>
    <t>OMKAR STEELS</t>
  </si>
  <si>
    <t>14.08.2026</t>
  </si>
  <si>
    <t>DR2640100045</t>
  </si>
  <si>
    <t>Scrap Power Transformer</t>
  </si>
  <si>
    <t>SHAR JAHAN TRADERS</t>
  </si>
  <si>
    <t>DR2640100023</t>
  </si>
  <si>
    <t>17.08.2026</t>
  </si>
  <si>
    <t>Scrap of 132 KV CT</t>
  </si>
  <si>
    <t>DR2640100031</t>
  </si>
  <si>
    <t>Scrap of 145 KV CB</t>
  </si>
  <si>
    <t>DR2640100032</t>
  </si>
  <si>
    <t>Scrap of 220KV CT</t>
  </si>
  <si>
    <t>DR2640100033</t>
  </si>
  <si>
    <t>Scrap of empty oil drums</t>
  </si>
  <si>
    <t>STERLING ENTERPRISES</t>
  </si>
  <si>
    <t>DR2640100018</t>
  </si>
  <si>
    <t>SCRAP POWER TRANSFORMER</t>
  </si>
  <si>
    <t>DR2640100024</t>
  </si>
  <si>
    <t>Scrap of empty oil Druam</t>
  </si>
  <si>
    <t>HIND TRADERS</t>
  </si>
  <si>
    <t>DR2640100026</t>
  </si>
  <si>
    <t>Scrap of empty oil Barrel</t>
  </si>
  <si>
    <t>DR2640100019</t>
  </si>
  <si>
    <t>Scrap of empty oil Barrels</t>
  </si>
  <si>
    <t>DR2640100020</t>
  </si>
  <si>
    <t>Scrap of 220 KV Circuit Breaker</t>
  </si>
  <si>
    <t>DR2640100034</t>
  </si>
  <si>
    <t>DR2640100035</t>
  </si>
  <si>
    <t>SCRAP 80MM² AAAC EARTHWIRE</t>
  </si>
  <si>
    <t>10.08.2026</t>
  </si>
  <si>
    <t>DR2640100017</t>
  </si>
  <si>
    <t>12.08.2026</t>
  </si>
  <si>
    <t>NATIONAL SCRAP AND BUILDING MATERIAL SUPPLIER</t>
  </si>
  <si>
    <t>21.08.2026</t>
  </si>
  <si>
    <t>DR2640100028</t>
  </si>
  <si>
    <t>DR2640100044</t>
  </si>
  <si>
    <t>DR2640100021</t>
  </si>
  <si>
    <t>DR2640100036</t>
  </si>
  <si>
    <t>Scrap Empty Oil Drum/ Barrel</t>
  </si>
  <si>
    <t>WATAN SCRAP TRADERS</t>
  </si>
  <si>
    <t>DR2640100042</t>
  </si>
  <si>
    <t>Scrap of 132 KV Wave Trap</t>
  </si>
  <si>
    <t>DR2640100037</t>
  </si>
  <si>
    <t>Mix Scrap (Tower angles &amp; 0.2 ACSR Condutor pieces)</t>
  </si>
  <si>
    <t>MT</t>
  </si>
  <si>
    <t>M I SCRAP TRADERS</t>
  </si>
  <si>
    <t>DR2640100043</t>
  </si>
  <si>
    <t>Scrap of 33 KV CT</t>
  </si>
  <si>
    <t>DR2640100038</t>
  </si>
  <si>
    <t>Scrap of AAAC Earth wire</t>
  </si>
  <si>
    <t>SAHARA ENTERPRISES</t>
  </si>
  <si>
    <t>DR2640100041</t>
  </si>
  <si>
    <t>Scrap of 220 KV CT</t>
  </si>
  <si>
    <t>DR2640100039</t>
  </si>
  <si>
    <t>Scrap of 33 KV GCB</t>
  </si>
  <si>
    <t>DR2640100046</t>
  </si>
  <si>
    <t>Scrap of Empty oil Barrels</t>
  </si>
  <si>
    <t>DR2640100022</t>
  </si>
  <si>
    <t>DR2640100027</t>
  </si>
  <si>
    <t>Scrap of 33 KV CB</t>
  </si>
  <si>
    <t>Scrap of 66 KV Isolater</t>
  </si>
  <si>
    <t>DR2640100040</t>
  </si>
  <si>
    <t>KASHYAP TRADING CO</t>
  </si>
  <si>
    <t>DR2640100025</t>
  </si>
  <si>
    <t>19.08.2026</t>
  </si>
  <si>
    <t>Scrap of 66 kv TBC C &amp; R Panel</t>
  </si>
  <si>
    <t>S M ENTERPRISES</t>
  </si>
  <si>
    <t>01.09.2026</t>
  </si>
  <si>
    <t>Bal SD O/s</t>
  </si>
  <si>
    <t>Bal FP O/s</t>
  </si>
  <si>
    <t>MSTC LIMITED  •  BUYER-WISE GROUPS   (each buyer’s lots in one block with a shaded ∑ subtotal beneath it, a blue TOTAL of every buyer and a green GRAND TOTAL cross-checked to the source at the foot)</t>
  </si>
  <si>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</si>
  <si>
    <t>BUYERS  ▸</t>
  </si>
  <si>
    <t>LOTS  ▸</t>
  </si>
  <si>
    <t>BG match helper B</t>
  </si>
  <si>
    <t>BG match helper C</t>
  </si>
  <si>
    <t>BG match helper D</t>
  </si>
  <si>
    <t>BG match helper E</t>
  </si>
  <si>
    <t>BG match helper F</t>
  </si>
  <si>
    <t>BG match helper G</t>
  </si>
  <si>
    <t>BG match helper H</t>
  </si>
  <si>
    <t>BG match helper I</t>
  </si>
  <si>
    <t>BG match helper J</t>
  </si>
  <si>
    <t>BG match helper K</t>
  </si>
  <si>
    <t>BG match helper L</t>
  </si>
  <si>
    <t>BG match helper M</t>
  </si>
  <si>
    <t>BG match helper N</t>
  </si>
  <si>
    <t>BG match helper O</t>
  </si>
  <si>
    <t>BG match helper P</t>
  </si>
  <si>
    <t>BG match helper Q</t>
  </si>
  <si>
    <t>BG match helper R</t>
  </si>
  <si>
    <t>BG match helper S</t>
  </si>
  <si>
    <t>BG match helper T</t>
  </si>
  <si>
    <t>BG match helper U</t>
  </si>
  <si>
    <t>BG match helper V</t>
  </si>
  <si>
    <t>BG match helper W</t>
  </si>
  <si>
    <t>BG match helper X</t>
  </si>
  <si>
    <t>BG match helper Y</t>
  </si>
  <si>
    <t>BG match helper Z</t>
  </si>
  <si>
    <t>BG match helper AA</t>
  </si>
  <si>
    <t>BG match helper AB</t>
  </si>
  <si>
    <t>BG match helper AC</t>
  </si>
  <si>
    <t>BG match helper AD</t>
  </si>
  <si>
    <t>BG match helper AE</t>
  </si>
  <si>
    <t>BG match helper AF</t>
  </si>
  <si>
    <t>BG match helper AG</t>
  </si>
  <si>
    <t>BG match helper AH</t>
  </si>
  <si>
    <t>BG match helper AI</t>
  </si>
  <si>
    <t>SEARCH ▸</t>
  </si>
  <si>
    <t>▸ MATCHED LOTS</t>
  </si>
  <si>
    <t>∑</t>
  </si>
  <si>
    <t>SUBTOTAL — AL HAMD TRADE CORPORATION</t>
  </si>
  <si>
    <t>–</t>
  </si>
  <si>
    <t>SUBTOTAL — F R KHANS ENTERPRISES</t>
  </si>
  <si>
    <t>SUBTOTAL — HIND TRADERS</t>
  </si>
  <si>
    <t>SUBTOTAL — KASHYAP TRADING CO</t>
  </si>
  <si>
    <t>SUBTOTAL — M I SCRAP TRADERS</t>
  </si>
  <si>
    <t>SUBTOTAL — NATIONAL ENTERPRISES</t>
  </si>
  <si>
    <t>SUBTOTAL — NATIONAL SCRAP AND BUILDING MATERIAL SUPPLIER</t>
  </si>
  <si>
    <t>SUBTOTAL — OMKAR STEELS</t>
  </si>
  <si>
    <t>SUBTOTAL — S M ENTERPRISES</t>
  </si>
  <si>
    <t>SUBTOTAL — SAHARA ENTERPRISES</t>
  </si>
  <si>
    <t>SUBTOTAL — SHAR JAHAN TRADERS</t>
  </si>
  <si>
    <t>SUBTOTAL — STERLING ENTERPRISES</t>
  </si>
  <si>
    <t>SUBTOTAL — WATAN SCRAP TRADERS</t>
  </si>
  <si>
    <t>TOTAL — every buyer together</t>
  </si>
  <si>
    <t>GRAND TOTAL — cross-checked to source</t>
  </si>
  <si>
    <t>Search-dropdown lists — live from Final Calculation Sheet, sorted ascending. SUG_* = Live Search cascading dropdowns (cols FY–LD). SUGN_* = Buyer Groups cascading dropdowns (cols LE–QJ), driven by hidden match helpers Buyer Groups!DG:EN. Do not edit.</t>
  </si>
  <si>
    <t>MAIN (B3): lot no + buyer + lot name</t>
  </si>
  <si>
    <t>A (#): 1..37</t>
  </si>
  <si>
    <t>B (Final F)</t>
  </si>
  <si>
    <t>C (Final G)</t>
  </si>
  <si>
    <t>D (Final B)</t>
  </si>
  <si>
    <t>E (Final D)</t>
  </si>
  <si>
    <t>F (Final A)</t>
  </si>
  <si>
    <t>G (Final E)</t>
  </si>
  <si>
    <t>H (Final C)</t>
  </si>
  <si>
    <t>I (Final H)</t>
  </si>
  <si>
    <t>J (Final I)</t>
  </si>
  <si>
    <t>K (Final J)</t>
  </si>
  <si>
    <t>L (Final K)</t>
  </si>
  <si>
    <t>M (Final L)</t>
  </si>
  <si>
    <t>N (Final M)</t>
  </si>
  <si>
    <t>O (Final N)</t>
  </si>
  <si>
    <t>P (Final O)</t>
  </si>
  <si>
    <t>Q (Final P)</t>
  </si>
  <si>
    <t>R (Final Q)</t>
  </si>
  <si>
    <t>S (Final R)</t>
  </si>
  <si>
    <t>T (Final S)</t>
  </si>
  <si>
    <t>U (Final T)</t>
  </si>
  <si>
    <t>V (Final U)</t>
  </si>
  <si>
    <t>W (Final V)</t>
  </si>
  <si>
    <t>X (Final W)</t>
  </si>
  <si>
    <t>Y (Final X)</t>
  </si>
  <si>
    <t>Z (Final Y)</t>
  </si>
  <si>
    <t>AA (Final Z)</t>
  </si>
  <si>
    <t>AB (Final AA)</t>
  </si>
  <si>
    <t>AC (Final AB)</t>
  </si>
  <si>
    <t>AD (Final AC)</t>
  </si>
  <si>
    <t>AE (Final AD)</t>
  </si>
  <si>
    <t>AF (Final AE)</t>
  </si>
  <si>
    <t>AG (Final AF)</t>
  </si>
  <si>
    <t>AH (Final AG)</t>
  </si>
  <si>
    <t>AI (Payment Status)</t>
  </si>
  <si>
    <t>B cascade: FY (all-other-filters flag)</t>
  </si>
  <si>
    <t>B cascade: FZ (candidate present flag)</t>
  </si>
  <si>
    <t>B cascade: GA (running count)</t>
  </si>
  <si>
    <t>B cascade: GB (dynamic dropdown list)</t>
  </si>
  <si>
    <t>C cascade: FY (all-other-filters flag)</t>
  </si>
  <si>
    <t>C cascade: FZ (candidate present flag)</t>
  </si>
  <si>
    <t>C cascade: GA (running count)</t>
  </si>
  <si>
    <t>C cascade: GB (dynamic dropdown list)</t>
  </si>
  <si>
    <t>E cascade: FY (all-other-filters flag)</t>
  </si>
  <si>
    <t>E cascade: FZ (candidate present flag)</t>
  </si>
  <si>
    <t>E cascade: GA (running count)</t>
  </si>
  <si>
    <t>E cascade: GB (dynamic dropdown list)</t>
  </si>
  <si>
    <t>F cascade: FY (all-other-filters flag)</t>
  </si>
  <si>
    <t>F cascade: FZ (candidate present flag)</t>
  </si>
  <si>
    <t>F cascade: GA (running count)</t>
  </si>
  <si>
    <t>F cascade: GB (dynamic dropdown list)</t>
  </si>
  <si>
    <t>G cascade: FY (all-other-filters flag)</t>
  </si>
  <si>
    <t>G cascade: FZ (candidate present flag)</t>
  </si>
  <si>
    <t>G cascade: GA (running count)</t>
  </si>
  <si>
    <t>G cascade: GB (dynamic dropdown list)</t>
  </si>
  <si>
    <t>H cascade: FY (all-other-filters flag)</t>
  </si>
  <si>
    <t>H cascade: FZ (candidate present flag)</t>
  </si>
  <si>
    <t>H cascade: GA (running count)</t>
  </si>
  <si>
    <t>H cascade: GB (dynamic dropdown list)</t>
  </si>
  <si>
    <t>I cascade: FY (all-other-filters flag)</t>
  </si>
  <si>
    <t>I cascade: FZ (candidate present flag)</t>
  </si>
  <si>
    <t>I cascade: GA (running count)</t>
  </si>
  <si>
    <t>I cascade: GB (dynamic dropdown list)</t>
  </si>
  <si>
    <t>J cascade: FY (all-other-filters flag)</t>
  </si>
  <si>
    <t>J cascade: FZ (candidate present flag)</t>
  </si>
  <si>
    <t>J cascade: GA (running count)</t>
  </si>
  <si>
    <t>J cascade: GB (dynamic dropdown list)</t>
  </si>
  <si>
    <t>K cascade: FY (all-other-filters flag)</t>
  </si>
  <si>
    <t>K cascade: FZ (candidate present flag)</t>
  </si>
  <si>
    <t>K cascade: GA (running count)</t>
  </si>
  <si>
    <t>K cascade: GB (dynamic dropdown list)</t>
  </si>
  <si>
    <t>L cascade: FY (all-other-filters flag)</t>
  </si>
  <si>
    <t>L cascade: FZ (candidate present flag)</t>
  </si>
  <si>
    <t>L cascade: GA (running count)</t>
  </si>
  <si>
    <t>L cascade: GB (dynamic dropdown list)</t>
  </si>
  <si>
    <t>M cascade: FY (all-other-filters flag)</t>
  </si>
  <si>
    <t>M cascade: FZ (candidate present flag)</t>
  </si>
  <si>
    <t>M cascade: GA (running count)</t>
  </si>
  <si>
    <t>M cascade: GB (dynamic dropdown list)</t>
  </si>
  <si>
    <t>N cascade: FY (all-other-filters flag)</t>
  </si>
  <si>
    <t>N cascade: FZ (candidate present flag)</t>
  </si>
  <si>
    <t>N cascade: GA (running count)</t>
  </si>
  <si>
    <t>N cascade: GB (dynamic dropdown list)</t>
  </si>
  <si>
    <t>O cascade: FY (all-other-filters flag)</t>
  </si>
  <si>
    <t>O cascade: FZ (candidate present flag)</t>
  </si>
  <si>
    <t>O cascade: GA (running count)</t>
  </si>
  <si>
    <t>O cascade: GB (dynamic dropdown list)</t>
  </si>
  <si>
    <t>P cascade: FY (all-other-filters flag)</t>
  </si>
  <si>
    <t>P cascade: FZ (candidate present flag)</t>
  </si>
  <si>
    <t>P cascade: GA (running count)</t>
  </si>
  <si>
    <t>P cascade: GB (dynamic dropdown list)</t>
  </si>
  <si>
    <t>Q cascade: FY (all-other-filters flag)</t>
  </si>
  <si>
    <t>Q cascade: FZ (candidate present flag)</t>
  </si>
  <si>
    <t>Q cascade: GA (running count)</t>
  </si>
  <si>
    <t>Q cascade: GB (dynamic dropdown list)</t>
  </si>
  <si>
    <t>R cascade: FY (all-other-filters flag)</t>
  </si>
  <si>
    <t>R cascade: FZ (candidate present flag)</t>
  </si>
  <si>
    <t>R cascade: GA (running count)</t>
  </si>
  <si>
    <t>R cascade: GB (dynamic dropdown list)</t>
  </si>
  <si>
    <t>S cascade: FY (all-other-filters flag)</t>
  </si>
  <si>
    <t>S cascade: FZ (candidate present flag)</t>
  </si>
  <si>
    <t>S cascade: GA (running count)</t>
  </si>
  <si>
    <t>S cascade: GB (dynamic dropdown list)</t>
  </si>
  <si>
    <t>T cascade: FY (all-other-filters flag)</t>
  </si>
  <si>
    <t>T cascade: FZ (candidate present flag)</t>
  </si>
  <si>
    <t>T cascade: GA (running count)</t>
  </si>
  <si>
    <t>T cascade: GB (dynamic dropdown list)</t>
  </si>
  <si>
    <t>U cascade: FY (all-other-filters flag)</t>
  </si>
  <si>
    <t>U cascade: FZ (candidate present flag)</t>
  </si>
  <si>
    <t>U cascade: GA (running count)</t>
  </si>
  <si>
    <t>U cascade: GB (dynamic dropdown list)</t>
  </si>
  <si>
    <t>V cascade: FY (all-other-filters flag)</t>
  </si>
  <si>
    <t>V cascade: FZ (candidate present flag)</t>
  </si>
  <si>
    <t>V cascade: GA (running count)</t>
  </si>
  <si>
    <t>V cascade: GB (dynamic dropdown list)</t>
  </si>
  <si>
    <t>W cascade: FY (all-other-filters flag)</t>
  </si>
  <si>
    <t>W cascade: FZ (candidate present flag)</t>
  </si>
  <si>
    <t>W cascade: GA (running count)</t>
  </si>
  <si>
    <t>W cascade: GB (dynamic dropdown list)</t>
  </si>
  <si>
    <t>X cascade: FY (all-other-filters flag)</t>
  </si>
  <si>
    <t>X cascade: FZ (candidate present flag)</t>
  </si>
  <si>
    <t>X cascade: GA (running count)</t>
  </si>
  <si>
    <t>X cascade: GB (dynamic dropdown list)</t>
  </si>
  <si>
    <t>Y cascade: FY (all-other-filters flag)</t>
  </si>
  <si>
    <t>Y cascade: FZ (candidate present flag)</t>
  </si>
  <si>
    <t>Y cascade: GA (running count)</t>
  </si>
  <si>
    <t>Y cascade: GB (dynamic dropdown list)</t>
  </si>
  <si>
    <t>Z cascade: FY (all-other-filters flag)</t>
  </si>
  <si>
    <t>Z cascade: FZ (candidate present flag)</t>
  </si>
  <si>
    <t>Z cascade: GA (running count)</t>
  </si>
  <si>
    <t>Z cascade: GB (dynamic dropdown list)</t>
  </si>
  <si>
    <t>AA cascade: FY (all-other-filters flag)</t>
  </si>
  <si>
    <t>AA cascade: FZ (candidate present flag)</t>
  </si>
  <si>
    <t>AA cascade: GA (running count)</t>
  </si>
  <si>
    <t>AA cascade: GB (dynamic dropdown list)</t>
  </si>
  <si>
    <t>AB cascade: FY (all-other-filters flag)</t>
  </si>
  <si>
    <t>AB cascade: FZ (candidate present flag)</t>
  </si>
  <si>
    <t>AB cascade: GA (running count)</t>
  </si>
  <si>
    <t>AB cascade: GB (dynamic dropdown list)</t>
  </si>
  <si>
    <t>AC cascade: FY (all-other-filters flag)</t>
  </si>
  <si>
    <t>AC cascade: FZ (candidate present flag)</t>
  </si>
  <si>
    <t>AC cascade: GA (running count)</t>
  </si>
  <si>
    <t>AC cascade: GB (dynamic dropdown list)</t>
  </si>
  <si>
    <t>AD cascade: FY (all-other-filters flag)</t>
  </si>
  <si>
    <t>AD cascade: FZ (candidate present flag)</t>
  </si>
  <si>
    <t>AD cascade: GA (running count)</t>
  </si>
  <si>
    <t>AD cascade: GB (dynamic dropdown list)</t>
  </si>
  <si>
    <t>AE cascade: FY (all-other-filters flag)</t>
  </si>
  <si>
    <t>AE cascade: FZ (candidate present flag)</t>
  </si>
  <si>
    <t>AE cascade: GA (running count)</t>
  </si>
  <si>
    <t>AE cascade: GB (dynamic dropdown list)</t>
  </si>
  <si>
    <t>AF cascade: FY (all-other-filters flag)</t>
  </si>
  <si>
    <t>AF cascade: FZ (candidate present flag)</t>
  </si>
  <si>
    <t>AF cascade: GA (running count)</t>
  </si>
  <si>
    <t>AF cascade: GB (dynamic dropdown list)</t>
  </si>
  <si>
    <t>AG cascade: FY (all-other-filters flag)</t>
  </si>
  <si>
    <t>AG cascade: FZ (candidate present flag)</t>
  </si>
  <si>
    <t>AG cascade: GA (running count)</t>
  </si>
  <si>
    <t>AG cascade: GB (dynamic dropdown list)</t>
  </si>
  <si>
    <t>AH cascade: FY (all-other-filters flag)</t>
  </si>
  <si>
    <t>AH cascade: FZ (candidate present flag)</t>
  </si>
  <si>
    <t>AH cascade: GA (running count)</t>
  </si>
  <si>
    <t>AH cascade: GB (dynamic dropdown list)</t>
  </si>
  <si>
    <t>AI cascade: FY (all-other-filters flag)</t>
  </si>
  <si>
    <t>AI cascade: FZ (candidate present flag)</t>
  </si>
  <si>
    <t>AI cascade: GA (running count)</t>
  </si>
  <si>
    <t>AI cascade: GB (dynamic dropdown list)</t>
  </si>
  <si>
    <t>BG B cascade: FY (all-other-filters flag)</t>
  </si>
  <si>
    <t>BG B cascade: FZ (candidate present flag)</t>
  </si>
  <si>
    <t>BG B cascade: GA (running count)</t>
  </si>
  <si>
    <t>BG B cascade: GB (dynamic dropdown list)</t>
  </si>
  <si>
    <t>BG C cascade: FY (all-other-filters flag)</t>
  </si>
  <si>
    <t>BG C cascade: FZ (candidate present flag)</t>
  </si>
  <si>
    <t>BG C cascade: GA (running count)</t>
  </si>
  <si>
    <t>BG C cascade: GB (dynamic dropdown list)</t>
  </si>
  <si>
    <t>BG D cascade: FY (all-other-filters flag)</t>
  </si>
  <si>
    <t>BG D cascade: FZ (candidate present flag)</t>
  </si>
  <si>
    <t>BG D cascade: GA (running count)</t>
  </si>
  <si>
    <t>BG D cascade: GB (dynamic dropdown list)</t>
  </si>
  <si>
    <t>BG E cascade: FY (all-other-filters flag)</t>
  </si>
  <si>
    <t>BG E cascade: FZ (candidate present flag)</t>
  </si>
  <si>
    <t>BG E cascade: GA (running count)</t>
  </si>
  <si>
    <t>BG E cascade: GB (dynamic dropdown list)</t>
  </si>
  <si>
    <t>BG F cascade: FY (all-other-filters flag)</t>
  </si>
  <si>
    <t>BG F cascade: FZ (candidate present flag)</t>
  </si>
  <si>
    <t>BG F cascade: GA (running count)</t>
  </si>
  <si>
    <t>BG F cascade: GB (dynamic dropdown list)</t>
  </si>
  <si>
    <t>BG G cascade: FY (all-other-filters flag)</t>
  </si>
  <si>
    <t>BG G cascade: FZ (candidate present flag)</t>
  </si>
  <si>
    <t>BG G cascade: GA (running count)</t>
  </si>
  <si>
    <t>BG G cascade: GB (dynamic dropdown list)</t>
  </si>
  <si>
    <t>BG H cascade: FY (all-other-filters flag)</t>
  </si>
  <si>
    <t>BG H cascade: FZ (candidate present flag)</t>
  </si>
  <si>
    <t>BG H cascade: GA (running count)</t>
  </si>
  <si>
    <t>BG H cascade: GB (dynamic dropdown list)</t>
  </si>
  <si>
    <t>BG I cascade: FY (all-other-filters flag)</t>
  </si>
  <si>
    <t>BG I cascade: FZ (candidate present flag)</t>
  </si>
  <si>
    <t>BG I cascade: GA (running count)</t>
  </si>
  <si>
    <t>BG I cascade: GB (dynamic dropdown list)</t>
  </si>
  <si>
    <t>BG J cascade: FY (all-other-filters flag)</t>
  </si>
  <si>
    <t>BG J cascade: FZ (candidate present flag)</t>
  </si>
  <si>
    <t>BG J cascade: GA (running count)</t>
  </si>
  <si>
    <t>BG J cascade: GB (dynamic dropdown list)</t>
  </si>
  <si>
    <t>BG K cascade: FY (all-other-filters flag)</t>
  </si>
  <si>
    <t>BG K cascade: FZ (candidate present flag)</t>
  </si>
  <si>
    <t>BG K cascade: GA (running count)</t>
  </si>
  <si>
    <t>BG K cascade: GB (dynamic dropdown list)</t>
  </si>
  <si>
    <t>BG L cascade: FY (all-other-filters flag)</t>
  </si>
  <si>
    <t>BG L cascade: FZ (candidate present flag)</t>
  </si>
  <si>
    <t>BG L cascade: GA (running count)</t>
  </si>
  <si>
    <t>BG L cascade: GB (dynamic dropdown list)</t>
  </si>
  <si>
    <t>BG M cascade: FY (all-other-filters flag)</t>
  </si>
  <si>
    <t>BG M cascade: FZ (candidate present flag)</t>
  </si>
  <si>
    <t>BG M cascade: GA (running count)</t>
  </si>
  <si>
    <t>BG M cascade: GB (dynamic dropdown list)</t>
  </si>
  <si>
    <t>BG N cascade: FY (all-other-filters flag)</t>
  </si>
  <si>
    <t>BG N cascade: FZ (candidate present flag)</t>
  </si>
  <si>
    <t>BG N cascade: GA (running count)</t>
  </si>
  <si>
    <t>BG N cascade: GB (dynamic dropdown list)</t>
  </si>
  <si>
    <t>BG O cascade: FY (all-other-filters flag)</t>
  </si>
  <si>
    <t>BG O cascade: FZ (candidate present flag)</t>
  </si>
  <si>
    <t>BG O cascade: GA (running count)</t>
  </si>
  <si>
    <t>BG O cascade: GB (dynamic dropdown list)</t>
  </si>
  <si>
    <t>BG P cascade: FY (all-other-filters flag)</t>
  </si>
  <si>
    <t>BG P cascade: FZ (candidate present flag)</t>
  </si>
  <si>
    <t>BG P cascade: GA (running count)</t>
  </si>
  <si>
    <t>BG P cascade: GB (dynamic dropdown list)</t>
  </si>
  <si>
    <t>BG Q cascade: FY (all-other-filters flag)</t>
  </si>
  <si>
    <t>BG Q cascade: FZ (candidate present flag)</t>
  </si>
  <si>
    <t>BG Q cascade: GA (running count)</t>
  </si>
  <si>
    <t>BG Q cascade: GB (dynamic dropdown list)</t>
  </si>
  <si>
    <t>BG R cascade: FY (all-other-filters flag)</t>
  </si>
  <si>
    <t>BG R cascade: FZ (candidate present flag)</t>
  </si>
  <si>
    <t>BG R cascade: GA (running count)</t>
  </si>
  <si>
    <t>BG R cascade: GB (dynamic dropdown list)</t>
  </si>
  <si>
    <t>BG S cascade: FY (all-other-filters flag)</t>
  </si>
  <si>
    <t>BG S cascade: FZ (candidate present flag)</t>
  </si>
  <si>
    <t>BG S cascade: GA (running count)</t>
  </si>
  <si>
    <t>BG S cascade: GB (dynamic dropdown list)</t>
  </si>
  <si>
    <t>BG T cascade: FY (all-other-filters flag)</t>
  </si>
  <si>
    <t>BG T cascade: FZ (candidate present flag)</t>
  </si>
  <si>
    <t>BG T cascade: GA (running count)</t>
  </si>
  <si>
    <t>BG T cascade: GB (dynamic dropdown list)</t>
  </si>
  <si>
    <t>BG U cascade: FY (all-other-filters flag)</t>
  </si>
  <si>
    <t>BG U cascade: FZ (candidate present flag)</t>
  </si>
  <si>
    <t>BG U cascade: GA (running count)</t>
  </si>
  <si>
    <t>BG U cascade: GB (dynamic dropdown list)</t>
  </si>
  <si>
    <t>BG V cascade: FY (all-other-filters flag)</t>
  </si>
  <si>
    <t>BG V cascade: FZ (candidate present flag)</t>
  </si>
  <si>
    <t>BG V cascade: GA (running count)</t>
  </si>
  <si>
    <t>BG V cascade: GB (dynamic dropdown list)</t>
  </si>
  <si>
    <t>BG W cascade: FY (all-other-filters flag)</t>
  </si>
  <si>
    <t>BG W cascade: FZ (candidate present flag)</t>
  </si>
  <si>
    <t>BG W cascade: GA (running count)</t>
  </si>
  <si>
    <t>BG W cascade: GB (dynamic dropdown list)</t>
  </si>
  <si>
    <t>BG X cascade: FY (all-other-filters flag)</t>
  </si>
  <si>
    <t>BG X cascade: FZ (candidate present flag)</t>
  </si>
  <si>
    <t>BG X cascade: GA (running count)</t>
  </si>
  <si>
    <t>BG X cascade: GB (dynamic dropdown list)</t>
  </si>
  <si>
    <t>BG Y cascade: FY (all-other-filters flag)</t>
  </si>
  <si>
    <t>BG Y cascade: FZ (candidate present flag)</t>
  </si>
  <si>
    <t>BG Y cascade: GA (running count)</t>
  </si>
  <si>
    <t>BG Y cascade: GB (dynamic dropdown list)</t>
  </si>
  <si>
    <t>BG Z cascade: FY (all-other-filters flag)</t>
  </si>
  <si>
    <t>BG Z cascade: FZ (candidate present flag)</t>
  </si>
  <si>
    <t>BG Z cascade: GA (running count)</t>
  </si>
  <si>
    <t>BG Z cascade: GB (dynamic dropdown list)</t>
  </si>
  <si>
    <t>BG AA cascade: FY (all-other-filters flag)</t>
  </si>
  <si>
    <t>BG AA cascade: FZ (candidate present flag)</t>
  </si>
  <si>
    <t>BG AA cascade: GA (running count)</t>
  </si>
  <si>
    <t>BG AA cascade: GB (dynamic dropdown list)</t>
  </si>
  <si>
    <t>BG AB cascade: FY (all-other-filters flag)</t>
  </si>
  <si>
    <t>BG AB cascade: FZ (candidate present flag)</t>
  </si>
  <si>
    <t>BG AB cascade: GA (running count)</t>
  </si>
  <si>
    <t>BG AB cascade: GB (dynamic dropdown list)</t>
  </si>
  <si>
    <t>BG AC cascade: FY (all-other-filters flag)</t>
  </si>
  <si>
    <t>BG AC cascade: FZ (candidate present flag)</t>
  </si>
  <si>
    <t>BG AC cascade: GA (running count)</t>
  </si>
  <si>
    <t>BG AC cascade: GB (dynamic dropdown list)</t>
  </si>
  <si>
    <t>BG AD cascade: FY (all-other-filters flag)</t>
  </si>
  <si>
    <t>BG AD cascade: FZ (candidate present flag)</t>
  </si>
  <si>
    <t>BG AD cascade: GA (running count)</t>
  </si>
  <si>
    <t>BG AD cascade: GB (dynamic dropdown list)</t>
  </si>
  <si>
    <t>BG AE cascade: FY (all-other-filters flag)</t>
  </si>
  <si>
    <t>BG AE cascade: FZ (candidate present flag)</t>
  </si>
  <si>
    <t>BG AE cascade: GA (running count)</t>
  </si>
  <si>
    <t>BG AE cascade: GB (dynamic dropdown list)</t>
  </si>
  <si>
    <t>BG AF cascade: FY (all-other-filters flag)</t>
  </si>
  <si>
    <t>BG AF cascade: FZ (candidate present flag)</t>
  </si>
  <si>
    <t>BG AF cascade: GA (running count)</t>
  </si>
  <si>
    <t>BG AF cascade: GB (dynamic dropdown list)</t>
  </si>
  <si>
    <t>BG AG cascade: FY (all-other-filters flag)</t>
  </si>
  <si>
    <t>BG AG cascade: FZ (candidate present flag)</t>
  </si>
  <si>
    <t>BG AG cascade: GA (running count)</t>
  </si>
  <si>
    <t>BG AG cascade: GB (dynamic dropdown list)</t>
  </si>
  <si>
    <t>BG AH cascade: FY (all-other-filters flag)</t>
  </si>
  <si>
    <t>BG AH cascade: FZ (candidate present flag)</t>
  </si>
  <si>
    <t>BG AH cascade: GA (running count)</t>
  </si>
  <si>
    <t>BG AH cascade: GB (dynamic dropdown list)</t>
  </si>
  <si>
    <t>BG AI cascade: FY (all-other-filters flag)</t>
  </si>
  <si>
    <t>BG AI cascade: FZ (candidate present flag)</t>
  </si>
  <si>
    <t>BG AI cascade: GA (running count)</t>
  </si>
  <si>
    <t>BG AI cascade: GB (dynamic dropdown list)</t>
  </si>
  <si>
    <t>FCS AH (Final AH)</t>
  </si>
  <si>
    <t>FCS A cascade: FY (all-other-filters flag)</t>
  </si>
  <si>
    <t>FCS A cascade: FZ (candidate present flag)</t>
  </si>
  <si>
    <t>FCS A cascade: GA (running count)</t>
  </si>
  <si>
    <t>FCS A cascade: GB (dynamic dropdown list)</t>
  </si>
  <si>
    <t>FCS B cascade: FY (all-other-filters flag)</t>
  </si>
  <si>
    <t>FCS B cascade: FZ (candidate present flag)</t>
  </si>
  <si>
    <t>FCS B cascade: GA (running count)</t>
  </si>
  <si>
    <t>FCS B cascade: GB (dynamic dropdown list)</t>
  </si>
  <si>
    <t>FCS C cascade: FY (all-other-filters flag)</t>
  </si>
  <si>
    <t>FCS C cascade: FZ (candidate present flag)</t>
  </si>
  <si>
    <t>FCS C cascade: GA (running count)</t>
  </si>
  <si>
    <t>FCS C cascade: GB (dynamic dropdown list)</t>
  </si>
  <si>
    <t>FCS D cascade: FY (all-other-filters flag)</t>
  </si>
  <si>
    <t>FCS D cascade: FZ (candidate present flag)</t>
  </si>
  <si>
    <t>FCS D cascade: GA (running count)</t>
  </si>
  <si>
    <t>FCS D cascade: GB (dynamic dropdown list)</t>
  </si>
  <si>
    <t>FCS E cascade: FY (all-other-filters flag)</t>
  </si>
  <si>
    <t>FCS E cascade: FZ (candidate present flag)</t>
  </si>
  <si>
    <t>FCS E cascade: GA (running count)</t>
  </si>
  <si>
    <t>FCS E cascade: GB (dynamic dropdown list)</t>
  </si>
  <si>
    <t>FCS F cascade: FY (all-other-filters flag)</t>
  </si>
  <si>
    <t>FCS F cascade: FZ (candidate present flag)</t>
  </si>
  <si>
    <t>FCS F cascade: GA (running count)</t>
  </si>
  <si>
    <t>FCS F cascade: GB (dynamic dropdown list)</t>
  </si>
  <si>
    <t>FCS G cascade: FY (all-other-filters flag)</t>
  </si>
  <si>
    <t>FCS G cascade: FZ (candidate present flag)</t>
  </si>
  <si>
    <t>FCS G cascade: GA (running count)</t>
  </si>
  <si>
    <t>FCS G cascade: GB (dynamic dropdown list)</t>
  </si>
  <si>
    <t>FCS H cascade: FY (all-other-filters flag)</t>
  </si>
  <si>
    <t>FCS H cascade: FZ (candidate present flag)</t>
  </si>
  <si>
    <t>FCS H cascade: GA (running count)</t>
  </si>
  <si>
    <t>FCS H cascade: GB (dynamic dropdown list)</t>
  </si>
  <si>
    <t>FCS I cascade: FY (all-other-filters flag)</t>
  </si>
  <si>
    <t>FCS I cascade: FZ (candidate present flag)</t>
  </si>
  <si>
    <t>FCS I cascade: GA (running count)</t>
  </si>
  <si>
    <t>FCS I cascade: GB (dynamic dropdown list)</t>
  </si>
  <si>
    <t>FCS J cascade: FY (all-other-filters flag)</t>
  </si>
  <si>
    <t>FCS J cascade: FZ (candidate present flag)</t>
  </si>
  <si>
    <t>FCS J cascade: GA (running count)</t>
  </si>
  <si>
    <t>FCS J cascade: GB (dynamic dropdown list)</t>
  </si>
  <si>
    <t>FCS K cascade: FY (all-other-filters flag)</t>
  </si>
  <si>
    <t>FCS K cascade: FZ (candidate present flag)</t>
  </si>
  <si>
    <t>FCS K cascade: GA (running count)</t>
  </si>
  <si>
    <t>FCS K cascade: GB (dynamic dropdown list)</t>
  </si>
  <si>
    <t>FCS L cascade: FY (all-other-filters flag)</t>
  </si>
  <si>
    <t>FCS L cascade: FZ (candidate present flag)</t>
  </si>
  <si>
    <t>FCS L cascade: GA (running count)</t>
  </si>
  <si>
    <t>FCS L cascade: GB (dynamic dropdown list)</t>
  </si>
  <si>
    <t>FCS M cascade: FY (all-other-filters flag)</t>
  </si>
  <si>
    <t>FCS M cascade: FZ (candidate present flag)</t>
  </si>
  <si>
    <t>FCS M cascade: GA (running count)</t>
  </si>
  <si>
    <t>FCS M cascade: GB (dynamic dropdown list)</t>
  </si>
  <si>
    <t>FCS N cascade: FY (all-other-filters flag)</t>
  </si>
  <si>
    <t>FCS N cascade: FZ (candidate present flag)</t>
  </si>
  <si>
    <t>FCS N cascade: GA (running count)</t>
  </si>
  <si>
    <t>FCS N cascade: GB (dynamic dropdown list)</t>
  </si>
  <si>
    <t>FCS O cascade: FY (all-other-filters flag)</t>
  </si>
  <si>
    <t>FCS O cascade: FZ (candidate present flag)</t>
  </si>
  <si>
    <t>FCS O cascade: GA (running count)</t>
  </si>
  <si>
    <t>FCS O cascade: GB (dynamic dropdown list)</t>
  </si>
  <si>
    <t>FCS P cascade: FY (all-other-filters flag)</t>
  </si>
  <si>
    <t>FCS P cascade: FZ (candidate present flag)</t>
  </si>
  <si>
    <t>FCS P cascade: GA (running count)</t>
  </si>
  <si>
    <t>FCS P cascade: GB (dynamic dropdown list)</t>
  </si>
  <si>
    <t>FCS Q cascade: FY (all-other-filters flag)</t>
  </si>
  <si>
    <t>FCS Q cascade: FZ (candidate present flag)</t>
  </si>
  <si>
    <t>FCS Q cascade: GA (running count)</t>
  </si>
  <si>
    <t>FCS Q cascade: GB (dynamic dropdown list)</t>
  </si>
  <si>
    <t>FCS R cascade: FY (all-other-filters flag)</t>
  </si>
  <si>
    <t>FCS R cascade: FZ (candidate present flag)</t>
  </si>
  <si>
    <t>FCS R cascade: GA (running count)</t>
  </si>
  <si>
    <t>FCS R cascade: GB (dynamic dropdown list)</t>
  </si>
  <si>
    <t>FCS S cascade: FY (all-other-filters flag)</t>
  </si>
  <si>
    <t>FCS S cascade: FZ (candidate present flag)</t>
  </si>
  <si>
    <t>FCS S cascade: GA (running count)</t>
  </si>
  <si>
    <t>FCS S cascade: GB (dynamic dropdown list)</t>
  </si>
  <si>
    <t>FCS T cascade: FY (all-other-filters flag)</t>
  </si>
  <si>
    <t>FCS T cascade: FZ (candidate present flag)</t>
  </si>
  <si>
    <t>FCS T cascade: GA (running count)</t>
  </si>
  <si>
    <t>FCS T cascade: GB (dynamic dropdown list)</t>
  </si>
  <si>
    <t>FCS U cascade: FY (all-other-filters flag)</t>
  </si>
  <si>
    <t>FCS U cascade: FZ (candidate present flag)</t>
  </si>
  <si>
    <t>FCS U cascade: GA (running count)</t>
  </si>
  <si>
    <t>FCS U cascade: GB (dynamic dropdown list)</t>
  </si>
  <si>
    <t>FCS V cascade: FY (all-other-filters flag)</t>
  </si>
  <si>
    <t>FCS V cascade: FZ (candidate present flag)</t>
  </si>
  <si>
    <t>FCS V cascade: GA (running count)</t>
  </si>
  <si>
    <t>FCS V cascade: GB (dynamic dropdown list)</t>
  </si>
  <si>
    <t>FCS W cascade: FY (all-other-filters flag)</t>
  </si>
  <si>
    <t>FCS W cascade: FZ (candidate present flag)</t>
  </si>
  <si>
    <t>FCS W cascade: GA (running count)</t>
  </si>
  <si>
    <t>FCS W cascade: GB (dynamic dropdown list)</t>
  </si>
  <si>
    <t>FCS X cascade: FY (all-other-filters flag)</t>
  </si>
  <si>
    <t>FCS X cascade: FZ (candidate present flag)</t>
  </si>
  <si>
    <t>FCS X cascade: GA (running count)</t>
  </si>
  <si>
    <t>FCS X cascade: GB (dynamic dropdown list)</t>
  </si>
  <si>
    <t>FCS Y cascade: FY (all-other-filters flag)</t>
  </si>
  <si>
    <t>FCS Y cascade: FZ (candidate present flag)</t>
  </si>
  <si>
    <t>FCS Y cascade: GA (running count)</t>
  </si>
  <si>
    <t>FCS Y cascade: GB (dynamic dropdown list)</t>
  </si>
  <si>
    <t>FCS Z cascade: FY (all-other-filters flag)</t>
  </si>
  <si>
    <t>FCS Z cascade: FZ (candidate present flag)</t>
  </si>
  <si>
    <t>FCS Z cascade: GA (running count)</t>
  </si>
  <si>
    <t>FCS Z cascade: GB (dynamic dropdown list)</t>
  </si>
  <si>
    <t>FCS AA cascade: FY (all-other-filters flag)</t>
  </si>
  <si>
    <t>FCS AA cascade: FZ (candidate present flag)</t>
  </si>
  <si>
    <t>FCS AA cascade: GA (running count)</t>
  </si>
  <si>
    <t>FCS AA cascade: GB (dynamic dropdown list)</t>
  </si>
  <si>
    <t>FCS AB cascade: FY (all-other-filters flag)</t>
  </si>
  <si>
    <t>FCS AB cascade: FZ (candidate present flag)</t>
  </si>
  <si>
    <t>FCS AB cascade: GA (running count)</t>
  </si>
  <si>
    <t>FCS AB cascade: GB (dynamic dropdown list)</t>
  </si>
  <si>
    <t>FCS AC cascade: FY (all-other-filters flag)</t>
  </si>
  <si>
    <t>FCS AC cascade: FZ (candidate present flag)</t>
  </si>
  <si>
    <t>FCS AC cascade: GA (running count)</t>
  </si>
  <si>
    <t>FCS AC cascade: GB (dynamic dropdown list)</t>
  </si>
  <si>
    <t>FCS AD cascade: FY (all-other-filters flag)</t>
  </si>
  <si>
    <t>FCS AD cascade: FZ (candidate present flag)</t>
  </si>
  <si>
    <t>FCS AD cascade: GA (running count)</t>
  </si>
  <si>
    <t>FCS AD cascade: GB (dynamic dropdown list)</t>
  </si>
  <si>
    <t>FCS AE cascade: FY (all-other-filters flag)</t>
  </si>
  <si>
    <t>FCS AE cascade: FZ (candidate present flag)</t>
  </si>
  <si>
    <t>FCS AE cascade: GA (running count)</t>
  </si>
  <si>
    <t>FCS AE cascade: GB (dynamic dropdown list)</t>
  </si>
  <si>
    <t>FCS AF cascade: FY (all-other-filters flag)</t>
  </si>
  <si>
    <t>FCS AF cascade: FZ (candidate present flag)</t>
  </si>
  <si>
    <t>FCS AF cascade: GA (running count)</t>
  </si>
  <si>
    <t>FCS AF cascade: GB (dynamic dropdown list)</t>
  </si>
  <si>
    <t>FCS AG cascade: FY (all-other-filters flag)</t>
  </si>
  <si>
    <t>FCS AG cascade: FZ (candidate present flag)</t>
  </si>
  <si>
    <t>FCS AG cascade: GA (running count)</t>
  </si>
  <si>
    <t>FCS AG cascade: GB (dynamic dropdown list)</t>
  </si>
  <si>
    <t>FCS AH cascade: FY (all-other-filters flag)</t>
  </si>
  <si>
    <t>FCS AH cascade: FZ (candidate present flag)</t>
  </si>
  <si>
    <t>FCS AH cascade: GA (running count)</t>
  </si>
  <si>
    <t>FCS AH cascade: GB (dynamic dropdown list)</t>
  </si>
  <si>
    <t>SETTLED</t>
  </si>
  <si>
    <t>OUTSTANDING</t>
  </si>
  <si>
    <t>(blank)</t>
  </si>
  <si>
    <t>(nonblank)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</si>
</sst>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 #,##0_ ;_ * \-#,##0_ ;_ * \-??_ ;_ @_ "/>
  </numFmts>
  <fonts count="23" x14ac:knownFonts="1">
    <font>
      <sz val="11"/>
      <color theme="1"/>
      <name val="Calibri"/>
      <family val="2"/>
      <charset val="1"/>
    </font>
    <font>
      <b/>
      <sz val="13"/>
      <name val="Arial"/>
      <family val="2"/>
      <charset val="1"/>
    </font>
    <font>
      <b/>
      <sz val="11"/>
      <color theme="1"/>
      <name val="Calibri"/>
      <family val="2"/>
      <charset val="1"/>
    </font>
    <font>
      <b/>
      <sz val="9"/>
      <color theme="1"/>
      <name val="Calibri"/>
      <family val="2"/>
      <charset val="1"/>
    </font>
    <font>
      <b/>
      <sz val="10"/>
      <color theme="1"/>
      <name val="Arial"/>
      <family val="2"/>
      <charset val="1"/>
    </font>
    <font>
      <sz val="10"/>
      <name val="Arial"/>
      <family val="2"/>
      <charset val="1"/>
    </font>
    <font>
      <sz val="10"/>
      <color theme="1"/>
      <name val="Arial"/>
      <family val="2"/>
      <charset val="1"/>
    </font>
    <font>
      <b/>
      <sz val="15"/>
      <color rgb="FFFFFFFF"/>
      <name val="Calibri"/>
      <charset val="1"/>
    </font>
    <font>
      <i/>
      <sz val="9"/>
      <color rgb="FF1F3864"/>
      <name val="Calibri"/>
      <charset val="1"/>
    </font>
    <font>
      <b/>
      <sz val="11"/>
      <color rgb="FFFFFFFF"/>
      <name val="Calibri"/>
      <charset val="1"/>
    </font>
    <font>
      <b/>
      <sz val="12"/>
      <color rgb="FF1F3864"/>
      <name val="Calibri"/>
      <charset val="1"/>
    </font>
    <font>
      <b/>
      <sz val="10"/>
      <color rgb="FFFFFFFF"/>
      <name val="Calibri"/>
      <charset val="1"/>
    </font>
    <font>
      <b/>
      <sz val="10"/>
      <color rgb="FF1F3864"/>
      <name val="Calibri"/>
      <charset val="1"/>
    </font>
    <font>
      <i/>
      <sz val="8"/>
      <color rgb="FF808080"/>
      <name val="Calibri"/>
      <charset val="1"/>
    </font>
    <font>
      <sz val="11"/>
      <name val="Cambria"/>
      <charset val="1"/>
    </font>
    <font>
      <b/>
      <sz val="9"/>
      <color rgb="FF666666"/>
      <name val="Calibri"/>
      <charset val="1"/>
    </font>
    <font>
      <b/>
      <sz val="10"/>
      <color rgb="FF333333"/>
      <name val="Calibri"/>
      <charset val="1"/>
    </font>
    <font>
      <sz val="10"/>
      <color rgb="FF333333"/>
      <name val="Calibri"/>
      <charset val="1"/>
    </font>
    <font>
      <b/>
      <sz val="10"/>
      <name val="Calibri"/>
      <charset val="1"/>
    </font>
    <font>
      <b/>
      <sz val="9"/>
      <color rgb="FFFFFFFF"/>
      <name val="Cambria"/>
      <charset val="1"/>
    </font>
    <font>
      <b/>
      <sz val="9"/>
      <color rgb="FFFFFFFF"/>
      <name val="Calibri"/>
      <charset val="1"/>
    </font>
    <font>
      <i/>
      <sz val="10"/>
      <color rgb="FF666666"/>
      <name val="Calibri"/>
      <charset val="1"/>
    </font>
    <font>
      <b/>
      <sz val="10"/>
      <name val="Arial"/>
      <family val="2"/>
      <charset val="1"/>
    </font>
  </fonts>
  <fills count="12">
    <fill>
      <patternFill patternType="none"/>
    </fill>
    <fill>
      <patternFill patternType="gray125"/>
    </fill>
    <fill>
      <patternFill patternType="solid">
        <fgColor theme="0"/>
        <bgColor rgb="FFF4F9FD"/>
      </patternFill>
    </fill>
    <fill>
      <patternFill patternType="solid">
        <fgColor theme="2" tint="-9.9978637043366805E-2"/>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3">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54">
    <xf numFmtId="0" fontId="0" fillId="0" borderId="0" xfId="0"/>
    <xf numFmtId="0" fontId="0" fillId="0" borderId="0" xfId="0" applyAlignment="1">
      <alignment wrapText="1"/>
    </xf>
    <xf numFmtId="0" fontId="0" fillId="2" borderId="0" xfId="0" applyFill="1"/>
    <xf numFmtId="0" fontId="1" fillId="0" borderId="0" xfId="0" applyFont="1" applyAlignment="1">
      <alignmen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left" vertical="center" wrapText="1"/>
    </xf>
    <xf numFmtId="164" fontId="5" fillId="0" borderId="5" xfId="0" applyNumberFormat="1" applyFont="1" applyBorder="1" applyAlignment="1">
      <alignment horizontal="center" vertical="center" wrapText="1"/>
    </xf>
    <xf numFmtId="0" fontId="5" fillId="0" borderId="5" xfId="0" applyFont="1" applyBorder="1" applyAlignment="1">
      <alignment horizontal="center" vertical="center" wrapText="1"/>
    </xf>
    <xf numFmtId="164" fontId="5" fillId="0" borderId="5" xfId="0" applyNumberFormat="1" applyFont="1" applyBorder="1" applyAlignment="1">
      <alignment horizontal="right" vertical="center" wrapText="1"/>
    </xf>
    <xf numFmtId="164" fontId="5" fillId="0" borderId="5" xfId="0" applyNumberFormat="1" applyFont="1" applyBorder="1" applyAlignment="1">
      <alignment horizontal="right" vertical="center"/>
    </xf>
    <xf numFmtId="3" fontId="5" fillId="0" borderId="5" xfId="0" applyNumberFormat="1" applyFont="1" applyBorder="1" applyAlignment="1">
      <alignment horizontal="right" vertical="center"/>
    </xf>
    <xf numFmtId="9" fontId="5" fillId="0" borderId="5" xfId="0" applyNumberFormat="1" applyFont="1" applyBorder="1" applyAlignment="1">
      <alignment horizontal="right" vertical="center"/>
    </xf>
    <xf numFmtId="165" fontId="6" fillId="2" borderId="5" xfId="0" applyNumberFormat="1" applyFont="1" applyFill="1" applyBorder="1" applyAlignment="1">
      <alignment vertical="center"/>
    </xf>
    <xf numFmtId="164" fontId="5" fillId="2" borderId="5" xfId="0" applyNumberFormat="1" applyFont="1" applyFill="1" applyBorder="1" applyAlignment="1">
      <alignment horizontal="right" vertical="center"/>
    </xf>
    <xf numFmtId="164" fontId="5" fillId="2" borderId="6" xfId="0" applyNumberFormat="1" applyFont="1" applyFill="1" applyBorder="1" applyAlignment="1">
      <alignment horizontal="right" vertical="center"/>
    </xf>
    <xf numFmtId="1" fontId="5" fillId="2" borderId="6" xfId="0" applyNumberFormat="1" applyFont="1" applyFill="1" applyBorder="1" applyAlignment="1">
      <alignment horizontal="center" vertical="center"/>
    </xf>
    <xf numFmtId="164" fontId="5" fillId="2" borderId="7" xfId="0" applyNumberFormat="1" applyFont="1" applyFill="1" applyBorder="1" applyAlignment="1">
      <alignment horizontal="right" vertical="center"/>
    </xf>
    <xf numFmtId="0" fontId="5" fillId="0" borderId="8" xfId="0" applyFont="1" applyBorder="1" applyAlignment="1">
      <alignment horizontal="center" vertical="center" wrapText="1"/>
    </xf>
    <xf numFmtId="0" fontId="5" fillId="0" borderId="6" xfId="0" applyFont="1" applyBorder="1" applyAlignment="1">
      <alignment horizontal="left" vertical="center" wrapText="1"/>
    </xf>
    <xf numFmtId="164" fontId="5" fillId="0" borderId="6" xfId="0" applyNumberFormat="1" applyFont="1" applyBorder="1" applyAlignment="1">
      <alignment horizontal="center" vertical="center" wrapText="1"/>
    </xf>
    <xf numFmtId="0" fontId="5" fillId="0" borderId="6" xfId="0" applyFont="1" applyBorder="1" applyAlignment="1">
      <alignment horizontal="center" vertical="center" wrapText="1"/>
    </xf>
    <xf numFmtId="164" fontId="5" fillId="0" borderId="6" xfId="0" applyNumberFormat="1" applyFont="1" applyBorder="1" applyAlignment="1">
      <alignment horizontal="right" vertical="center" wrapText="1"/>
    </xf>
    <xf numFmtId="164" fontId="5" fillId="0" borderId="6" xfId="0" applyNumberFormat="1" applyFont="1" applyBorder="1" applyAlignment="1">
      <alignment horizontal="right" vertical="center"/>
    </xf>
    <xf numFmtId="3" fontId="5" fillId="0" borderId="6" xfId="0" applyNumberFormat="1" applyFont="1" applyBorder="1" applyAlignment="1">
      <alignment horizontal="right" vertical="center"/>
    </xf>
    <xf numFmtId="9" fontId="5" fillId="0" borderId="6" xfId="0" applyNumberFormat="1" applyFont="1" applyBorder="1" applyAlignment="1">
      <alignment horizontal="right" vertical="center"/>
    </xf>
    <xf numFmtId="165" fontId="6" fillId="2" borderId="6" xfId="0" applyNumberFormat="1" applyFont="1" applyFill="1" applyBorder="1" applyAlignment="1">
      <alignment vertical="center"/>
    </xf>
    <xf numFmtId="0" fontId="5" fillId="0" borderId="9" xfId="0" applyFont="1" applyBorder="1" applyAlignment="1">
      <alignment horizontal="center" vertical="center" wrapText="1"/>
    </xf>
    <xf numFmtId="0" fontId="5" fillId="0" borderId="10" xfId="0" applyFont="1" applyBorder="1" applyAlignment="1">
      <alignment horizontal="left" vertical="center" wrapText="1"/>
    </xf>
    <xf numFmtId="164" fontId="5" fillId="0" borderId="10" xfId="0" applyNumberFormat="1" applyFont="1" applyBorder="1" applyAlignment="1">
      <alignment horizontal="center" vertical="center" wrapText="1"/>
    </xf>
    <xf numFmtId="0" fontId="5" fillId="0" borderId="10" xfId="0" applyFont="1" applyBorder="1" applyAlignment="1">
      <alignment horizontal="center" vertical="center" wrapText="1"/>
    </xf>
    <xf numFmtId="164" fontId="5" fillId="0" borderId="10" xfId="0" applyNumberFormat="1" applyFont="1" applyBorder="1" applyAlignment="1">
      <alignment horizontal="right" vertical="center" wrapText="1"/>
    </xf>
    <xf numFmtId="164" fontId="5" fillId="0" borderId="10" xfId="0" applyNumberFormat="1" applyFont="1" applyBorder="1" applyAlignment="1">
      <alignment horizontal="right" vertical="center"/>
    </xf>
    <xf numFmtId="3" fontId="5" fillId="0" borderId="10" xfId="0" applyNumberFormat="1" applyFont="1" applyBorder="1" applyAlignment="1">
      <alignment horizontal="right" vertical="center"/>
    </xf>
    <xf numFmtId="9" fontId="5" fillId="0" borderId="10" xfId="0" applyNumberFormat="1" applyFont="1" applyBorder="1" applyAlignment="1">
      <alignment horizontal="right" vertical="center"/>
    </xf>
    <xf numFmtId="165" fontId="6" fillId="2" borderId="10" xfId="0" applyNumberFormat="1" applyFont="1" applyFill="1" applyBorder="1" applyAlignment="1">
      <alignment vertical="center"/>
    </xf>
    <xf numFmtId="0" fontId="0" fillId="0" borderId="14" xfId="0" applyBorder="1"/>
    <xf numFmtId="0" fontId="0" fillId="0" borderId="15" xfId="0" applyBorder="1"/>
    <xf numFmtId="164" fontId="5" fillId="0" borderId="15" xfId="0" applyNumberFormat="1" applyFont="1" applyBorder="1" applyAlignment="1">
      <alignment horizontal="right" vertical="center" wrapText="1"/>
    </xf>
    <xf numFmtId="164" fontId="5" fillId="0" borderId="15" xfId="0" applyNumberFormat="1" applyFont="1" applyBorder="1" applyAlignment="1">
      <alignment horizontal="right" vertical="center"/>
    </xf>
    <xf numFmtId="3" fontId="5" fillId="0" borderId="15" xfId="0" applyNumberFormat="1" applyFont="1" applyBorder="1" applyAlignment="1">
      <alignment horizontal="right" vertical="center"/>
    </xf>
    <xf numFmtId="164" fontId="6" fillId="0" borderId="15" xfId="0" applyNumberFormat="1" applyFont="1" applyBorder="1"/>
    <xf numFmtId="165" fontId="6" fillId="2" borderId="15" xfId="0" applyNumberFormat="1" applyFont="1" applyFill="1" applyBorder="1" applyAlignment="1">
      <alignment horizontal="right" vertical="center"/>
    </xf>
    <xf numFmtId="164" fontId="0" fillId="0" borderId="15" xfId="0" applyNumberFormat="1" applyBorder="1"/>
    <xf numFmtId="0" fontId="0" fillId="0" borderId="16" xfId="0" applyBorder="1"/>
    <xf numFmtId="164" fontId="0" fillId="0" borderId="0" xfId="0" applyNumberFormat="1"/>
    <xf numFmtId="0" fontId="0" fillId="2" borderId="0" xfId="0" applyFill="1" applyAlignment="1">
      <alignment horizontal="right" vertical="center"/>
    </xf>
    <xf numFmtId="0" fontId="0" fillId="0" borderId="0" xfId="0" applyAlignment="1">
      <alignment horizontal="right"/>
    </xf>
    <xf numFmtId="164" fontId="0" fillId="2" borderId="0" xfId="0" applyNumberFormat="1" applyFill="1"/>
    <xf numFmtId="0" fontId="9" fillId="4" borderId="0" xfId="0" applyFont="1" applyFill="1" applyAlignment="1">
      <alignment horizontal="right" vertical="center"/>
    </xf>
    <xf numFmtId="0" fontId="11" fillId="4" borderId="0" xfId="0" applyFont="1" applyFill="1" applyAlignment="1">
      <alignment horizontal="right" vertical="center"/>
    </xf>
    <xf numFmtId="0" fontId="12" fillId="6" borderId="17" xfId="0" applyFont="1" applyFill="1" applyBorder="1" applyAlignment="1">
      <alignment horizontal="center" vertical="center" wrapText="1"/>
    </xf>
    <xf numFmtId="0" fontId="10" fillId="5" borderId="17" xfId="0" applyFont="1" applyFill="1" applyBorder="1" applyAlignment="1">
      <alignment horizontal="center" vertical="center" wrapText="1"/>
    </xf>
    <xf numFmtId="0" fontId="13" fillId="0" borderId="0" xfId="0" applyFont="1"/>
    <xf numFmtId="0" fontId="11" fillId="7" borderId="18" xfId="0" applyFont="1" applyFill="1" applyBorder="1" applyAlignment="1">
      <alignment horizontal="center" vertical="center" wrapText="1"/>
    </xf>
    <xf numFmtId="0" fontId="14" fillId="0" borderId="0" xfId="0" applyFont="1" applyAlignment="1">
      <alignment horizontal="left" vertical="center"/>
    </xf>
    <xf numFmtId="0" fontId="14" fillId="0" borderId="0" xfId="0" applyFont="1"/>
    <xf numFmtId="1" fontId="15" fillId="0" borderId="0" xfId="0" applyNumberFormat="1" applyFont="1" applyAlignment="1">
      <alignment horizontal="center" vertical="center" wrapText="1"/>
    </xf>
    <xf numFmtId="0" fontId="16" fillId="0" borderId="0" xfId="0" applyFont="1" applyAlignment="1">
      <alignment horizontal="left" vertical="center"/>
    </xf>
    <xf numFmtId="0" fontId="17" fillId="0" borderId="0" xfId="0" applyFont="1" applyAlignment="1">
      <alignment horizontal="left" vertical="center"/>
    </xf>
    <xf numFmtId="164" fontId="17" fillId="0" borderId="0" xfId="0" applyNumberFormat="1" applyFont="1" applyAlignment="1">
      <alignment horizontal="right" vertical="center"/>
    </xf>
    <xf numFmtId="3" fontId="17" fillId="0" borderId="0" xfId="0" applyNumberFormat="1" applyFont="1" applyAlignment="1">
      <alignment horizontal="right" vertical="center"/>
    </xf>
    <xf numFmtId="9" fontId="17" fillId="0" borderId="0" xfId="0" applyNumberFormat="1" applyFont="1" applyAlignment="1">
      <alignment horizontal="right" vertical="center"/>
    </xf>
    <xf numFmtId="165" fontId="17" fillId="0" borderId="0" xfId="0" applyNumberFormat="1" applyFont="1" applyAlignment="1">
      <alignment horizontal="right" vertical="center"/>
    </xf>
    <xf numFmtId="1" fontId="17" fillId="0" borderId="0" xfId="0" applyNumberFormat="1" applyFont="1" applyAlignment="1">
      <alignment horizontal="right" vertical="center"/>
    </xf>
    <xf numFmtId="0" fontId="18" fillId="0" borderId="0" xfId="0" applyFont="1" applyAlignment="1">
      <alignment horizontal="center" vertical="center" wrapText="1"/>
    </xf>
    <xf numFmtId="0" fontId="19" fillId="4" borderId="19" xfId="0" applyFont="1" applyFill="1" applyBorder="1"/>
    <xf numFmtId="0" fontId="12" fillId="6" borderId="19" xfId="0" applyFont="1" applyFill="1" applyBorder="1" applyProtection="1">
      <protection locked="0"/>
    </xf>
    <xf numFmtId="1" fontId="20" fillId="4" borderId="0" xfId="0" applyNumberFormat="1" applyFont="1" applyFill="1" applyAlignment="1">
      <alignment horizontal="center" vertical="center" wrapText="1"/>
    </xf>
    <xf numFmtId="0" fontId="11" fillId="4" borderId="0" xfId="0" applyFont="1" applyFill="1" applyAlignment="1">
      <alignment horizontal="left" vertical="center"/>
    </xf>
    <xf numFmtId="164" fontId="11" fillId="4" borderId="0" xfId="0" applyNumberFormat="1" applyFont="1" applyFill="1" applyAlignment="1">
      <alignment horizontal="right" vertical="center"/>
    </xf>
    <xf numFmtId="3" fontId="11" fillId="4" borderId="0" xfId="0" applyNumberFormat="1" applyFont="1" applyFill="1" applyAlignment="1">
      <alignment horizontal="right" vertical="center"/>
    </xf>
    <xf numFmtId="9" fontId="11" fillId="4" borderId="0" xfId="0" applyNumberFormat="1" applyFont="1" applyFill="1" applyAlignment="1">
      <alignment horizontal="right" vertical="center"/>
    </xf>
    <xf numFmtId="165" fontId="11" fillId="4" borderId="0" xfId="0" applyNumberFormat="1" applyFont="1" applyFill="1" applyAlignment="1">
      <alignment horizontal="right" vertical="center"/>
    </xf>
    <xf numFmtId="1" fontId="11" fillId="4" borderId="0" xfId="0" applyNumberFormat="1" applyFont="1" applyFill="1" applyAlignment="1">
      <alignment horizontal="right" vertical="center"/>
    </xf>
    <xf numFmtId="0" fontId="11" fillId="4" borderId="0" xfId="0" applyFont="1" applyFill="1" applyAlignment="1">
      <alignment horizontal="center" vertical="center" wrapText="1"/>
    </xf>
    <xf numFmtId="1" fontId="15" fillId="8" borderId="0" xfId="0" applyNumberFormat="1" applyFont="1" applyFill="1" applyAlignment="1">
      <alignment horizontal="center" vertical="center" wrapText="1"/>
    </xf>
    <xf numFmtId="0" fontId="16" fillId="8" borderId="0" xfId="0" applyFont="1" applyFill="1" applyAlignment="1">
      <alignment horizontal="left" vertical="center"/>
    </xf>
    <xf numFmtId="0" fontId="17" fillId="8" borderId="0" xfId="0" applyFont="1" applyFill="1" applyAlignment="1">
      <alignment horizontal="left" vertical="center"/>
    </xf>
    <xf numFmtId="164" fontId="17" fillId="8" borderId="0" xfId="0" applyNumberFormat="1" applyFont="1" applyFill="1" applyAlignment="1">
      <alignment horizontal="right" vertical="center"/>
    </xf>
    <xf numFmtId="3" fontId="17" fillId="8" borderId="0" xfId="0" applyNumberFormat="1" applyFont="1" applyFill="1" applyAlignment="1">
      <alignment horizontal="right" vertical="center"/>
    </xf>
    <xf numFmtId="9" fontId="17" fillId="8" borderId="0" xfId="0" applyNumberFormat="1" applyFont="1" applyFill="1" applyAlignment="1">
      <alignment horizontal="right" vertical="center"/>
    </xf>
    <xf numFmtId="165" fontId="17" fillId="8" borderId="0" xfId="0" applyNumberFormat="1" applyFont="1" applyFill="1" applyAlignment="1">
      <alignment horizontal="right" vertical="center"/>
    </xf>
    <xf numFmtId="1" fontId="17" fillId="8" borderId="0" xfId="0" applyNumberFormat="1" applyFont="1" applyFill="1" applyAlignment="1">
      <alignment horizontal="right" vertical="center"/>
    </xf>
    <xf numFmtId="0" fontId="18" fillId="8" borderId="0" xfId="0" applyFont="1" applyFill="1" applyAlignment="1">
      <alignment horizontal="center" vertical="center" wrapText="1"/>
    </xf>
    <xf numFmtId="1" fontId="9" fillId="4" borderId="20" xfId="0" applyNumberFormat="1" applyFont="1" applyFill="1" applyBorder="1" applyAlignment="1">
      <alignment horizontal="center" vertical="center" wrapText="1"/>
    </xf>
    <xf numFmtId="0" fontId="9" fillId="4" borderId="20" xfId="0" applyFont="1" applyFill="1" applyBorder="1" applyAlignment="1">
      <alignment horizontal="left" vertical="center"/>
    </xf>
    <xf numFmtId="164" fontId="9" fillId="4" borderId="20" xfId="0" applyNumberFormat="1" applyFont="1" applyFill="1" applyBorder="1" applyAlignment="1">
      <alignment horizontal="right" vertical="center"/>
    </xf>
    <xf numFmtId="3" fontId="9" fillId="4" borderId="20" xfId="0" applyNumberFormat="1" applyFont="1" applyFill="1" applyBorder="1" applyAlignment="1">
      <alignment horizontal="right" vertical="center"/>
    </xf>
    <xf numFmtId="9" fontId="9" fillId="4" borderId="20" xfId="0" applyNumberFormat="1" applyFont="1" applyFill="1" applyBorder="1" applyAlignment="1">
      <alignment horizontal="right" vertical="center"/>
    </xf>
    <xf numFmtId="165" fontId="9" fillId="4" borderId="20" xfId="0" applyNumberFormat="1" applyFont="1" applyFill="1" applyBorder="1" applyAlignment="1">
      <alignment horizontal="right" vertical="center"/>
    </xf>
    <xf numFmtId="1" fontId="9" fillId="4" borderId="20" xfId="0" applyNumberFormat="1" applyFont="1" applyFill="1" applyBorder="1" applyAlignment="1">
      <alignment horizontal="right" vertical="center"/>
    </xf>
    <xf numFmtId="0" fontId="9" fillId="4" borderId="20" xfId="0" applyFont="1" applyFill="1" applyBorder="1" applyAlignment="1">
      <alignment horizontal="center" vertical="center" wrapText="1"/>
    </xf>
    <xf numFmtId="1" fontId="9" fillId="9" borderId="0" xfId="0" applyNumberFormat="1" applyFont="1" applyFill="1" applyAlignment="1">
      <alignment horizontal="center" vertical="center" wrapText="1"/>
    </xf>
    <xf numFmtId="0" fontId="9" fillId="9" borderId="0" xfId="0" applyFont="1" applyFill="1" applyAlignment="1">
      <alignment horizontal="left" vertical="center"/>
    </xf>
    <xf numFmtId="164" fontId="9" fillId="9" borderId="0" xfId="0" applyNumberFormat="1" applyFont="1" applyFill="1" applyAlignment="1">
      <alignment horizontal="right" vertical="center"/>
    </xf>
    <xf numFmtId="3" fontId="9" fillId="9" borderId="0" xfId="0" applyNumberFormat="1" applyFont="1" applyFill="1" applyAlignment="1">
      <alignment horizontal="right" vertical="center"/>
    </xf>
    <xf numFmtId="9" fontId="9" fillId="9" borderId="0" xfId="0" applyNumberFormat="1" applyFont="1" applyFill="1" applyAlignment="1">
      <alignment horizontal="right" vertical="center"/>
    </xf>
    <xf numFmtId="165" fontId="9" fillId="9" borderId="0" xfId="0" applyNumberFormat="1" applyFont="1" applyFill="1" applyAlignment="1">
      <alignment horizontal="right" vertical="center"/>
    </xf>
    <xf numFmtId="1" fontId="9" fillId="9" borderId="0" xfId="0" applyNumberFormat="1" applyFont="1" applyFill="1" applyAlignment="1">
      <alignment horizontal="right" vertical="center"/>
    </xf>
    <xf numFmtId="0" fontId="9" fillId="9" borderId="0" xfId="0" applyFont="1" applyFill="1" applyAlignment="1">
      <alignment horizontal="center" vertical="center" wrapText="1"/>
    </xf>
    <xf numFmtId="0" fontId="9" fillId="4" borderId="0" xfId="0" applyFont="1" applyFill="1"/>
    <xf numFmtId="0" fontId="15" fillId="0" borderId="0" xfId="0" applyFont="1"/>
    <xf numFmtId="0" fontId="16" fillId="0" borderId="0" xfId="0" applyFont="1"/>
    <xf numFmtId="0" fontId="21" fillId="0" borderId="0" xfId="0" applyFont="1"/>
    <xf numFmtId="0" fontId="17" fillId="0" borderId="0" xfId="0" applyFont="1"/>
    <xf numFmtId="164" fontId="17" fillId="0" borderId="0" xfId="0" applyNumberFormat="1" applyFont="1"/>
    <xf numFmtId="3" fontId="17" fillId="0" borderId="0" xfId="0" applyNumberFormat="1" applyFont="1"/>
    <xf numFmtId="9" fontId="17" fillId="0" borderId="0" xfId="0" applyNumberFormat="1" applyFont="1"/>
    <xf numFmtId="165" fontId="17" fillId="0" borderId="0" xfId="0" applyNumberFormat="1" applyFont="1"/>
    <xf numFmtId="1" fontId="17" fillId="0" borderId="0" xfId="0" applyNumberFormat="1" applyFont="1"/>
    <xf numFmtId="0" fontId="18" fillId="0" borderId="0" xfId="0" applyFont="1"/>
    <xf numFmtId="0" fontId="15" fillId="8" borderId="0" xfId="0" applyFont="1" applyFill="1"/>
    <xf numFmtId="0" fontId="16" fillId="8" borderId="0" xfId="0" applyFont="1" applyFill="1"/>
    <xf numFmtId="0" fontId="17" fillId="8" borderId="0" xfId="0" applyFont="1" applyFill="1"/>
    <xf numFmtId="164" fontId="17" fillId="8" borderId="0" xfId="0" applyNumberFormat="1" applyFont="1" applyFill="1"/>
    <xf numFmtId="3" fontId="17" fillId="8" borderId="0" xfId="0" applyNumberFormat="1" applyFont="1" applyFill="1"/>
    <xf numFmtId="9" fontId="17" fillId="8" borderId="0" xfId="0" applyNumberFormat="1" applyFont="1" applyFill="1"/>
    <xf numFmtId="165" fontId="17" fillId="8" borderId="0" xfId="0" applyNumberFormat="1" applyFont="1" applyFill="1"/>
    <xf numFmtId="1" fontId="17" fillId="8" borderId="0" xfId="0" applyNumberFormat="1" applyFont="1" applyFill="1"/>
    <xf numFmtId="0" fontId="18" fillId="8" borderId="0" xfId="0" applyFont="1" applyFill="1"/>
    <xf numFmtId="3" fontId="0" fillId="0" borderId="0" xfId="0" applyNumberFormat="1"/>
    <xf numFmtId="9" fontId="0" fillId="0" borderId="0" xfId="0" applyNumberFormat="1"/>
    <xf numFmtId="165" fontId="0" fillId="0" borderId="0" xfId="0" applyNumberFormat="1"/>
    <xf numFmtId="1" fontId="0" fillId="0" borderId="0" xfId="0" applyNumberFormat="1"/>
    <xf numFmtId="0" fontId="5" fillId="10" borderId="8" xfId="0" applyFont="1" applyFill="1" applyBorder="1" applyAlignment="1">
      <alignment horizontal="center" vertical="center" wrapText="1"/>
    </xf>
    <xf numFmtId="0" fontId="5" fillId="10" borderId="6" xfId="0" applyFont="1" applyFill="1" applyBorder="1" applyAlignment="1">
      <alignment horizontal="left" vertical="center" wrapText="1"/>
    </xf>
    <xf numFmtId="164" fontId="5" fillId="10" borderId="6" xfId="0" applyNumberFormat="1" applyFont="1" applyFill="1" applyBorder="1" applyAlignment="1">
      <alignment horizontal="center" vertical="center" wrapText="1"/>
    </xf>
    <xf numFmtId="0" fontId="5" fillId="10" borderId="6" xfId="0" applyFont="1" applyFill="1" applyBorder="1" applyAlignment="1">
      <alignment horizontal="center" vertical="center" wrapText="1"/>
    </xf>
    <xf numFmtId="164" fontId="5" fillId="10" borderId="6" xfId="0" applyNumberFormat="1" applyFont="1" applyFill="1" applyBorder="1" applyAlignment="1">
      <alignment horizontal="right" vertical="center" wrapText="1"/>
    </xf>
    <xf numFmtId="164" fontId="5" fillId="10" borderId="6" xfId="0" applyNumberFormat="1" applyFont="1" applyFill="1" applyBorder="1" applyAlignment="1">
      <alignment horizontal="right" vertical="center"/>
    </xf>
    <xf numFmtId="3" fontId="5" fillId="10" borderId="6" xfId="0" applyNumberFormat="1" applyFont="1" applyFill="1" applyBorder="1" applyAlignment="1">
      <alignment horizontal="right" vertical="center"/>
    </xf>
    <xf numFmtId="9" fontId="5" fillId="10" borderId="6" xfId="0" applyNumberFormat="1" applyFont="1" applyFill="1" applyBorder="1" applyAlignment="1">
      <alignment horizontal="right" vertical="center"/>
    </xf>
    <xf numFmtId="165" fontId="6" fillId="10" borderId="6" xfId="0" applyNumberFormat="1" applyFont="1" applyFill="1" applyBorder="1" applyAlignment="1">
      <alignment vertical="center"/>
    </xf>
    <xf numFmtId="164" fontId="5" fillId="10" borderId="5" xfId="0" applyNumberFormat="1" applyFont="1" applyFill="1" applyBorder="1" applyAlignment="1">
      <alignment horizontal="right" vertical="center"/>
    </xf>
    <xf numFmtId="1" fontId="5" fillId="10" borderId="6" xfId="0" applyNumberFormat="1" applyFont="1" applyFill="1" applyBorder="1" applyAlignment="1">
      <alignment horizontal="center" vertical="center"/>
    </xf>
    <xf numFmtId="164" fontId="5" fillId="10" borderId="7" xfId="0" applyNumberFormat="1" applyFont="1" applyFill="1" applyBorder="1" applyAlignment="1">
      <alignment horizontal="right" vertical="center"/>
    </xf>
    <xf numFmtId="0" fontId="2" fillId="11" borderId="11" xfId="0" applyFont="1" applyFill="1" applyBorder="1"/>
    <xf numFmtId="0" fontId="2" fillId="11" borderId="12" xfId="0" applyFont="1" applyFill="1" applyBorder="1"/>
    <xf numFmtId="164" fontId="22" fillId="11" borderId="12" xfId="0" applyNumberFormat="1" applyFont="1" applyFill="1" applyBorder="1" applyAlignment="1">
      <alignment horizontal="right" vertical="center" wrapText="1"/>
    </xf>
    <xf numFmtId="164" fontId="22" fillId="11" borderId="12" xfId="0" applyNumberFormat="1" applyFont="1" applyFill="1" applyBorder="1" applyAlignment="1">
      <alignment horizontal="right" vertical="center"/>
    </xf>
    <xf numFmtId="0" fontId="2" fillId="11" borderId="13" xfId="0" applyFont="1" applyFill="1" applyBorder="1"/>
    <xf numFmtId="0" fontId="8" fillId="5" borderId="0" xfId="0" applyFont="1" applyFill="1" applyAlignment="1">
      <alignment horizontal="left" vertical="center" wrapText="1"/>
    </xf>
    <xf numFmtId="0" fontId="0" fillId="0" borderId="0" xfId="0"/>
    <xf numFmtId="0" fontId="10" fillId="6" borderId="17" xfId="0" applyFont="1" applyFill="1" applyBorder="1" applyAlignment="1">
      <alignment horizontal="left" vertical="center" indent="1"/>
    </xf>
    <xf numFmtId="0" fontId="0" fillId="0" borderId="21" xfId="0" applyBorder="1"/>
    <xf numFmtId="0" fontId="0" fillId="0" borderId="22" xfId="0" applyBorder="1"/>
    <xf numFmtId="0" fontId="12" fillId="5" borderId="0" xfId="0" applyFont="1" applyFill="1" applyAlignment="1">
      <alignment horizontal="left" vertical="center" indent="1"/>
    </xf>
    <xf numFmtId="0" fontId="7" fillId="4" borderId="0" xfId="0" applyFont="1" applyFill="1" applyAlignment="1">
      <alignment horizontal="left" vertical="center" indent="1"/>
    </xf>
  </cellXfs>
  <cellStyles count="1">
    <cellStyle name="Normal" xfId="0" builtinId="0"/>
  </cellStyles>
  <dxfs count="124">
    <dxf>
      <font>
        <b/>
        <color rgb="FF9C0006"/>
      </font>
      <fill>
        <patternFill>
          <bgColor rgb="FFFCE4E4"/>
        </patternFill>
      </fill>
    </dxf>
    <dxf>
      <font>
        <b/>
        <color rgb="FF9C0006"/>
      </font>
      <fill>
        <patternFill>
          <bgColor rgb="FFFCE4E4"/>
        </patternFill>
      </fill>
    </dxf>
    <dxf>
      <font>
        <b/>
        <color rgb="FF375623"/>
      </font>
      <fill>
        <patternFill>
          <bgColor rgb="FFE2EFDA"/>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9C0006"/>
      </font>
      <fill>
        <patternFill>
          <bgColor rgb="FFFCE4E4"/>
        </patternFill>
      </fill>
    </dxf>
    <dxf>
      <font>
        <b/>
        <color rgb="FF375623"/>
      </font>
      <fill>
        <patternFill>
          <bgColor rgb="FFE2EFDA"/>
        </patternFill>
      </fill>
    </dxf>
    <dxf>
      <font>
        <b/>
        <color rgb="FF9C0006"/>
      </font>
      <fill>
        <patternFill>
          <bgColor rgb="FFFCE4E4"/>
        </patternFill>
      </fill>
    </dxf>
    <dxf>
      <font>
        <color rgb="FF666666"/>
      </font>
      <fill>
        <patternFill>
          <bgColor rgb="FFEDEDED"/>
        </patternFill>
      </fill>
    </dxf>
    <dxf>
      <font>
        <color rgb="FF9C0006"/>
      </font>
      <fill>
        <patternFill patternType="solid">
          <fgColor rgb="FFFCE4E4"/>
        </patternFill>
      </fill>
    </dxf>
    <dxf>
      <font>
        <color rgb="FF9C0006"/>
      </font>
      <fill>
        <patternFill patternType="solid">
          <fgColor rgb="FFFCE4E4"/>
        </patternFill>
      </fill>
    </dxf>
    <dxf>
      <font>
        <color rgb="FF375623"/>
      </font>
      <fill>
        <patternFill patternType="solid">
          <fgColor rgb="FFE2EFDA"/>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color rgb="FF666666"/>
      </font>
      <fill>
        <patternFill>
          <bgColor rgb="FFEDEDED"/>
        </patternFill>
      </fill>
    </dxf>
    <dxf>
      <font>
        <b/>
        <color rgb="FF9C0006"/>
      </font>
      <fill>
        <patternFill>
          <bgColor rgb="FFFCE4E4"/>
        </patternFill>
      </fill>
    </dxf>
    <dxf>
      <font>
        <b/>
        <color rgb="FF375623"/>
      </font>
      <fill>
        <patternFill>
          <bgColor rgb="FFE2EFDA"/>
        </patternFill>
      </fill>
    </dxf>
    <dxf>
      <font>
        <b/>
        <color rgb="FF9C0006"/>
      </font>
      <fill>
        <patternFill>
          <bgColor rgb="FFFCE4E4"/>
        </patternFill>
      </fill>
    </dxf>
    <dxf>
      <border>
        <left style="thin">
          <color rgb="FFD0D0D0"/>
        </left>
        <right style="thin">
          <color rgb="FFD0D0D0"/>
        </right>
        <top style="thin">
          <color rgb="FFD0D0D0"/>
        </top>
        <bottom style="thin">
          <color rgb="FFD0D0D0"/>
        </bottom>
      </border>
    </dxf>
    <dxf>
      <fill>
        <patternFill>
          <bgColor rgb="FFF4F9FD"/>
        </patternFill>
      </fill>
    </dxf>
    <dxf>
      <font>
        <b/>
        <color rgb="FF1F3864"/>
      </font>
      <fill>
        <patternFill>
          <bgColor rgb="FFFFD966"/>
        </patternFill>
      </fill>
    </dxf>
    <dxf>
      <font>
        <b/>
        <color rgb="FFFFFFFF"/>
      </font>
      <fill>
        <patternFill>
          <bgColor rgb="FF1F3864"/>
        </patternFill>
      </fill>
    </dxf>
    <dxf>
      <font>
        <b/>
        <color rgb="FFFFFFFF"/>
      </font>
      <fill>
        <patternFill>
          <bgColor rgb="FF2F5496"/>
        </patternFill>
      </fill>
    </dxf>
    <dxf>
      <font>
        <b/>
        <color rgb="FFFFFFFF"/>
      </font>
      <fill>
        <patternFill>
          <bgColor rgb="FF375623"/>
        </patternFill>
      </fill>
    </dxf>
    <dxf>
      <font>
        <b/>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defaultColWidth="8.6640625" defaultRowHeight="14.4" outlineLevelCol="1" x14ac:dyDescent="0.3"/>
  <cols>
    <col min="1" max="1" width="13.6640625" customWidth="1" outlineLevel="1"/>
    <col min="2" max="2" width="29.44140625" customWidth="1" outlineLevel="1"/>
    <col min="3" max="3" width="9.109375" customWidth="1" outlineLevel="1"/>
    <col min="4" max="4" width="9.44140625" customWidth="1" outlineLevel="1"/>
    <col min="5" max="5" width="10" customWidth="1" outlineLevel="1"/>
    <col min="6" max="6" width="12.44140625" customWidth="1"/>
    <col min="7" max="7" width="25" customWidth="1"/>
    <col min="8" max="8" width="15.5546875" customWidth="1"/>
    <col min="9" max="9" width="9.88671875" customWidth="1" outlineLevel="1"/>
    <col min="10" max="10" width="17.109375" customWidth="1" outlineLevel="1"/>
    <col min="11" max="11" width="9.5546875" customWidth="1" outlineLevel="1"/>
    <col min="12" max="12" width="6.88671875" customWidth="1" outlineLevel="1"/>
    <col min="13" max="13" width="8.33203125" customWidth="1" outlineLevel="1"/>
    <col min="14" max="14" width="6.6640625" customWidth="1" outlineLevel="1"/>
    <col min="15" max="15" width="9.109375" customWidth="1" outlineLevel="1"/>
    <col min="16" max="16" width="8.33203125" style="1" customWidth="1"/>
    <col min="17" max="17" width="8.109375" style="1" customWidth="1" outlineLevel="1"/>
    <col min="18" max="18" width="8.109375" customWidth="1"/>
    <col min="19" max="19" width="11.5546875" customWidth="1"/>
    <col min="20" max="20" width="9.88671875" customWidth="1" outlineLevel="1"/>
    <col min="21" max="21" width="10" style="2" customWidth="1"/>
    <col min="22" max="22" width="10.109375" style="2" customWidth="1"/>
    <col min="23" max="23" width="10.6640625" customWidth="1" outlineLevel="1"/>
    <col min="24" max="24" width="10.5546875" customWidth="1"/>
    <col min="25" max="28" width="10.109375" customWidth="1"/>
    <col min="29" max="29" width="14.109375" customWidth="1"/>
    <col min="30" max="30" width="11.5546875" customWidth="1"/>
    <col min="31" max="31" width="13" customWidth="1"/>
    <col min="32" max="32" width="13.6640625" customWidth="1"/>
    <col min="33" max="33" width="14.109375" customWidth="1"/>
    <col min="34" max="34" width="10.109375" customWidth="1"/>
    <col min="38" max="72" width="11" hidden="1" customWidth="1" outlineLevel="1"/>
  </cols>
  <sheetData>
    <row r="1" spans="1:72" ht="15.75" customHeight="1" x14ac:dyDescent="0.3">
      <c r="A1" s="3"/>
      <c r="B1" s="3" t="s">
        <v>47</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row>
    <row r="2" spans="1:72" ht="30" customHeight="1" x14ac:dyDescent="0.3">
      <c r="A2" s="72"/>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1" t="str">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v>🔍 SEARCH - nothing typed yet, all 37 rows are shown.   ·   type in any yellow box above a column, or pick from its dropdown: every column is searched, the boxes are ANDed together, (blank)/(nonblank) and * / ? work as usual</v>
      </c>
    </row>
    <row r="3" spans="1:72" ht="57.75" customHeight="1" x14ac:dyDescent="0.3">
      <c r="A3" s="4" t="s">
        <v>17</v>
      </c>
      <c r="B3" s="5" t="s">
        <v>13</v>
      </c>
      <c r="C3" s="5" t="s">
        <v>19</v>
      </c>
      <c r="D3" s="5" t="s">
        <v>16</v>
      </c>
      <c r="E3" s="5" t="s">
        <v>18</v>
      </c>
      <c r="F3" s="5" t="s">
        <v>13</v>
      </c>
      <c r="G3" s="5" t="s">
        <v>14</v>
      </c>
      <c r="H3" s="5" t="s">
        <v>20</v>
      </c>
      <c r="I3" s="5" t="s">
        <v>21</v>
      </c>
      <c r="J3" s="6" t="s">
        <v>22</v>
      </c>
      <c r="K3" s="5" t="s">
        <v>23</v>
      </c>
      <c r="L3" s="6" t="s">
        <v>24</v>
      </c>
      <c r="M3" s="6" t="s">
        <v>48</v>
      </c>
      <c r="N3" s="6" t="s">
        <v>26</v>
      </c>
      <c r="O3" s="7" t="s">
        <v>49</v>
      </c>
      <c r="P3" s="6" t="s">
        <v>28</v>
      </c>
      <c r="Q3" s="6" t="s">
        <v>29</v>
      </c>
      <c r="R3" s="6" t="s">
        <v>30</v>
      </c>
      <c r="S3" s="6" t="s">
        <v>31</v>
      </c>
      <c r="T3" s="6" t="s">
        <v>32</v>
      </c>
      <c r="U3" s="6" t="s">
        <v>33</v>
      </c>
      <c r="V3" s="6" t="s">
        <v>50</v>
      </c>
      <c r="W3" s="8" t="s">
        <v>35</v>
      </c>
      <c r="X3" s="6" t="s">
        <v>36</v>
      </c>
      <c r="Y3" s="6" t="s">
        <v>50</v>
      </c>
      <c r="Z3" s="6" t="s">
        <v>38</v>
      </c>
      <c r="AA3" s="6" t="s">
        <v>39</v>
      </c>
      <c r="AB3" s="6" t="s">
        <v>40</v>
      </c>
      <c r="AC3" s="6" t="s">
        <v>41</v>
      </c>
      <c r="AD3" s="6" t="s">
        <v>42</v>
      </c>
      <c r="AE3" s="6" t="s">
        <v>43</v>
      </c>
      <c r="AF3" s="6" t="s">
        <v>51</v>
      </c>
      <c r="AG3" s="6" t="s">
        <v>45</v>
      </c>
      <c r="AH3" s="9" t="s">
        <v>46</v>
      </c>
    </row>
    <row r="4" spans="1:72" ht="39" customHeight="1" x14ac:dyDescent="0.3">
      <c r="A4" s="10">
        <v>669</v>
      </c>
      <c r="B4" s="11" t="s">
        <v>52</v>
      </c>
      <c r="C4" s="12">
        <v>1181</v>
      </c>
      <c r="D4" s="13">
        <v>21980</v>
      </c>
      <c r="E4" s="13" t="s">
        <v>53</v>
      </c>
      <c r="F4" s="13">
        <v>1763</v>
      </c>
      <c r="G4" s="11" t="s">
        <v>54</v>
      </c>
      <c r="H4" s="14">
        <v>790089</v>
      </c>
      <c r="I4" s="14">
        <f t="shared" ref="I4:I40" si="0">ROUND(H4*18%,0)</f>
        <v>142216</v>
      </c>
      <c r="J4" s="14">
        <f t="shared" ref="J4:J40" si="1">+H4+I4</f>
        <v>932305</v>
      </c>
      <c r="K4" s="14">
        <f t="shared" ref="K4:K40" si="2">ROUND((H4+I4)*2%,0)</f>
        <v>18646</v>
      </c>
      <c r="L4" s="15">
        <f t="shared" ref="L4:L40" si="3">H4*0.1%</f>
        <v>790.08900000000006</v>
      </c>
      <c r="M4" s="15">
        <f t="shared" ref="M4:M40" si="4">H4*2.25%*118%</f>
        <v>20976.862949999999</v>
      </c>
      <c r="N4" s="16">
        <f t="shared" ref="N4:N40" si="5">H4*2.25%*2%</f>
        <v>355.54005000000001</v>
      </c>
      <c r="O4" s="15">
        <f t="shared" ref="O4:O40" si="6">M4-N4</f>
        <v>20621.322899999999</v>
      </c>
      <c r="P4" s="15">
        <f t="shared" ref="P4:P40" si="7">ROUND(O4+L4,0)</f>
        <v>21411</v>
      </c>
      <c r="Q4" s="17">
        <v>0.02</v>
      </c>
      <c r="R4" s="15">
        <f t="shared" ref="R4:R40" si="8">ROUND(H4*Q4,0)</f>
        <v>15802</v>
      </c>
      <c r="S4" s="14">
        <f t="shared" ref="S4:S40" si="9">ROUND(H4*117.65%-R4,0)</f>
        <v>913738</v>
      </c>
      <c r="T4" s="15">
        <f t="shared" ref="T4:T40" si="10">ROUND(H4*25%,0)</f>
        <v>197522</v>
      </c>
      <c r="U4" s="18">
        <v>197522</v>
      </c>
      <c r="V4" s="15" t="s">
        <v>55</v>
      </c>
      <c r="W4" s="15">
        <f t="shared" ref="W4:W40" si="11">ROUND(H4*92.65%-R4,0)</f>
        <v>716215</v>
      </c>
      <c r="X4" s="15">
        <v>716216</v>
      </c>
      <c r="Y4" s="15" t="s">
        <v>56</v>
      </c>
      <c r="Z4" s="15">
        <f t="shared" ref="Z4:Z40" ca="1" si="12">IF(IF(OR(AB4="",AB4=0),TODAY(),DATE(VALUE(RIGHT(AB4,4)),VALUE(MID(AB4,4,2)),VALUE(LEFT(AB4,2))))&lt;=DATE(2026,8,24),0,H4*0.0118*CEILING((IF(OR(AB4="",AB4=0),TODAY(),DATE(VALUE(RIGHT(AB4,4)),VALUE(MID(AB4,4,2)),VALUE(LEFT(AB4,2))))-DATE(2026,8,22))/7,1))</f>
        <v>27969.150600000001</v>
      </c>
      <c r="AA4" s="15"/>
      <c r="AB4" s="15"/>
      <c r="AC4" s="15">
        <f t="shared" ref="AC4:AC40" si="13">U4+X4+AA4</f>
        <v>913738</v>
      </c>
      <c r="AD4" s="19">
        <f t="shared" ref="AD4:AD40" si="14">S4-AC4</f>
        <v>0</v>
      </c>
      <c r="AE4" s="20" t="str">
        <f t="shared" ref="AE4:AE41" si="15">IF(AD4="","",IF(AD4&lt;=5,"SETTLED","OUTSTANDING"))</f>
        <v>SETTLED</v>
      </c>
      <c r="AF4" s="20" t="s">
        <v>57</v>
      </c>
      <c r="AG4" s="21">
        <v>1800003271</v>
      </c>
      <c r="AH4" s="22" t="s">
        <v>55</v>
      </c>
      <c r="AL4">
        <f t="shared" ref="AL4:AL40" si="16">IF($A$2="",1,IF($A$2="(blank)",--(A4=""),IF($A$2="(nonblank)",--(A4&lt;&gt;""),--ISNUMBER(SEARCH($A$2,A4)))))</f>
        <v>1</v>
      </c>
      <c r="AM4">
        <f t="shared" ref="AM4:AM40" si="17">IF($B$2="",1,IF($B$2="(blank)",--(B4=""),IF($B$2="(nonblank)",--(B4&lt;&gt;""),--ISNUMBER(SEARCH($B$2,B4)))))</f>
        <v>1</v>
      </c>
      <c r="AN4">
        <f t="shared" ref="AN4:AN40" si="18">IF($C$2="",1,IF($C$2="(blank)",--(C4=""),IF($C$2="(nonblank)",--(C4&lt;&gt;""),--ISNUMBER(SEARCH($C$2,C4)))))</f>
        <v>1</v>
      </c>
      <c r="AO4">
        <f t="shared" ref="AO4:AO40" si="19">IF($D$2="",1,IF($D$2="(blank)",--(D4=""),IF($D$2="(nonblank)",--(D4&lt;&gt;""),--ISNUMBER(SEARCH($D$2,D4)))))</f>
        <v>1</v>
      </c>
      <c r="AP4">
        <f t="shared" ref="AP4:AP40" si="20">IF($E$2="",1,IF($E$2="(blank)",--(E4=""),IF($E$2="(nonblank)",--(E4&lt;&gt;""),--ISNUMBER(SEARCH($E$2,E4)))))</f>
        <v>1</v>
      </c>
      <c r="AQ4">
        <f t="shared" ref="AQ4:AQ40" si="21">IF($F$2="",1,IF($F$2="(blank)",--(F4=""),IF($F$2="(nonblank)",--(F4&lt;&gt;""),--ISNUMBER(SEARCH($F$2,F4)))))</f>
        <v>1</v>
      </c>
      <c r="AR4">
        <f t="shared" ref="AR4:AR40" si="22">IF($G$2="",1,IF($G$2="(blank)",--(G4=""),IF($G$2="(nonblank)",--(G4&lt;&gt;""),--ISNUMBER(SEARCH($G$2,G4)))))</f>
        <v>1</v>
      </c>
      <c r="AS4">
        <f t="shared" ref="AS4:AS40" si="23">IF($H$2="",1,IF($H$2="(blank)",--(H4=""),IF($H$2="(nonblank)",--(H4&lt;&gt;""),--ISNUMBER(SEARCH($H$2,H4)))))</f>
        <v>1</v>
      </c>
      <c r="AT4">
        <f t="shared" ref="AT4:AT40" si="24">IF($I$2="",1,IF($I$2="(blank)",--(I4=""),IF($I$2="(nonblank)",--(I4&lt;&gt;""),--ISNUMBER(SEARCH($I$2,I4)))))</f>
        <v>1</v>
      </c>
      <c r="AU4">
        <f t="shared" ref="AU4:AU40" si="25">IF($J$2="",1,IF($J$2="(blank)",--(J4=""),IF($J$2="(nonblank)",--(J4&lt;&gt;""),--ISNUMBER(SEARCH($J$2,J4)))))</f>
        <v>1</v>
      </c>
      <c r="AV4">
        <f t="shared" ref="AV4:AV40" si="26">IF($K$2="",1,IF($K$2="(blank)",--(K4=""),IF($K$2="(nonblank)",--(K4&lt;&gt;""),--ISNUMBER(SEARCH($K$2,K4)))))</f>
        <v>1</v>
      </c>
      <c r="AW4">
        <f t="shared" ref="AW4:AW40" si="27">IF($L$2="",1,IF($L$2="(blank)",--(L4=""),IF($L$2="(nonblank)",--(L4&lt;&gt;""),--ISNUMBER(SEARCH($L$2,L4)))))</f>
        <v>1</v>
      </c>
      <c r="AX4">
        <f t="shared" ref="AX4:AX40" si="28">IF($M$2="",1,IF($M$2="(blank)",--(M4=""),IF($M$2="(nonblank)",--(M4&lt;&gt;""),--ISNUMBER(SEARCH($M$2,M4)))))</f>
        <v>1</v>
      </c>
      <c r="AY4">
        <f t="shared" ref="AY4:AY40" si="29">IF($N$2="",1,IF($N$2="(blank)",--(N4=""),IF($N$2="(nonblank)",--(N4&lt;&gt;""),--ISNUMBER(SEARCH($N$2,N4)))))</f>
        <v>1</v>
      </c>
      <c r="AZ4">
        <f t="shared" ref="AZ4:AZ40" si="30">IF($O$2="",1,IF($O$2="(blank)",--(O4=""),IF($O$2="(nonblank)",--(O4&lt;&gt;""),--ISNUMBER(SEARCH($O$2,O4)))))</f>
        <v>1</v>
      </c>
      <c r="BA4">
        <f t="shared" ref="BA4:BA40" si="31">IF($P$2="",1,IF($P$2="(blank)",--(P4=""),IF($P$2="(nonblank)",--(P4&lt;&gt;""),--ISNUMBER(SEARCH($P$2,P4)))))</f>
        <v>1</v>
      </c>
      <c r="BB4">
        <f t="shared" ref="BB4:BB40" si="32">IF($Q$2="",1,IF($Q$2="(blank)",--(Q4=""),IF($Q$2="(nonblank)",--(Q4&lt;&gt;""),--ISNUMBER(SEARCH($Q$2,Q4)))))</f>
        <v>1</v>
      </c>
      <c r="BC4">
        <f t="shared" ref="BC4:BC40" si="33">IF($R$2="",1,IF($R$2="(blank)",--(R4=""),IF($R$2="(nonblank)",--(R4&lt;&gt;""),--ISNUMBER(SEARCH($R$2,R4)))))</f>
        <v>1</v>
      </c>
      <c r="BD4">
        <f t="shared" ref="BD4:BD40" si="34">IF($S$2="",1,IF($S$2="(blank)",--(S4=""),IF($S$2="(nonblank)",--(S4&lt;&gt;""),--ISNUMBER(SEARCH($S$2,S4)))))</f>
        <v>1</v>
      </c>
      <c r="BE4">
        <f t="shared" ref="BE4:BE40" si="35">IF($T$2="",1,IF($T$2="(blank)",--(T4=""),IF($T$2="(nonblank)",--(T4&lt;&gt;""),--ISNUMBER(SEARCH($T$2,T4)))))</f>
        <v>1</v>
      </c>
      <c r="BF4">
        <f t="shared" ref="BF4:BF40" si="36">IF($U$2="",1,IF($U$2="(blank)",--(U4=""),IF($U$2="(nonblank)",--(U4&lt;&gt;""),--ISNUMBER(SEARCH($U$2,U4)))))</f>
        <v>1</v>
      </c>
      <c r="BG4">
        <f t="shared" ref="BG4:BG40" si="37">IF($V$2="",1,IF($V$2="(blank)",--(V4=""),IF($V$2="(nonblank)",--(V4&lt;&gt;""),--ISNUMBER(SEARCH($V$2,V4)))))</f>
        <v>1</v>
      </c>
      <c r="BH4">
        <f t="shared" ref="BH4:BH40" si="38">IF($W$2="",1,IF($W$2="(blank)",--(W4=""),IF($W$2="(nonblank)",--(W4&lt;&gt;""),--ISNUMBER(SEARCH($W$2,W4)))))</f>
        <v>1</v>
      </c>
      <c r="BI4">
        <f t="shared" ref="BI4:BI40" si="39">IF($X$2="",1,IF($X$2="(blank)",--(X4=""),IF($X$2="(nonblank)",--(X4&lt;&gt;""),--ISNUMBER(SEARCH($X$2,X4)))))</f>
        <v>1</v>
      </c>
      <c r="BJ4">
        <f t="shared" ref="BJ4:BJ40" si="40">IF($Y$2="",1,IF($Y$2="(blank)",--(Y4=""),IF($Y$2="(nonblank)",--(Y4&lt;&gt;""),--ISNUMBER(SEARCH($Y$2,Y4)))))</f>
        <v>1</v>
      </c>
      <c r="BK4">
        <f t="shared" ref="BK4:BK40" si="41">IF($Z$2="",1,IF($Z$2="(blank)",--(Z4=""),IF($Z$2="(nonblank)",--(Z4&lt;&gt;""),--ISNUMBER(SEARCH($Z$2,Z4)))))</f>
        <v>1</v>
      </c>
      <c r="BL4">
        <f t="shared" ref="BL4:BL40" si="42">IF($AA$2="",1,IF($AA$2="(blank)",--(AA4=""),IF($AA$2="(nonblank)",--(AA4&lt;&gt;""),--ISNUMBER(SEARCH($AA$2,AA4)))))</f>
        <v>1</v>
      </c>
      <c r="BM4">
        <f t="shared" ref="BM4:BM40" si="43">IF($AB$2="",1,IF($AB$2="(blank)",--(AB4=""),IF($AB$2="(nonblank)",--(AB4&lt;&gt;""),--ISNUMBER(SEARCH($AB$2,AB4)))))</f>
        <v>1</v>
      </c>
      <c r="BN4">
        <f t="shared" ref="BN4:BN40" si="44">IF($AC$2="",1,IF($AC$2="(blank)",--(AC4=""),IF($AC$2="(nonblank)",--(AC4&lt;&gt;""),--ISNUMBER(SEARCH($AC$2,AC4)))))</f>
        <v>1</v>
      </c>
      <c r="BO4">
        <f t="shared" ref="BO4:BO40" si="45">IF($AD$2="",1,IF($AD$2="(blank)",--(AD4=""),IF($AD$2="(nonblank)",--(AD4&lt;&gt;""),--ISNUMBER(SEARCH($AD$2,AD4)))))</f>
        <v>1</v>
      </c>
      <c r="BP4">
        <f t="shared" ref="BP4:BP40" si="46">IF($AE$2="",1,IF($AE$2="(blank)",--(AE4=""),IF($AE$2="(nonblank)",--(AE4&lt;&gt;""),--ISNUMBER(SEARCH($AE$2,AE4)))))</f>
        <v>1</v>
      </c>
      <c r="BQ4">
        <f t="shared" ref="BQ4:BQ40" si="47">IF($AF$2="",1,IF($AF$2="(blank)",--(AF4=""),IF($AF$2="(nonblank)",--(AF4&lt;&gt;""),--ISNUMBER(SEARCH($AF$2,AF4)))))</f>
        <v>1</v>
      </c>
      <c r="BR4">
        <f t="shared" ref="BR4:BR40" si="48">IF($AG$2="",1,IF($AG$2="(blank)",--(AG4=""),IF($AG$2="(nonblank)",--(AG4&lt;&gt;""),--ISNUMBER(SEARCH($AG$2,AG4)))))</f>
        <v>1</v>
      </c>
      <c r="BS4">
        <f t="shared" ref="BS4:BS40" si="49">IF($AH$2="",1,IF($AH$2="(blank)",--(AH4=""),IF($AH$2="(nonblank)",--(AH4&lt;&gt;""),--ISNUMBER(SEARCH($AH$2,AH4)))))</f>
        <v>1</v>
      </c>
      <c r="BT4">
        <f t="shared" ref="BT4:BT40" si="50">IF(COUNTIF($AL4:$BS4,0)&gt;0,0,1)</f>
        <v>1</v>
      </c>
    </row>
    <row r="5" spans="1:72" ht="14.25" customHeight="1" x14ac:dyDescent="0.3">
      <c r="A5" s="130">
        <v>270</v>
      </c>
      <c r="B5" s="131" t="s">
        <v>58</v>
      </c>
      <c r="C5" s="132">
        <v>580</v>
      </c>
      <c r="D5" s="133">
        <v>21977</v>
      </c>
      <c r="E5" s="133" t="s">
        <v>59</v>
      </c>
      <c r="F5" s="133">
        <v>1874</v>
      </c>
      <c r="G5" s="131" t="s">
        <v>60</v>
      </c>
      <c r="H5" s="134">
        <v>156600</v>
      </c>
      <c r="I5" s="134">
        <f t="shared" si="0"/>
        <v>28188</v>
      </c>
      <c r="J5" s="134">
        <f t="shared" si="1"/>
        <v>184788</v>
      </c>
      <c r="K5" s="134">
        <f t="shared" si="2"/>
        <v>3696</v>
      </c>
      <c r="L5" s="135">
        <f t="shared" si="3"/>
        <v>156.6</v>
      </c>
      <c r="M5" s="135">
        <f t="shared" si="4"/>
        <v>4157.7299999999996</v>
      </c>
      <c r="N5" s="136">
        <f t="shared" si="5"/>
        <v>70.47</v>
      </c>
      <c r="O5" s="135">
        <f t="shared" si="6"/>
        <v>4087.2599999999998</v>
      </c>
      <c r="P5" s="135">
        <f t="shared" si="7"/>
        <v>4244</v>
      </c>
      <c r="Q5" s="137">
        <v>0</v>
      </c>
      <c r="R5" s="135">
        <f t="shared" si="8"/>
        <v>0</v>
      </c>
      <c r="S5" s="134">
        <f t="shared" si="9"/>
        <v>184240</v>
      </c>
      <c r="T5" s="135">
        <f t="shared" si="10"/>
        <v>39150</v>
      </c>
      <c r="U5" s="138">
        <f>+T5</f>
        <v>39150</v>
      </c>
      <c r="V5" s="135" t="s">
        <v>61</v>
      </c>
      <c r="W5" s="135">
        <f t="shared" si="11"/>
        <v>145090</v>
      </c>
      <c r="X5" s="135">
        <v>145090</v>
      </c>
      <c r="Y5" s="135" t="s">
        <v>55</v>
      </c>
      <c r="Z5" s="135">
        <f t="shared" ca="1" si="12"/>
        <v>5543.6399999999994</v>
      </c>
      <c r="AA5" s="135"/>
      <c r="AB5" s="135"/>
      <c r="AC5" s="139">
        <f t="shared" si="13"/>
        <v>184240</v>
      </c>
      <c r="AD5" s="139">
        <f t="shared" si="14"/>
        <v>0</v>
      </c>
      <c r="AE5" s="135" t="str">
        <f t="shared" si="15"/>
        <v>SETTLED</v>
      </c>
      <c r="AF5" s="135" t="s">
        <v>62</v>
      </c>
      <c r="AG5" s="140">
        <v>1800003302</v>
      </c>
      <c r="AH5" s="141" t="s">
        <v>63</v>
      </c>
      <c r="AL5">
        <f t="shared" si="16"/>
        <v>1</v>
      </c>
      <c r="AM5">
        <f t="shared" si="17"/>
        <v>1</v>
      </c>
      <c r="AN5">
        <f t="shared" si="18"/>
        <v>1</v>
      </c>
      <c r="AO5">
        <f t="shared" si="19"/>
        <v>1</v>
      </c>
      <c r="AP5">
        <f t="shared" si="20"/>
        <v>1</v>
      </c>
      <c r="AQ5">
        <f t="shared" si="21"/>
        <v>1</v>
      </c>
      <c r="AR5">
        <f t="shared" si="22"/>
        <v>1</v>
      </c>
      <c r="AS5">
        <f t="shared" si="23"/>
        <v>1</v>
      </c>
      <c r="AT5">
        <f t="shared" si="24"/>
        <v>1</v>
      </c>
      <c r="AU5">
        <f t="shared" si="25"/>
        <v>1</v>
      </c>
      <c r="AV5">
        <f t="shared" si="26"/>
        <v>1</v>
      </c>
      <c r="AW5">
        <f t="shared" si="27"/>
        <v>1</v>
      </c>
      <c r="AX5">
        <f t="shared" si="28"/>
        <v>1</v>
      </c>
      <c r="AY5">
        <f t="shared" si="29"/>
        <v>1</v>
      </c>
      <c r="AZ5">
        <f t="shared" si="30"/>
        <v>1</v>
      </c>
      <c r="BA5">
        <f t="shared" si="31"/>
        <v>1</v>
      </c>
      <c r="BB5">
        <f t="shared" si="32"/>
        <v>1</v>
      </c>
      <c r="BC5">
        <f t="shared" si="33"/>
        <v>1</v>
      </c>
      <c r="BD5">
        <f t="shared" si="34"/>
        <v>1</v>
      </c>
      <c r="BE5">
        <f t="shared" si="35"/>
        <v>1</v>
      </c>
      <c r="BF5">
        <f t="shared" si="36"/>
        <v>1</v>
      </c>
      <c r="BG5">
        <f t="shared" si="37"/>
        <v>1</v>
      </c>
      <c r="BH5">
        <f t="shared" si="38"/>
        <v>1</v>
      </c>
      <c r="BI5">
        <f t="shared" si="39"/>
        <v>1</v>
      </c>
      <c r="BJ5">
        <f t="shared" si="40"/>
        <v>1</v>
      </c>
      <c r="BK5">
        <f t="shared" si="41"/>
        <v>1</v>
      </c>
      <c r="BL5">
        <f t="shared" si="42"/>
        <v>1</v>
      </c>
      <c r="BM5">
        <f t="shared" si="43"/>
        <v>1</v>
      </c>
      <c r="BN5">
        <f t="shared" si="44"/>
        <v>1</v>
      </c>
      <c r="BO5">
        <f t="shared" si="45"/>
        <v>1</v>
      </c>
      <c r="BP5">
        <f t="shared" si="46"/>
        <v>1</v>
      </c>
      <c r="BQ5">
        <f t="shared" si="47"/>
        <v>1</v>
      </c>
      <c r="BR5">
        <f t="shared" si="48"/>
        <v>1</v>
      </c>
      <c r="BS5">
        <f t="shared" si="49"/>
        <v>1</v>
      </c>
      <c r="BT5">
        <f t="shared" si="50"/>
        <v>1</v>
      </c>
    </row>
    <row r="6" spans="1:72" ht="26.25" customHeight="1" x14ac:dyDescent="0.3">
      <c r="A6" s="23">
        <v>28</v>
      </c>
      <c r="B6" s="24" t="s">
        <v>64</v>
      </c>
      <c r="C6" s="25">
        <v>1456</v>
      </c>
      <c r="D6" s="26">
        <v>21977</v>
      </c>
      <c r="E6" s="26" t="s">
        <v>53</v>
      </c>
      <c r="F6" s="26">
        <v>1875</v>
      </c>
      <c r="G6" s="24" t="s">
        <v>65</v>
      </c>
      <c r="H6" s="27">
        <v>40768</v>
      </c>
      <c r="I6" s="27">
        <f t="shared" si="0"/>
        <v>7338</v>
      </c>
      <c r="J6" s="27">
        <f t="shared" si="1"/>
        <v>48106</v>
      </c>
      <c r="K6" s="27">
        <f t="shared" si="2"/>
        <v>962</v>
      </c>
      <c r="L6" s="28">
        <f t="shared" si="3"/>
        <v>40.768000000000001</v>
      </c>
      <c r="M6" s="28">
        <f t="shared" si="4"/>
        <v>1082.3904</v>
      </c>
      <c r="N6" s="29">
        <f t="shared" si="5"/>
        <v>18.345600000000001</v>
      </c>
      <c r="O6" s="28">
        <f t="shared" si="6"/>
        <v>1064.0447999999999</v>
      </c>
      <c r="P6" s="28">
        <f t="shared" si="7"/>
        <v>1105</v>
      </c>
      <c r="Q6" s="30">
        <v>0</v>
      </c>
      <c r="R6" s="28">
        <f t="shared" si="8"/>
        <v>0</v>
      </c>
      <c r="S6" s="27">
        <f t="shared" si="9"/>
        <v>47964</v>
      </c>
      <c r="T6" s="28">
        <f t="shared" si="10"/>
        <v>10192</v>
      </c>
      <c r="U6" s="31">
        <v>10192</v>
      </c>
      <c r="V6" s="28" t="s">
        <v>66</v>
      </c>
      <c r="W6" s="28">
        <f t="shared" si="11"/>
        <v>37772</v>
      </c>
      <c r="X6" s="28">
        <f>+W6+R6</f>
        <v>37772</v>
      </c>
      <c r="Y6" s="28" t="s">
        <v>67</v>
      </c>
      <c r="Z6" s="28">
        <f t="shared" ca="1" si="12"/>
        <v>1443.1871999999998</v>
      </c>
      <c r="AA6" s="28"/>
      <c r="AB6" s="28"/>
      <c r="AC6" s="15">
        <f t="shared" si="13"/>
        <v>47964</v>
      </c>
      <c r="AD6" s="19">
        <f t="shared" si="14"/>
        <v>0</v>
      </c>
      <c r="AE6" s="20" t="str">
        <f t="shared" si="15"/>
        <v>SETTLED</v>
      </c>
      <c r="AF6" s="20" t="s">
        <v>68</v>
      </c>
      <c r="AG6" s="21">
        <v>1800003346</v>
      </c>
      <c r="AH6" s="22" t="s">
        <v>63</v>
      </c>
      <c r="AL6">
        <f t="shared" si="16"/>
        <v>1</v>
      </c>
      <c r="AM6">
        <f t="shared" si="17"/>
        <v>1</v>
      </c>
      <c r="AN6">
        <f t="shared" si="18"/>
        <v>1</v>
      </c>
      <c r="AO6">
        <f t="shared" si="19"/>
        <v>1</v>
      </c>
      <c r="AP6">
        <f t="shared" si="20"/>
        <v>1</v>
      </c>
      <c r="AQ6">
        <f t="shared" si="21"/>
        <v>1</v>
      </c>
      <c r="AR6">
        <f t="shared" si="22"/>
        <v>1</v>
      </c>
      <c r="AS6">
        <f t="shared" si="23"/>
        <v>1</v>
      </c>
      <c r="AT6">
        <f t="shared" si="24"/>
        <v>1</v>
      </c>
      <c r="AU6">
        <f t="shared" si="25"/>
        <v>1</v>
      </c>
      <c r="AV6">
        <f t="shared" si="26"/>
        <v>1</v>
      </c>
      <c r="AW6">
        <f t="shared" si="27"/>
        <v>1</v>
      </c>
      <c r="AX6">
        <f t="shared" si="28"/>
        <v>1</v>
      </c>
      <c r="AY6">
        <f t="shared" si="29"/>
        <v>1</v>
      </c>
      <c r="AZ6">
        <f t="shared" si="30"/>
        <v>1</v>
      </c>
      <c r="BA6">
        <f t="shared" si="31"/>
        <v>1</v>
      </c>
      <c r="BB6">
        <f t="shared" si="32"/>
        <v>1</v>
      </c>
      <c r="BC6">
        <f t="shared" si="33"/>
        <v>1</v>
      </c>
      <c r="BD6">
        <f t="shared" si="34"/>
        <v>1</v>
      </c>
      <c r="BE6">
        <f t="shared" si="35"/>
        <v>1</v>
      </c>
      <c r="BF6">
        <f t="shared" si="36"/>
        <v>1</v>
      </c>
      <c r="BG6">
        <f t="shared" si="37"/>
        <v>1</v>
      </c>
      <c r="BH6">
        <f t="shared" si="38"/>
        <v>1</v>
      </c>
      <c r="BI6">
        <f t="shared" si="39"/>
        <v>1</v>
      </c>
      <c r="BJ6">
        <f t="shared" si="40"/>
        <v>1</v>
      </c>
      <c r="BK6">
        <f t="shared" si="41"/>
        <v>1</v>
      </c>
      <c r="BL6">
        <f t="shared" si="42"/>
        <v>1</v>
      </c>
      <c r="BM6">
        <f t="shared" si="43"/>
        <v>1</v>
      </c>
      <c r="BN6">
        <f t="shared" si="44"/>
        <v>1</v>
      </c>
      <c r="BO6">
        <f t="shared" si="45"/>
        <v>1</v>
      </c>
      <c r="BP6">
        <f t="shared" si="46"/>
        <v>1</v>
      </c>
      <c r="BQ6">
        <f t="shared" si="47"/>
        <v>1</v>
      </c>
      <c r="BR6">
        <f t="shared" si="48"/>
        <v>1</v>
      </c>
      <c r="BS6">
        <f t="shared" si="49"/>
        <v>1</v>
      </c>
      <c r="BT6">
        <f t="shared" si="50"/>
        <v>1</v>
      </c>
    </row>
    <row r="7" spans="1:72" ht="39" customHeight="1" x14ac:dyDescent="0.3">
      <c r="A7" s="130">
        <v>3000</v>
      </c>
      <c r="B7" s="131" t="s">
        <v>69</v>
      </c>
      <c r="C7" s="132">
        <v>66</v>
      </c>
      <c r="D7" s="133">
        <v>21977</v>
      </c>
      <c r="E7" s="133" t="s">
        <v>53</v>
      </c>
      <c r="F7" s="133">
        <v>1876</v>
      </c>
      <c r="G7" s="131" t="s">
        <v>65</v>
      </c>
      <c r="H7" s="134">
        <v>198000</v>
      </c>
      <c r="I7" s="134">
        <f t="shared" si="0"/>
        <v>35640</v>
      </c>
      <c r="J7" s="134">
        <f t="shared" si="1"/>
        <v>233640</v>
      </c>
      <c r="K7" s="134">
        <f t="shared" si="2"/>
        <v>4673</v>
      </c>
      <c r="L7" s="135">
        <f t="shared" si="3"/>
        <v>198</v>
      </c>
      <c r="M7" s="135">
        <f t="shared" si="4"/>
        <v>5256.9</v>
      </c>
      <c r="N7" s="136">
        <f t="shared" si="5"/>
        <v>89.100000000000009</v>
      </c>
      <c r="O7" s="135">
        <f t="shared" si="6"/>
        <v>5167.7999999999993</v>
      </c>
      <c r="P7" s="135">
        <f t="shared" si="7"/>
        <v>5366</v>
      </c>
      <c r="Q7" s="137">
        <v>0</v>
      </c>
      <c r="R7" s="135">
        <f t="shared" si="8"/>
        <v>0</v>
      </c>
      <c r="S7" s="134">
        <f t="shared" si="9"/>
        <v>232947</v>
      </c>
      <c r="T7" s="135">
        <f t="shared" si="10"/>
        <v>49500</v>
      </c>
      <c r="U7" s="138">
        <v>49500</v>
      </c>
      <c r="V7" s="135" t="s">
        <v>66</v>
      </c>
      <c r="W7" s="135">
        <f t="shared" si="11"/>
        <v>183447</v>
      </c>
      <c r="X7" s="135">
        <f>+W7+R7-1</f>
        <v>183446</v>
      </c>
      <c r="Y7" s="135" t="s">
        <v>67</v>
      </c>
      <c r="Z7" s="135">
        <f t="shared" ca="1" si="12"/>
        <v>7009.2000000000007</v>
      </c>
      <c r="AA7" s="135"/>
      <c r="AB7" s="135"/>
      <c r="AC7" s="139">
        <f t="shared" si="13"/>
        <v>232946</v>
      </c>
      <c r="AD7" s="139">
        <f t="shared" si="14"/>
        <v>1</v>
      </c>
      <c r="AE7" s="135" t="str">
        <f t="shared" si="15"/>
        <v>SETTLED</v>
      </c>
      <c r="AF7" s="135" t="s">
        <v>70</v>
      </c>
      <c r="AG7" s="140">
        <v>1800003347</v>
      </c>
      <c r="AH7" s="141" t="s">
        <v>63</v>
      </c>
      <c r="AL7">
        <f t="shared" si="16"/>
        <v>1</v>
      </c>
      <c r="AM7">
        <f t="shared" si="17"/>
        <v>1</v>
      </c>
      <c r="AN7">
        <f t="shared" si="18"/>
        <v>1</v>
      </c>
      <c r="AO7">
        <f t="shared" si="19"/>
        <v>1</v>
      </c>
      <c r="AP7">
        <f t="shared" si="20"/>
        <v>1</v>
      </c>
      <c r="AQ7">
        <f t="shared" si="21"/>
        <v>1</v>
      </c>
      <c r="AR7">
        <f t="shared" si="22"/>
        <v>1</v>
      </c>
      <c r="AS7">
        <f t="shared" si="23"/>
        <v>1</v>
      </c>
      <c r="AT7">
        <f t="shared" si="24"/>
        <v>1</v>
      </c>
      <c r="AU7">
        <f t="shared" si="25"/>
        <v>1</v>
      </c>
      <c r="AV7">
        <f t="shared" si="26"/>
        <v>1</v>
      </c>
      <c r="AW7">
        <f t="shared" si="27"/>
        <v>1</v>
      </c>
      <c r="AX7">
        <f t="shared" si="28"/>
        <v>1</v>
      </c>
      <c r="AY7">
        <f t="shared" si="29"/>
        <v>1</v>
      </c>
      <c r="AZ7">
        <f t="shared" si="30"/>
        <v>1</v>
      </c>
      <c r="BA7">
        <f t="shared" si="31"/>
        <v>1</v>
      </c>
      <c r="BB7">
        <f t="shared" si="32"/>
        <v>1</v>
      </c>
      <c r="BC7">
        <f t="shared" si="33"/>
        <v>1</v>
      </c>
      <c r="BD7">
        <f t="shared" si="34"/>
        <v>1</v>
      </c>
      <c r="BE7">
        <f t="shared" si="35"/>
        <v>1</v>
      </c>
      <c r="BF7">
        <f t="shared" si="36"/>
        <v>1</v>
      </c>
      <c r="BG7">
        <f t="shared" si="37"/>
        <v>1</v>
      </c>
      <c r="BH7">
        <f t="shared" si="38"/>
        <v>1</v>
      </c>
      <c r="BI7">
        <f t="shared" si="39"/>
        <v>1</v>
      </c>
      <c r="BJ7">
        <f t="shared" si="40"/>
        <v>1</v>
      </c>
      <c r="BK7">
        <f t="shared" si="41"/>
        <v>1</v>
      </c>
      <c r="BL7">
        <f t="shared" si="42"/>
        <v>1</v>
      </c>
      <c r="BM7">
        <f t="shared" si="43"/>
        <v>1</v>
      </c>
      <c r="BN7">
        <f t="shared" si="44"/>
        <v>1</v>
      </c>
      <c r="BO7">
        <f t="shared" si="45"/>
        <v>1</v>
      </c>
      <c r="BP7">
        <f t="shared" si="46"/>
        <v>1</v>
      </c>
      <c r="BQ7">
        <f t="shared" si="47"/>
        <v>1</v>
      </c>
      <c r="BR7">
        <f t="shared" si="48"/>
        <v>1</v>
      </c>
      <c r="BS7">
        <f t="shared" si="49"/>
        <v>1</v>
      </c>
      <c r="BT7">
        <f t="shared" si="50"/>
        <v>1</v>
      </c>
    </row>
    <row r="8" spans="1:72" ht="26.25" customHeight="1" x14ac:dyDescent="0.3">
      <c r="A8" s="23">
        <v>7253</v>
      </c>
      <c r="B8" s="24" t="s">
        <v>71</v>
      </c>
      <c r="C8" s="25">
        <v>227</v>
      </c>
      <c r="D8" s="26">
        <v>21980</v>
      </c>
      <c r="E8" s="26" t="s">
        <v>53</v>
      </c>
      <c r="F8" s="26">
        <v>1923</v>
      </c>
      <c r="G8" s="24" t="s">
        <v>72</v>
      </c>
      <c r="H8" s="27">
        <v>1646431</v>
      </c>
      <c r="I8" s="27">
        <f t="shared" si="0"/>
        <v>296358</v>
      </c>
      <c r="J8" s="27">
        <f t="shared" si="1"/>
        <v>1942789</v>
      </c>
      <c r="K8" s="27">
        <f t="shared" si="2"/>
        <v>38856</v>
      </c>
      <c r="L8" s="28">
        <f t="shared" si="3"/>
        <v>1646.431</v>
      </c>
      <c r="M8" s="28">
        <f t="shared" si="4"/>
        <v>43712.743049999997</v>
      </c>
      <c r="N8" s="29">
        <f t="shared" si="5"/>
        <v>740.89395000000002</v>
      </c>
      <c r="O8" s="28">
        <f t="shared" si="6"/>
        <v>42971.849099999999</v>
      </c>
      <c r="P8" s="28">
        <f t="shared" si="7"/>
        <v>44618</v>
      </c>
      <c r="Q8" s="30">
        <v>0.02</v>
      </c>
      <c r="R8" s="28">
        <f t="shared" si="8"/>
        <v>32929</v>
      </c>
      <c r="S8" s="27">
        <f t="shared" si="9"/>
        <v>1904097</v>
      </c>
      <c r="T8" s="28">
        <f t="shared" si="10"/>
        <v>411608</v>
      </c>
      <c r="U8" s="31">
        <f>+T8</f>
        <v>411608</v>
      </c>
      <c r="V8" s="28" t="s">
        <v>73</v>
      </c>
      <c r="W8" s="28">
        <f t="shared" si="11"/>
        <v>1492489</v>
      </c>
      <c r="X8" s="28">
        <v>1492490</v>
      </c>
      <c r="Y8" s="28" t="s">
        <v>55</v>
      </c>
      <c r="Z8" s="28">
        <f t="shared" ca="1" si="12"/>
        <v>58283.657399999996</v>
      </c>
      <c r="AA8" s="28"/>
      <c r="AB8" s="28"/>
      <c r="AC8" s="15">
        <f t="shared" si="13"/>
        <v>1904098</v>
      </c>
      <c r="AD8" s="19">
        <f t="shared" si="14"/>
        <v>-1</v>
      </c>
      <c r="AE8" s="20" t="str">
        <f t="shared" si="15"/>
        <v>SETTLED</v>
      </c>
      <c r="AF8" s="20" t="s">
        <v>74</v>
      </c>
      <c r="AG8" s="21">
        <v>1800003315</v>
      </c>
      <c r="AH8" s="22" t="s">
        <v>63</v>
      </c>
      <c r="AL8">
        <f t="shared" si="16"/>
        <v>1</v>
      </c>
      <c r="AM8">
        <f t="shared" si="17"/>
        <v>1</v>
      </c>
      <c r="AN8">
        <f t="shared" si="18"/>
        <v>1</v>
      </c>
      <c r="AO8">
        <f t="shared" si="19"/>
        <v>1</v>
      </c>
      <c r="AP8">
        <f t="shared" si="20"/>
        <v>1</v>
      </c>
      <c r="AQ8">
        <f t="shared" si="21"/>
        <v>1</v>
      </c>
      <c r="AR8">
        <f t="shared" si="22"/>
        <v>1</v>
      </c>
      <c r="AS8">
        <f t="shared" si="23"/>
        <v>1</v>
      </c>
      <c r="AT8">
        <f t="shared" si="24"/>
        <v>1</v>
      </c>
      <c r="AU8">
        <f t="shared" si="25"/>
        <v>1</v>
      </c>
      <c r="AV8">
        <f t="shared" si="26"/>
        <v>1</v>
      </c>
      <c r="AW8">
        <f t="shared" si="27"/>
        <v>1</v>
      </c>
      <c r="AX8">
        <f t="shared" si="28"/>
        <v>1</v>
      </c>
      <c r="AY8">
        <f t="shared" si="29"/>
        <v>1</v>
      </c>
      <c r="AZ8">
        <f t="shared" si="30"/>
        <v>1</v>
      </c>
      <c r="BA8">
        <f t="shared" si="31"/>
        <v>1</v>
      </c>
      <c r="BB8">
        <f t="shared" si="32"/>
        <v>1</v>
      </c>
      <c r="BC8">
        <f t="shared" si="33"/>
        <v>1</v>
      </c>
      <c r="BD8">
        <f t="shared" si="34"/>
        <v>1</v>
      </c>
      <c r="BE8">
        <f t="shared" si="35"/>
        <v>1</v>
      </c>
      <c r="BF8">
        <f t="shared" si="36"/>
        <v>1</v>
      </c>
      <c r="BG8">
        <f t="shared" si="37"/>
        <v>1</v>
      </c>
      <c r="BH8">
        <f t="shared" si="38"/>
        <v>1</v>
      </c>
      <c r="BI8">
        <f t="shared" si="39"/>
        <v>1</v>
      </c>
      <c r="BJ8">
        <f t="shared" si="40"/>
        <v>1</v>
      </c>
      <c r="BK8">
        <f t="shared" si="41"/>
        <v>1</v>
      </c>
      <c r="BL8">
        <f t="shared" si="42"/>
        <v>1</v>
      </c>
      <c r="BM8">
        <f t="shared" si="43"/>
        <v>1</v>
      </c>
      <c r="BN8">
        <f t="shared" si="44"/>
        <v>1</v>
      </c>
      <c r="BO8">
        <f t="shared" si="45"/>
        <v>1</v>
      </c>
      <c r="BP8">
        <f t="shared" si="46"/>
        <v>1</v>
      </c>
      <c r="BQ8">
        <f t="shared" si="47"/>
        <v>1</v>
      </c>
      <c r="BR8">
        <f t="shared" si="48"/>
        <v>1</v>
      </c>
      <c r="BS8">
        <f t="shared" si="49"/>
        <v>1</v>
      </c>
      <c r="BT8">
        <f t="shared" si="50"/>
        <v>1</v>
      </c>
    </row>
    <row r="9" spans="1:72" ht="14.25" customHeight="1" x14ac:dyDescent="0.3">
      <c r="A9" s="130">
        <v>1</v>
      </c>
      <c r="B9" s="131" t="s">
        <v>75</v>
      </c>
      <c r="C9" s="132">
        <v>2787314</v>
      </c>
      <c r="D9" s="133">
        <v>21977</v>
      </c>
      <c r="E9" s="133" t="s">
        <v>59</v>
      </c>
      <c r="F9" s="133">
        <v>1976</v>
      </c>
      <c r="G9" s="131" t="s">
        <v>76</v>
      </c>
      <c r="H9" s="134">
        <v>2787314</v>
      </c>
      <c r="I9" s="134">
        <f t="shared" si="0"/>
        <v>501717</v>
      </c>
      <c r="J9" s="134">
        <f t="shared" si="1"/>
        <v>3289031</v>
      </c>
      <c r="K9" s="134">
        <f t="shared" si="2"/>
        <v>65781</v>
      </c>
      <c r="L9" s="135">
        <f t="shared" si="3"/>
        <v>2787.3139999999999</v>
      </c>
      <c r="M9" s="135">
        <f t="shared" si="4"/>
        <v>74003.186699999991</v>
      </c>
      <c r="N9" s="136">
        <f t="shared" si="5"/>
        <v>1254.2912999999999</v>
      </c>
      <c r="O9" s="135">
        <f t="shared" si="6"/>
        <v>72748.895399999994</v>
      </c>
      <c r="P9" s="135">
        <f t="shared" si="7"/>
        <v>75536</v>
      </c>
      <c r="Q9" s="137">
        <v>0</v>
      </c>
      <c r="R9" s="135">
        <f t="shared" si="8"/>
        <v>0</v>
      </c>
      <c r="S9" s="134">
        <f t="shared" si="9"/>
        <v>3279275</v>
      </c>
      <c r="T9" s="135">
        <f t="shared" si="10"/>
        <v>696829</v>
      </c>
      <c r="U9" s="138">
        <f>+T9</f>
        <v>696829</v>
      </c>
      <c r="V9" s="135" t="s">
        <v>61</v>
      </c>
      <c r="W9" s="135">
        <f t="shared" si="11"/>
        <v>2582446</v>
      </c>
      <c r="X9" s="135">
        <v>2582447.0942916102</v>
      </c>
      <c r="Y9" s="135" t="s">
        <v>61</v>
      </c>
      <c r="Z9" s="135">
        <f t="shared" ca="1" si="12"/>
        <v>98670.915600000008</v>
      </c>
      <c r="AA9" s="135"/>
      <c r="AB9" s="135"/>
      <c r="AC9" s="139">
        <f t="shared" si="13"/>
        <v>3279276.0942916102</v>
      </c>
      <c r="AD9" s="139">
        <f t="shared" si="14"/>
        <v>-1.0942916101776063</v>
      </c>
      <c r="AE9" s="135" t="str">
        <f t="shared" si="15"/>
        <v>SETTLED</v>
      </c>
      <c r="AF9" s="135" t="s">
        <v>77</v>
      </c>
      <c r="AG9" s="140">
        <v>1800003194</v>
      </c>
      <c r="AH9" s="141" t="s">
        <v>78</v>
      </c>
      <c r="AL9">
        <f t="shared" si="16"/>
        <v>1</v>
      </c>
      <c r="AM9">
        <f t="shared" si="17"/>
        <v>1</v>
      </c>
      <c r="AN9">
        <f t="shared" si="18"/>
        <v>1</v>
      </c>
      <c r="AO9">
        <f t="shared" si="19"/>
        <v>1</v>
      </c>
      <c r="AP9">
        <f t="shared" si="20"/>
        <v>1</v>
      </c>
      <c r="AQ9">
        <f t="shared" si="21"/>
        <v>1</v>
      </c>
      <c r="AR9">
        <f t="shared" si="22"/>
        <v>1</v>
      </c>
      <c r="AS9">
        <f t="shared" si="23"/>
        <v>1</v>
      </c>
      <c r="AT9">
        <f t="shared" si="24"/>
        <v>1</v>
      </c>
      <c r="AU9">
        <f t="shared" si="25"/>
        <v>1</v>
      </c>
      <c r="AV9">
        <f t="shared" si="26"/>
        <v>1</v>
      </c>
      <c r="AW9">
        <f t="shared" si="27"/>
        <v>1</v>
      </c>
      <c r="AX9">
        <f t="shared" si="28"/>
        <v>1</v>
      </c>
      <c r="AY9">
        <f t="shared" si="29"/>
        <v>1</v>
      </c>
      <c r="AZ9">
        <f t="shared" si="30"/>
        <v>1</v>
      </c>
      <c r="BA9">
        <f t="shared" si="31"/>
        <v>1</v>
      </c>
      <c r="BB9">
        <f t="shared" si="32"/>
        <v>1</v>
      </c>
      <c r="BC9">
        <f t="shared" si="33"/>
        <v>1</v>
      </c>
      <c r="BD9">
        <f t="shared" si="34"/>
        <v>1</v>
      </c>
      <c r="BE9">
        <f t="shared" si="35"/>
        <v>1</v>
      </c>
      <c r="BF9">
        <f t="shared" si="36"/>
        <v>1</v>
      </c>
      <c r="BG9">
        <f t="shared" si="37"/>
        <v>1</v>
      </c>
      <c r="BH9">
        <f t="shared" si="38"/>
        <v>1</v>
      </c>
      <c r="BI9">
        <f t="shared" si="39"/>
        <v>1</v>
      </c>
      <c r="BJ9">
        <f t="shared" si="40"/>
        <v>1</v>
      </c>
      <c r="BK9">
        <f t="shared" si="41"/>
        <v>1</v>
      </c>
      <c r="BL9">
        <f t="shared" si="42"/>
        <v>1</v>
      </c>
      <c r="BM9">
        <f t="shared" si="43"/>
        <v>1</v>
      </c>
      <c r="BN9">
        <f t="shared" si="44"/>
        <v>1</v>
      </c>
      <c r="BO9">
        <f t="shared" si="45"/>
        <v>1</v>
      </c>
      <c r="BP9">
        <f t="shared" si="46"/>
        <v>1</v>
      </c>
      <c r="BQ9">
        <f t="shared" si="47"/>
        <v>1</v>
      </c>
      <c r="BR9">
        <f t="shared" si="48"/>
        <v>1</v>
      </c>
      <c r="BS9">
        <f t="shared" si="49"/>
        <v>1</v>
      </c>
      <c r="BT9">
        <f t="shared" si="50"/>
        <v>1</v>
      </c>
    </row>
    <row r="10" spans="1:72" ht="14.25" customHeight="1" x14ac:dyDescent="0.3">
      <c r="A10" s="23">
        <v>4</v>
      </c>
      <c r="B10" s="24" t="s">
        <v>79</v>
      </c>
      <c r="C10" s="25">
        <v>51511</v>
      </c>
      <c r="D10" s="26">
        <v>21977</v>
      </c>
      <c r="E10" s="26" t="s">
        <v>59</v>
      </c>
      <c r="F10" s="26">
        <v>2002</v>
      </c>
      <c r="G10" s="24" t="s">
        <v>60</v>
      </c>
      <c r="H10" s="27">
        <v>206044</v>
      </c>
      <c r="I10" s="27">
        <f t="shared" si="0"/>
        <v>37088</v>
      </c>
      <c r="J10" s="27">
        <f t="shared" si="1"/>
        <v>243132</v>
      </c>
      <c r="K10" s="27">
        <f t="shared" si="2"/>
        <v>4863</v>
      </c>
      <c r="L10" s="28">
        <f t="shared" si="3"/>
        <v>206.04400000000001</v>
      </c>
      <c r="M10" s="28">
        <f t="shared" si="4"/>
        <v>5470.4681999999993</v>
      </c>
      <c r="N10" s="29">
        <f t="shared" si="5"/>
        <v>92.719799999999992</v>
      </c>
      <c r="O10" s="28">
        <f t="shared" si="6"/>
        <v>5377.7483999999995</v>
      </c>
      <c r="P10" s="28">
        <f t="shared" si="7"/>
        <v>5584</v>
      </c>
      <c r="Q10" s="30">
        <v>0</v>
      </c>
      <c r="R10" s="28">
        <f t="shared" si="8"/>
        <v>0</v>
      </c>
      <c r="S10" s="27">
        <f t="shared" si="9"/>
        <v>242411</v>
      </c>
      <c r="T10" s="28">
        <f t="shared" si="10"/>
        <v>51511</v>
      </c>
      <c r="U10" s="31">
        <f>+T10</f>
        <v>51511</v>
      </c>
      <c r="V10" s="28" t="s">
        <v>61</v>
      </c>
      <c r="W10" s="28">
        <f t="shared" si="11"/>
        <v>190900</v>
      </c>
      <c r="X10" s="28">
        <v>190900</v>
      </c>
      <c r="Y10" s="28" t="s">
        <v>55</v>
      </c>
      <c r="Z10" s="28">
        <f t="shared" ca="1" si="12"/>
        <v>7293.9575999999997</v>
      </c>
      <c r="AA10" s="28"/>
      <c r="AB10" s="28"/>
      <c r="AC10" s="15">
        <f t="shared" si="13"/>
        <v>242411</v>
      </c>
      <c r="AD10" s="19">
        <f t="shared" si="14"/>
        <v>0</v>
      </c>
      <c r="AE10" s="20" t="str">
        <f t="shared" si="15"/>
        <v>SETTLED</v>
      </c>
      <c r="AF10" s="20" t="s">
        <v>80</v>
      </c>
      <c r="AG10" s="21">
        <v>1800003303</v>
      </c>
      <c r="AH10" s="22" t="s">
        <v>63</v>
      </c>
      <c r="AL10">
        <f t="shared" si="16"/>
        <v>1</v>
      </c>
      <c r="AM10">
        <f t="shared" si="17"/>
        <v>1</v>
      </c>
      <c r="AN10">
        <f t="shared" si="18"/>
        <v>1</v>
      </c>
      <c r="AO10">
        <f t="shared" si="19"/>
        <v>1</v>
      </c>
      <c r="AP10">
        <f t="shared" si="20"/>
        <v>1</v>
      </c>
      <c r="AQ10">
        <f t="shared" si="21"/>
        <v>1</v>
      </c>
      <c r="AR10">
        <f t="shared" si="22"/>
        <v>1</v>
      </c>
      <c r="AS10">
        <f t="shared" si="23"/>
        <v>1</v>
      </c>
      <c r="AT10">
        <f t="shared" si="24"/>
        <v>1</v>
      </c>
      <c r="AU10">
        <f t="shared" si="25"/>
        <v>1</v>
      </c>
      <c r="AV10">
        <f t="shared" si="26"/>
        <v>1</v>
      </c>
      <c r="AW10">
        <f t="shared" si="27"/>
        <v>1</v>
      </c>
      <c r="AX10">
        <f t="shared" si="28"/>
        <v>1</v>
      </c>
      <c r="AY10">
        <f t="shared" si="29"/>
        <v>1</v>
      </c>
      <c r="AZ10">
        <f t="shared" si="30"/>
        <v>1</v>
      </c>
      <c r="BA10">
        <f t="shared" si="31"/>
        <v>1</v>
      </c>
      <c r="BB10">
        <f t="shared" si="32"/>
        <v>1</v>
      </c>
      <c r="BC10">
        <f t="shared" si="33"/>
        <v>1</v>
      </c>
      <c r="BD10">
        <f t="shared" si="34"/>
        <v>1</v>
      </c>
      <c r="BE10">
        <f t="shared" si="35"/>
        <v>1</v>
      </c>
      <c r="BF10">
        <f t="shared" si="36"/>
        <v>1</v>
      </c>
      <c r="BG10">
        <f t="shared" si="37"/>
        <v>1</v>
      </c>
      <c r="BH10">
        <f t="shared" si="38"/>
        <v>1</v>
      </c>
      <c r="BI10">
        <f t="shared" si="39"/>
        <v>1</v>
      </c>
      <c r="BJ10">
        <f t="shared" si="40"/>
        <v>1</v>
      </c>
      <c r="BK10">
        <f t="shared" si="41"/>
        <v>1</v>
      </c>
      <c r="BL10">
        <f t="shared" si="42"/>
        <v>1</v>
      </c>
      <c r="BM10">
        <f t="shared" si="43"/>
        <v>1</v>
      </c>
      <c r="BN10">
        <f t="shared" si="44"/>
        <v>1</v>
      </c>
      <c r="BO10">
        <f t="shared" si="45"/>
        <v>1</v>
      </c>
      <c r="BP10">
        <f t="shared" si="46"/>
        <v>1</v>
      </c>
      <c r="BQ10">
        <f t="shared" si="47"/>
        <v>1</v>
      </c>
      <c r="BR10">
        <f t="shared" si="48"/>
        <v>1</v>
      </c>
      <c r="BS10">
        <f t="shared" si="49"/>
        <v>1</v>
      </c>
      <c r="BT10">
        <f t="shared" si="50"/>
        <v>1</v>
      </c>
    </row>
    <row r="11" spans="1:72" ht="14.25" customHeight="1" x14ac:dyDescent="0.3">
      <c r="A11" s="130">
        <v>1</v>
      </c>
      <c r="B11" s="131" t="s">
        <v>81</v>
      </c>
      <c r="C11" s="132">
        <v>65007</v>
      </c>
      <c r="D11" s="133">
        <v>21977</v>
      </c>
      <c r="E11" s="133" t="s">
        <v>59</v>
      </c>
      <c r="F11" s="133">
        <v>2003</v>
      </c>
      <c r="G11" s="131" t="s">
        <v>60</v>
      </c>
      <c r="H11" s="134">
        <v>65007</v>
      </c>
      <c r="I11" s="134">
        <f t="shared" si="0"/>
        <v>11701</v>
      </c>
      <c r="J11" s="134">
        <f t="shared" si="1"/>
        <v>76708</v>
      </c>
      <c r="K11" s="134">
        <f t="shared" si="2"/>
        <v>1534</v>
      </c>
      <c r="L11" s="135">
        <f t="shared" si="3"/>
        <v>65.007000000000005</v>
      </c>
      <c r="M11" s="135">
        <f t="shared" si="4"/>
        <v>1725.9358499999998</v>
      </c>
      <c r="N11" s="136">
        <f t="shared" si="5"/>
        <v>29.253150000000002</v>
      </c>
      <c r="O11" s="135">
        <f t="shared" si="6"/>
        <v>1696.6826999999998</v>
      </c>
      <c r="P11" s="135">
        <f t="shared" si="7"/>
        <v>1762</v>
      </c>
      <c r="Q11" s="137">
        <v>0</v>
      </c>
      <c r="R11" s="135">
        <f t="shared" si="8"/>
        <v>0</v>
      </c>
      <c r="S11" s="134">
        <f t="shared" si="9"/>
        <v>76481</v>
      </c>
      <c r="T11" s="135">
        <f t="shared" si="10"/>
        <v>16252</v>
      </c>
      <c r="U11" s="138">
        <f>+T11</f>
        <v>16252</v>
      </c>
      <c r="V11" s="135" t="s">
        <v>61</v>
      </c>
      <c r="W11" s="135">
        <f t="shared" si="11"/>
        <v>60229</v>
      </c>
      <c r="X11" s="135">
        <v>60229</v>
      </c>
      <c r="Y11" s="135" t="s">
        <v>55</v>
      </c>
      <c r="Z11" s="135">
        <f t="shared" ca="1" si="12"/>
        <v>2301.2478000000001</v>
      </c>
      <c r="AA11" s="135"/>
      <c r="AB11" s="135"/>
      <c r="AC11" s="139">
        <f t="shared" si="13"/>
        <v>76481</v>
      </c>
      <c r="AD11" s="139">
        <f t="shared" si="14"/>
        <v>0</v>
      </c>
      <c r="AE11" s="135" t="str">
        <f t="shared" si="15"/>
        <v>SETTLED</v>
      </c>
      <c r="AF11" s="135" t="s">
        <v>82</v>
      </c>
      <c r="AG11" s="140">
        <v>1800003304</v>
      </c>
      <c r="AH11" s="141" t="s">
        <v>63</v>
      </c>
      <c r="AL11">
        <f t="shared" si="16"/>
        <v>1</v>
      </c>
      <c r="AM11">
        <f t="shared" si="17"/>
        <v>1</v>
      </c>
      <c r="AN11">
        <f t="shared" si="18"/>
        <v>1</v>
      </c>
      <c r="AO11">
        <f t="shared" si="19"/>
        <v>1</v>
      </c>
      <c r="AP11">
        <f t="shared" si="20"/>
        <v>1</v>
      </c>
      <c r="AQ11">
        <f t="shared" si="21"/>
        <v>1</v>
      </c>
      <c r="AR11">
        <f t="shared" si="22"/>
        <v>1</v>
      </c>
      <c r="AS11">
        <f t="shared" si="23"/>
        <v>1</v>
      </c>
      <c r="AT11">
        <f t="shared" si="24"/>
        <v>1</v>
      </c>
      <c r="AU11">
        <f t="shared" si="25"/>
        <v>1</v>
      </c>
      <c r="AV11">
        <f t="shared" si="26"/>
        <v>1</v>
      </c>
      <c r="AW11">
        <f t="shared" si="27"/>
        <v>1</v>
      </c>
      <c r="AX11">
        <f t="shared" si="28"/>
        <v>1</v>
      </c>
      <c r="AY11">
        <f t="shared" si="29"/>
        <v>1</v>
      </c>
      <c r="AZ11">
        <f t="shared" si="30"/>
        <v>1</v>
      </c>
      <c r="BA11">
        <f t="shared" si="31"/>
        <v>1</v>
      </c>
      <c r="BB11">
        <f t="shared" si="32"/>
        <v>1</v>
      </c>
      <c r="BC11">
        <f t="shared" si="33"/>
        <v>1</v>
      </c>
      <c r="BD11">
        <f t="shared" si="34"/>
        <v>1</v>
      </c>
      <c r="BE11">
        <f t="shared" si="35"/>
        <v>1</v>
      </c>
      <c r="BF11">
        <f t="shared" si="36"/>
        <v>1</v>
      </c>
      <c r="BG11">
        <f t="shared" si="37"/>
        <v>1</v>
      </c>
      <c r="BH11">
        <f t="shared" si="38"/>
        <v>1</v>
      </c>
      <c r="BI11">
        <f t="shared" si="39"/>
        <v>1</v>
      </c>
      <c r="BJ11">
        <f t="shared" si="40"/>
        <v>1</v>
      </c>
      <c r="BK11">
        <f t="shared" si="41"/>
        <v>1</v>
      </c>
      <c r="BL11">
        <f t="shared" si="42"/>
        <v>1</v>
      </c>
      <c r="BM11">
        <f t="shared" si="43"/>
        <v>1</v>
      </c>
      <c r="BN11">
        <f t="shared" si="44"/>
        <v>1</v>
      </c>
      <c r="BO11">
        <f t="shared" si="45"/>
        <v>1</v>
      </c>
      <c r="BP11">
        <f t="shared" si="46"/>
        <v>1</v>
      </c>
      <c r="BQ11">
        <f t="shared" si="47"/>
        <v>1</v>
      </c>
      <c r="BR11">
        <f t="shared" si="48"/>
        <v>1</v>
      </c>
      <c r="BS11">
        <f t="shared" si="49"/>
        <v>1</v>
      </c>
      <c r="BT11">
        <f t="shared" si="50"/>
        <v>1</v>
      </c>
    </row>
    <row r="12" spans="1:72" ht="14.25" customHeight="1" x14ac:dyDescent="0.3">
      <c r="A12" s="23">
        <v>1</v>
      </c>
      <c r="B12" s="24" t="s">
        <v>83</v>
      </c>
      <c r="C12" s="25">
        <v>70006</v>
      </c>
      <c r="D12" s="26">
        <v>21977</v>
      </c>
      <c r="E12" s="26" t="s">
        <v>59</v>
      </c>
      <c r="F12" s="26">
        <v>2005</v>
      </c>
      <c r="G12" s="24" t="s">
        <v>60</v>
      </c>
      <c r="H12" s="27">
        <v>70006</v>
      </c>
      <c r="I12" s="27">
        <f t="shared" si="0"/>
        <v>12601</v>
      </c>
      <c r="J12" s="27">
        <f t="shared" si="1"/>
        <v>82607</v>
      </c>
      <c r="K12" s="27">
        <f t="shared" si="2"/>
        <v>1652</v>
      </c>
      <c r="L12" s="28">
        <f t="shared" si="3"/>
        <v>70.006</v>
      </c>
      <c r="M12" s="28">
        <f t="shared" si="4"/>
        <v>1858.6592999999998</v>
      </c>
      <c r="N12" s="29">
        <f t="shared" si="5"/>
        <v>31.502700000000001</v>
      </c>
      <c r="O12" s="28">
        <f t="shared" si="6"/>
        <v>1827.1565999999998</v>
      </c>
      <c r="P12" s="28">
        <f t="shared" si="7"/>
        <v>1897</v>
      </c>
      <c r="Q12" s="30">
        <v>0</v>
      </c>
      <c r="R12" s="28">
        <f t="shared" si="8"/>
        <v>0</v>
      </c>
      <c r="S12" s="27">
        <f t="shared" si="9"/>
        <v>82362</v>
      </c>
      <c r="T12" s="28">
        <f t="shared" si="10"/>
        <v>17502</v>
      </c>
      <c r="U12" s="31">
        <f>+T12</f>
        <v>17502</v>
      </c>
      <c r="V12" s="28" t="s">
        <v>61</v>
      </c>
      <c r="W12" s="28">
        <f t="shared" si="11"/>
        <v>64861</v>
      </c>
      <c r="X12" s="28">
        <v>64859</v>
      </c>
      <c r="Y12" s="28" t="s">
        <v>55</v>
      </c>
      <c r="Z12" s="28">
        <f t="shared" ca="1" si="12"/>
        <v>2478.2123999999999</v>
      </c>
      <c r="AA12" s="28"/>
      <c r="AB12" s="28"/>
      <c r="AC12" s="15">
        <f t="shared" si="13"/>
        <v>82361</v>
      </c>
      <c r="AD12" s="19">
        <f t="shared" si="14"/>
        <v>1</v>
      </c>
      <c r="AE12" s="20" t="str">
        <f t="shared" si="15"/>
        <v>SETTLED</v>
      </c>
      <c r="AF12" s="20" t="s">
        <v>84</v>
      </c>
      <c r="AG12" s="21">
        <v>1800003305</v>
      </c>
      <c r="AH12" s="22" t="s">
        <v>63</v>
      </c>
      <c r="AL12">
        <f t="shared" si="16"/>
        <v>1</v>
      </c>
      <c r="AM12">
        <f t="shared" si="17"/>
        <v>1</v>
      </c>
      <c r="AN12">
        <f t="shared" si="18"/>
        <v>1</v>
      </c>
      <c r="AO12">
        <f t="shared" si="19"/>
        <v>1</v>
      </c>
      <c r="AP12">
        <f t="shared" si="20"/>
        <v>1</v>
      </c>
      <c r="AQ12">
        <f t="shared" si="21"/>
        <v>1</v>
      </c>
      <c r="AR12">
        <f t="shared" si="22"/>
        <v>1</v>
      </c>
      <c r="AS12">
        <f t="shared" si="23"/>
        <v>1</v>
      </c>
      <c r="AT12">
        <f t="shared" si="24"/>
        <v>1</v>
      </c>
      <c r="AU12">
        <f t="shared" si="25"/>
        <v>1</v>
      </c>
      <c r="AV12">
        <f t="shared" si="26"/>
        <v>1</v>
      </c>
      <c r="AW12">
        <f t="shared" si="27"/>
        <v>1</v>
      </c>
      <c r="AX12">
        <f t="shared" si="28"/>
        <v>1</v>
      </c>
      <c r="AY12">
        <f t="shared" si="29"/>
        <v>1</v>
      </c>
      <c r="AZ12">
        <f t="shared" si="30"/>
        <v>1</v>
      </c>
      <c r="BA12">
        <f t="shared" si="31"/>
        <v>1</v>
      </c>
      <c r="BB12">
        <f t="shared" si="32"/>
        <v>1</v>
      </c>
      <c r="BC12">
        <f t="shared" si="33"/>
        <v>1</v>
      </c>
      <c r="BD12">
        <f t="shared" si="34"/>
        <v>1</v>
      </c>
      <c r="BE12">
        <f t="shared" si="35"/>
        <v>1</v>
      </c>
      <c r="BF12">
        <f t="shared" si="36"/>
        <v>1</v>
      </c>
      <c r="BG12">
        <f t="shared" si="37"/>
        <v>1</v>
      </c>
      <c r="BH12">
        <f t="shared" si="38"/>
        <v>1</v>
      </c>
      <c r="BI12">
        <f t="shared" si="39"/>
        <v>1</v>
      </c>
      <c r="BJ12">
        <f t="shared" si="40"/>
        <v>1</v>
      </c>
      <c r="BK12">
        <f t="shared" si="41"/>
        <v>1</v>
      </c>
      <c r="BL12">
        <f t="shared" si="42"/>
        <v>1</v>
      </c>
      <c r="BM12">
        <f t="shared" si="43"/>
        <v>1</v>
      </c>
      <c r="BN12">
        <f t="shared" si="44"/>
        <v>1</v>
      </c>
      <c r="BO12">
        <f t="shared" si="45"/>
        <v>1</v>
      </c>
      <c r="BP12">
        <f t="shared" si="46"/>
        <v>1</v>
      </c>
      <c r="BQ12">
        <f t="shared" si="47"/>
        <v>1</v>
      </c>
      <c r="BR12">
        <f t="shared" si="48"/>
        <v>1</v>
      </c>
      <c r="BS12">
        <f t="shared" si="49"/>
        <v>1</v>
      </c>
      <c r="BT12">
        <f t="shared" si="50"/>
        <v>1</v>
      </c>
    </row>
    <row r="13" spans="1:72" ht="14.25" customHeight="1" x14ac:dyDescent="0.3">
      <c r="A13" s="130">
        <v>25</v>
      </c>
      <c r="B13" s="131" t="s">
        <v>85</v>
      </c>
      <c r="C13" s="132">
        <v>700</v>
      </c>
      <c r="D13" s="133">
        <v>21977</v>
      </c>
      <c r="E13" s="133" t="s">
        <v>59</v>
      </c>
      <c r="F13" s="133">
        <v>2006</v>
      </c>
      <c r="G13" s="131" t="s">
        <v>86</v>
      </c>
      <c r="H13" s="134">
        <v>17500</v>
      </c>
      <c r="I13" s="134">
        <f t="shared" si="0"/>
        <v>3150</v>
      </c>
      <c r="J13" s="134">
        <f t="shared" si="1"/>
        <v>20650</v>
      </c>
      <c r="K13" s="134">
        <f t="shared" si="2"/>
        <v>413</v>
      </c>
      <c r="L13" s="135">
        <f t="shared" si="3"/>
        <v>17.5</v>
      </c>
      <c r="M13" s="135">
        <f t="shared" si="4"/>
        <v>464.625</v>
      </c>
      <c r="N13" s="136">
        <f t="shared" si="5"/>
        <v>7.875</v>
      </c>
      <c r="O13" s="135">
        <f t="shared" si="6"/>
        <v>456.75</v>
      </c>
      <c r="P13" s="135">
        <f t="shared" si="7"/>
        <v>474</v>
      </c>
      <c r="Q13" s="137">
        <v>0</v>
      </c>
      <c r="R13" s="135">
        <f t="shared" si="8"/>
        <v>0</v>
      </c>
      <c r="S13" s="134">
        <f t="shared" si="9"/>
        <v>20589</v>
      </c>
      <c r="T13" s="135">
        <f t="shared" si="10"/>
        <v>4375</v>
      </c>
      <c r="U13" s="138">
        <v>4375</v>
      </c>
      <c r="V13" s="135" t="s">
        <v>66</v>
      </c>
      <c r="W13" s="135">
        <f t="shared" si="11"/>
        <v>16214</v>
      </c>
      <c r="X13" s="135">
        <v>16214</v>
      </c>
      <c r="Y13" s="135" t="s">
        <v>66</v>
      </c>
      <c r="Z13" s="135">
        <f t="shared" ca="1" si="12"/>
        <v>619.5</v>
      </c>
      <c r="AA13" s="135"/>
      <c r="AB13" s="135"/>
      <c r="AC13" s="139">
        <f t="shared" si="13"/>
        <v>20589</v>
      </c>
      <c r="AD13" s="139">
        <f t="shared" si="14"/>
        <v>0</v>
      </c>
      <c r="AE13" s="135" t="str">
        <f t="shared" si="15"/>
        <v>SETTLED</v>
      </c>
      <c r="AF13" s="135" t="s">
        <v>87</v>
      </c>
      <c r="AG13" s="140">
        <v>1800003156</v>
      </c>
      <c r="AH13" s="141" t="s">
        <v>73</v>
      </c>
      <c r="AL13">
        <f t="shared" si="16"/>
        <v>1</v>
      </c>
      <c r="AM13">
        <f t="shared" si="17"/>
        <v>1</v>
      </c>
      <c r="AN13">
        <f t="shared" si="18"/>
        <v>1</v>
      </c>
      <c r="AO13">
        <f t="shared" si="19"/>
        <v>1</v>
      </c>
      <c r="AP13">
        <f t="shared" si="20"/>
        <v>1</v>
      </c>
      <c r="AQ13">
        <f t="shared" si="21"/>
        <v>1</v>
      </c>
      <c r="AR13">
        <f t="shared" si="22"/>
        <v>1</v>
      </c>
      <c r="AS13">
        <f t="shared" si="23"/>
        <v>1</v>
      </c>
      <c r="AT13">
        <f t="shared" si="24"/>
        <v>1</v>
      </c>
      <c r="AU13">
        <f t="shared" si="25"/>
        <v>1</v>
      </c>
      <c r="AV13">
        <f t="shared" si="26"/>
        <v>1</v>
      </c>
      <c r="AW13">
        <f t="shared" si="27"/>
        <v>1</v>
      </c>
      <c r="AX13">
        <f t="shared" si="28"/>
        <v>1</v>
      </c>
      <c r="AY13">
        <f t="shared" si="29"/>
        <v>1</v>
      </c>
      <c r="AZ13">
        <f t="shared" si="30"/>
        <v>1</v>
      </c>
      <c r="BA13">
        <f t="shared" si="31"/>
        <v>1</v>
      </c>
      <c r="BB13">
        <f t="shared" si="32"/>
        <v>1</v>
      </c>
      <c r="BC13">
        <f t="shared" si="33"/>
        <v>1</v>
      </c>
      <c r="BD13">
        <f t="shared" si="34"/>
        <v>1</v>
      </c>
      <c r="BE13">
        <f t="shared" si="35"/>
        <v>1</v>
      </c>
      <c r="BF13">
        <f t="shared" si="36"/>
        <v>1</v>
      </c>
      <c r="BG13">
        <f t="shared" si="37"/>
        <v>1</v>
      </c>
      <c r="BH13">
        <f t="shared" si="38"/>
        <v>1</v>
      </c>
      <c r="BI13">
        <f t="shared" si="39"/>
        <v>1</v>
      </c>
      <c r="BJ13">
        <f t="shared" si="40"/>
        <v>1</v>
      </c>
      <c r="BK13">
        <f t="shared" si="41"/>
        <v>1</v>
      </c>
      <c r="BL13">
        <f t="shared" si="42"/>
        <v>1</v>
      </c>
      <c r="BM13">
        <f t="shared" si="43"/>
        <v>1</v>
      </c>
      <c r="BN13">
        <f t="shared" si="44"/>
        <v>1</v>
      </c>
      <c r="BO13">
        <f t="shared" si="45"/>
        <v>1</v>
      </c>
      <c r="BP13">
        <f t="shared" si="46"/>
        <v>1</v>
      </c>
      <c r="BQ13">
        <f t="shared" si="47"/>
        <v>1</v>
      </c>
      <c r="BR13">
        <f t="shared" si="48"/>
        <v>1</v>
      </c>
      <c r="BS13">
        <f t="shared" si="49"/>
        <v>1</v>
      </c>
      <c r="BT13">
        <f t="shared" si="50"/>
        <v>1</v>
      </c>
    </row>
    <row r="14" spans="1:72" ht="14.25" customHeight="1" x14ac:dyDescent="0.3">
      <c r="A14" s="23">
        <v>1</v>
      </c>
      <c r="B14" s="24" t="s">
        <v>88</v>
      </c>
      <c r="C14" s="25">
        <v>3857116</v>
      </c>
      <c r="D14" s="26">
        <v>21977</v>
      </c>
      <c r="E14" s="26" t="s">
        <v>59</v>
      </c>
      <c r="F14" s="26">
        <v>2007</v>
      </c>
      <c r="G14" s="24" t="s">
        <v>76</v>
      </c>
      <c r="H14" s="27">
        <v>3857116</v>
      </c>
      <c r="I14" s="27">
        <f t="shared" si="0"/>
        <v>694281</v>
      </c>
      <c r="J14" s="27">
        <f t="shared" si="1"/>
        <v>4551397</v>
      </c>
      <c r="K14" s="27">
        <f t="shared" si="2"/>
        <v>91028</v>
      </c>
      <c r="L14" s="28">
        <f t="shared" si="3"/>
        <v>3857.116</v>
      </c>
      <c r="M14" s="28">
        <f t="shared" si="4"/>
        <v>102406.4298</v>
      </c>
      <c r="N14" s="29">
        <f t="shared" si="5"/>
        <v>1735.7021999999999</v>
      </c>
      <c r="O14" s="28">
        <f t="shared" si="6"/>
        <v>100670.7276</v>
      </c>
      <c r="P14" s="28">
        <f t="shared" si="7"/>
        <v>104528</v>
      </c>
      <c r="Q14" s="30">
        <v>0</v>
      </c>
      <c r="R14" s="28">
        <f t="shared" si="8"/>
        <v>0</v>
      </c>
      <c r="S14" s="27">
        <f t="shared" si="9"/>
        <v>4537897</v>
      </c>
      <c r="T14" s="28">
        <f t="shared" si="10"/>
        <v>964279</v>
      </c>
      <c r="U14" s="31">
        <f>+T14</f>
        <v>964279</v>
      </c>
      <c r="V14" s="28" t="s">
        <v>61</v>
      </c>
      <c r="W14" s="28">
        <f t="shared" si="11"/>
        <v>3573618</v>
      </c>
      <c r="X14" s="28">
        <v>3573618.9057083898</v>
      </c>
      <c r="Y14" s="28" t="s">
        <v>61</v>
      </c>
      <c r="Z14" s="28">
        <f t="shared" ca="1" si="12"/>
        <v>136541.90640000001</v>
      </c>
      <c r="AA14" s="28"/>
      <c r="AB14" s="28"/>
      <c r="AC14" s="15">
        <f t="shared" si="13"/>
        <v>4537897.9057083894</v>
      </c>
      <c r="AD14" s="19">
        <f t="shared" si="14"/>
        <v>-0.90570838935673237</v>
      </c>
      <c r="AE14" s="20" t="str">
        <f t="shared" si="15"/>
        <v>SETTLED</v>
      </c>
      <c r="AF14" s="20" t="s">
        <v>89</v>
      </c>
      <c r="AG14" s="21">
        <v>1800003196</v>
      </c>
      <c r="AH14" s="22" t="s">
        <v>78</v>
      </c>
      <c r="AL14">
        <f t="shared" si="16"/>
        <v>1</v>
      </c>
      <c r="AM14">
        <f t="shared" si="17"/>
        <v>1</v>
      </c>
      <c r="AN14">
        <f t="shared" si="18"/>
        <v>1</v>
      </c>
      <c r="AO14">
        <f t="shared" si="19"/>
        <v>1</v>
      </c>
      <c r="AP14">
        <f t="shared" si="20"/>
        <v>1</v>
      </c>
      <c r="AQ14">
        <f t="shared" si="21"/>
        <v>1</v>
      </c>
      <c r="AR14">
        <f t="shared" si="22"/>
        <v>1</v>
      </c>
      <c r="AS14">
        <f t="shared" si="23"/>
        <v>1</v>
      </c>
      <c r="AT14">
        <f t="shared" si="24"/>
        <v>1</v>
      </c>
      <c r="AU14">
        <f t="shared" si="25"/>
        <v>1</v>
      </c>
      <c r="AV14">
        <f t="shared" si="26"/>
        <v>1</v>
      </c>
      <c r="AW14">
        <f t="shared" si="27"/>
        <v>1</v>
      </c>
      <c r="AX14">
        <f t="shared" si="28"/>
        <v>1</v>
      </c>
      <c r="AY14">
        <f t="shared" si="29"/>
        <v>1</v>
      </c>
      <c r="AZ14">
        <f t="shared" si="30"/>
        <v>1</v>
      </c>
      <c r="BA14">
        <f t="shared" si="31"/>
        <v>1</v>
      </c>
      <c r="BB14">
        <f t="shared" si="32"/>
        <v>1</v>
      </c>
      <c r="BC14">
        <f t="shared" si="33"/>
        <v>1</v>
      </c>
      <c r="BD14">
        <f t="shared" si="34"/>
        <v>1</v>
      </c>
      <c r="BE14">
        <f t="shared" si="35"/>
        <v>1</v>
      </c>
      <c r="BF14">
        <f t="shared" si="36"/>
        <v>1</v>
      </c>
      <c r="BG14">
        <f t="shared" si="37"/>
        <v>1</v>
      </c>
      <c r="BH14">
        <f t="shared" si="38"/>
        <v>1</v>
      </c>
      <c r="BI14">
        <f t="shared" si="39"/>
        <v>1</v>
      </c>
      <c r="BJ14">
        <f t="shared" si="40"/>
        <v>1</v>
      </c>
      <c r="BK14">
        <f t="shared" si="41"/>
        <v>1</v>
      </c>
      <c r="BL14">
        <f t="shared" si="42"/>
        <v>1</v>
      </c>
      <c r="BM14">
        <f t="shared" si="43"/>
        <v>1</v>
      </c>
      <c r="BN14">
        <f t="shared" si="44"/>
        <v>1</v>
      </c>
      <c r="BO14">
        <f t="shared" si="45"/>
        <v>1</v>
      </c>
      <c r="BP14">
        <f t="shared" si="46"/>
        <v>1</v>
      </c>
      <c r="BQ14">
        <f t="shared" si="47"/>
        <v>1</v>
      </c>
      <c r="BR14">
        <f t="shared" si="48"/>
        <v>1</v>
      </c>
      <c r="BS14">
        <f t="shared" si="49"/>
        <v>1</v>
      </c>
      <c r="BT14">
        <f t="shared" si="50"/>
        <v>1</v>
      </c>
    </row>
    <row r="15" spans="1:72" ht="14.25" customHeight="1" x14ac:dyDescent="0.3">
      <c r="A15" s="130">
        <v>250</v>
      </c>
      <c r="B15" s="131" t="s">
        <v>90</v>
      </c>
      <c r="C15" s="132">
        <v>543</v>
      </c>
      <c r="D15" s="133">
        <v>21977</v>
      </c>
      <c r="E15" s="133" t="s">
        <v>59</v>
      </c>
      <c r="F15" s="133">
        <v>2008</v>
      </c>
      <c r="G15" s="131" t="s">
        <v>91</v>
      </c>
      <c r="H15" s="134">
        <v>135750</v>
      </c>
      <c r="I15" s="134">
        <f t="shared" si="0"/>
        <v>24435</v>
      </c>
      <c r="J15" s="134">
        <f t="shared" si="1"/>
        <v>160185</v>
      </c>
      <c r="K15" s="134">
        <f t="shared" si="2"/>
        <v>3204</v>
      </c>
      <c r="L15" s="135">
        <f t="shared" si="3"/>
        <v>135.75</v>
      </c>
      <c r="M15" s="135">
        <f t="shared" si="4"/>
        <v>3604.1624999999999</v>
      </c>
      <c r="N15" s="136">
        <f t="shared" si="5"/>
        <v>61.087499999999999</v>
      </c>
      <c r="O15" s="135">
        <f t="shared" si="6"/>
        <v>3543.0749999999998</v>
      </c>
      <c r="P15" s="135">
        <f t="shared" si="7"/>
        <v>3679</v>
      </c>
      <c r="Q15" s="137">
        <v>0</v>
      </c>
      <c r="R15" s="135">
        <f t="shared" si="8"/>
        <v>0</v>
      </c>
      <c r="S15" s="134">
        <f t="shared" si="9"/>
        <v>159710</v>
      </c>
      <c r="T15" s="135">
        <f t="shared" si="10"/>
        <v>33938</v>
      </c>
      <c r="U15" s="138">
        <v>33938</v>
      </c>
      <c r="V15" s="135" t="s">
        <v>73</v>
      </c>
      <c r="W15" s="135">
        <f t="shared" si="11"/>
        <v>125772</v>
      </c>
      <c r="X15" s="135">
        <v>125772</v>
      </c>
      <c r="Y15" s="135" t="s">
        <v>56</v>
      </c>
      <c r="Z15" s="135">
        <f t="shared" ca="1" si="12"/>
        <v>4805.5499999999993</v>
      </c>
      <c r="AA15" s="135"/>
      <c r="AB15" s="135"/>
      <c r="AC15" s="139">
        <f t="shared" si="13"/>
        <v>159710</v>
      </c>
      <c r="AD15" s="139">
        <f t="shared" si="14"/>
        <v>0</v>
      </c>
      <c r="AE15" s="135" t="str">
        <f t="shared" si="15"/>
        <v>SETTLED</v>
      </c>
      <c r="AF15" s="135" t="s">
        <v>92</v>
      </c>
      <c r="AG15" s="140">
        <v>1800003247</v>
      </c>
      <c r="AH15" s="141" t="s">
        <v>67</v>
      </c>
      <c r="AL15">
        <f t="shared" si="16"/>
        <v>1</v>
      </c>
      <c r="AM15">
        <f t="shared" si="17"/>
        <v>1</v>
      </c>
      <c r="AN15">
        <f t="shared" si="18"/>
        <v>1</v>
      </c>
      <c r="AO15">
        <f t="shared" si="19"/>
        <v>1</v>
      </c>
      <c r="AP15">
        <f t="shared" si="20"/>
        <v>1</v>
      </c>
      <c r="AQ15">
        <f t="shared" si="21"/>
        <v>1</v>
      </c>
      <c r="AR15">
        <f t="shared" si="22"/>
        <v>1</v>
      </c>
      <c r="AS15">
        <f t="shared" si="23"/>
        <v>1</v>
      </c>
      <c r="AT15">
        <f t="shared" si="24"/>
        <v>1</v>
      </c>
      <c r="AU15">
        <f t="shared" si="25"/>
        <v>1</v>
      </c>
      <c r="AV15">
        <f t="shared" si="26"/>
        <v>1</v>
      </c>
      <c r="AW15">
        <f t="shared" si="27"/>
        <v>1</v>
      </c>
      <c r="AX15">
        <f t="shared" si="28"/>
        <v>1</v>
      </c>
      <c r="AY15">
        <f t="shared" si="29"/>
        <v>1</v>
      </c>
      <c r="AZ15">
        <f t="shared" si="30"/>
        <v>1</v>
      </c>
      <c r="BA15">
        <f t="shared" si="31"/>
        <v>1</v>
      </c>
      <c r="BB15">
        <f t="shared" si="32"/>
        <v>1</v>
      </c>
      <c r="BC15">
        <f t="shared" si="33"/>
        <v>1</v>
      </c>
      <c r="BD15">
        <f t="shared" si="34"/>
        <v>1</v>
      </c>
      <c r="BE15">
        <f t="shared" si="35"/>
        <v>1</v>
      </c>
      <c r="BF15">
        <f t="shared" si="36"/>
        <v>1</v>
      </c>
      <c r="BG15">
        <f t="shared" si="37"/>
        <v>1</v>
      </c>
      <c r="BH15">
        <f t="shared" si="38"/>
        <v>1</v>
      </c>
      <c r="BI15">
        <f t="shared" si="39"/>
        <v>1</v>
      </c>
      <c r="BJ15">
        <f t="shared" si="40"/>
        <v>1</v>
      </c>
      <c r="BK15">
        <f t="shared" si="41"/>
        <v>1</v>
      </c>
      <c r="BL15">
        <f t="shared" si="42"/>
        <v>1</v>
      </c>
      <c r="BM15">
        <f t="shared" si="43"/>
        <v>1</v>
      </c>
      <c r="BN15">
        <f t="shared" si="44"/>
        <v>1</v>
      </c>
      <c r="BO15">
        <f t="shared" si="45"/>
        <v>1</v>
      </c>
      <c r="BP15">
        <f t="shared" si="46"/>
        <v>1</v>
      </c>
      <c r="BQ15">
        <f t="shared" si="47"/>
        <v>1</v>
      </c>
      <c r="BR15">
        <f t="shared" si="48"/>
        <v>1</v>
      </c>
      <c r="BS15">
        <f t="shared" si="49"/>
        <v>1</v>
      </c>
      <c r="BT15">
        <f t="shared" si="50"/>
        <v>1</v>
      </c>
    </row>
    <row r="16" spans="1:72" ht="14.25" customHeight="1" x14ac:dyDescent="0.3">
      <c r="A16" s="23">
        <v>22</v>
      </c>
      <c r="B16" s="24" t="s">
        <v>93</v>
      </c>
      <c r="C16" s="25">
        <v>700</v>
      </c>
      <c r="D16" s="26">
        <v>21977</v>
      </c>
      <c r="E16" s="26" t="s">
        <v>59</v>
      </c>
      <c r="F16" s="26">
        <v>2011</v>
      </c>
      <c r="G16" s="24" t="s">
        <v>86</v>
      </c>
      <c r="H16" s="27">
        <v>15400</v>
      </c>
      <c r="I16" s="27">
        <f t="shared" si="0"/>
        <v>2772</v>
      </c>
      <c r="J16" s="27">
        <f t="shared" si="1"/>
        <v>18172</v>
      </c>
      <c r="K16" s="27">
        <f t="shared" si="2"/>
        <v>363</v>
      </c>
      <c r="L16" s="28">
        <f t="shared" si="3"/>
        <v>15.4</v>
      </c>
      <c r="M16" s="28">
        <f t="shared" si="4"/>
        <v>408.87</v>
      </c>
      <c r="N16" s="29">
        <f t="shared" si="5"/>
        <v>6.93</v>
      </c>
      <c r="O16" s="28">
        <f t="shared" si="6"/>
        <v>401.94</v>
      </c>
      <c r="P16" s="28">
        <f t="shared" si="7"/>
        <v>417</v>
      </c>
      <c r="Q16" s="30">
        <v>0</v>
      </c>
      <c r="R16" s="28">
        <f t="shared" si="8"/>
        <v>0</v>
      </c>
      <c r="S16" s="27">
        <f t="shared" si="9"/>
        <v>18118</v>
      </c>
      <c r="T16" s="28">
        <f t="shared" si="10"/>
        <v>3850</v>
      </c>
      <c r="U16" s="31">
        <v>3850</v>
      </c>
      <c r="V16" s="28" t="s">
        <v>66</v>
      </c>
      <c r="W16" s="28">
        <f t="shared" si="11"/>
        <v>14268</v>
      </c>
      <c r="X16" s="28">
        <v>14267</v>
      </c>
      <c r="Y16" s="28" t="s">
        <v>66</v>
      </c>
      <c r="Z16" s="28">
        <f t="shared" ca="1" si="12"/>
        <v>545.16</v>
      </c>
      <c r="AA16" s="28"/>
      <c r="AB16" s="28"/>
      <c r="AC16" s="15">
        <f t="shared" si="13"/>
        <v>18117</v>
      </c>
      <c r="AD16" s="19">
        <f t="shared" si="14"/>
        <v>1</v>
      </c>
      <c r="AE16" s="20" t="str">
        <f t="shared" si="15"/>
        <v>SETTLED</v>
      </c>
      <c r="AF16" s="20" t="s">
        <v>94</v>
      </c>
      <c r="AG16" s="21">
        <v>1800003157</v>
      </c>
      <c r="AH16" s="22" t="s">
        <v>73</v>
      </c>
      <c r="AL16">
        <f t="shared" si="16"/>
        <v>1</v>
      </c>
      <c r="AM16">
        <f t="shared" si="17"/>
        <v>1</v>
      </c>
      <c r="AN16">
        <f t="shared" si="18"/>
        <v>1</v>
      </c>
      <c r="AO16">
        <f t="shared" si="19"/>
        <v>1</v>
      </c>
      <c r="AP16">
        <f t="shared" si="20"/>
        <v>1</v>
      </c>
      <c r="AQ16">
        <f t="shared" si="21"/>
        <v>1</v>
      </c>
      <c r="AR16">
        <f t="shared" si="22"/>
        <v>1</v>
      </c>
      <c r="AS16">
        <f t="shared" si="23"/>
        <v>1</v>
      </c>
      <c r="AT16">
        <f t="shared" si="24"/>
        <v>1</v>
      </c>
      <c r="AU16">
        <f t="shared" si="25"/>
        <v>1</v>
      </c>
      <c r="AV16">
        <f t="shared" si="26"/>
        <v>1</v>
      </c>
      <c r="AW16">
        <f t="shared" si="27"/>
        <v>1</v>
      </c>
      <c r="AX16">
        <f t="shared" si="28"/>
        <v>1</v>
      </c>
      <c r="AY16">
        <f t="shared" si="29"/>
        <v>1</v>
      </c>
      <c r="AZ16">
        <f t="shared" si="30"/>
        <v>1</v>
      </c>
      <c r="BA16">
        <f t="shared" si="31"/>
        <v>1</v>
      </c>
      <c r="BB16">
        <f t="shared" si="32"/>
        <v>1</v>
      </c>
      <c r="BC16">
        <f t="shared" si="33"/>
        <v>1</v>
      </c>
      <c r="BD16">
        <f t="shared" si="34"/>
        <v>1</v>
      </c>
      <c r="BE16">
        <f t="shared" si="35"/>
        <v>1</v>
      </c>
      <c r="BF16">
        <f t="shared" si="36"/>
        <v>1</v>
      </c>
      <c r="BG16">
        <f t="shared" si="37"/>
        <v>1</v>
      </c>
      <c r="BH16">
        <f t="shared" si="38"/>
        <v>1</v>
      </c>
      <c r="BI16">
        <f t="shared" si="39"/>
        <v>1</v>
      </c>
      <c r="BJ16">
        <f t="shared" si="40"/>
        <v>1</v>
      </c>
      <c r="BK16">
        <f t="shared" si="41"/>
        <v>1</v>
      </c>
      <c r="BL16">
        <f t="shared" si="42"/>
        <v>1</v>
      </c>
      <c r="BM16">
        <f t="shared" si="43"/>
        <v>1</v>
      </c>
      <c r="BN16">
        <f t="shared" si="44"/>
        <v>1</v>
      </c>
      <c r="BO16">
        <f t="shared" si="45"/>
        <v>1</v>
      </c>
      <c r="BP16">
        <f t="shared" si="46"/>
        <v>1</v>
      </c>
      <c r="BQ16">
        <f t="shared" si="47"/>
        <v>1</v>
      </c>
      <c r="BR16">
        <f t="shared" si="48"/>
        <v>1</v>
      </c>
      <c r="BS16">
        <f t="shared" si="49"/>
        <v>1</v>
      </c>
      <c r="BT16">
        <f t="shared" si="50"/>
        <v>1</v>
      </c>
    </row>
    <row r="17" spans="1:72" ht="14.25" customHeight="1" x14ac:dyDescent="0.3">
      <c r="A17" s="130">
        <v>100</v>
      </c>
      <c r="B17" s="131" t="s">
        <v>95</v>
      </c>
      <c r="C17" s="132">
        <v>710</v>
      </c>
      <c r="D17" s="133">
        <v>21978</v>
      </c>
      <c r="E17" s="133" t="s">
        <v>59</v>
      </c>
      <c r="F17" s="133">
        <v>2015</v>
      </c>
      <c r="G17" s="131" t="s">
        <v>86</v>
      </c>
      <c r="H17" s="134">
        <v>71000</v>
      </c>
      <c r="I17" s="134">
        <f t="shared" si="0"/>
        <v>12780</v>
      </c>
      <c r="J17" s="134">
        <f t="shared" si="1"/>
        <v>83780</v>
      </c>
      <c r="K17" s="134">
        <f t="shared" si="2"/>
        <v>1676</v>
      </c>
      <c r="L17" s="135">
        <f t="shared" si="3"/>
        <v>71</v>
      </c>
      <c r="M17" s="135">
        <f t="shared" si="4"/>
        <v>1885.05</v>
      </c>
      <c r="N17" s="136">
        <f t="shared" si="5"/>
        <v>31.95</v>
      </c>
      <c r="O17" s="135">
        <f t="shared" si="6"/>
        <v>1853.1</v>
      </c>
      <c r="P17" s="135">
        <f t="shared" si="7"/>
        <v>1924</v>
      </c>
      <c r="Q17" s="137">
        <v>0</v>
      </c>
      <c r="R17" s="135">
        <f t="shared" si="8"/>
        <v>0</v>
      </c>
      <c r="S17" s="134">
        <f t="shared" si="9"/>
        <v>83532</v>
      </c>
      <c r="T17" s="135">
        <f t="shared" si="10"/>
        <v>17750</v>
      </c>
      <c r="U17" s="138">
        <v>17750</v>
      </c>
      <c r="V17" s="135" t="s">
        <v>66</v>
      </c>
      <c r="W17" s="135">
        <f t="shared" si="11"/>
        <v>65782</v>
      </c>
      <c r="X17" s="135">
        <f>+W17</f>
        <v>65782</v>
      </c>
      <c r="Y17" s="135" t="s">
        <v>66</v>
      </c>
      <c r="Z17" s="135">
        <f t="shared" ca="1" si="12"/>
        <v>2513.3999999999996</v>
      </c>
      <c r="AA17" s="135"/>
      <c r="AB17" s="135"/>
      <c r="AC17" s="139">
        <f t="shared" si="13"/>
        <v>83532</v>
      </c>
      <c r="AD17" s="139">
        <f t="shared" si="14"/>
        <v>0</v>
      </c>
      <c r="AE17" s="135" t="str">
        <f t="shared" si="15"/>
        <v>SETTLED</v>
      </c>
      <c r="AF17" s="135" t="s">
        <v>96</v>
      </c>
      <c r="AG17" s="140">
        <v>1800003158</v>
      </c>
      <c r="AH17" s="141" t="s">
        <v>73</v>
      </c>
      <c r="AL17">
        <f t="shared" si="16"/>
        <v>1</v>
      </c>
      <c r="AM17">
        <f t="shared" si="17"/>
        <v>1</v>
      </c>
      <c r="AN17">
        <f t="shared" si="18"/>
        <v>1</v>
      </c>
      <c r="AO17">
        <f t="shared" si="19"/>
        <v>1</v>
      </c>
      <c r="AP17">
        <f t="shared" si="20"/>
        <v>1</v>
      </c>
      <c r="AQ17">
        <f t="shared" si="21"/>
        <v>1</v>
      </c>
      <c r="AR17">
        <f t="shared" si="22"/>
        <v>1</v>
      </c>
      <c r="AS17">
        <f t="shared" si="23"/>
        <v>1</v>
      </c>
      <c r="AT17">
        <f t="shared" si="24"/>
        <v>1</v>
      </c>
      <c r="AU17">
        <f t="shared" si="25"/>
        <v>1</v>
      </c>
      <c r="AV17">
        <f t="shared" si="26"/>
        <v>1</v>
      </c>
      <c r="AW17">
        <f t="shared" si="27"/>
        <v>1</v>
      </c>
      <c r="AX17">
        <f t="shared" si="28"/>
        <v>1</v>
      </c>
      <c r="AY17">
        <f t="shared" si="29"/>
        <v>1</v>
      </c>
      <c r="AZ17">
        <f t="shared" si="30"/>
        <v>1</v>
      </c>
      <c r="BA17">
        <f t="shared" si="31"/>
        <v>1</v>
      </c>
      <c r="BB17">
        <f t="shared" si="32"/>
        <v>1</v>
      </c>
      <c r="BC17">
        <f t="shared" si="33"/>
        <v>1</v>
      </c>
      <c r="BD17">
        <f t="shared" si="34"/>
        <v>1</v>
      </c>
      <c r="BE17">
        <f t="shared" si="35"/>
        <v>1</v>
      </c>
      <c r="BF17">
        <f t="shared" si="36"/>
        <v>1</v>
      </c>
      <c r="BG17">
        <f t="shared" si="37"/>
        <v>1</v>
      </c>
      <c r="BH17">
        <f t="shared" si="38"/>
        <v>1</v>
      </c>
      <c r="BI17">
        <f t="shared" si="39"/>
        <v>1</v>
      </c>
      <c r="BJ17">
        <f t="shared" si="40"/>
        <v>1</v>
      </c>
      <c r="BK17">
        <f t="shared" si="41"/>
        <v>1</v>
      </c>
      <c r="BL17">
        <f t="shared" si="42"/>
        <v>1</v>
      </c>
      <c r="BM17">
        <f t="shared" si="43"/>
        <v>1</v>
      </c>
      <c r="BN17">
        <f t="shared" si="44"/>
        <v>1</v>
      </c>
      <c r="BO17">
        <f t="shared" si="45"/>
        <v>1</v>
      </c>
      <c r="BP17">
        <f t="shared" si="46"/>
        <v>1</v>
      </c>
      <c r="BQ17">
        <f t="shared" si="47"/>
        <v>1</v>
      </c>
      <c r="BR17">
        <f t="shared" si="48"/>
        <v>1</v>
      </c>
      <c r="BS17">
        <f t="shared" si="49"/>
        <v>1</v>
      </c>
      <c r="BT17">
        <f t="shared" si="50"/>
        <v>1</v>
      </c>
    </row>
    <row r="18" spans="1:72" ht="14.25" customHeight="1" x14ac:dyDescent="0.3">
      <c r="A18" s="23">
        <v>1</v>
      </c>
      <c r="B18" s="24" t="s">
        <v>97</v>
      </c>
      <c r="C18" s="25">
        <v>220001</v>
      </c>
      <c r="D18" s="26">
        <v>21978</v>
      </c>
      <c r="E18" s="26" t="s">
        <v>59</v>
      </c>
      <c r="F18" s="26">
        <v>2018</v>
      </c>
      <c r="G18" s="24" t="s">
        <v>60</v>
      </c>
      <c r="H18" s="27">
        <v>220001</v>
      </c>
      <c r="I18" s="27">
        <f t="shared" si="0"/>
        <v>39600</v>
      </c>
      <c r="J18" s="27">
        <f t="shared" si="1"/>
        <v>259601</v>
      </c>
      <c r="K18" s="27">
        <f t="shared" si="2"/>
        <v>5192</v>
      </c>
      <c r="L18" s="28">
        <f t="shared" si="3"/>
        <v>220.001</v>
      </c>
      <c r="M18" s="28">
        <f t="shared" si="4"/>
        <v>5841.0265499999996</v>
      </c>
      <c r="N18" s="29">
        <f t="shared" si="5"/>
        <v>99.000450000000001</v>
      </c>
      <c r="O18" s="28">
        <f t="shared" si="6"/>
        <v>5742.0260999999991</v>
      </c>
      <c r="P18" s="28">
        <f t="shared" si="7"/>
        <v>5962</v>
      </c>
      <c r="Q18" s="30">
        <v>0</v>
      </c>
      <c r="R18" s="28">
        <f t="shared" si="8"/>
        <v>0</v>
      </c>
      <c r="S18" s="27">
        <f t="shared" si="9"/>
        <v>258831</v>
      </c>
      <c r="T18" s="28">
        <f t="shared" si="10"/>
        <v>55000</v>
      </c>
      <c r="U18" s="31">
        <f>+T18</f>
        <v>55000</v>
      </c>
      <c r="V18" s="28" t="s">
        <v>61</v>
      </c>
      <c r="W18" s="28">
        <f t="shared" si="11"/>
        <v>203831</v>
      </c>
      <c r="X18" s="28">
        <v>203831</v>
      </c>
      <c r="Y18" s="28" t="s">
        <v>55</v>
      </c>
      <c r="Z18" s="28">
        <f t="shared" ca="1" si="12"/>
        <v>7788.0353999999988</v>
      </c>
      <c r="AA18" s="28"/>
      <c r="AB18" s="28"/>
      <c r="AC18" s="15">
        <f t="shared" si="13"/>
        <v>258831</v>
      </c>
      <c r="AD18" s="19">
        <f t="shared" si="14"/>
        <v>0</v>
      </c>
      <c r="AE18" s="20" t="str">
        <f t="shared" si="15"/>
        <v>SETTLED</v>
      </c>
      <c r="AF18" s="20" t="s">
        <v>98</v>
      </c>
      <c r="AG18" s="21">
        <v>1800003306</v>
      </c>
      <c r="AH18" s="22" t="s">
        <v>63</v>
      </c>
      <c r="AL18">
        <f t="shared" si="16"/>
        <v>1</v>
      </c>
      <c r="AM18">
        <f t="shared" si="17"/>
        <v>1</v>
      </c>
      <c r="AN18">
        <f t="shared" si="18"/>
        <v>1</v>
      </c>
      <c r="AO18">
        <f t="shared" si="19"/>
        <v>1</v>
      </c>
      <c r="AP18">
        <f t="shared" si="20"/>
        <v>1</v>
      </c>
      <c r="AQ18">
        <f t="shared" si="21"/>
        <v>1</v>
      </c>
      <c r="AR18">
        <f t="shared" si="22"/>
        <v>1</v>
      </c>
      <c r="AS18">
        <f t="shared" si="23"/>
        <v>1</v>
      </c>
      <c r="AT18">
        <f t="shared" si="24"/>
        <v>1</v>
      </c>
      <c r="AU18">
        <f t="shared" si="25"/>
        <v>1</v>
      </c>
      <c r="AV18">
        <f t="shared" si="26"/>
        <v>1</v>
      </c>
      <c r="AW18">
        <f t="shared" si="27"/>
        <v>1</v>
      </c>
      <c r="AX18">
        <f t="shared" si="28"/>
        <v>1</v>
      </c>
      <c r="AY18">
        <f t="shared" si="29"/>
        <v>1</v>
      </c>
      <c r="AZ18">
        <f t="shared" si="30"/>
        <v>1</v>
      </c>
      <c r="BA18">
        <f t="shared" si="31"/>
        <v>1</v>
      </c>
      <c r="BB18">
        <f t="shared" si="32"/>
        <v>1</v>
      </c>
      <c r="BC18">
        <f t="shared" si="33"/>
        <v>1</v>
      </c>
      <c r="BD18">
        <f t="shared" si="34"/>
        <v>1</v>
      </c>
      <c r="BE18">
        <f t="shared" si="35"/>
        <v>1</v>
      </c>
      <c r="BF18">
        <f t="shared" si="36"/>
        <v>1</v>
      </c>
      <c r="BG18">
        <f t="shared" si="37"/>
        <v>1</v>
      </c>
      <c r="BH18">
        <f t="shared" si="38"/>
        <v>1</v>
      </c>
      <c r="BI18">
        <f t="shared" si="39"/>
        <v>1</v>
      </c>
      <c r="BJ18">
        <f t="shared" si="40"/>
        <v>1</v>
      </c>
      <c r="BK18">
        <f t="shared" si="41"/>
        <v>1</v>
      </c>
      <c r="BL18">
        <f t="shared" si="42"/>
        <v>1</v>
      </c>
      <c r="BM18">
        <f t="shared" si="43"/>
        <v>1</v>
      </c>
      <c r="BN18">
        <f t="shared" si="44"/>
        <v>1</v>
      </c>
      <c r="BO18">
        <f t="shared" si="45"/>
        <v>1</v>
      </c>
      <c r="BP18">
        <f t="shared" si="46"/>
        <v>1</v>
      </c>
      <c r="BQ18">
        <f t="shared" si="47"/>
        <v>1</v>
      </c>
      <c r="BR18">
        <f t="shared" si="48"/>
        <v>1</v>
      </c>
      <c r="BS18">
        <f t="shared" si="49"/>
        <v>1</v>
      </c>
      <c r="BT18">
        <f t="shared" si="50"/>
        <v>1</v>
      </c>
    </row>
    <row r="19" spans="1:72" ht="14.25" customHeight="1" x14ac:dyDescent="0.3">
      <c r="A19" s="130">
        <v>1</v>
      </c>
      <c r="B19" s="131" t="s">
        <v>97</v>
      </c>
      <c r="C19" s="132">
        <v>210001</v>
      </c>
      <c r="D19" s="133">
        <v>21978</v>
      </c>
      <c r="E19" s="133" t="s">
        <v>59</v>
      </c>
      <c r="F19" s="133">
        <v>2019</v>
      </c>
      <c r="G19" s="131" t="s">
        <v>60</v>
      </c>
      <c r="H19" s="134">
        <v>210001</v>
      </c>
      <c r="I19" s="134">
        <f t="shared" si="0"/>
        <v>37800</v>
      </c>
      <c r="J19" s="134">
        <f t="shared" si="1"/>
        <v>247801</v>
      </c>
      <c r="K19" s="134">
        <f t="shared" si="2"/>
        <v>4956</v>
      </c>
      <c r="L19" s="135">
        <f t="shared" si="3"/>
        <v>210.001</v>
      </c>
      <c r="M19" s="135">
        <f t="shared" si="4"/>
        <v>5575.5265499999996</v>
      </c>
      <c r="N19" s="136">
        <f t="shared" si="5"/>
        <v>94.500450000000001</v>
      </c>
      <c r="O19" s="135">
        <f t="shared" si="6"/>
        <v>5481.0260999999991</v>
      </c>
      <c r="P19" s="135">
        <f t="shared" si="7"/>
        <v>5691</v>
      </c>
      <c r="Q19" s="137">
        <v>0</v>
      </c>
      <c r="R19" s="135">
        <f t="shared" si="8"/>
        <v>0</v>
      </c>
      <c r="S19" s="134">
        <f t="shared" si="9"/>
        <v>247066</v>
      </c>
      <c r="T19" s="135">
        <f t="shared" si="10"/>
        <v>52500</v>
      </c>
      <c r="U19" s="138">
        <f>+T19</f>
        <v>52500</v>
      </c>
      <c r="V19" s="135" t="s">
        <v>61</v>
      </c>
      <c r="W19" s="135">
        <f t="shared" si="11"/>
        <v>194566</v>
      </c>
      <c r="X19" s="135">
        <v>194566</v>
      </c>
      <c r="Y19" s="135" t="s">
        <v>55</v>
      </c>
      <c r="Z19" s="135">
        <f t="shared" ca="1" si="12"/>
        <v>7434.0353999999988</v>
      </c>
      <c r="AA19" s="135"/>
      <c r="AB19" s="135"/>
      <c r="AC19" s="139">
        <f t="shared" si="13"/>
        <v>247066</v>
      </c>
      <c r="AD19" s="139">
        <f t="shared" si="14"/>
        <v>0</v>
      </c>
      <c r="AE19" s="135" t="str">
        <f t="shared" si="15"/>
        <v>SETTLED</v>
      </c>
      <c r="AF19" s="135" t="s">
        <v>99</v>
      </c>
      <c r="AG19" s="140">
        <v>1800003307</v>
      </c>
      <c r="AH19" s="141" t="s">
        <v>63</v>
      </c>
      <c r="AL19">
        <f t="shared" si="16"/>
        <v>1</v>
      </c>
      <c r="AM19">
        <f t="shared" si="17"/>
        <v>1</v>
      </c>
      <c r="AN19">
        <f t="shared" si="18"/>
        <v>1</v>
      </c>
      <c r="AO19">
        <f t="shared" si="19"/>
        <v>1</v>
      </c>
      <c r="AP19">
        <f t="shared" si="20"/>
        <v>1</v>
      </c>
      <c r="AQ19">
        <f t="shared" si="21"/>
        <v>1</v>
      </c>
      <c r="AR19">
        <f t="shared" si="22"/>
        <v>1</v>
      </c>
      <c r="AS19">
        <f t="shared" si="23"/>
        <v>1</v>
      </c>
      <c r="AT19">
        <f t="shared" si="24"/>
        <v>1</v>
      </c>
      <c r="AU19">
        <f t="shared" si="25"/>
        <v>1</v>
      </c>
      <c r="AV19">
        <f t="shared" si="26"/>
        <v>1</v>
      </c>
      <c r="AW19">
        <f t="shared" si="27"/>
        <v>1</v>
      </c>
      <c r="AX19">
        <f t="shared" si="28"/>
        <v>1</v>
      </c>
      <c r="AY19">
        <f t="shared" si="29"/>
        <v>1</v>
      </c>
      <c r="AZ19">
        <f t="shared" si="30"/>
        <v>1</v>
      </c>
      <c r="BA19">
        <f t="shared" si="31"/>
        <v>1</v>
      </c>
      <c r="BB19">
        <f t="shared" si="32"/>
        <v>1</v>
      </c>
      <c r="BC19">
        <f t="shared" si="33"/>
        <v>1</v>
      </c>
      <c r="BD19">
        <f t="shared" si="34"/>
        <v>1</v>
      </c>
      <c r="BE19">
        <f t="shared" si="35"/>
        <v>1</v>
      </c>
      <c r="BF19">
        <f t="shared" si="36"/>
        <v>1</v>
      </c>
      <c r="BG19">
        <f t="shared" si="37"/>
        <v>1</v>
      </c>
      <c r="BH19">
        <f t="shared" si="38"/>
        <v>1</v>
      </c>
      <c r="BI19">
        <f t="shared" si="39"/>
        <v>1</v>
      </c>
      <c r="BJ19">
        <f t="shared" si="40"/>
        <v>1</v>
      </c>
      <c r="BK19">
        <f t="shared" si="41"/>
        <v>1</v>
      </c>
      <c r="BL19">
        <f t="shared" si="42"/>
        <v>1</v>
      </c>
      <c r="BM19">
        <f t="shared" si="43"/>
        <v>1</v>
      </c>
      <c r="BN19">
        <f t="shared" si="44"/>
        <v>1</v>
      </c>
      <c r="BO19">
        <f t="shared" si="45"/>
        <v>1</v>
      </c>
      <c r="BP19">
        <f t="shared" si="46"/>
        <v>1</v>
      </c>
      <c r="BQ19">
        <f t="shared" si="47"/>
        <v>1</v>
      </c>
      <c r="BR19">
        <f t="shared" si="48"/>
        <v>1</v>
      </c>
      <c r="BS19">
        <f t="shared" si="49"/>
        <v>1</v>
      </c>
      <c r="BT19">
        <f t="shared" si="50"/>
        <v>1</v>
      </c>
    </row>
    <row r="20" spans="1:72" ht="26.25" customHeight="1" x14ac:dyDescent="0.3">
      <c r="A20" s="23">
        <v>3500</v>
      </c>
      <c r="B20" s="24" t="s">
        <v>100</v>
      </c>
      <c r="C20" s="25">
        <v>333</v>
      </c>
      <c r="D20" s="26">
        <v>21978</v>
      </c>
      <c r="E20" s="26" t="s">
        <v>53</v>
      </c>
      <c r="F20" s="26">
        <v>2020</v>
      </c>
      <c r="G20" s="24" t="s">
        <v>72</v>
      </c>
      <c r="H20" s="27">
        <v>1165500</v>
      </c>
      <c r="I20" s="27">
        <f t="shared" si="0"/>
        <v>209790</v>
      </c>
      <c r="J20" s="27">
        <f t="shared" si="1"/>
        <v>1375290</v>
      </c>
      <c r="K20" s="27">
        <f t="shared" si="2"/>
        <v>27506</v>
      </c>
      <c r="L20" s="28">
        <f t="shared" si="3"/>
        <v>1165.5</v>
      </c>
      <c r="M20" s="28">
        <f t="shared" si="4"/>
        <v>30944.024999999998</v>
      </c>
      <c r="N20" s="29">
        <f t="shared" si="5"/>
        <v>524.47500000000002</v>
      </c>
      <c r="O20" s="28">
        <f t="shared" si="6"/>
        <v>30419.55</v>
      </c>
      <c r="P20" s="28">
        <f t="shared" si="7"/>
        <v>31585</v>
      </c>
      <c r="Q20" s="30">
        <v>0.02</v>
      </c>
      <c r="R20" s="28">
        <f t="shared" si="8"/>
        <v>23310</v>
      </c>
      <c r="S20" s="27">
        <f t="shared" si="9"/>
        <v>1347901</v>
      </c>
      <c r="T20" s="28">
        <f t="shared" si="10"/>
        <v>291375</v>
      </c>
      <c r="U20" s="31">
        <v>291375</v>
      </c>
      <c r="V20" s="28" t="s">
        <v>101</v>
      </c>
      <c r="W20" s="28">
        <f t="shared" si="11"/>
        <v>1056526</v>
      </c>
      <c r="X20" s="28">
        <v>1056525</v>
      </c>
      <c r="Y20" s="28" t="s">
        <v>101</v>
      </c>
      <c r="Z20" s="28">
        <f t="shared" ca="1" si="12"/>
        <v>41258.699999999997</v>
      </c>
      <c r="AA20" s="28"/>
      <c r="AB20" s="28"/>
      <c r="AC20" s="15">
        <f t="shared" si="13"/>
        <v>1347900</v>
      </c>
      <c r="AD20" s="19">
        <f t="shared" si="14"/>
        <v>1</v>
      </c>
      <c r="AE20" s="20" t="str">
        <f t="shared" si="15"/>
        <v>SETTLED</v>
      </c>
      <c r="AF20" s="20" t="s">
        <v>102</v>
      </c>
      <c r="AG20" s="21">
        <v>1800003065</v>
      </c>
      <c r="AH20" s="22" t="s">
        <v>103</v>
      </c>
      <c r="AL20">
        <f t="shared" si="16"/>
        <v>1</v>
      </c>
      <c r="AM20">
        <f t="shared" si="17"/>
        <v>1</v>
      </c>
      <c r="AN20">
        <f t="shared" si="18"/>
        <v>1</v>
      </c>
      <c r="AO20">
        <f t="shared" si="19"/>
        <v>1</v>
      </c>
      <c r="AP20">
        <f t="shared" si="20"/>
        <v>1</v>
      </c>
      <c r="AQ20">
        <f t="shared" si="21"/>
        <v>1</v>
      </c>
      <c r="AR20">
        <f t="shared" si="22"/>
        <v>1</v>
      </c>
      <c r="AS20">
        <f t="shared" si="23"/>
        <v>1</v>
      </c>
      <c r="AT20">
        <f t="shared" si="24"/>
        <v>1</v>
      </c>
      <c r="AU20">
        <f t="shared" si="25"/>
        <v>1</v>
      </c>
      <c r="AV20">
        <f t="shared" si="26"/>
        <v>1</v>
      </c>
      <c r="AW20">
        <f t="shared" si="27"/>
        <v>1</v>
      </c>
      <c r="AX20">
        <f t="shared" si="28"/>
        <v>1</v>
      </c>
      <c r="AY20">
        <f t="shared" si="29"/>
        <v>1</v>
      </c>
      <c r="AZ20">
        <f t="shared" si="30"/>
        <v>1</v>
      </c>
      <c r="BA20">
        <f t="shared" si="31"/>
        <v>1</v>
      </c>
      <c r="BB20">
        <f t="shared" si="32"/>
        <v>1</v>
      </c>
      <c r="BC20">
        <f t="shared" si="33"/>
        <v>1</v>
      </c>
      <c r="BD20">
        <f t="shared" si="34"/>
        <v>1</v>
      </c>
      <c r="BE20">
        <f t="shared" si="35"/>
        <v>1</v>
      </c>
      <c r="BF20">
        <f t="shared" si="36"/>
        <v>1</v>
      </c>
      <c r="BG20">
        <f t="shared" si="37"/>
        <v>1</v>
      </c>
      <c r="BH20">
        <f t="shared" si="38"/>
        <v>1</v>
      </c>
      <c r="BI20">
        <f t="shared" si="39"/>
        <v>1</v>
      </c>
      <c r="BJ20">
        <f t="shared" si="40"/>
        <v>1</v>
      </c>
      <c r="BK20">
        <f t="shared" si="41"/>
        <v>1</v>
      </c>
      <c r="BL20">
        <f t="shared" si="42"/>
        <v>1</v>
      </c>
      <c r="BM20">
        <f t="shared" si="43"/>
        <v>1</v>
      </c>
      <c r="BN20">
        <f t="shared" si="44"/>
        <v>1</v>
      </c>
      <c r="BO20">
        <f t="shared" si="45"/>
        <v>1</v>
      </c>
      <c r="BP20">
        <f t="shared" si="46"/>
        <v>1</v>
      </c>
      <c r="BQ20">
        <f t="shared" si="47"/>
        <v>1</v>
      </c>
      <c r="BR20">
        <f t="shared" si="48"/>
        <v>1</v>
      </c>
      <c r="BS20">
        <f t="shared" si="49"/>
        <v>1</v>
      </c>
      <c r="BT20">
        <f t="shared" si="50"/>
        <v>1</v>
      </c>
    </row>
    <row r="21" spans="1:72" ht="39" customHeight="1" x14ac:dyDescent="0.3">
      <c r="A21" s="130">
        <v>3</v>
      </c>
      <c r="B21" s="131" t="s">
        <v>79</v>
      </c>
      <c r="C21" s="132">
        <v>110200</v>
      </c>
      <c r="D21" s="133">
        <v>21978</v>
      </c>
      <c r="E21" s="133" t="s">
        <v>59</v>
      </c>
      <c r="F21" s="133">
        <v>2022</v>
      </c>
      <c r="G21" s="131" t="s">
        <v>104</v>
      </c>
      <c r="H21" s="134">
        <v>330600</v>
      </c>
      <c r="I21" s="134">
        <f t="shared" si="0"/>
        <v>59508</v>
      </c>
      <c r="J21" s="134">
        <f t="shared" si="1"/>
        <v>390108</v>
      </c>
      <c r="K21" s="134">
        <f t="shared" si="2"/>
        <v>7802</v>
      </c>
      <c r="L21" s="135">
        <f t="shared" si="3"/>
        <v>330.6</v>
      </c>
      <c r="M21" s="135">
        <f t="shared" si="4"/>
        <v>8777.43</v>
      </c>
      <c r="N21" s="136">
        <f t="shared" si="5"/>
        <v>148.77000000000001</v>
      </c>
      <c r="O21" s="135">
        <f t="shared" si="6"/>
        <v>8628.66</v>
      </c>
      <c r="P21" s="135">
        <f t="shared" si="7"/>
        <v>8959</v>
      </c>
      <c r="Q21" s="137">
        <v>0</v>
      </c>
      <c r="R21" s="135">
        <f t="shared" si="8"/>
        <v>0</v>
      </c>
      <c r="S21" s="134">
        <f t="shared" si="9"/>
        <v>388951</v>
      </c>
      <c r="T21" s="135">
        <f t="shared" si="10"/>
        <v>82650</v>
      </c>
      <c r="U21" s="138">
        <f>+T21</f>
        <v>82650</v>
      </c>
      <c r="V21" s="135" t="s">
        <v>73</v>
      </c>
      <c r="W21" s="135">
        <f t="shared" si="11"/>
        <v>306301</v>
      </c>
      <c r="X21" s="135">
        <v>306301</v>
      </c>
      <c r="Y21" s="135" t="s">
        <v>105</v>
      </c>
      <c r="Z21" s="135">
        <f t="shared" ca="1" si="12"/>
        <v>11703.24</v>
      </c>
      <c r="AA21" s="135"/>
      <c r="AB21" s="135"/>
      <c r="AC21" s="139">
        <f t="shared" si="13"/>
        <v>388951</v>
      </c>
      <c r="AD21" s="139">
        <f t="shared" si="14"/>
        <v>0</v>
      </c>
      <c r="AE21" s="135" t="str">
        <f t="shared" si="15"/>
        <v>SETTLED</v>
      </c>
      <c r="AF21" s="135" t="s">
        <v>106</v>
      </c>
      <c r="AG21" s="140">
        <v>1800003269</v>
      </c>
      <c r="AH21" s="141" t="s">
        <v>55</v>
      </c>
      <c r="AL21">
        <f t="shared" si="16"/>
        <v>1</v>
      </c>
      <c r="AM21">
        <f t="shared" si="17"/>
        <v>1</v>
      </c>
      <c r="AN21">
        <f t="shared" si="18"/>
        <v>1</v>
      </c>
      <c r="AO21">
        <f t="shared" si="19"/>
        <v>1</v>
      </c>
      <c r="AP21">
        <f t="shared" si="20"/>
        <v>1</v>
      </c>
      <c r="AQ21">
        <f t="shared" si="21"/>
        <v>1</v>
      </c>
      <c r="AR21">
        <f t="shared" si="22"/>
        <v>1</v>
      </c>
      <c r="AS21">
        <f t="shared" si="23"/>
        <v>1</v>
      </c>
      <c r="AT21">
        <f t="shared" si="24"/>
        <v>1</v>
      </c>
      <c r="AU21">
        <f t="shared" si="25"/>
        <v>1</v>
      </c>
      <c r="AV21">
        <f t="shared" si="26"/>
        <v>1</v>
      </c>
      <c r="AW21">
        <f t="shared" si="27"/>
        <v>1</v>
      </c>
      <c r="AX21">
        <f t="shared" si="28"/>
        <v>1</v>
      </c>
      <c r="AY21">
        <f t="shared" si="29"/>
        <v>1</v>
      </c>
      <c r="AZ21">
        <f t="shared" si="30"/>
        <v>1</v>
      </c>
      <c r="BA21">
        <f t="shared" si="31"/>
        <v>1</v>
      </c>
      <c r="BB21">
        <f t="shared" si="32"/>
        <v>1</v>
      </c>
      <c r="BC21">
        <f t="shared" si="33"/>
        <v>1</v>
      </c>
      <c r="BD21">
        <f t="shared" si="34"/>
        <v>1</v>
      </c>
      <c r="BE21">
        <f t="shared" si="35"/>
        <v>1</v>
      </c>
      <c r="BF21">
        <f t="shared" si="36"/>
        <v>1</v>
      </c>
      <c r="BG21">
        <f t="shared" si="37"/>
        <v>1</v>
      </c>
      <c r="BH21">
        <f t="shared" si="38"/>
        <v>1</v>
      </c>
      <c r="BI21">
        <f t="shared" si="39"/>
        <v>1</v>
      </c>
      <c r="BJ21">
        <f t="shared" si="40"/>
        <v>1</v>
      </c>
      <c r="BK21">
        <f t="shared" si="41"/>
        <v>1</v>
      </c>
      <c r="BL21">
        <f t="shared" si="42"/>
        <v>1</v>
      </c>
      <c r="BM21">
        <f t="shared" si="43"/>
        <v>1</v>
      </c>
      <c r="BN21">
        <f t="shared" si="44"/>
        <v>1</v>
      </c>
      <c r="BO21">
        <f t="shared" si="45"/>
        <v>1</v>
      </c>
      <c r="BP21">
        <f t="shared" si="46"/>
        <v>1</v>
      </c>
      <c r="BQ21">
        <f t="shared" si="47"/>
        <v>1</v>
      </c>
      <c r="BR21">
        <f t="shared" si="48"/>
        <v>1</v>
      </c>
      <c r="BS21">
        <f t="shared" si="49"/>
        <v>1</v>
      </c>
      <c r="BT21">
        <f t="shared" si="50"/>
        <v>1</v>
      </c>
    </row>
    <row r="22" spans="1:72" ht="14.25" customHeight="1" x14ac:dyDescent="0.3">
      <c r="A22" s="23">
        <v>3</v>
      </c>
      <c r="B22" s="24" t="s">
        <v>79</v>
      </c>
      <c r="C22" s="25">
        <v>83743</v>
      </c>
      <c r="D22" s="26">
        <v>21978</v>
      </c>
      <c r="E22" s="26" t="s">
        <v>59</v>
      </c>
      <c r="F22" s="26">
        <v>2023</v>
      </c>
      <c r="G22" s="24" t="s">
        <v>60</v>
      </c>
      <c r="H22" s="27">
        <v>251229</v>
      </c>
      <c r="I22" s="27">
        <f t="shared" si="0"/>
        <v>45221</v>
      </c>
      <c r="J22" s="27">
        <f t="shared" si="1"/>
        <v>296450</v>
      </c>
      <c r="K22" s="27">
        <f t="shared" si="2"/>
        <v>5929</v>
      </c>
      <c r="L22" s="28">
        <f t="shared" si="3"/>
        <v>251.22900000000001</v>
      </c>
      <c r="M22" s="28">
        <f t="shared" si="4"/>
        <v>6670.1299499999996</v>
      </c>
      <c r="N22" s="29">
        <f t="shared" si="5"/>
        <v>113.05305</v>
      </c>
      <c r="O22" s="28">
        <f t="shared" si="6"/>
        <v>6557.0768999999991</v>
      </c>
      <c r="P22" s="28">
        <f t="shared" si="7"/>
        <v>6808</v>
      </c>
      <c r="Q22" s="30">
        <v>0</v>
      </c>
      <c r="R22" s="28">
        <f t="shared" si="8"/>
        <v>0</v>
      </c>
      <c r="S22" s="27">
        <f t="shared" si="9"/>
        <v>295571</v>
      </c>
      <c r="T22" s="28">
        <f t="shared" si="10"/>
        <v>62807</v>
      </c>
      <c r="U22" s="31">
        <f>+T22</f>
        <v>62807</v>
      </c>
      <c r="V22" s="28" t="s">
        <v>61</v>
      </c>
      <c r="W22" s="28">
        <f t="shared" si="11"/>
        <v>232764</v>
      </c>
      <c r="X22" s="28">
        <v>232764</v>
      </c>
      <c r="Y22" s="28" t="s">
        <v>55</v>
      </c>
      <c r="Z22" s="28">
        <f t="shared" ca="1" si="12"/>
        <v>8893.5066000000006</v>
      </c>
      <c r="AA22" s="28"/>
      <c r="AB22" s="28"/>
      <c r="AC22" s="15">
        <f t="shared" si="13"/>
        <v>295571</v>
      </c>
      <c r="AD22" s="19">
        <f t="shared" si="14"/>
        <v>0</v>
      </c>
      <c r="AE22" s="20" t="str">
        <f t="shared" si="15"/>
        <v>SETTLED</v>
      </c>
      <c r="AF22" s="20" t="s">
        <v>107</v>
      </c>
      <c r="AG22" s="21">
        <v>1800003308</v>
      </c>
      <c r="AH22" s="22" t="s">
        <v>63</v>
      </c>
      <c r="AL22">
        <f t="shared" si="16"/>
        <v>1</v>
      </c>
      <c r="AM22">
        <f t="shared" si="17"/>
        <v>1</v>
      </c>
      <c r="AN22">
        <f t="shared" si="18"/>
        <v>1</v>
      </c>
      <c r="AO22">
        <f t="shared" si="19"/>
        <v>1</v>
      </c>
      <c r="AP22">
        <f t="shared" si="20"/>
        <v>1</v>
      </c>
      <c r="AQ22">
        <f t="shared" si="21"/>
        <v>1</v>
      </c>
      <c r="AR22">
        <f t="shared" si="22"/>
        <v>1</v>
      </c>
      <c r="AS22">
        <f t="shared" si="23"/>
        <v>1</v>
      </c>
      <c r="AT22">
        <f t="shared" si="24"/>
        <v>1</v>
      </c>
      <c r="AU22">
        <f t="shared" si="25"/>
        <v>1</v>
      </c>
      <c r="AV22">
        <f t="shared" si="26"/>
        <v>1</v>
      </c>
      <c r="AW22">
        <f t="shared" si="27"/>
        <v>1</v>
      </c>
      <c r="AX22">
        <f t="shared" si="28"/>
        <v>1</v>
      </c>
      <c r="AY22">
        <f t="shared" si="29"/>
        <v>1</v>
      </c>
      <c r="AZ22">
        <f t="shared" si="30"/>
        <v>1</v>
      </c>
      <c r="BA22">
        <f t="shared" si="31"/>
        <v>1</v>
      </c>
      <c r="BB22">
        <f t="shared" si="32"/>
        <v>1</v>
      </c>
      <c r="BC22">
        <f t="shared" si="33"/>
        <v>1</v>
      </c>
      <c r="BD22">
        <f t="shared" si="34"/>
        <v>1</v>
      </c>
      <c r="BE22">
        <f t="shared" si="35"/>
        <v>1</v>
      </c>
      <c r="BF22">
        <f t="shared" si="36"/>
        <v>1</v>
      </c>
      <c r="BG22">
        <f t="shared" si="37"/>
        <v>1</v>
      </c>
      <c r="BH22">
        <f t="shared" si="38"/>
        <v>1</v>
      </c>
      <c r="BI22">
        <f t="shared" si="39"/>
        <v>1</v>
      </c>
      <c r="BJ22">
        <f t="shared" si="40"/>
        <v>1</v>
      </c>
      <c r="BK22">
        <f t="shared" si="41"/>
        <v>1</v>
      </c>
      <c r="BL22">
        <f t="shared" si="42"/>
        <v>1</v>
      </c>
      <c r="BM22">
        <f t="shared" si="43"/>
        <v>1</v>
      </c>
      <c r="BN22">
        <f t="shared" si="44"/>
        <v>1</v>
      </c>
      <c r="BO22">
        <f t="shared" si="45"/>
        <v>1</v>
      </c>
      <c r="BP22">
        <f t="shared" si="46"/>
        <v>1</v>
      </c>
      <c r="BQ22">
        <f t="shared" si="47"/>
        <v>1</v>
      </c>
      <c r="BR22">
        <f t="shared" si="48"/>
        <v>1</v>
      </c>
      <c r="BS22">
        <f t="shared" si="49"/>
        <v>1</v>
      </c>
      <c r="BT22">
        <f t="shared" si="50"/>
        <v>1</v>
      </c>
    </row>
    <row r="23" spans="1:72" ht="14.25" customHeight="1" x14ac:dyDescent="0.3">
      <c r="A23" s="130">
        <v>90</v>
      </c>
      <c r="B23" s="131" t="s">
        <v>95</v>
      </c>
      <c r="C23" s="132">
        <v>700</v>
      </c>
      <c r="D23" s="133">
        <v>21978</v>
      </c>
      <c r="E23" s="133" t="s">
        <v>59</v>
      </c>
      <c r="F23" s="133">
        <v>2025</v>
      </c>
      <c r="G23" s="131" t="s">
        <v>86</v>
      </c>
      <c r="H23" s="134">
        <v>63000</v>
      </c>
      <c r="I23" s="134">
        <f t="shared" si="0"/>
        <v>11340</v>
      </c>
      <c r="J23" s="134">
        <f t="shared" si="1"/>
        <v>74340</v>
      </c>
      <c r="K23" s="134">
        <f t="shared" si="2"/>
        <v>1487</v>
      </c>
      <c r="L23" s="135">
        <f t="shared" si="3"/>
        <v>63</v>
      </c>
      <c r="M23" s="135">
        <f t="shared" si="4"/>
        <v>1672.6499999999999</v>
      </c>
      <c r="N23" s="136">
        <f t="shared" si="5"/>
        <v>28.35</v>
      </c>
      <c r="O23" s="135">
        <f t="shared" si="6"/>
        <v>1644.3</v>
      </c>
      <c r="P23" s="135">
        <f t="shared" si="7"/>
        <v>1707</v>
      </c>
      <c r="Q23" s="137">
        <v>0</v>
      </c>
      <c r="R23" s="135">
        <f t="shared" si="8"/>
        <v>0</v>
      </c>
      <c r="S23" s="134">
        <f t="shared" si="9"/>
        <v>74120</v>
      </c>
      <c r="T23" s="135">
        <f t="shared" si="10"/>
        <v>15750</v>
      </c>
      <c r="U23" s="138">
        <v>15750</v>
      </c>
      <c r="V23" s="135" t="s">
        <v>66</v>
      </c>
      <c r="W23" s="135">
        <f t="shared" si="11"/>
        <v>58370</v>
      </c>
      <c r="X23" s="135">
        <v>58418</v>
      </c>
      <c r="Y23" s="135" t="s">
        <v>66</v>
      </c>
      <c r="Z23" s="135">
        <f t="shared" ca="1" si="12"/>
        <v>2230.1999999999998</v>
      </c>
      <c r="AA23" s="135"/>
      <c r="AB23" s="135"/>
      <c r="AC23" s="139">
        <f t="shared" si="13"/>
        <v>74168</v>
      </c>
      <c r="AD23" s="139">
        <f t="shared" si="14"/>
        <v>-48</v>
      </c>
      <c r="AE23" s="135" t="str">
        <f t="shared" si="15"/>
        <v>SETTLED</v>
      </c>
      <c r="AF23" s="135" t="s">
        <v>108</v>
      </c>
      <c r="AG23" s="140">
        <v>1800003160</v>
      </c>
      <c r="AH23" s="141" t="s">
        <v>73</v>
      </c>
      <c r="AL23">
        <f t="shared" si="16"/>
        <v>1</v>
      </c>
      <c r="AM23">
        <f t="shared" si="17"/>
        <v>1</v>
      </c>
      <c r="AN23">
        <f t="shared" si="18"/>
        <v>1</v>
      </c>
      <c r="AO23">
        <f t="shared" si="19"/>
        <v>1</v>
      </c>
      <c r="AP23">
        <f t="shared" si="20"/>
        <v>1</v>
      </c>
      <c r="AQ23">
        <f t="shared" si="21"/>
        <v>1</v>
      </c>
      <c r="AR23">
        <f t="shared" si="22"/>
        <v>1</v>
      </c>
      <c r="AS23">
        <f t="shared" si="23"/>
        <v>1</v>
      </c>
      <c r="AT23">
        <f t="shared" si="24"/>
        <v>1</v>
      </c>
      <c r="AU23">
        <f t="shared" si="25"/>
        <v>1</v>
      </c>
      <c r="AV23">
        <f t="shared" si="26"/>
        <v>1</v>
      </c>
      <c r="AW23">
        <f t="shared" si="27"/>
        <v>1</v>
      </c>
      <c r="AX23">
        <f t="shared" si="28"/>
        <v>1</v>
      </c>
      <c r="AY23">
        <f t="shared" si="29"/>
        <v>1</v>
      </c>
      <c r="AZ23">
        <f t="shared" si="30"/>
        <v>1</v>
      </c>
      <c r="BA23">
        <f t="shared" si="31"/>
        <v>1</v>
      </c>
      <c r="BB23">
        <f t="shared" si="32"/>
        <v>1</v>
      </c>
      <c r="BC23">
        <f t="shared" si="33"/>
        <v>1</v>
      </c>
      <c r="BD23">
        <f t="shared" si="34"/>
        <v>1</v>
      </c>
      <c r="BE23">
        <f t="shared" si="35"/>
        <v>1</v>
      </c>
      <c r="BF23">
        <f t="shared" si="36"/>
        <v>1</v>
      </c>
      <c r="BG23">
        <f t="shared" si="37"/>
        <v>1</v>
      </c>
      <c r="BH23">
        <f t="shared" si="38"/>
        <v>1</v>
      </c>
      <c r="BI23">
        <f t="shared" si="39"/>
        <v>1</v>
      </c>
      <c r="BJ23">
        <f t="shared" si="40"/>
        <v>1</v>
      </c>
      <c r="BK23">
        <f t="shared" si="41"/>
        <v>1</v>
      </c>
      <c r="BL23">
        <f t="shared" si="42"/>
        <v>1</v>
      </c>
      <c r="BM23">
        <f t="shared" si="43"/>
        <v>1</v>
      </c>
      <c r="BN23">
        <f t="shared" si="44"/>
        <v>1</v>
      </c>
      <c r="BO23">
        <f t="shared" si="45"/>
        <v>1</v>
      </c>
      <c r="BP23">
        <f t="shared" si="46"/>
        <v>1</v>
      </c>
      <c r="BQ23">
        <f t="shared" si="47"/>
        <v>1</v>
      </c>
      <c r="BR23">
        <f t="shared" si="48"/>
        <v>1</v>
      </c>
      <c r="BS23">
        <f t="shared" si="49"/>
        <v>1</v>
      </c>
      <c r="BT23">
        <f t="shared" si="50"/>
        <v>1</v>
      </c>
    </row>
    <row r="24" spans="1:72" ht="14.25" customHeight="1" x14ac:dyDescent="0.3">
      <c r="A24" s="23">
        <v>1</v>
      </c>
      <c r="B24" s="24" t="s">
        <v>79</v>
      </c>
      <c r="C24" s="25">
        <v>50003</v>
      </c>
      <c r="D24" s="26">
        <v>21978</v>
      </c>
      <c r="E24" s="26" t="s">
        <v>59</v>
      </c>
      <c r="F24" s="26">
        <v>2027</v>
      </c>
      <c r="G24" s="24" t="s">
        <v>60</v>
      </c>
      <c r="H24" s="27">
        <v>50003</v>
      </c>
      <c r="I24" s="27">
        <f t="shared" si="0"/>
        <v>9001</v>
      </c>
      <c r="J24" s="27">
        <f t="shared" si="1"/>
        <v>59004</v>
      </c>
      <c r="K24" s="27">
        <f t="shared" si="2"/>
        <v>1180</v>
      </c>
      <c r="L24" s="28">
        <f t="shared" si="3"/>
        <v>50.003</v>
      </c>
      <c r="M24" s="28">
        <f t="shared" si="4"/>
        <v>1327.5796499999999</v>
      </c>
      <c r="N24" s="29">
        <f t="shared" si="5"/>
        <v>22.501349999999999</v>
      </c>
      <c r="O24" s="28">
        <f t="shared" si="6"/>
        <v>1305.0782999999999</v>
      </c>
      <c r="P24" s="28">
        <f t="shared" si="7"/>
        <v>1355</v>
      </c>
      <c r="Q24" s="30">
        <v>0</v>
      </c>
      <c r="R24" s="28">
        <f t="shared" si="8"/>
        <v>0</v>
      </c>
      <c r="S24" s="27">
        <f t="shared" si="9"/>
        <v>58829</v>
      </c>
      <c r="T24" s="28">
        <f t="shared" si="10"/>
        <v>12501</v>
      </c>
      <c r="U24" s="31">
        <f>+T24</f>
        <v>12501</v>
      </c>
      <c r="V24" s="28" t="s">
        <v>61</v>
      </c>
      <c r="W24" s="28">
        <f t="shared" si="11"/>
        <v>46328</v>
      </c>
      <c r="X24" s="28">
        <v>46328</v>
      </c>
      <c r="Y24" s="28" t="s">
        <v>55</v>
      </c>
      <c r="Z24" s="28">
        <f t="shared" ca="1" si="12"/>
        <v>1770.1061999999999</v>
      </c>
      <c r="AA24" s="28"/>
      <c r="AB24" s="28"/>
      <c r="AC24" s="15">
        <f t="shared" si="13"/>
        <v>58829</v>
      </c>
      <c r="AD24" s="19">
        <f t="shared" si="14"/>
        <v>0</v>
      </c>
      <c r="AE24" s="20" t="str">
        <f t="shared" si="15"/>
        <v>SETTLED</v>
      </c>
      <c r="AF24" s="20" t="s">
        <v>109</v>
      </c>
      <c r="AG24" s="21">
        <v>1800003309</v>
      </c>
      <c r="AH24" s="22" t="s">
        <v>63</v>
      </c>
      <c r="AL24">
        <f t="shared" si="16"/>
        <v>1</v>
      </c>
      <c r="AM24">
        <f t="shared" si="17"/>
        <v>1</v>
      </c>
      <c r="AN24">
        <f t="shared" si="18"/>
        <v>1</v>
      </c>
      <c r="AO24">
        <f t="shared" si="19"/>
        <v>1</v>
      </c>
      <c r="AP24">
        <f t="shared" si="20"/>
        <v>1</v>
      </c>
      <c r="AQ24">
        <f t="shared" si="21"/>
        <v>1</v>
      </c>
      <c r="AR24">
        <f t="shared" si="22"/>
        <v>1</v>
      </c>
      <c r="AS24">
        <f t="shared" si="23"/>
        <v>1</v>
      </c>
      <c r="AT24">
        <f t="shared" si="24"/>
        <v>1</v>
      </c>
      <c r="AU24">
        <f t="shared" si="25"/>
        <v>1</v>
      </c>
      <c r="AV24">
        <f t="shared" si="26"/>
        <v>1</v>
      </c>
      <c r="AW24">
        <f t="shared" si="27"/>
        <v>1</v>
      </c>
      <c r="AX24">
        <f t="shared" si="28"/>
        <v>1</v>
      </c>
      <c r="AY24">
        <f t="shared" si="29"/>
        <v>1</v>
      </c>
      <c r="AZ24">
        <f t="shared" si="30"/>
        <v>1</v>
      </c>
      <c r="BA24">
        <f t="shared" si="31"/>
        <v>1</v>
      </c>
      <c r="BB24">
        <f t="shared" si="32"/>
        <v>1</v>
      </c>
      <c r="BC24">
        <f t="shared" si="33"/>
        <v>1</v>
      </c>
      <c r="BD24">
        <f t="shared" si="34"/>
        <v>1</v>
      </c>
      <c r="BE24">
        <f t="shared" si="35"/>
        <v>1</v>
      </c>
      <c r="BF24">
        <f t="shared" si="36"/>
        <v>1</v>
      </c>
      <c r="BG24">
        <f t="shared" si="37"/>
        <v>1</v>
      </c>
      <c r="BH24">
        <f t="shared" si="38"/>
        <v>1</v>
      </c>
      <c r="BI24">
        <f t="shared" si="39"/>
        <v>1</v>
      </c>
      <c r="BJ24">
        <f t="shared" si="40"/>
        <v>1</v>
      </c>
      <c r="BK24">
        <f t="shared" si="41"/>
        <v>1</v>
      </c>
      <c r="BL24">
        <f t="shared" si="42"/>
        <v>1</v>
      </c>
      <c r="BM24">
        <f t="shared" si="43"/>
        <v>1</v>
      </c>
      <c r="BN24">
        <f t="shared" si="44"/>
        <v>1</v>
      </c>
      <c r="BO24">
        <f t="shared" si="45"/>
        <v>1</v>
      </c>
      <c r="BP24">
        <f t="shared" si="46"/>
        <v>1</v>
      </c>
      <c r="BQ24">
        <f t="shared" si="47"/>
        <v>1</v>
      </c>
      <c r="BR24">
        <f t="shared" si="48"/>
        <v>1</v>
      </c>
      <c r="BS24">
        <f t="shared" si="49"/>
        <v>1</v>
      </c>
      <c r="BT24">
        <f t="shared" si="50"/>
        <v>1</v>
      </c>
    </row>
    <row r="25" spans="1:72" ht="14.25" customHeight="1" x14ac:dyDescent="0.3">
      <c r="A25" s="130">
        <v>1000</v>
      </c>
      <c r="B25" s="131" t="s">
        <v>110</v>
      </c>
      <c r="C25" s="132">
        <v>517</v>
      </c>
      <c r="D25" s="133">
        <v>21978</v>
      </c>
      <c r="E25" s="133" t="s">
        <v>59</v>
      </c>
      <c r="F25" s="133">
        <v>2033</v>
      </c>
      <c r="G25" s="131" t="s">
        <v>111</v>
      </c>
      <c r="H25" s="134">
        <v>517000</v>
      </c>
      <c r="I25" s="134">
        <f t="shared" si="0"/>
        <v>93060</v>
      </c>
      <c r="J25" s="134">
        <f t="shared" si="1"/>
        <v>610060</v>
      </c>
      <c r="K25" s="134">
        <f t="shared" si="2"/>
        <v>12201</v>
      </c>
      <c r="L25" s="135">
        <f t="shared" si="3"/>
        <v>517</v>
      </c>
      <c r="M25" s="135">
        <f t="shared" si="4"/>
        <v>13726.349999999999</v>
      </c>
      <c r="N25" s="136">
        <f t="shared" si="5"/>
        <v>232.65</v>
      </c>
      <c r="O25" s="135">
        <f t="shared" si="6"/>
        <v>13493.699999999999</v>
      </c>
      <c r="P25" s="135">
        <f t="shared" si="7"/>
        <v>14011</v>
      </c>
      <c r="Q25" s="137">
        <v>0</v>
      </c>
      <c r="R25" s="135">
        <f t="shared" si="8"/>
        <v>0</v>
      </c>
      <c r="S25" s="134">
        <f t="shared" si="9"/>
        <v>608251</v>
      </c>
      <c r="T25" s="135">
        <f t="shared" si="10"/>
        <v>129250</v>
      </c>
      <c r="U25" s="138">
        <v>129250</v>
      </c>
      <c r="V25" s="135" t="s">
        <v>73</v>
      </c>
      <c r="W25" s="135">
        <f t="shared" si="11"/>
        <v>479001</v>
      </c>
      <c r="X25" s="135">
        <v>479001</v>
      </c>
      <c r="Y25" s="135" t="s">
        <v>105</v>
      </c>
      <c r="Z25" s="135">
        <f t="shared" ca="1" si="12"/>
        <v>18301.8</v>
      </c>
      <c r="AA25" s="135"/>
      <c r="AB25" s="135"/>
      <c r="AC25" s="139">
        <f t="shared" si="13"/>
        <v>608251</v>
      </c>
      <c r="AD25" s="139">
        <f t="shared" si="14"/>
        <v>0</v>
      </c>
      <c r="AE25" s="135" t="str">
        <f t="shared" si="15"/>
        <v>SETTLED</v>
      </c>
      <c r="AF25" s="135" t="s">
        <v>112</v>
      </c>
      <c r="AG25" s="140">
        <v>1800003317</v>
      </c>
      <c r="AH25" s="141" t="s">
        <v>63</v>
      </c>
      <c r="AL25">
        <f t="shared" si="16"/>
        <v>1</v>
      </c>
      <c r="AM25">
        <f t="shared" si="17"/>
        <v>1</v>
      </c>
      <c r="AN25">
        <f t="shared" si="18"/>
        <v>1</v>
      </c>
      <c r="AO25">
        <f t="shared" si="19"/>
        <v>1</v>
      </c>
      <c r="AP25">
        <f t="shared" si="20"/>
        <v>1</v>
      </c>
      <c r="AQ25">
        <f t="shared" si="21"/>
        <v>1</v>
      </c>
      <c r="AR25">
        <f t="shared" si="22"/>
        <v>1</v>
      </c>
      <c r="AS25">
        <f t="shared" si="23"/>
        <v>1</v>
      </c>
      <c r="AT25">
        <f t="shared" si="24"/>
        <v>1</v>
      </c>
      <c r="AU25">
        <f t="shared" si="25"/>
        <v>1</v>
      </c>
      <c r="AV25">
        <f t="shared" si="26"/>
        <v>1</v>
      </c>
      <c r="AW25">
        <f t="shared" si="27"/>
        <v>1</v>
      </c>
      <c r="AX25">
        <f t="shared" si="28"/>
        <v>1</v>
      </c>
      <c r="AY25">
        <f t="shared" si="29"/>
        <v>1</v>
      </c>
      <c r="AZ25">
        <f t="shared" si="30"/>
        <v>1</v>
      </c>
      <c r="BA25">
        <f t="shared" si="31"/>
        <v>1</v>
      </c>
      <c r="BB25">
        <f t="shared" si="32"/>
        <v>1</v>
      </c>
      <c r="BC25">
        <f t="shared" si="33"/>
        <v>1</v>
      </c>
      <c r="BD25">
        <f t="shared" si="34"/>
        <v>1</v>
      </c>
      <c r="BE25">
        <f t="shared" si="35"/>
        <v>1</v>
      </c>
      <c r="BF25">
        <f t="shared" si="36"/>
        <v>1</v>
      </c>
      <c r="BG25">
        <f t="shared" si="37"/>
        <v>1</v>
      </c>
      <c r="BH25">
        <f t="shared" si="38"/>
        <v>1</v>
      </c>
      <c r="BI25">
        <f t="shared" si="39"/>
        <v>1</v>
      </c>
      <c r="BJ25">
        <f t="shared" si="40"/>
        <v>1</v>
      </c>
      <c r="BK25">
        <f t="shared" si="41"/>
        <v>1</v>
      </c>
      <c r="BL25">
        <f t="shared" si="42"/>
        <v>1</v>
      </c>
      <c r="BM25">
        <f t="shared" si="43"/>
        <v>1</v>
      </c>
      <c r="BN25">
        <f t="shared" si="44"/>
        <v>1</v>
      </c>
      <c r="BO25">
        <f t="shared" si="45"/>
        <v>1</v>
      </c>
      <c r="BP25">
        <f t="shared" si="46"/>
        <v>1</v>
      </c>
      <c r="BQ25">
        <f t="shared" si="47"/>
        <v>1</v>
      </c>
      <c r="BR25">
        <f t="shared" si="48"/>
        <v>1</v>
      </c>
      <c r="BS25">
        <f t="shared" si="49"/>
        <v>1</v>
      </c>
      <c r="BT25">
        <f t="shared" si="50"/>
        <v>1</v>
      </c>
    </row>
    <row r="26" spans="1:72" ht="14.25" customHeight="1" x14ac:dyDescent="0.3">
      <c r="A26" s="23">
        <v>2</v>
      </c>
      <c r="B26" s="24" t="s">
        <v>113</v>
      </c>
      <c r="C26" s="25">
        <v>14001</v>
      </c>
      <c r="D26" s="26">
        <v>21978</v>
      </c>
      <c r="E26" s="26" t="s">
        <v>59</v>
      </c>
      <c r="F26" s="26">
        <v>2035</v>
      </c>
      <c r="G26" s="24" t="s">
        <v>60</v>
      </c>
      <c r="H26" s="27">
        <v>28002</v>
      </c>
      <c r="I26" s="27">
        <f t="shared" si="0"/>
        <v>5040</v>
      </c>
      <c r="J26" s="27">
        <f t="shared" si="1"/>
        <v>33042</v>
      </c>
      <c r="K26" s="27">
        <f t="shared" si="2"/>
        <v>661</v>
      </c>
      <c r="L26" s="28">
        <f t="shared" si="3"/>
        <v>28.001999999999999</v>
      </c>
      <c r="M26" s="28">
        <f t="shared" si="4"/>
        <v>743.45309999999995</v>
      </c>
      <c r="N26" s="29">
        <f t="shared" si="5"/>
        <v>12.600899999999999</v>
      </c>
      <c r="O26" s="28">
        <f t="shared" si="6"/>
        <v>730.85219999999993</v>
      </c>
      <c r="P26" s="28">
        <f t="shared" si="7"/>
        <v>759</v>
      </c>
      <c r="Q26" s="30">
        <v>0</v>
      </c>
      <c r="R26" s="28">
        <f t="shared" si="8"/>
        <v>0</v>
      </c>
      <c r="S26" s="27">
        <f t="shared" si="9"/>
        <v>32944</v>
      </c>
      <c r="T26" s="28">
        <f t="shared" si="10"/>
        <v>7001</v>
      </c>
      <c r="U26" s="31">
        <f>+T26</f>
        <v>7001</v>
      </c>
      <c r="V26" s="28" t="s">
        <v>61</v>
      </c>
      <c r="W26" s="28">
        <f t="shared" si="11"/>
        <v>25944</v>
      </c>
      <c r="X26" s="28">
        <v>25943</v>
      </c>
      <c r="Y26" s="28" t="s">
        <v>55</v>
      </c>
      <c r="Z26" s="28">
        <f t="shared" ca="1" si="12"/>
        <v>991.27079999999989</v>
      </c>
      <c r="AA26" s="28"/>
      <c r="AB26" s="28"/>
      <c r="AC26" s="15">
        <f t="shared" si="13"/>
        <v>32944</v>
      </c>
      <c r="AD26" s="19">
        <f t="shared" si="14"/>
        <v>0</v>
      </c>
      <c r="AE26" s="20" t="str">
        <f t="shared" si="15"/>
        <v>SETTLED</v>
      </c>
      <c r="AF26" s="20" t="s">
        <v>114</v>
      </c>
      <c r="AG26" s="21">
        <v>1800003310</v>
      </c>
      <c r="AH26" s="22" t="s">
        <v>63</v>
      </c>
      <c r="AL26">
        <f t="shared" si="16"/>
        <v>1</v>
      </c>
      <c r="AM26">
        <f t="shared" si="17"/>
        <v>1</v>
      </c>
      <c r="AN26">
        <f t="shared" si="18"/>
        <v>1</v>
      </c>
      <c r="AO26">
        <f t="shared" si="19"/>
        <v>1</v>
      </c>
      <c r="AP26">
        <f t="shared" si="20"/>
        <v>1</v>
      </c>
      <c r="AQ26">
        <f t="shared" si="21"/>
        <v>1</v>
      </c>
      <c r="AR26">
        <f t="shared" si="22"/>
        <v>1</v>
      </c>
      <c r="AS26">
        <f t="shared" si="23"/>
        <v>1</v>
      </c>
      <c r="AT26">
        <f t="shared" si="24"/>
        <v>1</v>
      </c>
      <c r="AU26">
        <f t="shared" si="25"/>
        <v>1</v>
      </c>
      <c r="AV26">
        <f t="shared" si="26"/>
        <v>1</v>
      </c>
      <c r="AW26">
        <f t="shared" si="27"/>
        <v>1</v>
      </c>
      <c r="AX26">
        <f t="shared" si="28"/>
        <v>1</v>
      </c>
      <c r="AY26">
        <f t="shared" si="29"/>
        <v>1</v>
      </c>
      <c r="AZ26">
        <f t="shared" si="30"/>
        <v>1</v>
      </c>
      <c r="BA26">
        <f t="shared" si="31"/>
        <v>1</v>
      </c>
      <c r="BB26">
        <f t="shared" si="32"/>
        <v>1</v>
      </c>
      <c r="BC26">
        <f t="shared" si="33"/>
        <v>1</v>
      </c>
      <c r="BD26">
        <f t="shared" si="34"/>
        <v>1</v>
      </c>
      <c r="BE26">
        <f t="shared" si="35"/>
        <v>1</v>
      </c>
      <c r="BF26">
        <f t="shared" si="36"/>
        <v>1</v>
      </c>
      <c r="BG26">
        <f t="shared" si="37"/>
        <v>1</v>
      </c>
      <c r="BH26">
        <f t="shared" si="38"/>
        <v>1</v>
      </c>
      <c r="BI26">
        <f t="shared" si="39"/>
        <v>1</v>
      </c>
      <c r="BJ26">
        <f t="shared" si="40"/>
        <v>1</v>
      </c>
      <c r="BK26">
        <f t="shared" si="41"/>
        <v>1</v>
      </c>
      <c r="BL26">
        <f t="shared" si="42"/>
        <v>1</v>
      </c>
      <c r="BM26">
        <f t="shared" si="43"/>
        <v>1</v>
      </c>
      <c r="BN26">
        <f t="shared" si="44"/>
        <v>1</v>
      </c>
      <c r="BO26">
        <f t="shared" si="45"/>
        <v>1</v>
      </c>
      <c r="BP26">
        <f t="shared" si="46"/>
        <v>1</v>
      </c>
      <c r="BQ26">
        <f t="shared" si="47"/>
        <v>1</v>
      </c>
      <c r="BR26">
        <f t="shared" si="48"/>
        <v>1</v>
      </c>
      <c r="BS26">
        <f t="shared" si="49"/>
        <v>1</v>
      </c>
      <c r="BT26">
        <f t="shared" si="50"/>
        <v>1</v>
      </c>
    </row>
    <row r="27" spans="1:72" ht="26.25" customHeight="1" x14ac:dyDescent="0.3">
      <c r="A27" s="130">
        <v>8.1999999999999993</v>
      </c>
      <c r="B27" s="131" t="s">
        <v>115</v>
      </c>
      <c r="C27" s="132">
        <v>67000</v>
      </c>
      <c r="D27" s="133">
        <v>21978</v>
      </c>
      <c r="E27" s="133" t="s">
        <v>116</v>
      </c>
      <c r="F27" s="133">
        <v>2036</v>
      </c>
      <c r="G27" s="131" t="s">
        <v>117</v>
      </c>
      <c r="H27" s="134">
        <v>549400</v>
      </c>
      <c r="I27" s="134">
        <f t="shared" si="0"/>
        <v>98892</v>
      </c>
      <c r="J27" s="134">
        <f t="shared" si="1"/>
        <v>648292</v>
      </c>
      <c r="K27" s="134">
        <f t="shared" si="2"/>
        <v>12966</v>
      </c>
      <c r="L27" s="135">
        <f t="shared" si="3"/>
        <v>549.4</v>
      </c>
      <c r="M27" s="135">
        <f t="shared" si="4"/>
        <v>14586.57</v>
      </c>
      <c r="N27" s="136">
        <f t="shared" si="5"/>
        <v>247.23000000000002</v>
      </c>
      <c r="O27" s="135">
        <f t="shared" si="6"/>
        <v>14339.34</v>
      </c>
      <c r="P27" s="135">
        <f t="shared" si="7"/>
        <v>14889</v>
      </c>
      <c r="Q27" s="137">
        <v>0.02</v>
      </c>
      <c r="R27" s="135">
        <f t="shared" si="8"/>
        <v>10988</v>
      </c>
      <c r="S27" s="134">
        <f t="shared" si="9"/>
        <v>635381</v>
      </c>
      <c r="T27" s="135">
        <f t="shared" si="10"/>
        <v>137350</v>
      </c>
      <c r="U27" s="138">
        <v>137350</v>
      </c>
      <c r="V27" s="135" t="s">
        <v>73</v>
      </c>
      <c r="W27" s="135">
        <f t="shared" si="11"/>
        <v>498031</v>
      </c>
      <c r="X27" s="135"/>
      <c r="Y27" s="135">
        <v>0</v>
      </c>
      <c r="Z27" s="135">
        <f t="shared" ca="1" si="12"/>
        <v>19448.760000000002</v>
      </c>
      <c r="AA27" s="135"/>
      <c r="AB27" s="135"/>
      <c r="AC27" s="139">
        <f t="shared" si="13"/>
        <v>137350</v>
      </c>
      <c r="AD27" s="139">
        <f t="shared" si="14"/>
        <v>498031</v>
      </c>
      <c r="AE27" s="135" t="str">
        <f t="shared" si="15"/>
        <v>OUTSTANDING</v>
      </c>
      <c r="AF27" s="135"/>
      <c r="AG27" s="140"/>
      <c r="AH27" s="141"/>
      <c r="AL27">
        <f t="shared" si="16"/>
        <v>1</v>
      </c>
      <c r="AM27">
        <f t="shared" si="17"/>
        <v>1</v>
      </c>
      <c r="AN27">
        <f t="shared" si="18"/>
        <v>1</v>
      </c>
      <c r="AO27">
        <f t="shared" si="19"/>
        <v>1</v>
      </c>
      <c r="AP27">
        <f t="shared" si="20"/>
        <v>1</v>
      </c>
      <c r="AQ27">
        <f t="shared" si="21"/>
        <v>1</v>
      </c>
      <c r="AR27">
        <f t="shared" si="22"/>
        <v>1</v>
      </c>
      <c r="AS27">
        <f t="shared" si="23"/>
        <v>1</v>
      </c>
      <c r="AT27">
        <f t="shared" si="24"/>
        <v>1</v>
      </c>
      <c r="AU27">
        <f t="shared" si="25"/>
        <v>1</v>
      </c>
      <c r="AV27">
        <f t="shared" si="26"/>
        <v>1</v>
      </c>
      <c r="AW27">
        <f t="shared" si="27"/>
        <v>1</v>
      </c>
      <c r="AX27">
        <f t="shared" si="28"/>
        <v>1</v>
      </c>
      <c r="AY27">
        <f t="shared" si="29"/>
        <v>1</v>
      </c>
      <c r="AZ27">
        <f t="shared" si="30"/>
        <v>1</v>
      </c>
      <c r="BA27">
        <f t="shared" si="31"/>
        <v>1</v>
      </c>
      <c r="BB27">
        <f t="shared" si="32"/>
        <v>1</v>
      </c>
      <c r="BC27">
        <f t="shared" si="33"/>
        <v>1</v>
      </c>
      <c r="BD27">
        <f t="shared" si="34"/>
        <v>1</v>
      </c>
      <c r="BE27">
        <f t="shared" si="35"/>
        <v>1</v>
      </c>
      <c r="BF27">
        <f t="shared" si="36"/>
        <v>1</v>
      </c>
      <c r="BG27">
        <f t="shared" si="37"/>
        <v>1</v>
      </c>
      <c r="BH27">
        <f t="shared" si="38"/>
        <v>1</v>
      </c>
      <c r="BI27">
        <f t="shared" si="39"/>
        <v>1</v>
      </c>
      <c r="BJ27">
        <f t="shared" si="40"/>
        <v>1</v>
      </c>
      <c r="BK27">
        <f t="shared" si="41"/>
        <v>1</v>
      </c>
      <c r="BL27">
        <f t="shared" si="42"/>
        <v>1</v>
      </c>
      <c r="BM27">
        <f t="shared" si="43"/>
        <v>1</v>
      </c>
      <c r="BN27">
        <f t="shared" si="44"/>
        <v>1</v>
      </c>
      <c r="BO27">
        <f t="shared" si="45"/>
        <v>1</v>
      </c>
      <c r="BP27">
        <f t="shared" si="46"/>
        <v>1</v>
      </c>
      <c r="BQ27">
        <f t="shared" si="47"/>
        <v>1</v>
      </c>
      <c r="BR27">
        <f t="shared" si="48"/>
        <v>1</v>
      </c>
      <c r="BS27">
        <f t="shared" si="49"/>
        <v>1</v>
      </c>
      <c r="BT27">
        <f t="shared" si="50"/>
        <v>1</v>
      </c>
    </row>
    <row r="28" spans="1:72" ht="14.25" customHeight="1" x14ac:dyDescent="0.3">
      <c r="A28" s="23">
        <v>50</v>
      </c>
      <c r="B28" s="24" t="s">
        <v>95</v>
      </c>
      <c r="C28" s="25">
        <v>531</v>
      </c>
      <c r="D28" s="26">
        <v>21978</v>
      </c>
      <c r="E28" s="26" t="s">
        <v>59</v>
      </c>
      <c r="F28" s="26">
        <v>2037</v>
      </c>
      <c r="G28" s="24" t="s">
        <v>111</v>
      </c>
      <c r="H28" s="27">
        <v>26550</v>
      </c>
      <c r="I28" s="27">
        <f t="shared" si="0"/>
        <v>4779</v>
      </c>
      <c r="J28" s="27">
        <f t="shared" si="1"/>
        <v>31329</v>
      </c>
      <c r="K28" s="27">
        <f t="shared" si="2"/>
        <v>627</v>
      </c>
      <c r="L28" s="28">
        <f t="shared" si="3"/>
        <v>26.55</v>
      </c>
      <c r="M28" s="28">
        <f t="shared" si="4"/>
        <v>704.90249999999992</v>
      </c>
      <c r="N28" s="29">
        <f t="shared" si="5"/>
        <v>11.9475</v>
      </c>
      <c r="O28" s="28">
        <f t="shared" si="6"/>
        <v>692.95499999999993</v>
      </c>
      <c r="P28" s="28">
        <f t="shared" si="7"/>
        <v>720</v>
      </c>
      <c r="Q28" s="30">
        <v>0</v>
      </c>
      <c r="R28" s="28">
        <f t="shared" si="8"/>
        <v>0</v>
      </c>
      <c r="S28" s="27">
        <f t="shared" si="9"/>
        <v>31236</v>
      </c>
      <c r="T28" s="28">
        <f t="shared" si="10"/>
        <v>6638</v>
      </c>
      <c r="U28" s="31">
        <v>6638</v>
      </c>
      <c r="V28" s="28" t="s">
        <v>73</v>
      </c>
      <c r="W28" s="28">
        <f t="shared" si="11"/>
        <v>24599</v>
      </c>
      <c r="X28" s="28">
        <v>24598</v>
      </c>
      <c r="Y28" s="28" t="s">
        <v>105</v>
      </c>
      <c r="Z28" s="28">
        <f t="shared" ca="1" si="12"/>
        <v>939.87000000000012</v>
      </c>
      <c r="AA28" s="28"/>
      <c r="AB28" s="28"/>
      <c r="AC28" s="15">
        <f t="shared" si="13"/>
        <v>31236</v>
      </c>
      <c r="AD28" s="19">
        <f t="shared" si="14"/>
        <v>0</v>
      </c>
      <c r="AE28" s="20" t="str">
        <f t="shared" si="15"/>
        <v>SETTLED</v>
      </c>
      <c r="AF28" s="20" t="s">
        <v>118</v>
      </c>
      <c r="AG28" s="21">
        <v>1800003318</v>
      </c>
      <c r="AH28" s="22" t="s">
        <v>63</v>
      </c>
      <c r="AL28">
        <f t="shared" si="16"/>
        <v>1</v>
      </c>
      <c r="AM28">
        <f t="shared" si="17"/>
        <v>1</v>
      </c>
      <c r="AN28">
        <f t="shared" si="18"/>
        <v>1</v>
      </c>
      <c r="AO28">
        <f t="shared" si="19"/>
        <v>1</v>
      </c>
      <c r="AP28">
        <f t="shared" si="20"/>
        <v>1</v>
      </c>
      <c r="AQ28">
        <f t="shared" si="21"/>
        <v>1</v>
      </c>
      <c r="AR28">
        <f t="shared" si="22"/>
        <v>1</v>
      </c>
      <c r="AS28">
        <f t="shared" si="23"/>
        <v>1</v>
      </c>
      <c r="AT28">
        <f t="shared" si="24"/>
        <v>1</v>
      </c>
      <c r="AU28">
        <f t="shared" si="25"/>
        <v>1</v>
      </c>
      <c r="AV28">
        <f t="shared" si="26"/>
        <v>1</v>
      </c>
      <c r="AW28">
        <f t="shared" si="27"/>
        <v>1</v>
      </c>
      <c r="AX28">
        <f t="shared" si="28"/>
        <v>1</v>
      </c>
      <c r="AY28">
        <f t="shared" si="29"/>
        <v>1</v>
      </c>
      <c r="AZ28">
        <f t="shared" si="30"/>
        <v>1</v>
      </c>
      <c r="BA28">
        <f t="shared" si="31"/>
        <v>1</v>
      </c>
      <c r="BB28">
        <f t="shared" si="32"/>
        <v>1</v>
      </c>
      <c r="BC28">
        <f t="shared" si="33"/>
        <v>1</v>
      </c>
      <c r="BD28">
        <f t="shared" si="34"/>
        <v>1</v>
      </c>
      <c r="BE28">
        <f t="shared" si="35"/>
        <v>1</v>
      </c>
      <c r="BF28">
        <f t="shared" si="36"/>
        <v>1</v>
      </c>
      <c r="BG28">
        <f t="shared" si="37"/>
        <v>1</v>
      </c>
      <c r="BH28">
        <f t="shared" si="38"/>
        <v>1</v>
      </c>
      <c r="BI28">
        <f t="shared" si="39"/>
        <v>1</v>
      </c>
      <c r="BJ28">
        <f t="shared" si="40"/>
        <v>1</v>
      </c>
      <c r="BK28">
        <f t="shared" si="41"/>
        <v>1</v>
      </c>
      <c r="BL28">
        <f t="shared" si="42"/>
        <v>1</v>
      </c>
      <c r="BM28">
        <f t="shared" si="43"/>
        <v>1</v>
      </c>
      <c r="BN28">
        <f t="shared" si="44"/>
        <v>1</v>
      </c>
      <c r="BO28">
        <f t="shared" si="45"/>
        <v>1</v>
      </c>
      <c r="BP28">
        <f t="shared" si="46"/>
        <v>1</v>
      </c>
      <c r="BQ28">
        <f t="shared" si="47"/>
        <v>1</v>
      </c>
      <c r="BR28">
        <f t="shared" si="48"/>
        <v>1</v>
      </c>
      <c r="BS28">
        <f t="shared" si="49"/>
        <v>1</v>
      </c>
      <c r="BT28">
        <f t="shared" si="50"/>
        <v>1</v>
      </c>
    </row>
    <row r="29" spans="1:72" ht="14.25" customHeight="1" x14ac:dyDescent="0.3">
      <c r="A29" s="130">
        <v>3</v>
      </c>
      <c r="B29" s="131" t="s">
        <v>119</v>
      </c>
      <c r="C29" s="132">
        <v>90002</v>
      </c>
      <c r="D29" s="133">
        <v>21978</v>
      </c>
      <c r="E29" s="133" t="s">
        <v>59</v>
      </c>
      <c r="F29" s="133">
        <v>2040</v>
      </c>
      <c r="G29" s="131" t="s">
        <v>86</v>
      </c>
      <c r="H29" s="134">
        <v>270006</v>
      </c>
      <c r="I29" s="134">
        <f t="shared" si="0"/>
        <v>48601</v>
      </c>
      <c r="J29" s="134">
        <f t="shared" si="1"/>
        <v>318607</v>
      </c>
      <c r="K29" s="134">
        <f t="shared" si="2"/>
        <v>6372</v>
      </c>
      <c r="L29" s="135">
        <f t="shared" si="3"/>
        <v>270.00600000000003</v>
      </c>
      <c r="M29" s="135">
        <f t="shared" si="4"/>
        <v>7168.6593000000003</v>
      </c>
      <c r="N29" s="136">
        <f t="shared" si="5"/>
        <v>121.5027</v>
      </c>
      <c r="O29" s="135">
        <f t="shared" si="6"/>
        <v>7047.1566000000003</v>
      </c>
      <c r="P29" s="135">
        <f t="shared" si="7"/>
        <v>7317</v>
      </c>
      <c r="Q29" s="137">
        <v>0</v>
      </c>
      <c r="R29" s="135">
        <f t="shared" si="8"/>
        <v>0</v>
      </c>
      <c r="S29" s="134">
        <f t="shared" si="9"/>
        <v>317662</v>
      </c>
      <c r="T29" s="135">
        <f t="shared" si="10"/>
        <v>67502</v>
      </c>
      <c r="U29" s="138">
        <v>67502</v>
      </c>
      <c r="V29" s="135" t="s">
        <v>66</v>
      </c>
      <c r="W29" s="135">
        <f t="shared" si="11"/>
        <v>250161</v>
      </c>
      <c r="X29" s="135"/>
      <c r="Y29" s="135">
        <v>0</v>
      </c>
      <c r="Z29" s="135">
        <f t="shared" ca="1" si="12"/>
        <v>9558.2124000000003</v>
      </c>
      <c r="AA29" s="135"/>
      <c r="AB29" s="135"/>
      <c r="AC29" s="139">
        <f t="shared" si="13"/>
        <v>67502</v>
      </c>
      <c r="AD29" s="139">
        <f t="shared" si="14"/>
        <v>250160</v>
      </c>
      <c r="AE29" s="135" t="str">
        <f t="shared" si="15"/>
        <v>OUTSTANDING</v>
      </c>
      <c r="AF29" s="135"/>
      <c r="AG29" s="140"/>
      <c r="AH29" s="141"/>
      <c r="AL29">
        <f t="shared" si="16"/>
        <v>1</v>
      </c>
      <c r="AM29">
        <f t="shared" si="17"/>
        <v>1</v>
      </c>
      <c r="AN29">
        <f t="shared" si="18"/>
        <v>1</v>
      </c>
      <c r="AO29">
        <f t="shared" si="19"/>
        <v>1</v>
      </c>
      <c r="AP29">
        <f t="shared" si="20"/>
        <v>1</v>
      </c>
      <c r="AQ29">
        <f t="shared" si="21"/>
        <v>1</v>
      </c>
      <c r="AR29">
        <f t="shared" si="22"/>
        <v>1</v>
      </c>
      <c r="AS29">
        <f t="shared" si="23"/>
        <v>1</v>
      </c>
      <c r="AT29">
        <f t="shared" si="24"/>
        <v>1</v>
      </c>
      <c r="AU29">
        <f t="shared" si="25"/>
        <v>1</v>
      </c>
      <c r="AV29">
        <f t="shared" si="26"/>
        <v>1</v>
      </c>
      <c r="AW29">
        <f t="shared" si="27"/>
        <v>1</v>
      </c>
      <c r="AX29">
        <f t="shared" si="28"/>
        <v>1</v>
      </c>
      <c r="AY29">
        <f t="shared" si="29"/>
        <v>1</v>
      </c>
      <c r="AZ29">
        <f t="shared" si="30"/>
        <v>1</v>
      </c>
      <c r="BA29">
        <f t="shared" si="31"/>
        <v>1</v>
      </c>
      <c r="BB29">
        <f t="shared" si="32"/>
        <v>1</v>
      </c>
      <c r="BC29">
        <f t="shared" si="33"/>
        <v>1</v>
      </c>
      <c r="BD29">
        <f t="shared" si="34"/>
        <v>1</v>
      </c>
      <c r="BE29">
        <f t="shared" si="35"/>
        <v>1</v>
      </c>
      <c r="BF29">
        <f t="shared" si="36"/>
        <v>1</v>
      </c>
      <c r="BG29">
        <f t="shared" si="37"/>
        <v>1</v>
      </c>
      <c r="BH29">
        <f t="shared" si="38"/>
        <v>1</v>
      </c>
      <c r="BI29">
        <f t="shared" si="39"/>
        <v>1</v>
      </c>
      <c r="BJ29">
        <f t="shared" si="40"/>
        <v>1</v>
      </c>
      <c r="BK29">
        <f t="shared" si="41"/>
        <v>1</v>
      </c>
      <c r="BL29">
        <f t="shared" si="42"/>
        <v>1</v>
      </c>
      <c r="BM29">
        <f t="shared" si="43"/>
        <v>1</v>
      </c>
      <c r="BN29">
        <f t="shared" si="44"/>
        <v>1</v>
      </c>
      <c r="BO29">
        <f t="shared" si="45"/>
        <v>1</v>
      </c>
      <c r="BP29">
        <f t="shared" si="46"/>
        <v>1</v>
      </c>
      <c r="BQ29">
        <f t="shared" si="47"/>
        <v>1</v>
      </c>
      <c r="BR29">
        <f t="shared" si="48"/>
        <v>1</v>
      </c>
      <c r="BS29">
        <f t="shared" si="49"/>
        <v>1</v>
      </c>
      <c r="BT29">
        <f t="shared" si="50"/>
        <v>1</v>
      </c>
    </row>
    <row r="30" spans="1:72" ht="14.25" customHeight="1" x14ac:dyDescent="0.3">
      <c r="A30" s="23">
        <v>5</v>
      </c>
      <c r="B30" s="24" t="s">
        <v>79</v>
      </c>
      <c r="C30" s="25">
        <v>80000</v>
      </c>
      <c r="D30" s="26">
        <v>21979</v>
      </c>
      <c r="E30" s="26" t="s">
        <v>59</v>
      </c>
      <c r="F30" s="26">
        <v>2043</v>
      </c>
      <c r="G30" s="24" t="s">
        <v>60</v>
      </c>
      <c r="H30" s="27">
        <v>400000</v>
      </c>
      <c r="I30" s="27">
        <f t="shared" si="0"/>
        <v>72000</v>
      </c>
      <c r="J30" s="27">
        <f t="shared" si="1"/>
        <v>472000</v>
      </c>
      <c r="K30" s="27">
        <f t="shared" si="2"/>
        <v>9440</v>
      </c>
      <c r="L30" s="28">
        <f t="shared" si="3"/>
        <v>400</v>
      </c>
      <c r="M30" s="28">
        <f t="shared" si="4"/>
        <v>10620</v>
      </c>
      <c r="N30" s="29">
        <f t="shared" si="5"/>
        <v>180</v>
      </c>
      <c r="O30" s="28">
        <f t="shared" si="6"/>
        <v>10440</v>
      </c>
      <c r="P30" s="28">
        <f t="shared" si="7"/>
        <v>10840</v>
      </c>
      <c r="Q30" s="30">
        <v>0</v>
      </c>
      <c r="R30" s="28">
        <f t="shared" si="8"/>
        <v>0</v>
      </c>
      <c r="S30" s="27">
        <f t="shared" si="9"/>
        <v>470600</v>
      </c>
      <c r="T30" s="28">
        <f t="shared" si="10"/>
        <v>100000</v>
      </c>
      <c r="U30" s="31">
        <f>+T30</f>
        <v>100000</v>
      </c>
      <c r="V30" s="28" t="s">
        <v>61</v>
      </c>
      <c r="W30" s="28">
        <f t="shared" si="11"/>
        <v>370600</v>
      </c>
      <c r="X30" s="28">
        <v>370600</v>
      </c>
      <c r="Y30" s="28" t="s">
        <v>55</v>
      </c>
      <c r="Z30" s="28">
        <f t="shared" ca="1" si="12"/>
        <v>14160</v>
      </c>
      <c r="AA30" s="28"/>
      <c r="AB30" s="28"/>
      <c r="AC30" s="15">
        <f t="shared" si="13"/>
        <v>470600</v>
      </c>
      <c r="AD30" s="19">
        <f t="shared" si="14"/>
        <v>0</v>
      </c>
      <c r="AE30" s="20" t="str">
        <f t="shared" si="15"/>
        <v>SETTLED</v>
      </c>
      <c r="AF30" s="20" t="s">
        <v>120</v>
      </c>
      <c r="AG30" s="21">
        <v>1800003311</v>
      </c>
      <c r="AH30" s="22" t="s">
        <v>63</v>
      </c>
      <c r="AL30">
        <f t="shared" si="16"/>
        <v>1</v>
      </c>
      <c r="AM30">
        <f t="shared" si="17"/>
        <v>1</v>
      </c>
      <c r="AN30">
        <f t="shared" si="18"/>
        <v>1</v>
      </c>
      <c r="AO30">
        <f t="shared" si="19"/>
        <v>1</v>
      </c>
      <c r="AP30">
        <f t="shared" si="20"/>
        <v>1</v>
      </c>
      <c r="AQ30">
        <f t="shared" si="21"/>
        <v>1</v>
      </c>
      <c r="AR30">
        <f t="shared" si="22"/>
        <v>1</v>
      </c>
      <c r="AS30">
        <f t="shared" si="23"/>
        <v>1</v>
      </c>
      <c r="AT30">
        <f t="shared" si="24"/>
        <v>1</v>
      </c>
      <c r="AU30">
        <f t="shared" si="25"/>
        <v>1</v>
      </c>
      <c r="AV30">
        <f t="shared" si="26"/>
        <v>1</v>
      </c>
      <c r="AW30">
        <f t="shared" si="27"/>
        <v>1</v>
      </c>
      <c r="AX30">
        <f t="shared" si="28"/>
        <v>1</v>
      </c>
      <c r="AY30">
        <f t="shared" si="29"/>
        <v>1</v>
      </c>
      <c r="AZ30">
        <f t="shared" si="30"/>
        <v>1</v>
      </c>
      <c r="BA30">
        <f t="shared" si="31"/>
        <v>1</v>
      </c>
      <c r="BB30">
        <f t="shared" si="32"/>
        <v>1</v>
      </c>
      <c r="BC30">
        <f t="shared" si="33"/>
        <v>1</v>
      </c>
      <c r="BD30">
        <f t="shared" si="34"/>
        <v>1</v>
      </c>
      <c r="BE30">
        <f t="shared" si="35"/>
        <v>1</v>
      </c>
      <c r="BF30">
        <f t="shared" si="36"/>
        <v>1</v>
      </c>
      <c r="BG30">
        <f t="shared" si="37"/>
        <v>1</v>
      </c>
      <c r="BH30">
        <f t="shared" si="38"/>
        <v>1</v>
      </c>
      <c r="BI30">
        <f t="shared" si="39"/>
        <v>1</v>
      </c>
      <c r="BJ30">
        <f t="shared" si="40"/>
        <v>1</v>
      </c>
      <c r="BK30">
        <f t="shared" si="41"/>
        <v>1</v>
      </c>
      <c r="BL30">
        <f t="shared" si="42"/>
        <v>1</v>
      </c>
      <c r="BM30">
        <f t="shared" si="43"/>
        <v>1</v>
      </c>
      <c r="BN30">
        <f t="shared" si="44"/>
        <v>1</v>
      </c>
      <c r="BO30">
        <f t="shared" si="45"/>
        <v>1</v>
      </c>
      <c r="BP30">
        <f t="shared" si="46"/>
        <v>1</v>
      </c>
      <c r="BQ30">
        <f t="shared" si="47"/>
        <v>1</v>
      </c>
      <c r="BR30">
        <f t="shared" si="48"/>
        <v>1</v>
      </c>
      <c r="BS30">
        <f t="shared" si="49"/>
        <v>1</v>
      </c>
      <c r="BT30">
        <f t="shared" si="50"/>
        <v>1</v>
      </c>
    </row>
    <row r="31" spans="1:72" ht="14.25" customHeight="1" x14ac:dyDescent="0.3">
      <c r="A31" s="130">
        <v>670</v>
      </c>
      <c r="B31" s="131" t="s">
        <v>121</v>
      </c>
      <c r="C31" s="132">
        <v>309</v>
      </c>
      <c r="D31" s="133">
        <v>21979</v>
      </c>
      <c r="E31" s="133" t="s">
        <v>53</v>
      </c>
      <c r="F31" s="133">
        <v>2046</v>
      </c>
      <c r="G31" s="131" t="s">
        <v>122</v>
      </c>
      <c r="H31" s="134">
        <v>207030</v>
      </c>
      <c r="I31" s="134">
        <f t="shared" si="0"/>
        <v>37265</v>
      </c>
      <c r="J31" s="134">
        <f t="shared" si="1"/>
        <v>244295</v>
      </c>
      <c r="K31" s="134">
        <f t="shared" si="2"/>
        <v>4886</v>
      </c>
      <c r="L31" s="135">
        <f t="shared" si="3"/>
        <v>207.03</v>
      </c>
      <c r="M31" s="135">
        <f t="shared" si="4"/>
        <v>5496.6464999999998</v>
      </c>
      <c r="N31" s="136">
        <f t="shared" si="5"/>
        <v>93.163499999999999</v>
      </c>
      <c r="O31" s="135">
        <f t="shared" si="6"/>
        <v>5403.4830000000002</v>
      </c>
      <c r="P31" s="135">
        <f t="shared" si="7"/>
        <v>5611</v>
      </c>
      <c r="Q31" s="137">
        <v>0</v>
      </c>
      <c r="R31" s="135">
        <f t="shared" si="8"/>
        <v>0</v>
      </c>
      <c r="S31" s="134">
        <f t="shared" si="9"/>
        <v>243571</v>
      </c>
      <c r="T31" s="135">
        <f t="shared" si="10"/>
        <v>51758</v>
      </c>
      <c r="U31" s="138">
        <v>51758</v>
      </c>
      <c r="V31" s="135" t="s">
        <v>66</v>
      </c>
      <c r="W31" s="135">
        <f t="shared" si="11"/>
        <v>191813</v>
      </c>
      <c r="X31" s="135">
        <v>191812</v>
      </c>
      <c r="Y31" s="135" t="s">
        <v>105</v>
      </c>
      <c r="Z31" s="135">
        <f t="shared" ca="1" si="12"/>
        <v>7328.8619999999992</v>
      </c>
      <c r="AA31" s="135"/>
      <c r="AB31" s="135"/>
      <c r="AC31" s="139">
        <f t="shared" si="13"/>
        <v>243570</v>
      </c>
      <c r="AD31" s="139">
        <f t="shared" si="14"/>
        <v>1</v>
      </c>
      <c r="AE31" s="135" t="str">
        <f t="shared" si="15"/>
        <v>SETTLED</v>
      </c>
      <c r="AF31" s="135" t="s">
        <v>123</v>
      </c>
      <c r="AG31" s="140">
        <v>1800003316</v>
      </c>
      <c r="AH31" s="141" t="s">
        <v>63</v>
      </c>
      <c r="AL31">
        <f t="shared" si="16"/>
        <v>1</v>
      </c>
      <c r="AM31">
        <f t="shared" si="17"/>
        <v>1</v>
      </c>
      <c r="AN31">
        <f t="shared" si="18"/>
        <v>1</v>
      </c>
      <c r="AO31">
        <f t="shared" si="19"/>
        <v>1</v>
      </c>
      <c r="AP31">
        <f t="shared" si="20"/>
        <v>1</v>
      </c>
      <c r="AQ31">
        <f t="shared" si="21"/>
        <v>1</v>
      </c>
      <c r="AR31">
        <f t="shared" si="22"/>
        <v>1</v>
      </c>
      <c r="AS31">
        <f t="shared" si="23"/>
        <v>1</v>
      </c>
      <c r="AT31">
        <f t="shared" si="24"/>
        <v>1</v>
      </c>
      <c r="AU31">
        <f t="shared" si="25"/>
        <v>1</v>
      </c>
      <c r="AV31">
        <f t="shared" si="26"/>
        <v>1</v>
      </c>
      <c r="AW31">
        <f t="shared" si="27"/>
        <v>1</v>
      </c>
      <c r="AX31">
        <f t="shared" si="28"/>
        <v>1</v>
      </c>
      <c r="AY31">
        <f t="shared" si="29"/>
        <v>1</v>
      </c>
      <c r="AZ31">
        <f t="shared" si="30"/>
        <v>1</v>
      </c>
      <c r="BA31">
        <f t="shared" si="31"/>
        <v>1</v>
      </c>
      <c r="BB31">
        <f t="shared" si="32"/>
        <v>1</v>
      </c>
      <c r="BC31">
        <f t="shared" si="33"/>
        <v>1</v>
      </c>
      <c r="BD31">
        <f t="shared" si="34"/>
        <v>1</v>
      </c>
      <c r="BE31">
        <f t="shared" si="35"/>
        <v>1</v>
      </c>
      <c r="BF31">
        <f t="shared" si="36"/>
        <v>1</v>
      </c>
      <c r="BG31">
        <f t="shared" si="37"/>
        <v>1</v>
      </c>
      <c r="BH31">
        <f t="shared" si="38"/>
        <v>1</v>
      </c>
      <c r="BI31">
        <f t="shared" si="39"/>
        <v>1</v>
      </c>
      <c r="BJ31">
        <f t="shared" si="40"/>
        <v>1</v>
      </c>
      <c r="BK31">
        <f t="shared" si="41"/>
        <v>1</v>
      </c>
      <c r="BL31">
        <f t="shared" si="42"/>
        <v>1</v>
      </c>
      <c r="BM31">
        <f t="shared" si="43"/>
        <v>1</v>
      </c>
      <c r="BN31">
        <f t="shared" si="44"/>
        <v>1</v>
      </c>
      <c r="BO31">
        <f t="shared" si="45"/>
        <v>1</v>
      </c>
      <c r="BP31">
        <f t="shared" si="46"/>
        <v>1</v>
      </c>
      <c r="BQ31">
        <f t="shared" si="47"/>
        <v>1</v>
      </c>
      <c r="BR31">
        <f t="shared" si="48"/>
        <v>1</v>
      </c>
      <c r="BS31">
        <f t="shared" si="49"/>
        <v>1</v>
      </c>
      <c r="BT31">
        <f t="shared" si="50"/>
        <v>1</v>
      </c>
    </row>
    <row r="32" spans="1:72" ht="14.25" customHeight="1" x14ac:dyDescent="0.3">
      <c r="A32" s="23">
        <v>2</v>
      </c>
      <c r="B32" s="24" t="s">
        <v>124</v>
      </c>
      <c r="C32" s="25">
        <v>80006</v>
      </c>
      <c r="D32" s="26">
        <v>21979</v>
      </c>
      <c r="E32" s="26" t="s">
        <v>59</v>
      </c>
      <c r="F32" s="26">
        <v>2055</v>
      </c>
      <c r="G32" s="24" t="s">
        <v>60</v>
      </c>
      <c r="H32" s="27">
        <v>160012</v>
      </c>
      <c r="I32" s="27">
        <f t="shared" si="0"/>
        <v>28802</v>
      </c>
      <c r="J32" s="27">
        <f t="shared" si="1"/>
        <v>188814</v>
      </c>
      <c r="K32" s="27">
        <f t="shared" si="2"/>
        <v>3776</v>
      </c>
      <c r="L32" s="28">
        <f t="shared" si="3"/>
        <v>160.012</v>
      </c>
      <c r="M32" s="28">
        <f t="shared" si="4"/>
        <v>4248.3185999999996</v>
      </c>
      <c r="N32" s="29">
        <f t="shared" si="5"/>
        <v>72.005399999999995</v>
      </c>
      <c r="O32" s="28">
        <f t="shared" si="6"/>
        <v>4176.3131999999996</v>
      </c>
      <c r="P32" s="28">
        <f t="shared" si="7"/>
        <v>4336</v>
      </c>
      <c r="Q32" s="30">
        <v>0</v>
      </c>
      <c r="R32" s="28">
        <f t="shared" si="8"/>
        <v>0</v>
      </c>
      <c r="S32" s="27">
        <f t="shared" si="9"/>
        <v>188254</v>
      </c>
      <c r="T32" s="28">
        <f t="shared" si="10"/>
        <v>40003</v>
      </c>
      <c r="U32" s="31">
        <f>+T32</f>
        <v>40003</v>
      </c>
      <c r="V32" s="28" t="s">
        <v>61</v>
      </c>
      <c r="W32" s="28">
        <f t="shared" si="11"/>
        <v>148251</v>
      </c>
      <c r="X32" s="28">
        <v>148251</v>
      </c>
      <c r="Y32" s="28" t="s">
        <v>55</v>
      </c>
      <c r="Z32" s="28">
        <f t="shared" ca="1" si="12"/>
        <v>5664.4247999999998</v>
      </c>
      <c r="AA32" s="28"/>
      <c r="AB32" s="28"/>
      <c r="AC32" s="15">
        <f t="shared" si="13"/>
        <v>188254</v>
      </c>
      <c r="AD32" s="19">
        <f t="shared" si="14"/>
        <v>0</v>
      </c>
      <c r="AE32" s="20" t="str">
        <f t="shared" si="15"/>
        <v>SETTLED</v>
      </c>
      <c r="AF32" s="20" t="s">
        <v>125</v>
      </c>
      <c r="AG32" s="21">
        <v>1800003312</v>
      </c>
      <c r="AH32" s="22" t="s">
        <v>63</v>
      </c>
      <c r="AL32">
        <f t="shared" si="16"/>
        <v>1</v>
      </c>
      <c r="AM32">
        <f t="shared" si="17"/>
        <v>1</v>
      </c>
      <c r="AN32">
        <f t="shared" si="18"/>
        <v>1</v>
      </c>
      <c r="AO32">
        <f t="shared" si="19"/>
        <v>1</v>
      </c>
      <c r="AP32">
        <f t="shared" si="20"/>
        <v>1</v>
      </c>
      <c r="AQ32">
        <f t="shared" si="21"/>
        <v>1</v>
      </c>
      <c r="AR32">
        <f t="shared" si="22"/>
        <v>1</v>
      </c>
      <c r="AS32">
        <f t="shared" si="23"/>
        <v>1</v>
      </c>
      <c r="AT32">
        <f t="shared" si="24"/>
        <v>1</v>
      </c>
      <c r="AU32">
        <f t="shared" si="25"/>
        <v>1</v>
      </c>
      <c r="AV32">
        <f t="shared" si="26"/>
        <v>1</v>
      </c>
      <c r="AW32">
        <f t="shared" si="27"/>
        <v>1</v>
      </c>
      <c r="AX32">
        <f t="shared" si="28"/>
        <v>1</v>
      </c>
      <c r="AY32">
        <f t="shared" si="29"/>
        <v>1</v>
      </c>
      <c r="AZ32">
        <f t="shared" si="30"/>
        <v>1</v>
      </c>
      <c r="BA32">
        <f t="shared" si="31"/>
        <v>1</v>
      </c>
      <c r="BB32">
        <f t="shared" si="32"/>
        <v>1</v>
      </c>
      <c r="BC32">
        <f t="shared" si="33"/>
        <v>1</v>
      </c>
      <c r="BD32">
        <f t="shared" si="34"/>
        <v>1</v>
      </c>
      <c r="BE32">
        <f t="shared" si="35"/>
        <v>1</v>
      </c>
      <c r="BF32">
        <f t="shared" si="36"/>
        <v>1</v>
      </c>
      <c r="BG32">
        <f t="shared" si="37"/>
        <v>1</v>
      </c>
      <c r="BH32">
        <f t="shared" si="38"/>
        <v>1</v>
      </c>
      <c r="BI32">
        <f t="shared" si="39"/>
        <v>1</v>
      </c>
      <c r="BJ32">
        <f t="shared" si="40"/>
        <v>1</v>
      </c>
      <c r="BK32">
        <f t="shared" si="41"/>
        <v>1</v>
      </c>
      <c r="BL32">
        <f t="shared" si="42"/>
        <v>1</v>
      </c>
      <c r="BM32">
        <f t="shared" si="43"/>
        <v>1</v>
      </c>
      <c r="BN32">
        <f t="shared" si="44"/>
        <v>1</v>
      </c>
      <c r="BO32">
        <f t="shared" si="45"/>
        <v>1</v>
      </c>
      <c r="BP32">
        <f t="shared" si="46"/>
        <v>1</v>
      </c>
      <c r="BQ32">
        <f t="shared" si="47"/>
        <v>1</v>
      </c>
      <c r="BR32">
        <f t="shared" si="48"/>
        <v>1</v>
      </c>
      <c r="BS32">
        <f t="shared" si="49"/>
        <v>1</v>
      </c>
      <c r="BT32">
        <f t="shared" si="50"/>
        <v>1</v>
      </c>
    </row>
    <row r="33" spans="1:72" ht="14.25" customHeight="1" x14ac:dyDescent="0.3">
      <c r="A33" s="130">
        <v>1</v>
      </c>
      <c r="B33" s="131" t="s">
        <v>126</v>
      </c>
      <c r="C33" s="132">
        <v>29502</v>
      </c>
      <c r="D33" s="133">
        <v>21979</v>
      </c>
      <c r="E33" s="133" t="s">
        <v>59</v>
      </c>
      <c r="F33" s="133">
        <v>2059</v>
      </c>
      <c r="G33" s="131" t="s">
        <v>60</v>
      </c>
      <c r="H33" s="134">
        <v>29502</v>
      </c>
      <c r="I33" s="134">
        <f t="shared" si="0"/>
        <v>5310</v>
      </c>
      <c r="J33" s="134">
        <f t="shared" si="1"/>
        <v>34812</v>
      </c>
      <c r="K33" s="134">
        <f t="shared" si="2"/>
        <v>696</v>
      </c>
      <c r="L33" s="135">
        <f t="shared" si="3"/>
        <v>29.501999999999999</v>
      </c>
      <c r="M33" s="135">
        <f t="shared" si="4"/>
        <v>783.27809999999988</v>
      </c>
      <c r="N33" s="136">
        <f t="shared" si="5"/>
        <v>13.2759</v>
      </c>
      <c r="O33" s="135">
        <f t="shared" si="6"/>
        <v>770.0021999999999</v>
      </c>
      <c r="P33" s="135">
        <f t="shared" si="7"/>
        <v>800</v>
      </c>
      <c r="Q33" s="137">
        <v>0</v>
      </c>
      <c r="R33" s="135">
        <f t="shared" si="8"/>
        <v>0</v>
      </c>
      <c r="S33" s="134">
        <f t="shared" si="9"/>
        <v>34709</v>
      </c>
      <c r="T33" s="135">
        <f t="shared" si="10"/>
        <v>7376</v>
      </c>
      <c r="U33" s="138">
        <f>+T33</f>
        <v>7376</v>
      </c>
      <c r="V33" s="135" t="s">
        <v>61</v>
      </c>
      <c r="W33" s="135">
        <f t="shared" si="11"/>
        <v>27334</v>
      </c>
      <c r="X33" s="135">
        <v>27332</v>
      </c>
      <c r="Y33" s="135" t="s">
        <v>55</v>
      </c>
      <c r="Z33" s="135">
        <f t="shared" ca="1" si="12"/>
        <v>1044.3708000000001</v>
      </c>
      <c r="AA33" s="135"/>
      <c r="AB33" s="135"/>
      <c r="AC33" s="139">
        <f t="shared" si="13"/>
        <v>34708</v>
      </c>
      <c r="AD33" s="139">
        <f t="shared" si="14"/>
        <v>1</v>
      </c>
      <c r="AE33" s="135" t="str">
        <f t="shared" si="15"/>
        <v>SETTLED</v>
      </c>
      <c r="AF33" s="135" t="s">
        <v>127</v>
      </c>
      <c r="AG33" s="140">
        <v>1800003313</v>
      </c>
      <c r="AH33" s="141" t="s">
        <v>63</v>
      </c>
      <c r="AL33">
        <f t="shared" si="16"/>
        <v>1</v>
      </c>
      <c r="AM33">
        <f t="shared" si="17"/>
        <v>1</v>
      </c>
      <c r="AN33">
        <f t="shared" si="18"/>
        <v>1</v>
      </c>
      <c r="AO33">
        <f t="shared" si="19"/>
        <v>1</v>
      </c>
      <c r="AP33">
        <f t="shared" si="20"/>
        <v>1</v>
      </c>
      <c r="AQ33">
        <f t="shared" si="21"/>
        <v>1</v>
      </c>
      <c r="AR33">
        <f t="shared" si="22"/>
        <v>1</v>
      </c>
      <c r="AS33">
        <f t="shared" si="23"/>
        <v>1</v>
      </c>
      <c r="AT33">
        <f t="shared" si="24"/>
        <v>1</v>
      </c>
      <c r="AU33">
        <f t="shared" si="25"/>
        <v>1</v>
      </c>
      <c r="AV33">
        <f t="shared" si="26"/>
        <v>1</v>
      </c>
      <c r="AW33">
        <f t="shared" si="27"/>
        <v>1</v>
      </c>
      <c r="AX33">
        <f t="shared" si="28"/>
        <v>1</v>
      </c>
      <c r="AY33">
        <f t="shared" si="29"/>
        <v>1</v>
      </c>
      <c r="AZ33">
        <f t="shared" si="30"/>
        <v>1</v>
      </c>
      <c r="BA33">
        <f t="shared" si="31"/>
        <v>1</v>
      </c>
      <c r="BB33">
        <f t="shared" si="32"/>
        <v>1</v>
      </c>
      <c r="BC33">
        <f t="shared" si="33"/>
        <v>1</v>
      </c>
      <c r="BD33">
        <f t="shared" si="34"/>
        <v>1</v>
      </c>
      <c r="BE33">
        <f t="shared" si="35"/>
        <v>1</v>
      </c>
      <c r="BF33">
        <f t="shared" si="36"/>
        <v>1</v>
      </c>
      <c r="BG33">
        <f t="shared" si="37"/>
        <v>1</v>
      </c>
      <c r="BH33">
        <f t="shared" si="38"/>
        <v>1</v>
      </c>
      <c r="BI33">
        <f t="shared" si="39"/>
        <v>1</v>
      </c>
      <c r="BJ33">
        <f t="shared" si="40"/>
        <v>1</v>
      </c>
      <c r="BK33">
        <f t="shared" si="41"/>
        <v>1</v>
      </c>
      <c r="BL33">
        <f t="shared" si="42"/>
        <v>1</v>
      </c>
      <c r="BM33">
        <f t="shared" si="43"/>
        <v>1</v>
      </c>
      <c r="BN33">
        <f t="shared" si="44"/>
        <v>1</v>
      </c>
      <c r="BO33">
        <f t="shared" si="45"/>
        <v>1</v>
      </c>
      <c r="BP33">
        <f t="shared" si="46"/>
        <v>1</v>
      </c>
      <c r="BQ33">
        <f t="shared" si="47"/>
        <v>1</v>
      </c>
      <c r="BR33">
        <f t="shared" si="48"/>
        <v>1</v>
      </c>
      <c r="BS33">
        <f t="shared" si="49"/>
        <v>1</v>
      </c>
      <c r="BT33">
        <f t="shared" si="50"/>
        <v>1</v>
      </c>
    </row>
    <row r="34" spans="1:72" ht="14.25" customHeight="1" x14ac:dyDescent="0.3">
      <c r="A34" s="23">
        <v>30</v>
      </c>
      <c r="B34" s="24" t="s">
        <v>128</v>
      </c>
      <c r="C34" s="25">
        <v>702</v>
      </c>
      <c r="D34" s="26">
        <v>21979</v>
      </c>
      <c r="E34" s="26" t="s">
        <v>59</v>
      </c>
      <c r="F34" s="26">
        <v>2062</v>
      </c>
      <c r="G34" s="24" t="s">
        <v>86</v>
      </c>
      <c r="H34" s="27">
        <v>21060</v>
      </c>
      <c r="I34" s="27">
        <f t="shared" si="0"/>
        <v>3791</v>
      </c>
      <c r="J34" s="27">
        <f t="shared" si="1"/>
        <v>24851</v>
      </c>
      <c r="K34" s="27">
        <f t="shared" si="2"/>
        <v>497</v>
      </c>
      <c r="L34" s="28">
        <f t="shared" si="3"/>
        <v>21.06</v>
      </c>
      <c r="M34" s="28">
        <f t="shared" si="4"/>
        <v>559.14299999999992</v>
      </c>
      <c r="N34" s="29">
        <f t="shared" si="5"/>
        <v>9.4770000000000003</v>
      </c>
      <c r="O34" s="28">
        <f t="shared" si="6"/>
        <v>549.66599999999994</v>
      </c>
      <c r="P34" s="28">
        <f t="shared" si="7"/>
        <v>571</v>
      </c>
      <c r="Q34" s="30">
        <v>0</v>
      </c>
      <c r="R34" s="28">
        <f t="shared" si="8"/>
        <v>0</v>
      </c>
      <c r="S34" s="27">
        <f t="shared" si="9"/>
        <v>24777</v>
      </c>
      <c r="T34" s="28">
        <f t="shared" si="10"/>
        <v>5265</v>
      </c>
      <c r="U34" s="31">
        <v>5265</v>
      </c>
      <c r="V34" s="28" t="s">
        <v>66</v>
      </c>
      <c r="W34" s="28">
        <f t="shared" si="11"/>
        <v>19512</v>
      </c>
      <c r="X34" s="28">
        <v>19512</v>
      </c>
      <c r="Y34" s="28" t="s">
        <v>66</v>
      </c>
      <c r="Z34" s="28">
        <f t="shared" ca="1" si="12"/>
        <v>745.52399999999989</v>
      </c>
      <c r="AA34" s="28"/>
      <c r="AB34" s="28"/>
      <c r="AC34" s="15">
        <f t="shared" si="13"/>
        <v>24777</v>
      </c>
      <c r="AD34" s="19">
        <f t="shared" si="14"/>
        <v>0</v>
      </c>
      <c r="AE34" s="20" t="str">
        <f t="shared" si="15"/>
        <v>SETTLED</v>
      </c>
      <c r="AF34" s="20" t="s">
        <v>129</v>
      </c>
      <c r="AG34" s="21">
        <v>1800003161</v>
      </c>
      <c r="AH34" s="22" t="s">
        <v>73</v>
      </c>
      <c r="AL34">
        <f t="shared" si="16"/>
        <v>1</v>
      </c>
      <c r="AM34">
        <f t="shared" si="17"/>
        <v>1</v>
      </c>
      <c r="AN34">
        <f t="shared" si="18"/>
        <v>1</v>
      </c>
      <c r="AO34">
        <f t="shared" si="19"/>
        <v>1</v>
      </c>
      <c r="AP34">
        <f t="shared" si="20"/>
        <v>1</v>
      </c>
      <c r="AQ34">
        <f t="shared" si="21"/>
        <v>1</v>
      </c>
      <c r="AR34">
        <f t="shared" si="22"/>
        <v>1</v>
      </c>
      <c r="AS34">
        <f t="shared" si="23"/>
        <v>1</v>
      </c>
      <c r="AT34">
        <f t="shared" si="24"/>
        <v>1</v>
      </c>
      <c r="AU34">
        <f t="shared" si="25"/>
        <v>1</v>
      </c>
      <c r="AV34">
        <f t="shared" si="26"/>
        <v>1</v>
      </c>
      <c r="AW34">
        <f t="shared" si="27"/>
        <v>1</v>
      </c>
      <c r="AX34">
        <f t="shared" si="28"/>
        <v>1</v>
      </c>
      <c r="AY34">
        <f t="shared" si="29"/>
        <v>1</v>
      </c>
      <c r="AZ34">
        <f t="shared" si="30"/>
        <v>1</v>
      </c>
      <c r="BA34">
        <f t="shared" si="31"/>
        <v>1</v>
      </c>
      <c r="BB34">
        <f t="shared" si="32"/>
        <v>1</v>
      </c>
      <c r="BC34">
        <f t="shared" si="33"/>
        <v>1</v>
      </c>
      <c r="BD34">
        <f t="shared" si="34"/>
        <v>1</v>
      </c>
      <c r="BE34">
        <f t="shared" si="35"/>
        <v>1</v>
      </c>
      <c r="BF34">
        <f t="shared" si="36"/>
        <v>1</v>
      </c>
      <c r="BG34">
        <f t="shared" si="37"/>
        <v>1</v>
      </c>
      <c r="BH34">
        <f t="shared" si="38"/>
        <v>1</v>
      </c>
      <c r="BI34">
        <f t="shared" si="39"/>
        <v>1</v>
      </c>
      <c r="BJ34">
        <f t="shared" si="40"/>
        <v>1</v>
      </c>
      <c r="BK34">
        <f t="shared" si="41"/>
        <v>1</v>
      </c>
      <c r="BL34">
        <f t="shared" si="42"/>
        <v>1</v>
      </c>
      <c r="BM34">
        <f t="shared" si="43"/>
        <v>1</v>
      </c>
      <c r="BN34">
        <f t="shared" si="44"/>
        <v>1</v>
      </c>
      <c r="BO34">
        <f t="shared" si="45"/>
        <v>1</v>
      </c>
      <c r="BP34">
        <f t="shared" si="46"/>
        <v>1</v>
      </c>
      <c r="BQ34">
        <f t="shared" si="47"/>
        <v>1</v>
      </c>
      <c r="BR34">
        <f t="shared" si="48"/>
        <v>1</v>
      </c>
      <c r="BS34">
        <f t="shared" si="49"/>
        <v>1</v>
      </c>
      <c r="BT34">
        <f t="shared" si="50"/>
        <v>1</v>
      </c>
    </row>
    <row r="35" spans="1:72" ht="14.25" customHeight="1" x14ac:dyDescent="0.3">
      <c r="A35" s="130">
        <v>150</v>
      </c>
      <c r="B35" s="131" t="s">
        <v>85</v>
      </c>
      <c r="C35" s="132">
        <v>571</v>
      </c>
      <c r="D35" s="133">
        <v>21980</v>
      </c>
      <c r="E35" s="133" t="s">
        <v>59</v>
      </c>
      <c r="F35" s="133">
        <v>2067</v>
      </c>
      <c r="G35" s="131" t="s">
        <v>111</v>
      </c>
      <c r="H35" s="134">
        <v>85650</v>
      </c>
      <c r="I35" s="134">
        <f t="shared" si="0"/>
        <v>15417</v>
      </c>
      <c r="J35" s="134">
        <f t="shared" si="1"/>
        <v>101067</v>
      </c>
      <c r="K35" s="134">
        <f t="shared" si="2"/>
        <v>2021</v>
      </c>
      <c r="L35" s="135">
        <f t="shared" si="3"/>
        <v>85.65</v>
      </c>
      <c r="M35" s="135">
        <f t="shared" si="4"/>
        <v>2274.0074999999997</v>
      </c>
      <c r="N35" s="136">
        <f t="shared" si="5"/>
        <v>38.542500000000004</v>
      </c>
      <c r="O35" s="135">
        <f t="shared" si="6"/>
        <v>2235.4649999999997</v>
      </c>
      <c r="P35" s="135">
        <f t="shared" si="7"/>
        <v>2321</v>
      </c>
      <c r="Q35" s="137">
        <v>0</v>
      </c>
      <c r="R35" s="135">
        <f t="shared" si="8"/>
        <v>0</v>
      </c>
      <c r="S35" s="134">
        <f t="shared" si="9"/>
        <v>100767</v>
      </c>
      <c r="T35" s="135">
        <f t="shared" si="10"/>
        <v>21413</v>
      </c>
      <c r="U35" s="138">
        <v>21413</v>
      </c>
      <c r="V35" s="135" t="s">
        <v>73</v>
      </c>
      <c r="W35" s="135">
        <f t="shared" si="11"/>
        <v>79355</v>
      </c>
      <c r="X35" s="135">
        <v>79354</v>
      </c>
      <c r="Y35" s="135" t="s">
        <v>67</v>
      </c>
      <c r="Z35" s="135">
        <f t="shared" ca="1" si="12"/>
        <v>3032.0099999999998</v>
      </c>
      <c r="AA35" s="135"/>
      <c r="AB35" s="135"/>
      <c r="AC35" s="139">
        <f t="shared" si="13"/>
        <v>100767</v>
      </c>
      <c r="AD35" s="139">
        <f t="shared" si="14"/>
        <v>0</v>
      </c>
      <c r="AE35" s="135" t="str">
        <f t="shared" si="15"/>
        <v>SETTLED</v>
      </c>
      <c r="AF35" s="135" t="s">
        <v>130</v>
      </c>
      <c r="AG35" s="140">
        <v>1800003248</v>
      </c>
      <c r="AH35" s="141" t="s">
        <v>67</v>
      </c>
      <c r="AL35">
        <f t="shared" si="16"/>
        <v>1</v>
      </c>
      <c r="AM35">
        <f t="shared" si="17"/>
        <v>1</v>
      </c>
      <c r="AN35">
        <f t="shared" si="18"/>
        <v>1</v>
      </c>
      <c r="AO35">
        <f t="shared" si="19"/>
        <v>1</v>
      </c>
      <c r="AP35">
        <f t="shared" si="20"/>
        <v>1</v>
      </c>
      <c r="AQ35">
        <f t="shared" si="21"/>
        <v>1</v>
      </c>
      <c r="AR35">
        <f t="shared" si="22"/>
        <v>1</v>
      </c>
      <c r="AS35">
        <f t="shared" si="23"/>
        <v>1</v>
      </c>
      <c r="AT35">
        <f t="shared" si="24"/>
        <v>1</v>
      </c>
      <c r="AU35">
        <f t="shared" si="25"/>
        <v>1</v>
      </c>
      <c r="AV35">
        <f t="shared" si="26"/>
        <v>1</v>
      </c>
      <c r="AW35">
        <f t="shared" si="27"/>
        <v>1</v>
      </c>
      <c r="AX35">
        <f t="shared" si="28"/>
        <v>1</v>
      </c>
      <c r="AY35">
        <f t="shared" si="29"/>
        <v>1</v>
      </c>
      <c r="AZ35">
        <f t="shared" si="30"/>
        <v>1</v>
      </c>
      <c r="BA35">
        <f t="shared" si="31"/>
        <v>1</v>
      </c>
      <c r="BB35">
        <f t="shared" si="32"/>
        <v>1</v>
      </c>
      <c r="BC35">
        <f t="shared" si="33"/>
        <v>1</v>
      </c>
      <c r="BD35">
        <f t="shared" si="34"/>
        <v>1</v>
      </c>
      <c r="BE35">
        <f t="shared" si="35"/>
        <v>1</v>
      </c>
      <c r="BF35">
        <f t="shared" si="36"/>
        <v>1</v>
      </c>
      <c r="BG35">
        <f t="shared" si="37"/>
        <v>1</v>
      </c>
      <c r="BH35">
        <f t="shared" si="38"/>
        <v>1</v>
      </c>
      <c r="BI35">
        <f t="shared" si="39"/>
        <v>1</v>
      </c>
      <c r="BJ35">
        <f t="shared" si="40"/>
        <v>1</v>
      </c>
      <c r="BK35">
        <f t="shared" si="41"/>
        <v>1</v>
      </c>
      <c r="BL35">
        <f t="shared" si="42"/>
        <v>1</v>
      </c>
      <c r="BM35">
        <f t="shared" si="43"/>
        <v>1</v>
      </c>
      <c r="BN35">
        <f t="shared" si="44"/>
        <v>1</v>
      </c>
      <c r="BO35">
        <f t="shared" si="45"/>
        <v>1</v>
      </c>
      <c r="BP35">
        <f t="shared" si="46"/>
        <v>1</v>
      </c>
      <c r="BQ35">
        <f t="shared" si="47"/>
        <v>1</v>
      </c>
      <c r="BR35">
        <f t="shared" si="48"/>
        <v>1</v>
      </c>
      <c r="BS35">
        <f t="shared" si="49"/>
        <v>1</v>
      </c>
      <c r="BT35">
        <f t="shared" si="50"/>
        <v>1</v>
      </c>
    </row>
    <row r="36" spans="1:72" ht="14.25" customHeight="1" x14ac:dyDescent="0.3">
      <c r="A36" s="23">
        <v>1</v>
      </c>
      <c r="B36" s="24" t="s">
        <v>131</v>
      </c>
      <c r="C36" s="25">
        <v>54000</v>
      </c>
      <c r="D36" s="26">
        <v>21980</v>
      </c>
      <c r="E36" s="26" t="s">
        <v>59</v>
      </c>
      <c r="F36" s="26">
        <v>2069</v>
      </c>
      <c r="G36" s="24" t="s">
        <v>86</v>
      </c>
      <c r="H36" s="27">
        <v>54000</v>
      </c>
      <c r="I36" s="27">
        <f t="shared" si="0"/>
        <v>9720</v>
      </c>
      <c r="J36" s="27">
        <f t="shared" si="1"/>
        <v>63720</v>
      </c>
      <c r="K36" s="27">
        <f t="shared" si="2"/>
        <v>1274</v>
      </c>
      <c r="L36" s="28">
        <f t="shared" si="3"/>
        <v>54</v>
      </c>
      <c r="M36" s="28">
        <f t="shared" si="4"/>
        <v>1433.6999999999998</v>
      </c>
      <c r="N36" s="29">
        <f t="shared" si="5"/>
        <v>24.3</v>
      </c>
      <c r="O36" s="28">
        <f t="shared" si="6"/>
        <v>1409.3999999999999</v>
      </c>
      <c r="P36" s="28">
        <f t="shared" si="7"/>
        <v>1463</v>
      </c>
      <c r="Q36" s="30">
        <v>0</v>
      </c>
      <c r="R36" s="28">
        <f t="shared" si="8"/>
        <v>0</v>
      </c>
      <c r="S36" s="27">
        <f t="shared" si="9"/>
        <v>63531</v>
      </c>
      <c r="T36" s="28">
        <f t="shared" si="10"/>
        <v>13500</v>
      </c>
      <c r="U36" s="31">
        <v>13500</v>
      </c>
      <c r="V36" s="28" t="s">
        <v>66</v>
      </c>
      <c r="W36" s="28">
        <f t="shared" si="11"/>
        <v>50031</v>
      </c>
      <c r="X36" s="28"/>
      <c r="Y36" s="28">
        <v>0</v>
      </c>
      <c r="Z36" s="28">
        <f t="shared" ca="1" si="12"/>
        <v>1911.6</v>
      </c>
      <c r="AA36" s="28"/>
      <c r="AB36" s="28"/>
      <c r="AC36" s="15">
        <f t="shared" si="13"/>
        <v>13500</v>
      </c>
      <c r="AD36" s="19">
        <f t="shared" si="14"/>
        <v>50031</v>
      </c>
      <c r="AE36" s="20" t="str">
        <f t="shared" si="15"/>
        <v>OUTSTANDING</v>
      </c>
      <c r="AF36" s="20"/>
      <c r="AG36" s="21"/>
      <c r="AH36" s="22"/>
      <c r="AL36">
        <f t="shared" si="16"/>
        <v>1</v>
      </c>
      <c r="AM36">
        <f t="shared" si="17"/>
        <v>1</v>
      </c>
      <c r="AN36">
        <f t="shared" si="18"/>
        <v>1</v>
      </c>
      <c r="AO36">
        <f t="shared" si="19"/>
        <v>1</v>
      </c>
      <c r="AP36">
        <f t="shared" si="20"/>
        <v>1</v>
      </c>
      <c r="AQ36">
        <f t="shared" si="21"/>
        <v>1</v>
      </c>
      <c r="AR36">
        <f t="shared" si="22"/>
        <v>1</v>
      </c>
      <c r="AS36">
        <f t="shared" si="23"/>
        <v>1</v>
      </c>
      <c r="AT36">
        <f t="shared" si="24"/>
        <v>1</v>
      </c>
      <c r="AU36">
        <f t="shared" si="25"/>
        <v>1</v>
      </c>
      <c r="AV36">
        <f t="shared" si="26"/>
        <v>1</v>
      </c>
      <c r="AW36">
        <f t="shared" si="27"/>
        <v>1</v>
      </c>
      <c r="AX36">
        <f t="shared" si="28"/>
        <v>1</v>
      </c>
      <c r="AY36">
        <f t="shared" si="29"/>
        <v>1</v>
      </c>
      <c r="AZ36">
        <f t="shared" si="30"/>
        <v>1</v>
      </c>
      <c r="BA36">
        <f t="shared" si="31"/>
        <v>1</v>
      </c>
      <c r="BB36">
        <f t="shared" si="32"/>
        <v>1</v>
      </c>
      <c r="BC36">
        <f t="shared" si="33"/>
        <v>1</v>
      </c>
      <c r="BD36">
        <f t="shared" si="34"/>
        <v>1</v>
      </c>
      <c r="BE36">
        <f t="shared" si="35"/>
        <v>1</v>
      </c>
      <c r="BF36">
        <f t="shared" si="36"/>
        <v>1</v>
      </c>
      <c r="BG36">
        <f t="shared" si="37"/>
        <v>1</v>
      </c>
      <c r="BH36">
        <f t="shared" si="38"/>
        <v>1</v>
      </c>
      <c r="BI36">
        <f t="shared" si="39"/>
        <v>1</v>
      </c>
      <c r="BJ36">
        <f t="shared" si="40"/>
        <v>1</v>
      </c>
      <c r="BK36">
        <f t="shared" si="41"/>
        <v>1</v>
      </c>
      <c r="BL36">
        <f t="shared" si="42"/>
        <v>1</v>
      </c>
      <c r="BM36">
        <f t="shared" si="43"/>
        <v>1</v>
      </c>
      <c r="BN36">
        <f t="shared" si="44"/>
        <v>1</v>
      </c>
      <c r="BO36">
        <f t="shared" si="45"/>
        <v>1</v>
      </c>
      <c r="BP36">
        <f t="shared" si="46"/>
        <v>1</v>
      </c>
      <c r="BQ36">
        <f t="shared" si="47"/>
        <v>1</v>
      </c>
      <c r="BR36">
        <f t="shared" si="48"/>
        <v>1</v>
      </c>
      <c r="BS36">
        <f t="shared" si="49"/>
        <v>1</v>
      </c>
      <c r="BT36">
        <f t="shared" si="50"/>
        <v>1</v>
      </c>
    </row>
    <row r="37" spans="1:72" ht="14.25" customHeight="1" x14ac:dyDescent="0.3">
      <c r="A37" s="130">
        <v>3</v>
      </c>
      <c r="B37" s="131" t="s">
        <v>132</v>
      </c>
      <c r="C37" s="132">
        <v>25001</v>
      </c>
      <c r="D37" s="133">
        <v>21980</v>
      </c>
      <c r="E37" s="133" t="s">
        <v>59</v>
      </c>
      <c r="F37" s="133">
        <v>2071</v>
      </c>
      <c r="G37" s="131" t="s">
        <v>60</v>
      </c>
      <c r="H37" s="134">
        <v>75003</v>
      </c>
      <c r="I37" s="134">
        <f t="shared" si="0"/>
        <v>13501</v>
      </c>
      <c r="J37" s="134">
        <f t="shared" si="1"/>
        <v>88504</v>
      </c>
      <c r="K37" s="134">
        <f t="shared" si="2"/>
        <v>1770</v>
      </c>
      <c r="L37" s="135">
        <f t="shared" si="3"/>
        <v>75.003</v>
      </c>
      <c r="M37" s="135">
        <f t="shared" si="4"/>
        <v>1991.3296499999997</v>
      </c>
      <c r="N37" s="136">
        <f t="shared" si="5"/>
        <v>33.751349999999995</v>
      </c>
      <c r="O37" s="135">
        <f t="shared" si="6"/>
        <v>1957.5782999999997</v>
      </c>
      <c r="P37" s="135">
        <f t="shared" si="7"/>
        <v>2033</v>
      </c>
      <c r="Q37" s="137">
        <v>0</v>
      </c>
      <c r="R37" s="135">
        <f t="shared" si="8"/>
        <v>0</v>
      </c>
      <c r="S37" s="134">
        <f t="shared" si="9"/>
        <v>88241</v>
      </c>
      <c r="T37" s="135">
        <f t="shared" si="10"/>
        <v>18751</v>
      </c>
      <c r="U37" s="138">
        <f>+T37</f>
        <v>18751</v>
      </c>
      <c r="V37" s="135" t="s">
        <v>61</v>
      </c>
      <c r="W37" s="135">
        <f t="shared" si="11"/>
        <v>69490</v>
      </c>
      <c r="X37" s="135">
        <v>69491</v>
      </c>
      <c r="Y37" s="135" t="s">
        <v>55</v>
      </c>
      <c r="Z37" s="135">
        <f t="shared" ca="1" si="12"/>
        <v>2655.1062000000002</v>
      </c>
      <c r="AA37" s="135"/>
      <c r="AB37" s="135"/>
      <c r="AC37" s="139">
        <f t="shared" si="13"/>
        <v>88242</v>
      </c>
      <c r="AD37" s="139">
        <f t="shared" si="14"/>
        <v>-1</v>
      </c>
      <c r="AE37" s="135" t="str">
        <f t="shared" si="15"/>
        <v>SETTLED</v>
      </c>
      <c r="AF37" s="135" t="s">
        <v>133</v>
      </c>
      <c r="AG37" s="140">
        <v>1800003314</v>
      </c>
      <c r="AH37" s="141" t="s">
        <v>63</v>
      </c>
      <c r="AL37">
        <f t="shared" si="16"/>
        <v>1</v>
      </c>
      <c r="AM37">
        <f t="shared" si="17"/>
        <v>1</v>
      </c>
      <c r="AN37">
        <f t="shared" si="18"/>
        <v>1</v>
      </c>
      <c r="AO37">
        <f t="shared" si="19"/>
        <v>1</v>
      </c>
      <c r="AP37">
        <f t="shared" si="20"/>
        <v>1</v>
      </c>
      <c r="AQ37">
        <f t="shared" si="21"/>
        <v>1</v>
      </c>
      <c r="AR37">
        <f t="shared" si="22"/>
        <v>1</v>
      </c>
      <c r="AS37">
        <f t="shared" si="23"/>
        <v>1</v>
      </c>
      <c r="AT37">
        <f t="shared" si="24"/>
        <v>1</v>
      </c>
      <c r="AU37">
        <f t="shared" si="25"/>
        <v>1</v>
      </c>
      <c r="AV37">
        <f t="shared" si="26"/>
        <v>1</v>
      </c>
      <c r="AW37">
        <f t="shared" si="27"/>
        <v>1</v>
      </c>
      <c r="AX37">
        <f t="shared" si="28"/>
        <v>1</v>
      </c>
      <c r="AY37">
        <f t="shared" si="29"/>
        <v>1</v>
      </c>
      <c r="AZ37">
        <f t="shared" si="30"/>
        <v>1</v>
      </c>
      <c r="BA37">
        <f t="shared" si="31"/>
        <v>1</v>
      </c>
      <c r="BB37">
        <f t="shared" si="32"/>
        <v>1</v>
      </c>
      <c r="BC37">
        <f t="shared" si="33"/>
        <v>1</v>
      </c>
      <c r="BD37">
        <f t="shared" si="34"/>
        <v>1</v>
      </c>
      <c r="BE37">
        <f t="shared" si="35"/>
        <v>1</v>
      </c>
      <c r="BF37">
        <f t="shared" si="36"/>
        <v>1</v>
      </c>
      <c r="BG37">
        <f t="shared" si="37"/>
        <v>1</v>
      </c>
      <c r="BH37">
        <f t="shared" si="38"/>
        <v>1</v>
      </c>
      <c r="BI37">
        <f t="shared" si="39"/>
        <v>1</v>
      </c>
      <c r="BJ37">
        <f t="shared" si="40"/>
        <v>1</v>
      </c>
      <c r="BK37">
        <f t="shared" si="41"/>
        <v>1</v>
      </c>
      <c r="BL37">
        <f t="shared" si="42"/>
        <v>1</v>
      </c>
      <c r="BM37">
        <f t="shared" si="43"/>
        <v>1</v>
      </c>
      <c r="BN37">
        <f t="shared" si="44"/>
        <v>1</v>
      </c>
      <c r="BO37">
        <f t="shared" si="45"/>
        <v>1</v>
      </c>
      <c r="BP37">
        <f t="shared" si="46"/>
        <v>1</v>
      </c>
      <c r="BQ37">
        <f t="shared" si="47"/>
        <v>1</v>
      </c>
      <c r="BR37">
        <f t="shared" si="48"/>
        <v>1</v>
      </c>
      <c r="BS37">
        <f t="shared" si="49"/>
        <v>1</v>
      </c>
      <c r="BT37">
        <f t="shared" si="50"/>
        <v>1</v>
      </c>
    </row>
    <row r="38" spans="1:72" ht="14.25" customHeight="1" x14ac:dyDescent="0.3">
      <c r="A38" s="23">
        <v>3</v>
      </c>
      <c r="B38" s="24" t="s">
        <v>79</v>
      </c>
      <c r="C38" s="25">
        <v>70001</v>
      </c>
      <c r="D38" s="26">
        <v>21980</v>
      </c>
      <c r="E38" s="26" t="s">
        <v>59</v>
      </c>
      <c r="F38" s="26">
        <v>2086</v>
      </c>
      <c r="G38" s="24" t="s">
        <v>134</v>
      </c>
      <c r="H38" s="27">
        <v>210003</v>
      </c>
      <c r="I38" s="27">
        <f t="shared" si="0"/>
        <v>37801</v>
      </c>
      <c r="J38" s="27">
        <f t="shared" si="1"/>
        <v>247804</v>
      </c>
      <c r="K38" s="27">
        <f t="shared" si="2"/>
        <v>4956</v>
      </c>
      <c r="L38" s="28">
        <f t="shared" si="3"/>
        <v>210.00300000000001</v>
      </c>
      <c r="M38" s="28">
        <f t="shared" si="4"/>
        <v>5575.5796499999997</v>
      </c>
      <c r="N38" s="29">
        <f t="shared" si="5"/>
        <v>94.501350000000002</v>
      </c>
      <c r="O38" s="28">
        <f t="shared" si="6"/>
        <v>5481.0782999999992</v>
      </c>
      <c r="P38" s="28">
        <f t="shared" si="7"/>
        <v>5691</v>
      </c>
      <c r="Q38" s="30">
        <v>0</v>
      </c>
      <c r="R38" s="28">
        <f t="shared" si="8"/>
        <v>0</v>
      </c>
      <c r="S38" s="27">
        <f t="shared" si="9"/>
        <v>247069</v>
      </c>
      <c r="T38" s="28">
        <f t="shared" si="10"/>
        <v>52501</v>
      </c>
      <c r="U38" s="31">
        <v>52501</v>
      </c>
      <c r="V38" s="28" t="s">
        <v>78</v>
      </c>
      <c r="W38" s="28">
        <f t="shared" si="11"/>
        <v>194568</v>
      </c>
      <c r="X38" s="28">
        <v>194568</v>
      </c>
      <c r="Y38" s="28" t="s">
        <v>78</v>
      </c>
      <c r="Z38" s="28">
        <f t="shared" ca="1" si="12"/>
        <v>7434.1061999999993</v>
      </c>
      <c r="AA38" s="28"/>
      <c r="AB38" s="28"/>
      <c r="AC38" s="15">
        <f t="shared" si="13"/>
        <v>247069</v>
      </c>
      <c r="AD38" s="19">
        <f t="shared" si="14"/>
        <v>0</v>
      </c>
      <c r="AE38" s="20" t="str">
        <f t="shared" si="15"/>
        <v>SETTLED</v>
      </c>
      <c r="AF38" s="20" t="s">
        <v>135</v>
      </c>
      <c r="AG38" s="21">
        <v>1800003226</v>
      </c>
      <c r="AH38" s="22" t="s">
        <v>136</v>
      </c>
      <c r="AL38">
        <f t="shared" si="16"/>
        <v>1</v>
      </c>
      <c r="AM38">
        <f t="shared" si="17"/>
        <v>1</v>
      </c>
      <c r="AN38">
        <f t="shared" si="18"/>
        <v>1</v>
      </c>
      <c r="AO38">
        <f t="shared" si="19"/>
        <v>1</v>
      </c>
      <c r="AP38">
        <f t="shared" si="20"/>
        <v>1</v>
      </c>
      <c r="AQ38">
        <f t="shared" si="21"/>
        <v>1</v>
      </c>
      <c r="AR38">
        <f t="shared" si="22"/>
        <v>1</v>
      </c>
      <c r="AS38">
        <f t="shared" si="23"/>
        <v>1</v>
      </c>
      <c r="AT38">
        <f t="shared" si="24"/>
        <v>1</v>
      </c>
      <c r="AU38">
        <f t="shared" si="25"/>
        <v>1</v>
      </c>
      <c r="AV38">
        <f t="shared" si="26"/>
        <v>1</v>
      </c>
      <c r="AW38">
        <f t="shared" si="27"/>
        <v>1</v>
      </c>
      <c r="AX38">
        <f t="shared" si="28"/>
        <v>1</v>
      </c>
      <c r="AY38">
        <f t="shared" si="29"/>
        <v>1</v>
      </c>
      <c r="AZ38">
        <f t="shared" si="30"/>
        <v>1</v>
      </c>
      <c r="BA38">
        <f t="shared" si="31"/>
        <v>1</v>
      </c>
      <c r="BB38">
        <f t="shared" si="32"/>
        <v>1</v>
      </c>
      <c r="BC38">
        <f t="shared" si="33"/>
        <v>1</v>
      </c>
      <c r="BD38">
        <f t="shared" si="34"/>
        <v>1</v>
      </c>
      <c r="BE38">
        <f t="shared" si="35"/>
        <v>1</v>
      </c>
      <c r="BF38">
        <f t="shared" si="36"/>
        <v>1</v>
      </c>
      <c r="BG38">
        <f t="shared" si="37"/>
        <v>1</v>
      </c>
      <c r="BH38">
        <f t="shared" si="38"/>
        <v>1</v>
      </c>
      <c r="BI38">
        <f t="shared" si="39"/>
        <v>1</v>
      </c>
      <c r="BJ38">
        <f t="shared" si="40"/>
        <v>1</v>
      </c>
      <c r="BK38">
        <f t="shared" si="41"/>
        <v>1</v>
      </c>
      <c r="BL38">
        <f t="shared" si="42"/>
        <v>1</v>
      </c>
      <c r="BM38">
        <f t="shared" si="43"/>
        <v>1</v>
      </c>
      <c r="BN38">
        <f t="shared" si="44"/>
        <v>1</v>
      </c>
      <c r="BO38">
        <f t="shared" si="45"/>
        <v>1</v>
      </c>
      <c r="BP38">
        <f t="shared" si="46"/>
        <v>1</v>
      </c>
      <c r="BQ38">
        <f t="shared" si="47"/>
        <v>1</v>
      </c>
      <c r="BR38">
        <f t="shared" si="48"/>
        <v>1</v>
      </c>
      <c r="BS38">
        <f t="shared" si="49"/>
        <v>1</v>
      </c>
      <c r="BT38">
        <f t="shared" si="50"/>
        <v>1</v>
      </c>
    </row>
    <row r="39" spans="1:72" ht="14.25" customHeight="1" x14ac:dyDescent="0.3">
      <c r="A39" s="130">
        <v>2</v>
      </c>
      <c r="B39" s="131" t="s">
        <v>137</v>
      </c>
      <c r="C39" s="132">
        <v>15006</v>
      </c>
      <c r="D39" s="133">
        <v>21980</v>
      </c>
      <c r="E39" s="133" t="s">
        <v>59</v>
      </c>
      <c r="F39" s="133">
        <v>2089</v>
      </c>
      <c r="G39" s="131" t="s">
        <v>138</v>
      </c>
      <c r="H39" s="134">
        <v>30012</v>
      </c>
      <c r="I39" s="134">
        <f t="shared" si="0"/>
        <v>5402</v>
      </c>
      <c r="J39" s="134">
        <f t="shared" si="1"/>
        <v>35414</v>
      </c>
      <c r="K39" s="134">
        <f t="shared" si="2"/>
        <v>708</v>
      </c>
      <c r="L39" s="135">
        <f t="shared" si="3"/>
        <v>30.012</v>
      </c>
      <c r="M39" s="135">
        <f t="shared" si="4"/>
        <v>796.81859999999995</v>
      </c>
      <c r="N39" s="136">
        <f t="shared" si="5"/>
        <v>13.5054</v>
      </c>
      <c r="O39" s="135">
        <f t="shared" si="6"/>
        <v>783.31319999999994</v>
      </c>
      <c r="P39" s="135">
        <f t="shared" si="7"/>
        <v>813</v>
      </c>
      <c r="Q39" s="137">
        <v>0</v>
      </c>
      <c r="R39" s="135">
        <f t="shared" si="8"/>
        <v>0</v>
      </c>
      <c r="S39" s="134">
        <f t="shared" si="9"/>
        <v>35309</v>
      </c>
      <c r="T39" s="135">
        <f t="shared" si="10"/>
        <v>7503</v>
      </c>
      <c r="U39" s="138">
        <v>7503</v>
      </c>
      <c r="V39" s="135" t="s">
        <v>73</v>
      </c>
      <c r="W39" s="135">
        <f t="shared" si="11"/>
        <v>27806</v>
      </c>
      <c r="X39" s="135">
        <v>27806</v>
      </c>
      <c r="Y39" s="135" t="s">
        <v>139</v>
      </c>
      <c r="Z39" s="135">
        <f t="shared" ca="1" si="12"/>
        <v>708.28319999999997</v>
      </c>
      <c r="AA39" s="135">
        <v>708</v>
      </c>
      <c r="AB39" s="135" t="s">
        <v>139</v>
      </c>
      <c r="AC39" s="139">
        <f t="shared" si="13"/>
        <v>36017</v>
      </c>
      <c r="AD39" s="139">
        <f t="shared" si="14"/>
        <v>-708</v>
      </c>
      <c r="AE39" s="135" t="str">
        <f t="shared" si="15"/>
        <v>SETTLED</v>
      </c>
      <c r="AF39" s="135"/>
      <c r="AG39" s="140"/>
      <c r="AH39" s="141"/>
      <c r="AL39">
        <f t="shared" si="16"/>
        <v>1</v>
      </c>
      <c r="AM39">
        <f t="shared" si="17"/>
        <v>1</v>
      </c>
      <c r="AN39">
        <f t="shared" si="18"/>
        <v>1</v>
      </c>
      <c r="AO39">
        <f t="shared" si="19"/>
        <v>1</v>
      </c>
      <c r="AP39">
        <f t="shared" si="20"/>
        <v>1</v>
      </c>
      <c r="AQ39">
        <f t="shared" si="21"/>
        <v>1</v>
      </c>
      <c r="AR39">
        <f t="shared" si="22"/>
        <v>1</v>
      </c>
      <c r="AS39">
        <f t="shared" si="23"/>
        <v>1</v>
      </c>
      <c r="AT39">
        <f t="shared" si="24"/>
        <v>1</v>
      </c>
      <c r="AU39">
        <f t="shared" si="25"/>
        <v>1</v>
      </c>
      <c r="AV39">
        <f t="shared" si="26"/>
        <v>1</v>
      </c>
      <c r="AW39">
        <f t="shared" si="27"/>
        <v>1</v>
      </c>
      <c r="AX39">
        <f t="shared" si="28"/>
        <v>1</v>
      </c>
      <c r="AY39">
        <f t="shared" si="29"/>
        <v>1</v>
      </c>
      <c r="AZ39">
        <f t="shared" si="30"/>
        <v>1</v>
      </c>
      <c r="BA39">
        <f t="shared" si="31"/>
        <v>1</v>
      </c>
      <c r="BB39">
        <f t="shared" si="32"/>
        <v>1</v>
      </c>
      <c r="BC39">
        <f t="shared" si="33"/>
        <v>1</v>
      </c>
      <c r="BD39">
        <f t="shared" si="34"/>
        <v>1</v>
      </c>
      <c r="BE39">
        <f t="shared" si="35"/>
        <v>1</v>
      </c>
      <c r="BF39">
        <f t="shared" si="36"/>
        <v>1</v>
      </c>
      <c r="BG39">
        <f t="shared" si="37"/>
        <v>1</v>
      </c>
      <c r="BH39">
        <f t="shared" si="38"/>
        <v>1</v>
      </c>
      <c r="BI39">
        <f t="shared" si="39"/>
        <v>1</v>
      </c>
      <c r="BJ39">
        <f t="shared" si="40"/>
        <v>1</v>
      </c>
      <c r="BK39">
        <f t="shared" si="41"/>
        <v>1</v>
      </c>
      <c r="BL39">
        <f t="shared" si="42"/>
        <v>1</v>
      </c>
      <c r="BM39">
        <f t="shared" si="43"/>
        <v>1</v>
      </c>
      <c r="BN39">
        <f t="shared" si="44"/>
        <v>1</v>
      </c>
      <c r="BO39">
        <f t="shared" si="45"/>
        <v>1</v>
      </c>
      <c r="BP39">
        <f t="shared" si="46"/>
        <v>1</v>
      </c>
      <c r="BQ39">
        <f t="shared" si="47"/>
        <v>1</v>
      </c>
      <c r="BR39">
        <f t="shared" si="48"/>
        <v>1</v>
      </c>
      <c r="BS39">
        <f t="shared" si="49"/>
        <v>1</v>
      </c>
      <c r="BT39">
        <f t="shared" si="50"/>
        <v>1</v>
      </c>
    </row>
    <row r="40" spans="1:72" ht="15" customHeight="1" x14ac:dyDescent="0.3">
      <c r="A40" s="32">
        <v>3</v>
      </c>
      <c r="B40" s="33" t="s">
        <v>79</v>
      </c>
      <c r="C40" s="34">
        <v>40003</v>
      </c>
      <c r="D40" s="35">
        <v>21980</v>
      </c>
      <c r="E40" s="35" t="s">
        <v>59</v>
      </c>
      <c r="F40" s="35">
        <v>2091</v>
      </c>
      <c r="G40" s="33" t="s">
        <v>138</v>
      </c>
      <c r="H40" s="36">
        <v>120009</v>
      </c>
      <c r="I40" s="36">
        <f t="shared" si="0"/>
        <v>21602</v>
      </c>
      <c r="J40" s="36">
        <f t="shared" si="1"/>
        <v>141611</v>
      </c>
      <c r="K40" s="36">
        <f t="shared" si="2"/>
        <v>2832</v>
      </c>
      <c r="L40" s="37">
        <f t="shared" si="3"/>
        <v>120.009</v>
      </c>
      <c r="M40" s="37">
        <f t="shared" si="4"/>
        <v>3186.2389499999995</v>
      </c>
      <c r="N40" s="38">
        <f t="shared" si="5"/>
        <v>54.004049999999999</v>
      </c>
      <c r="O40" s="37">
        <f t="shared" si="6"/>
        <v>3132.2348999999995</v>
      </c>
      <c r="P40" s="37">
        <f t="shared" si="7"/>
        <v>3252</v>
      </c>
      <c r="Q40" s="39">
        <v>0</v>
      </c>
      <c r="R40" s="37">
        <f t="shared" si="8"/>
        <v>0</v>
      </c>
      <c r="S40" s="36">
        <f t="shared" si="9"/>
        <v>141191</v>
      </c>
      <c r="T40" s="37">
        <f t="shared" si="10"/>
        <v>30002</v>
      </c>
      <c r="U40" s="40">
        <v>30002</v>
      </c>
      <c r="V40" s="37" t="s">
        <v>73</v>
      </c>
      <c r="W40" s="37">
        <f t="shared" si="11"/>
        <v>111188</v>
      </c>
      <c r="X40" s="37">
        <v>111189</v>
      </c>
      <c r="Y40" s="37" t="s">
        <v>139</v>
      </c>
      <c r="Z40" s="37">
        <f t="shared" ca="1" si="12"/>
        <v>2832.2123999999999</v>
      </c>
      <c r="AA40" s="37">
        <v>2832</v>
      </c>
      <c r="AB40" s="37" t="s">
        <v>139</v>
      </c>
      <c r="AC40" s="15">
        <f t="shared" si="13"/>
        <v>144023</v>
      </c>
      <c r="AD40" s="19">
        <f t="shared" si="14"/>
        <v>-2832</v>
      </c>
      <c r="AE40" s="20" t="str">
        <f t="shared" si="15"/>
        <v>SETTLED</v>
      </c>
      <c r="AF40" s="20"/>
      <c r="AG40" s="21"/>
      <c r="AH40" s="22"/>
      <c r="AL40">
        <f t="shared" si="16"/>
        <v>1</v>
      </c>
      <c r="AM40">
        <f t="shared" si="17"/>
        <v>1</v>
      </c>
      <c r="AN40">
        <f t="shared" si="18"/>
        <v>1</v>
      </c>
      <c r="AO40">
        <f t="shared" si="19"/>
        <v>1</v>
      </c>
      <c r="AP40">
        <f t="shared" si="20"/>
        <v>1</v>
      </c>
      <c r="AQ40">
        <f t="shared" si="21"/>
        <v>1</v>
      </c>
      <c r="AR40">
        <f t="shared" si="22"/>
        <v>1</v>
      </c>
      <c r="AS40">
        <f t="shared" si="23"/>
        <v>1</v>
      </c>
      <c r="AT40">
        <f t="shared" si="24"/>
        <v>1</v>
      </c>
      <c r="AU40">
        <f t="shared" si="25"/>
        <v>1</v>
      </c>
      <c r="AV40">
        <f t="shared" si="26"/>
        <v>1</v>
      </c>
      <c r="AW40">
        <f t="shared" si="27"/>
        <v>1</v>
      </c>
      <c r="AX40">
        <f t="shared" si="28"/>
        <v>1</v>
      </c>
      <c r="AY40">
        <f t="shared" si="29"/>
        <v>1</v>
      </c>
      <c r="AZ40">
        <f t="shared" si="30"/>
        <v>1</v>
      </c>
      <c r="BA40">
        <f t="shared" si="31"/>
        <v>1</v>
      </c>
      <c r="BB40">
        <f t="shared" si="32"/>
        <v>1</v>
      </c>
      <c r="BC40">
        <f t="shared" si="33"/>
        <v>1</v>
      </c>
      <c r="BD40">
        <f t="shared" si="34"/>
        <v>1</v>
      </c>
      <c r="BE40">
        <f t="shared" si="35"/>
        <v>1</v>
      </c>
      <c r="BF40">
        <f t="shared" si="36"/>
        <v>1</v>
      </c>
      <c r="BG40">
        <f t="shared" si="37"/>
        <v>1</v>
      </c>
      <c r="BH40">
        <f t="shared" si="38"/>
        <v>1</v>
      </c>
      <c r="BI40">
        <f t="shared" si="39"/>
        <v>1</v>
      </c>
      <c r="BJ40">
        <f t="shared" si="40"/>
        <v>1</v>
      </c>
      <c r="BK40">
        <f t="shared" si="41"/>
        <v>1</v>
      </c>
      <c r="BL40">
        <f t="shared" si="42"/>
        <v>1</v>
      </c>
      <c r="BM40">
        <f t="shared" si="43"/>
        <v>1</v>
      </c>
      <c r="BN40">
        <f t="shared" si="44"/>
        <v>1</v>
      </c>
      <c r="BO40">
        <f t="shared" si="45"/>
        <v>1</v>
      </c>
      <c r="BP40">
        <f t="shared" si="46"/>
        <v>1</v>
      </c>
      <c r="BQ40">
        <f t="shared" si="47"/>
        <v>1</v>
      </c>
      <c r="BR40">
        <f t="shared" si="48"/>
        <v>1</v>
      </c>
      <c r="BS40">
        <f t="shared" si="49"/>
        <v>1</v>
      </c>
      <c r="BT40">
        <f t="shared" si="50"/>
        <v>1</v>
      </c>
    </row>
    <row r="41" spans="1:72" ht="14.25" customHeight="1" x14ac:dyDescent="0.3">
      <c r="A41" s="142"/>
      <c r="B41" s="143"/>
      <c r="C41" s="143"/>
      <c r="D41" s="143"/>
      <c r="E41" s="143"/>
      <c r="F41" s="143"/>
      <c r="G41" s="143"/>
      <c r="H41" s="144">
        <f t="shared" ref="H41:P41" si="51">SUM(H4:H40)</f>
        <v>15130598</v>
      </c>
      <c r="I41" s="144">
        <f t="shared" si="51"/>
        <v>2723508</v>
      </c>
      <c r="J41" s="144">
        <f t="shared" si="51"/>
        <v>17854106</v>
      </c>
      <c r="K41" s="144">
        <f t="shared" si="51"/>
        <v>357082</v>
      </c>
      <c r="L41" s="144">
        <f t="shared" si="51"/>
        <v>15130.598000000002</v>
      </c>
      <c r="M41" s="144">
        <f t="shared" si="51"/>
        <v>401717.37689999992</v>
      </c>
      <c r="N41" s="144">
        <f t="shared" si="51"/>
        <v>6808.7690999999977</v>
      </c>
      <c r="O41" s="144">
        <f t="shared" si="51"/>
        <v>394908.6078</v>
      </c>
      <c r="P41" s="144">
        <f t="shared" si="51"/>
        <v>410039</v>
      </c>
      <c r="Q41" s="145"/>
      <c r="R41" s="145">
        <f>SUM(R4:R40)</f>
        <v>83029</v>
      </c>
      <c r="S41" s="144">
        <f>SUM(S4:S40)</f>
        <v>17718123</v>
      </c>
      <c r="T41" s="144">
        <f>SUM(T4:T40)</f>
        <v>3782654</v>
      </c>
      <c r="U41" s="144">
        <f>SUM(U4:U40)</f>
        <v>3782654</v>
      </c>
      <c r="V41" s="145"/>
      <c r="W41" s="144">
        <f>SUM(W4:W40)</f>
        <v>13935473</v>
      </c>
      <c r="X41" s="144">
        <f>SUM(X4:X40)</f>
        <v>13137293</v>
      </c>
      <c r="Y41" s="145"/>
      <c r="Z41" s="145">
        <f ca="1">SUM(Z4:Z40)</f>
        <v>533852.92139999988</v>
      </c>
      <c r="AA41" s="145">
        <f>SUM(AA4:AA40)</f>
        <v>3540</v>
      </c>
      <c r="AB41" s="145"/>
      <c r="AC41" s="145">
        <f>SUM(AC4:AC40)</f>
        <v>16923487</v>
      </c>
      <c r="AD41" s="144">
        <f>SUM(AD4:AD40)</f>
        <v>794636.00000000047</v>
      </c>
      <c r="AE41" s="144" t="str">
        <f t="shared" si="15"/>
        <v>OUTSTANDING</v>
      </c>
      <c r="AF41" s="143"/>
      <c r="AG41" s="143"/>
      <c r="AH41" s="146"/>
    </row>
    <row r="42" spans="1:72" ht="15" customHeight="1" x14ac:dyDescent="0.3">
      <c r="A42" s="41"/>
      <c r="B42" s="42"/>
      <c r="C42" s="42"/>
      <c r="D42" s="42"/>
      <c r="E42" s="42"/>
      <c r="F42" s="42"/>
      <c r="G42" s="42"/>
      <c r="H42" s="43">
        <f>+H41</f>
        <v>15130598</v>
      </c>
      <c r="I42" s="43">
        <f>ROUND(H42*18%,0)</f>
        <v>2723508</v>
      </c>
      <c r="J42" s="43">
        <f>+H42+I42</f>
        <v>17854106</v>
      </c>
      <c r="K42" s="43">
        <f>ROUND((H42+I42)*2%,0)</f>
        <v>357082</v>
      </c>
      <c r="L42" s="44">
        <f>ROUND(H42*0.1%,0)</f>
        <v>15131</v>
      </c>
      <c r="M42" s="44">
        <f>ROUND(H42*2.25%*118%,0)</f>
        <v>401717</v>
      </c>
      <c r="N42" s="45">
        <f>ROUND(H42*2.25%*2%,0)</f>
        <v>6809</v>
      </c>
      <c r="O42" s="44">
        <f>ROUND(M42-N42,0)</f>
        <v>394908</v>
      </c>
      <c r="P42" s="44">
        <f>ROUND(O42+L42,0)</f>
        <v>410039</v>
      </c>
      <c r="Q42" s="44"/>
      <c r="R42" s="44">
        <f>+R41</f>
        <v>83029</v>
      </c>
      <c r="S42" s="43">
        <f>H42*117.65%-R42</f>
        <v>17718119.547000002</v>
      </c>
      <c r="T42" s="46"/>
      <c r="U42" s="46">
        <f>+T41-U41</f>
        <v>0</v>
      </c>
      <c r="V42" s="47"/>
      <c r="W42" s="48"/>
      <c r="X42" s="48">
        <f>+W41-X41</f>
        <v>798180</v>
      </c>
      <c r="Y42" s="47"/>
      <c r="Z42" s="47"/>
      <c r="AA42" s="47"/>
      <c r="AB42" s="47"/>
      <c r="AC42" s="47"/>
      <c r="AD42" s="47"/>
      <c r="AE42" s="42"/>
      <c r="AF42" s="42"/>
      <c r="AG42" s="42"/>
      <c r="AH42" s="49"/>
    </row>
    <row r="43" spans="1:72" ht="14.25" customHeight="1" x14ac:dyDescent="0.3">
      <c r="I43" s="50"/>
      <c r="J43" s="50"/>
      <c r="U43" s="51" t="s">
        <v>140</v>
      </c>
      <c r="X43" s="52" t="s">
        <v>141</v>
      </c>
    </row>
    <row r="44" spans="1:72" ht="14.25" customHeight="1" x14ac:dyDescent="0.3">
      <c r="U44" s="53"/>
    </row>
    <row r="46" spans="1:72" ht="14.25" customHeight="1" x14ac:dyDescent="0.3">
      <c r="K46" s="50"/>
    </row>
  </sheetData>
  <autoFilter ref="A3:AH43" xr:uid="{00000000-0009-0000-0000-000000000000}">
    <sortState xmlns:xlrd2="http://schemas.microsoft.com/office/spreadsheetml/2017/richdata2" ref="A4:AG43">
      <sortCondition ref="A4:A43"/>
    </sortState>
  </autoFilter>
  <conditionalFormatting sqref="A4:AH40">
    <cfRule type="expression" dxfId="112" priority="1">
      <formula>AND(COUNTIF($A$2:$AH$2,"&lt;&gt;")&gt;0,$BT4=0)</formula>
    </cfRule>
  </conditionalFormatting>
  <conditionalFormatting sqref="A4:A40">
    <cfRule type="expression" dxfId="111" priority="2">
      <formula>AND($A$2&lt;&gt;"",$AL4=1)</formula>
    </cfRule>
  </conditionalFormatting>
  <conditionalFormatting sqref="B4:B40">
    <cfRule type="expression" dxfId="110" priority="3">
      <formula>AND($B$2&lt;&gt;"",$AM4=1)</formula>
    </cfRule>
  </conditionalFormatting>
  <conditionalFormatting sqref="C4:C40">
    <cfRule type="expression" dxfId="109" priority="4">
      <formula>AND($C$2&lt;&gt;"",$AN4=1)</formula>
    </cfRule>
  </conditionalFormatting>
  <conditionalFormatting sqref="D4:D40">
    <cfRule type="expression" dxfId="108" priority="5">
      <formula>AND($D$2&lt;&gt;"",$AO4=1)</formula>
    </cfRule>
  </conditionalFormatting>
  <conditionalFormatting sqref="E4:E40">
    <cfRule type="expression" dxfId="107" priority="6">
      <formula>AND($E$2&lt;&gt;"",$AP4=1)</formula>
    </cfRule>
  </conditionalFormatting>
  <conditionalFormatting sqref="F4:F40">
    <cfRule type="expression" dxfId="106" priority="7">
      <formula>AND($F$2&lt;&gt;"",$AQ4=1)</formula>
    </cfRule>
  </conditionalFormatting>
  <conditionalFormatting sqref="G4:G40">
    <cfRule type="expression" dxfId="105" priority="8">
      <formula>AND($G$2&lt;&gt;"",$AR4=1)</formula>
    </cfRule>
  </conditionalFormatting>
  <conditionalFormatting sqref="H4:H40">
    <cfRule type="expression" dxfId="104" priority="9">
      <formula>AND($H$2&lt;&gt;"",$AS4=1)</formula>
    </cfRule>
  </conditionalFormatting>
  <conditionalFormatting sqref="I4:I40">
    <cfRule type="expression" dxfId="103" priority="10">
      <formula>AND($I$2&lt;&gt;"",$AT4=1)</formula>
    </cfRule>
  </conditionalFormatting>
  <conditionalFormatting sqref="J4:J40">
    <cfRule type="expression" dxfId="102" priority="11">
      <formula>AND($J$2&lt;&gt;"",$AU4=1)</formula>
    </cfRule>
  </conditionalFormatting>
  <conditionalFormatting sqref="K4:K40">
    <cfRule type="expression" dxfId="101" priority="12">
      <formula>AND($K$2&lt;&gt;"",$AV4=1)</formula>
    </cfRule>
  </conditionalFormatting>
  <conditionalFormatting sqref="L4:L40">
    <cfRule type="expression" dxfId="100" priority="13">
      <formula>AND($L$2&lt;&gt;"",$AW4=1)</formula>
    </cfRule>
  </conditionalFormatting>
  <conditionalFormatting sqref="M4:M40">
    <cfRule type="expression" dxfId="99" priority="14">
      <formula>AND($M$2&lt;&gt;"",$AX4=1)</formula>
    </cfRule>
  </conditionalFormatting>
  <conditionalFormatting sqref="N4:N40">
    <cfRule type="expression" dxfId="98" priority="15">
      <formula>AND($N$2&lt;&gt;"",$AY4=1)</formula>
    </cfRule>
  </conditionalFormatting>
  <conditionalFormatting sqref="O4:O40">
    <cfRule type="expression" dxfId="97" priority="16">
      <formula>AND($O$2&lt;&gt;"",$AZ4=1)</formula>
    </cfRule>
  </conditionalFormatting>
  <conditionalFormatting sqref="P4:P40">
    <cfRule type="expression" dxfId="96" priority="17">
      <formula>AND($P$2&lt;&gt;"",$BA4=1)</formula>
    </cfRule>
  </conditionalFormatting>
  <conditionalFormatting sqref="Q4:Q40">
    <cfRule type="expression" dxfId="95" priority="18">
      <formula>AND($Q$2&lt;&gt;"",$BB4=1)</formula>
    </cfRule>
  </conditionalFormatting>
  <conditionalFormatting sqref="R4:R40">
    <cfRule type="expression" dxfId="94" priority="19">
      <formula>AND($R$2&lt;&gt;"",$BC4=1)</formula>
    </cfRule>
  </conditionalFormatting>
  <conditionalFormatting sqref="S4:S40">
    <cfRule type="expression" dxfId="93" priority="20">
      <formula>AND($S$2&lt;&gt;"",$BD4=1)</formula>
    </cfRule>
  </conditionalFormatting>
  <conditionalFormatting sqref="T4:T40">
    <cfRule type="expression" dxfId="92" priority="21">
      <formula>AND($T$2&lt;&gt;"",$BE4=1)</formula>
    </cfRule>
  </conditionalFormatting>
  <conditionalFormatting sqref="U4:U40">
    <cfRule type="expression" dxfId="91" priority="22">
      <formula>AND($U$2&lt;&gt;"",$BF4=1)</formula>
    </cfRule>
  </conditionalFormatting>
  <conditionalFormatting sqref="V4:V40">
    <cfRule type="expression" dxfId="90" priority="23">
      <formula>AND($V$2&lt;&gt;"",$BG4=1)</formula>
    </cfRule>
  </conditionalFormatting>
  <conditionalFormatting sqref="W4:W40">
    <cfRule type="expression" dxfId="89" priority="24">
      <formula>AND($W$2&lt;&gt;"",$BH4=1)</formula>
    </cfRule>
  </conditionalFormatting>
  <conditionalFormatting sqref="X4:X40">
    <cfRule type="expression" dxfId="88" priority="25">
      <formula>AND($X$2&lt;&gt;"",$BI4=1)</formula>
    </cfRule>
  </conditionalFormatting>
  <conditionalFormatting sqref="Y4:Y40">
    <cfRule type="expression" dxfId="87" priority="26">
      <formula>AND($Y$2&lt;&gt;"",$BJ4=1)</formula>
    </cfRule>
  </conditionalFormatting>
  <conditionalFormatting sqref="Z4:Z40">
    <cfRule type="expression" dxfId="86" priority="27">
      <formula>AND($Z$2&lt;&gt;"",$BK4=1)</formula>
    </cfRule>
  </conditionalFormatting>
  <conditionalFormatting sqref="AA4:AA40">
    <cfRule type="expression" dxfId="85" priority="28">
      <formula>AND($AA$2&lt;&gt;"",$BL4=1)</formula>
    </cfRule>
  </conditionalFormatting>
  <conditionalFormatting sqref="AB4:AB40">
    <cfRule type="expression" dxfId="84" priority="29">
      <formula>AND($AB$2&lt;&gt;"",$BM4=1)</formula>
    </cfRule>
  </conditionalFormatting>
  <conditionalFormatting sqref="AC4:AC40">
    <cfRule type="expression" dxfId="83" priority="30">
      <formula>AND($AC$2&lt;&gt;"",$BN4=1)</formula>
    </cfRule>
  </conditionalFormatting>
  <conditionalFormatting sqref="AD4:AD40">
    <cfRule type="expression" dxfId="82" priority="31">
      <formula>AND($AD$2&lt;&gt;"",$BO4=1)</formula>
    </cfRule>
  </conditionalFormatting>
  <conditionalFormatting sqref="AE4:AE40">
    <cfRule type="expression" dxfId="81" priority="32">
      <formula>AND($AE$2&lt;&gt;"",$BP4=1)</formula>
    </cfRule>
  </conditionalFormatting>
  <conditionalFormatting sqref="AF4:AF40">
    <cfRule type="expression" dxfId="80" priority="33">
      <formula>AND($AF$2&lt;&gt;"",$BQ4=1)</formula>
    </cfRule>
  </conditionalFormatting>
  <conditionalFormatting sqref="AG4:AG40">
    <cfRule type="expression" dxfId="79" priority="34">
      <formula>AND($AG$2&lt;&gt;"",$BR4=1)</formula>
    </cfRule>
  </conditionalFormatting>
  <conditionalFormatting sqref="AH4:AH40">
    <cfRule type="expression" dxfId="78" priority="35">
      <formula>AND($AH$2&lt;&gt;"",$BS4=1)</formula>
    </cfRule>
  </conditionalFormatting>
  <conditionalFormatting sqref="AE4:AE41">
    <cfRule type="cellIs" dxfId="77" priority="36" operator="equal">
      <formula>"SETTLED"</formula>
    </cfRule>
    <cfRule type="cellIs" dxfId="76" priority="37" operator="equal">
      <formula>"OUTSTANDING"</formula>
    </cfRule>
  </conditionalFormatting>
  <conditionalFormatting sqref="AD4:AD41">
    <cfRule type="cellIs" dxfId="75" priority="38" operator="greaterThan">
      <formula>5</formula>
    </cfRule>
  </conditionalFormatting>
  <dataValidations count="34">
    <dataValidation type="list" sqref="A2" xr:uid="{00000000-0002-0000-0000-000000000000}">
      <formula1>SUGF_A</formula1>
      <formula2>0</formula2>
    </dataValidation>
    <dataValidation type="list" sqref="B2" xr:uid="{00000000-0002-0000-0000-000001000000}">
      <formula1>SUGF_B</formula1>
      <formula2>0</formula2>
    </dataValidation>
    <dataValidation type="list" sqref="C2" xr:uid="{00000000-0002-0000-0000-000002000000}">
      <formula1>SUGF_C</formula1>
      <formula2>0</formula2>
    </dataValidation>
    <dataValidation type="list" sqref="D2" xr:uid="{00000000-0002-0000-0000-000003000000}">
      <formula1>SUGF_D</formula1>
      <formula2>0</formula2>
    </dataValidation>
    <dataValidation type="list" sqref="E2" xr:uid="{00000000-0002-0000-0000-000004000000}">
      <formula1>SUGF_E</formula1>
      <formula2>0</formula2>
    </dataValidation>
    <dataValidation type="list" sqref="F2" xr:uid="{00000000-0002-0000-0000-000005000000}">
      <formula1>SUGF_F</formula1>
      <formula2>0</formula2>
    </dataValidation>
    <dataValidation type="list" sqref="G2" xr:uid="{00000000-0002-0000-0000-000006000000}">
      <formula1>SUGF_G</formula1>
      <formula2>0</formula2>
    </dataValidation>
    <dataValidation type="list" sqref="H2" xr:uid="{00000000-0002-0000-0000-000007000000}">
      <formula1>SUGF_H</formula1>
      <formula2>0</formula2>
    </dataValidation>
    <dataValidation type="list" sqref="I2" xr:uid="{00000000-0002-0000-0000-000008000000}">
      <formula1>SUGF_I</formula1>
      <formula2>0</formula2>
    </dataValidation>
    <dataValidation type="list" sqref="J2" xr:uid="{00000000-0002-0000-0000-000009000000}">
      <formula1>SUGF_J</formula1>
      <formula2>0</formula2>
    </dataValidation>
    <dataValidation type="list" sqref="K2" xr:uid="{00000000-0002-0000-0000-00000A000000}">
      <formula1>SUGF_K</formula1>
      <formula2>0</formula2>
    </dataValidation>
    <dataValidation type="list" sqref="L2" xr:uid="{00000000-0002-0000-0000-00000B000000}">
      <formula1>SUGF_L</formula1>
      <formula2>0</formula2>
    </dataValidation>
    <dataValidation type="list" sqref="M2" xr:uid="{00000000-0002-0000-0000-00000C000000}">
      <formula1>SUGF_M</formula1>
      <formula2>0</formula2>
    </dataValidation>
    <dataValidation type="list" sqref="N2" xr:uid="{00000000-0002-0000-0000-00000D000000}">
      <formula1>SUGF_N</formula1>
      <formula2>0</formula2>
    </dataValidation>
    <dataValidation type="list" sqref="O2" xr:uid="{00000000-0002-0000-0000-00000E000000}">
      <formula1>SUGF_O</formula1>
      <formula2>0</formula2>
    </dataValidation>
    <dataValidation type="list" sqref="P2" xr:uid="{00000000-0002-0000-0000-00000F000000}">
      <formula1>SUGF_P</formula1>
      <formula2>0</formula2>
    </dataValidation>
    <dataValidation type="list" sqref="Q2" xr:uid="{00000000-0002-0000-0000-000010000000}">
      <formula1>SUGF_Q</formula1>
      <formula2>0</formula2>
    </dataValidation>
    <dataValidation type="list" sqref="R2" xr:uid="{00000000-0002-0000-0000-000011000000}">
      <formula1>SUGF_R</formula1>
      <formula2>0</formula2>
    </dataValidation>
    <dataValidation type="list" sqref="S2" xr:uid="{00000000-0002-0000-0000-000012000000}">
      <formula1>SUGF_S</formula1>
      <formula2>0</formula2>
    </dataValidation>
    <dataValidation type="list" sqref="T2" xr:uid="{00000000-0002-0000-0000-000013000000}">
      <formula1>SUGF_T</formula1>
      <formula2>0</formula2>
    </dataValidation>
    <dataValidation type="list" sqref="U2" xr:uid="{00000000-0002-0000-0000-000014000000}">
      <formula1>SUGF_U</formula1>
      <formula2>0</formula2>
    </dataValidation>
    <dataValidation type="list" sqref="V2" xr:uid="{00000000-0002-0000-0000-000015000000}">
      <formula1>SUGF_V</formula1>
      <formula2>0</formula2>
    </dataValidation>
    <dataValidation type="list" sqref="W2" xr:uid="{00000000-0002-0000-0000-000016000000}">
      <formula1>SUGF_W</formula1>
      <formula2>0</formula2>
    </dataValidation>
    <dataValidation type="list" sqref="X2" xr:uid="{00000000-0002-0000-0000-000017000000}">
      <formula1>SUGF_X</formula1>
      <formula2>0</formula2>
    </dataValidation>
    <dataValidation type="list" sqref="Y2" xr:uid="{00000000-0002-0000-0000-000018000000}">
      <formula1>SUGF_Y</formula1>
      <formula2>0</formula2>
    </dataValidation>
    <dataValidation type="list" sqref="Z2" xr:uid="{00000000-0002-0000-0000-000019000000}">
      <formula1>SUGF_Z</formula1>
      <formula2>0</formula2>
    </dataValidation>
    <dataValidation type="list" sqref="AA2" xr:uid="{00000000-0002-0000-0000-00001A000000}">
      <formula1>SUGF_AA</formula1>
      <formula2>0</formula2>
    </dataValidation>
    <dataValidation type="list" sqref="AB2" xr:uid="{00000000-0002-0000-0000-00001B000000}">
      <formula1>SUGF_AB</formula1>
      <formula2>0</formula2>
    </dataValidation>
    <dataValidation type="list" sqref="AC2" xr:uid="{00000000-0002-0000-0000-00001C000000}">
      <formula1>SUGF_AC</formula1>
      <formula2>0</formula2>
    </dataValidation>
    <dataValidation type="list" sqref="AD2" xr:uid="{00000000-0002-0000-0000-00001D000000}">
      <formula1>SUGF_AD</formula1>
      <formula2>0</formula2>
    </dataValidation>
    <dataValidation type="list" sqref="AE2" xr:uid="{00000000-0002-0000-0000-00001E000000}">
      <formula1>SUGF_AE</formula1>
      <formula2>0</formula2>
    </dataValidation>
    <dataValidation type="list" sqref="AF2" xr:uid="{00000000-0002-0000-0000-00001F000000}">
      <formula1>SUGF_AF</formula1>
      <formula2>0</formula2>
    </dataValidation>
    <dataValidation type="list" sqref="AG2" xr:uid="{00000000-0002-0000-0000-000020000000}">
      <formula1>SUGF_AG</formula1>
      <formula2>0</formula2>
    </dataValidation>
    <dataValidation type="list" sqref="AH2" xr:uid="{00000000-0002-0000-0000-000021000000}">
      <formula1>SUGF_AH</formula1>
      <formula2>0</formula2>
    </dataValidation>
  </dataValidation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0" sqref="D10"/>
    </sheetView>
  </sheetViews>
  <sheetFormatPr defaultColWidth="8.6640625" defaultRowHeight="14.4" outlineLevelCol="1" x14ac:dyDescent="0.3"/>
  <cols>
    <col min="1" max="1" width="14.88671875" hidden="1" customWidth="1"/>
    <col min="2" max="2" width="10" customWidth="1"/>
    <col min="3" max="3" width="30" customWidth="1"/>
    <col min="4" max="4" width="42" customWidth="1" outlineLevel="1"/>
    <col min="5" max="5" width="11.6640625" customWidth="1" outlineLevel="1"/>
    <col min="6" max="6" width="12" customWidth="1" outlineLevel="1"/>
    <col min="7" max="7" width="11" customWidth="1" outlineLevel="1"/>
    <col min="8" max="8" width="8.88671875" customWidth="1" outlineLevel="1"/>
    <col min="9" max="9" width="10.33203125" customWidth="1"/>
    <col min="10" max="10" width="8.88671875" customWidth="1" outlineLevel="1"/>
    <col min="11" max="16" width="13.44140625" customWidth="1" outlineLevel="1"/>
    <col min="17" max="17" width="13.44140625" customWidth="1"/>
    <col min="18" max="18" width="13.44140625" customWidth="1" outlineLevel="1"/>
    <col min="19" max="20" width="13.44140625" customWidth="1"/>
    <col min="21" max="21" width="13.44140625" customWidth="1" outlineLevel="1"/>
    <col min="22" max="31" width="13.44140625" customWidth="1"/>
    <col min="32" max="35" width="13" customWidth="1"/>
    <col min="36" max="36" width="38" customWidth="1"/>
    <col min="37" max="99" width="12" hidden="1" customWidth="1"/>
  </cols>
  <sheetData>
    <row r="1" spans="1:99" ht="30" customHeight="1" x14ac:dyDescent="0.3">
      <c r="A1" s="153" t="s">
        <v>0</v>
      </c>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row>
    <row r="2" spans="1:99" ht="43.5" customHeight="1" x14ac:dyDescent="0.3">
      <c r="A2" s="147" t="s">
        <v>1</v>
      </c>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99" ht="30" customHeight="1" x14ac:dyDescent="0.3">
      <c r="A3" s="54" t="s">
        <v>2</v>
      </c>
      <c r="B3" s="149"/>
      <c r="C3" s="150"/>
      <c r="D3" s="151"/>
      <c r="E3" s="55" t="s">
        <v>3</v>
      </c>
      <c r="F3" s="56" t="s">
        <v>4</v>
      </c>
      <c r="G3" s="55" t="s">
        <v>5</v>
      </c>
      <c r="H3" s="57" t="str">
        <f>SUM($AM$5:$AM$41)&amp;" of 37"</f>
        <v>37 of 37</v>
      </c>
      <c r="I3" s="152"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c r="AJ3" s="54" t="s">
        <v>6</v>
      </c>
      <c r="AK3" s="58" t="s">
        <v>7</v>
      </c>
      <c r="AM3" s="58" t="s">
        <v>8</v>
      </c>
      <c r="AO3" s="58" t="s">
        <v>9</v>
      </c>
      <c r="AQ3" s="58" t="s">
        <v>10</v>
      </c>
      <c r="AR3" t="s">
        <v>11</v>
      </c>
    </row>
    <row r="4" spans="1:99" ht="30" customHeight="1" x14ac:dyDescent="0.3">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7" t="str">
        <f>IF($B$3="","type in B3…",AL$41&amp;" match(es)")</f>
        <v>type in B3…</v>
      </c>
      <c r="AO4" t="s">
        <v>4</v>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v>5</v>
      </c>
      <c r="BF4">
        <f t="shared" ref="BF4:BF13" si="0">IF($BD4=0,0,$BE4+$BD4)</f>
        <v>0</v>
      </c>
      <c r="BG4">
        <f>IF($BD12=0,$BE12,$BF12+1)</f>
        <v>43</v>
      </c>
    </row>
    <row r="5" spans="1:99" ht="43.5" customHeight="1" x14ac:dyDescent="0.3">
      <c r="A5" s="59" t="s">
        <v>12</v>
      </c>
      <c r="B5" s="59" t="s">
        <v>13</v>
      </c>
      <c r="C5" s="59" t="s">
        <v>14</v>
      </c>
      <c r="D5" s="59" t="s">
        <v>15</v>
      </c>
      <c r="E5" s="59" t="s">
        <v>16</v>
      </c>
      <c r="F5" s="59" t="s">
        <v>17</v>
      </c>
      <c r="G5" s="59" t="s">
        <v>18</v>
      </c>
      <c r="H5" s="59" t="s">
        <v>19</v>
      </c>
      <c r="I5" s="59" t="s">
        <v>20</v>
      </c>
      <c r="J5" s="59" t="s">
        <v>21</v>
      </c>
      <c r="K5" s="59" t="s">
        <v>22</v>
      </c>
      <c r="L5" s="59" t="s">
        <v>23</v>
      </c>
      <c r="M5" s="59" t="s">
        <v>24</v>
      </c>
      <c r="N5" s="59" t="s">
        <v>25</v>
      </c>
      <c r="O5" s="59" t="s">
        <v>26</v>
      </c>
      <c r="P5" s="59" t="s">
        <v>27</v>
      </c>
      <c r="Q5" s="59" t="s">
        <v>28</v>
      </c>
      <c r="R5" s="59" t="s">
        <v>29</v>
      </c>
      <c r="S5" s="59" t="s">
        <v>30</v>
      </c>
      <c r="T5" s="59" t="s">
        <v>31</v>
      </c>
      <c r="U5" s="59" t="s">
        <v>32</v>
      </c>
      <c r="V5" s="59" t="s">
        <v>33</v>
      </c>
      <c r="W5" s="59" t="s">
        <v>34</v>
      </c>
      <c r="X5" s="59" t="s">
        <v>35</v>
      </c>
      <c r="Y5" s="59" t="s">
        <v>36</v>
      </c>
      <c r="Z5" s="59" t="s">
        <v>37</v>
      </c>
      <c r="AA5" s="59" t="s">
        <v>38</v>
      </c>
      <c r="AB5" s="59" t="s">
        <v>39</v>
      </c>
      <c r="AC5" s="59" t="s">
        <v>40</v>
      </c>
      <c r="AD5" s="59" t="s">
        <v>41</v>
      </c>
      <c r="AE5" s="59" t="s">
        <v>42</v>
      </c>
      <c r="AF5" s="59" t="s">
        <v>43</v>
      </c>
      <c r="AG5" s="59" t="s">
        <v>44</v>
      </c>
      <c r="AH5" s="59" t="s">
        <v>45</v>
      </c>
      <c r="AI5" s="59" t="s">
        <v>46</v>
      </c>
      <c r="AJ5" s="60" t="str">
        <f>IF($B$3="",IF(ROW()=5,"— type above —",""),IF(ROW()-4&gt;AL$41,"",INDEX('Final Calculation Sheet'!$F$4:$F$40,MATCH(ROW()-4,$AL$5:$AL$41,0))&amp;" — "&amp;INDEX('Final Calculation Sheet'!$G$4:$G$40,MATCH(ROW()-4,$AL$5:$AL$41,0))))</f>
        <v>— type above —</v>
      </c>
      <c r="AK5" s="61"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1">
        <f>IF($B$3="",0,--(SUMPRODUCT(--($AR$6:$AY$6&lt;&gt;""),--ISNUMBER(SEARCH($AR$6:$AY$6,$AK5)))&gt;0))</f>
        <v>0</v>
      </c>
      <c r="AM5" s="61">
        <f t="shared" ref="AM5:AM41" si="1">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1"/>
      <c r="AO5" s="61" t="s">
        <v>13</v>
      </c>
      <c r="AP5" s="61"/>
      <c r="AQ5" s="61"/>
      <c r="AR5" s="61">
        <f>IF($AR$4="",99999,MIN(IFERROR(FIND(",",$AR$4),99999),IFERROR(FIND("+",$AR$4),99999)))</f>
        <v>99999</v>
      </c>
      <c r="AS5" s="61">
        <f>IF($AS$4="",99999,MIN(IFERROR(FIND(",",$AS$4),99999),IFERROR(FIND("+",$AS$4),99999)))</f>
        <v>99999</v>
      </c>
      <c r="AT5" s="61">
        <f>IF($AT$4="",99999,MIN(IFERROR(FIND(",",$AT$4),99999),IFERROR(FIND("+",$AT$4),99999)))</f>
        <v>99999</v>
      </c>
      <c r="AU5" s="61">
        <f>IF($AU$4="",99999,MIN(IFERROR(FIND(",",$AU$4),99999),IFERROR(FIND("+",$AU$4),99999)))</f>
        <v>99999</v>
      </c>
      <c r="AV5" s="61">
        <f>IF($AV$4="",99999,MIN(IFERROR(FIND(",",$AV$4),99999),IFERROR(FIND("+",$AV$4),99999)))</f>
        <v>99999</v>
      </c>
      <c r="AW5" s="61">
        <f>IF($AW$4="",99999,MIN(IFERROR(FIND(",",$AW$4),99999),IFERROR(FIND("+",$AW$4),99999)))</f>
        <v>99999</v>
      </c>
      <c r="AX5" s="61">
        <f>IF($AX$4="",99999,MIN(IFERROR(FIND(",",$AX$4),99999),IFERROR(FIND("+",$AX$4),99999)))</f>
        <v>99999</v>
      </c>
      <c r="AY5" s="61">
        <f>IF($AY$4="",99999,MIN(IFERROR(FIND(",",$AY$4),99999),IFERROR(FIND("+",$AY$4),99999)))</f>
        <v>99999</v>
      </c>
      <c r="AZ5" s="61">
        <f t="shared" ref="AZ5:AZ41" si="2">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1">
        <f t="shared" ref="BA5:BA41" si="3">SUMPRODUCT(($AZ$5:$AZ$41=$AZ5)*($BC$5:$BC$41&lt;$BC5))+1</f>
        <v>1</v>
      </c>
      <c r="BB5" s="61">
        <f t="shared" ref="BB5:BB41" si="4">IF(INDEX($BF$4:$BF$13,$AZ5)=0,0,INDEX($BE$4:$BE$13,$AZ5)+$BA5-1)</f>
        <v>5</v>
      </c>
      <c r="BC5" s="61">
        <v>4</v>
      </c>
      <c r="BD5" s="61">
        <f>COUNTIF($AZ$5:$AZ$41,2)</f>
        <v>0</v>
      </c>
      <c r="BE5" s="61">
        <f t="shared" ref="BE5:BE12" si="5">IF($BD4=0,$BE4,$BF4+1)</f>
        <v>5</v>
      </c>
      <c r="BF5" s="61">
        <f t="shared" si="0"/>
        <v>0</v>
      </c>
      <c r="BG5" s="61">
        <f>IF($BD13=0,$BE13,$BF13+1)</f>
        <v>44</v>
      </c>
      <c r="BH5" s="61">
        <f>IFERROR(MATCH(5,$BF$4:$BF$13,0),0)</f>
        <v>0</v>
      </c>
      <c r="BI5" s="61">
        <f>IF(5=$BG$5,1,0)</f>
        <v>0</v>
      </c>
      <c r="BJ5" s="61">
        <f>IF(OR($BH5&gt;0,$BI5=1,$BL5=1),0,IFERROR(INDEX($BC$5:$BC$41,MATCH(5,$BB$5:$BB$41,0)),0))</f>
        <v>4</v>
      </c>
      <c r="BK5" s="61">
        <f>IF($BJ5&gt;0,IF(INDEX($AZ$5:$AZ$41,MATCH(5,$BB$5:$BB$41,0))=10,1,0),IF($BH5=10,1,0))</f>
        <v>0</v>
      </c>
      <c r="BL5" s="61">
        <f>IF(5=$BG$4,1,0)</f>
        <v>0</v>
      </c>
      <c r="BM5" s="61">
        <f t="shared" ref="BM5:BM41" si="6">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1">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1">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1">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1">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1">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1">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1">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1">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1">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1">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1">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1">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1">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1">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1">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1">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1">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1">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1">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1">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1">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1">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1">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1">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1">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1">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1">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1">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1">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1">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1">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S5" s="61">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T5" s="61">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1</v>
      </c>
      <c r="CU5" s="61">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1</v>
      </c>
    </row>
    <row r="6" spans="1:99" ht="15" customHeight="1" x14ac:dyDescent="0.3">
      <c r="A6" s="62">
        <f>IF($BJ5&gt;0,INDEX($BA$5:$BA$41,MATCH(5,$BB$5:$BB$41,0)),IF(OR($BI5=1,$BL5=1,$BH5&gt;0),"∑",""))</f>
        <v>1</v>
      </c>
      <c r="B6" s="63">
        <f>IF($BJ5&gt;0,IF(INDEX('Final Calculation Sheet'!$F$4:$F$40,$BJ5-3)="","",INDEX('Final Calculation Sheet'!$F$4:$F$40,$BJ5-3)),"")</f>
        <v>1763</v>
      </c>
      <c r="C6" s="63" t="str">
        <f>IF($BJ5&gt;0,IF(INDEX('Final Calculation Sheet'!$G$4:$G$40,$BJ5-3)="","",INDEX('Final Calculation Sheet'!$G$4:$G$40,$BJ5-3)),IF(OR($BI5=1,$BL5=1,$BH5&gt;0),IF($BI5=1,37,IF($BL5=1,37-INDEX($BD$4:$BD$13,10),INDEX($BD$4:$BD$13,$BH5)))&amp;" lot(s)",""))</f>
        <v>AL HAMD TRADE CORPORATION</v>
      </c>
      <c r="D6" s="64"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64">
        <f>IF($BJ5&gt;0,IF(INDEX('Final Calculation Sheet'!$D$4:$D$40,$BJ5-3)="","",INDEX('Final Calculation Sheet'!$D$4:$D$40,$BJ5-3)),IF(OR($BI5=1,$BL5=1,$BH5&gt;0),"–",""))</f>
        <v>21980</v>
      </c>
      <c r="F6" s="64">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64" t="str">
        <f>IF($BJ5&gt;0,IF(INDEX('Final Calculation Sheet'!$E$4:$E$40,$BJ5-3)="","",INDEX('Final Calculation Sheet'!$E$4:$E$40,$BJ5-3)),IF(OR($BI5=1,$BL5=1,$BH5&gt;0),"–",""))</f>
        <v>KG</v>
      </c>
      <c r="H6" s="65">
        <f>IF($BJ5&gt;0,IF(INDEX('Final Calculation Sheet'!$C$4:$C$40,$BJ5-3)="","",INDEX('Final Calculation Sheet'!$C$4:$C$40,$BJ5-3)),IF(OR($BI5=1,$BL5=1,$BH5&gt;0),"–",""))</f>
        <v>1181</v>
      </c>
      <c r="I6" s="65">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65">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65">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65">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65">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65">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66">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65">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65">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67">
        <f>IF($BJ5&gt;0,IF(INDEX('Final Calculation Sheet'!$Q$4:$Q$40,$BJ5-3)="","",INDEX('Final Calculation Sheet'!$Q$4:$Q$40,$BJ5-3)),IF(OR($BI5=1,$BL5=1,$BH5&gt;0),"–",""))</f>
        <v>0.02</v>
      </c>
      <c r="S6" s="65">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65">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65">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68">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65" t="str">
        <f>IF($BJ5&gt;0,IF(INDEX('Final Calculation Sheet'!$V$4:$V$40,$BJ5-3)="","",INDEX('Final Calculation Sheet'!$V$4:$V$40,$BJ5-3)),IF(OR($BI5=1,$BL5=1,$BH5&gt;0),"–",""))</f>
        <v>24.08.2026</v>
      </c>
      <c r="X6" s="65">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65">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65" t="str">
        <f>IF($BJ5&gt;0,IF(INDEX('Final Calculation Sheet'!$Y$4:$Y$40,$BJ5-3)="","",INDEX('Final Calculation Sheet'!$Y$4:$Y$40,$BJ5-3)),IF(OR($BI5=1,$BL5=1,$BH5&gt;0),"–",""))</f>
        <v>18.08.2026</v>
      </c>
      <c r="AA6" s="65">
        <f ca="1">IF($BJ5&gt;0,IF(INDEX('Final Calculation Sheet'!$Z$4:$Z$40,$BJ5-3)="","",INDEX('Final Calculation Sheet'!$Z$4:$Z$40,$BJ5-3)),IF(OR($BI5=1,$BL5=1,$BH5&gt;0),IF($BI5=1,SUM('Final Calculation Sheet'!$Z$4:$Z$40),IF($BL5=1,SUM('Final Calculation Sheet'!$Z$4:$Z$40)-SUMIFS('Final Calculation Sheet'!$Z$4:$Z$40,$AZ$5:$AZ$41,10),SUMIFS('Final Calculation Sheet'!$Z$4:$Z$40,$AZ$5:$AZ$41,$BH5))),""))</f>
        <v>27969.150600000001</v>
      </c>
      <c r="AB6" s="65"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65" t="str">
        <f>IF($BJ5&gt;0,IF(INDEX('Final Calculation Sheet'!$AB$4:$AB$40,$BJ5-3)="","",INDEX('Final Calculation Sheet'!$AB$4:$AB$40,$BJ5-3)),IF(OR($BI5=1,$BL5=1,$BH5&gt;0),"–",""))</f>
        <v/>
      </c>
      <c r="AD6" s="65">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65">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G6" s="65" t="str">
        <f>IF($BJ5&gt;0,IF(INDEX('Final Calculation Sheet'!$AF$4:$AF$40,$BJ5-3)="","",INDEX('Final Calculation Sheet'!$AF$4:$AF$40,$BJ5-3)),IF(OR($BI5=1,$BL5=1,$BH5&gt;0),"–",""))</f>
        <v>DR2640100029</v>
      </c>
      <c r="AH6" s="69">
        <f>IF($BJ5&gt;0,IF(INDEX('Final Calculation Sheet'!$AG$4:$AG$40,$BJ5-3)="","",INDEX('Final Calculation Sheet'!$AG$4:$AG$40,$BJ5-3)),IF(OR($BI5=1,$BL5=1,$BH5&gt;0),"–",""))</f>
        <v>1800003271</v>
      </c>
      <c r="AI6" s="65" t="str">
        <f>IF($BJ5&gt;0,IF(INDEX('Final Calculation Sheet'!$AH$4:$AH$40,$BJ5-3)="","",INDEX('Final Calculation Sheet'!$AH$4:$AH$40,$BJ5-3)),IF(OR($BI5=1,$BL5=1,$BH5&gt;0),"–",""))</f>
        <v>24.08.2026</v>
      </c>
      <c r="AJ6" s="63"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 t="shared" ref="AL6:AL41" si="7">AL5+IF($B$3="",0,--(SUMPRODUCT(--($AR$6:$AY$6&lt;&gt;""),--ISNUMBER(SEARCH($AR$6:$AY$6,$AK6)))&gt;0))</f>
        <v>0</v>
      </c>
      <c r="AM6">
        <f t="shared" si="1"/>
        <v>1</v>
      </c>
      <c r="AO6" t="s">
        <v>14</v>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 t="shared" si="2"/>
        <v>9</v>
      </c>
      <c r="BA6">
        <f t="shared" si="3"/>
        <v>2</v>
      </c>
      <c r="BB6">
        <f t="shared" si="4"/>
        <v>6</v>
      </c>
      <c r="BC6">
        <v>5</v>
      </c>
      <c r="BD6">
        <f>COUNTIF($AZ$5:$AZ$41,3)</f>
        <v>0</v>
      </c>
      <c r="BE6">
        <f t="shared" si="5"/>
        <v>5</v>
      </c>
      <c r="BF6">
        <f t="shared" si="0"/>
        <v>0</v>
      </c>
      <c r="BH6">
        <f>IFERROR(MATCH(6,$BF$4:$BF$13,0),0)</f>
        <v>0</v>
      </c>
      <c r="BI6">
        <f>IF(6=$BG$5,1,0)</f>
        <v>0</v>
      </c>
      <c r="BJ6">
        <f>IF(OR($BH6&gt;0,$BI6=1,$BL6=1),0,IFERROR(INDEX($BC$5:$BC$41,MATCH(6,$BB$5:$BB$41,0)),0))</f>
        <v>5</v>
      </c>
      <c r="BK6">
        <f>IF($BJ6&gt;0,IF(INDEX($AZ$5:$AZ$41,MATCH(6,$BB$5:$BB$41,0))=10,1,0),IF($BH6=10,1,0))</f>
        <v>0</v>
      </c>
      <c r="BL6">
        <f>IF(6=$BG$4,1,0)</f>
        <v>0</v>
      </c>
      <c r="BM6">
        <f t="shared" si="6"/>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1</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1</v>
      </c>
    </row>
    <row r="7" spans="1:99" ht="15" customHeight="1" x14ac:dyDescent="0.3">
      <c r="A7" s="62">
        <f>IF($BJ6&gt;0,INDEX($BA$5:$BA$41,MATCH(6,$BB$5:$BB$41,0)),IF(OR($BI6=1,$BL6=1,$BH6&gt;0),"∑",""))</f>
        <v>2</v>
      </c>
      <c r="B7" s="63">
        <f>IF($BJ6&gt;0,IF(INDEX('Final Calculation Sheet'!$F$4:$F$40,$BJ6-3)="","",INDEX('Final Calculation Sheet'!$F$4:$F$40,$BJ6-3)),"")</f>
        <v>1874</v>
      </c>
      <c r="C7" s="63" t="str">
        <f>IF($BJ6&gt;0,IF(INDEX('Final Calculation Sheet'!$G$4:$G$40,$BJ6-3)="","",INDEX('Final Calculation Sheet'!$G$4:$G$40,$BJ6-3)),IF(OR($BI6=1,$BL6=1,$BH6&gt;0),IF($BI6=1,37,IF($BL6=1,37-INDEX($BD$4:$BD$13,10),INDEX($BD$4:$BD$13,$BH6)))&amp;" lot(s)",""))</f>
        <v>NATIONAL ENTERPRISES</v>
      </c>
      <c r="D7" s="64"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64">
        <f>IF($BJ6&gt;0,IF(INDEX('Final Calculation Sheet'!$D$4:$D$40,$BJ6-3)="","",INDEX('Final Calculation Sheet'!$D$4:$D$40,$BJ6-3)),IF(OR($BI6=1,$BL6=1,$BH6&gt;0),"–",""))</f>
        <v>21977</v>
      </c>
      <c r="F7" s="64">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64" t="str">
        <f>IF($BJ6&gt;0,IF(INDEX('Final Calculation Sheet'!$E$4:$E$40,$BJ6-3)="","",INDEX('Final Calculation Sheet'!$E$4:$E$40,$BJ6-3)),IF(OR($BI6=1,$BL6=1,$BH6&gt;0),"–",""))</f>
        <v>NO</v>
      </c>
      <c r="H7" s="65">
        <f>IF($BJ6&gt;0,IF(INDEX('Final Calculation Sheet'!$C$4:$C$40,$BJ6-3)="","",INDEX('Final Calculation Sheet'!$C$4:$C$40,$BJ6-3)),IF(OR($BI6=1,$BL6=1,$BH6&gt;0),"–",""))</f>
        <v>580</v>
      </c>
      <c r="I7" s="65">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65">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65">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65">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65">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65">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66">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65">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65">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67">
        <f>IF($BJ6&gt;0,IF(INDEX('Final Calculation Sheet'!$Q$4:$Q$40,$BJ6-3)="","",INDEX('Final Calculation Sheet'!$Q$4:$Q$40,$BJ6-3)),IF(OR($BI6=1,$BL6=1,$BH6&gt;0),"–",""))</f>
        <v>0</v>
      </c>
      <c r="S7" s="65">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65">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65">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68">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65" t="str">
        <f>IF($BJ6&gt;0,IF(INDEX('Final Calculation Sheet'!$V$4:$V$40,$BJ6-3)="","",INDEX('Final Calculation Sheet'!$V$4:$V$40,$BJ6-3)),IF(OR($BI6=1,$BL6=1,$BH6&gt;0),"–",""))</f>
        <v>13.08.2026</v>
      </c>
      <c r="X7" s="65">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65">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65" t="str">
        <f>IF($BJ6&gt;0,IF(INDEX('Final Calculation Sheet'!$Y$4:$Y$40,$BJ6-3)="","",INDEX('Final Calculation Sheet'!$Y$4:$Y$40,$BJ6-3)),IF(OR($BI6=1,$BL6=1,$BH6&gt;0),"–",""))</f>
        <v>24.08.2026</v>
      </c>
      <c r="AA7" s="65">
        <f ca="1">IF($BJ6&gt;0,IF(INDEX('Final Calculation Sheet'!$Z$4:$Z$40,$BJ6-3)="","",INDEX('Final Calculation Sheet'!$Z$4:$Z$40,$BJ6-3)),IF(OR($BI6=1,$BL6=1,$BH6&gt;0),IF($BI6=1,SUM('Final Calculation Sheet'!$Z$4:$Z$40),IF($BL6=1,SUM('Final Calculation Sheet'!$Z$4:$Z$40)-SUMIFS('Final Calculation Sheet'!$Z$4:$Z$40,$AZ$5:$AZ$41,10),SUMIFS('Final Calculation Sheet'!$Z$4:$Z$40,$AZ$5:$AZ$41,$BH6))),""))</f>
        <v>5543.6399999999994</v>
      </c>
      <c r="AB7" s="65"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65" t="str">
        <f>IF($BJ6&gt;0,IF(INDEX('Final Calculation Sheet'!$AB$4:$AB$40,$BJ6-3)="","",INDEX('Final Calculation Sheet'!$AB$4:$AB$40,$BJ6-3)),IF(OR($BI6=1,$BL6=1,$BH6&gt;0),"–",""))</f>
        <v/>
      </c>
      <c r="AD7" s="65">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65">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G7" s="65" t="str">
        <f>IF($BJ6&gt;0,IF(INDEX('Final Calculation Sheet'!$AF$4:$AF$40,$BJ6-3)="","",INDEX('Final Calculation Sheet'!$AF$4:$AF$40,$BJ6-3)),IF(OR($BI6=1,$BL6=1,$BH6&gt;0),"–",""))</f>
        <v>DR2640100030</v>
      </c>
      <c r="AH7" s="69">
        <f>IF($BJ6&gt;0,IF(INDEX('Final Calculation Sheet'!$AG$4:$AG$40,$BJ6-3)="","",INDEX('Final Calculation Sheet'!$AG$4:$AG$40,$BJ6-3)),IF(OR($BI6=1,$BL6=1,$BH6&gt;0),"–",""))</f>
        <v>1800003302</v>
      </c>
      <c r="AI7" s="65" t="str">
        <f>IF($BJ6&gt;0,IF(INDEX('Final Calculation Sheet'!$AH$4:$AH$40,$BJ6-3)="","",INDEX('Final Calculation Sheet'!$AH$4:$AH$40,$BJ6-3)),IF(OR($BI6=1,$BL6=1,$BH6&gt;0),"–",""))</f>
        <v>27.08.2026</v>
      </c>
      <c r="AJ7" s="63"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 t="shared" si="7"/>
        <v>0</v>
      </c>
      <c r="AM7">
        <f t="shared" si="1"/>
        <v>1</v>
      </c>
      <c r="AO7" t="s">
        <v>15</v>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 t="shared" si="2"/>
        <v>9</v>
      </c>
      <c r="BA7">
        <f t="shared" si="3"/>
        <v>3</v>
      </c>
      <c r="BB7">
        <f t="shared" si="4"/>
        <v>7</v>
      </c>
      <c r="BC7">
        <v>6</v>
      </c>
      <c r="BD7">
        <f>COUNTIF($AZ$5:$AZ$41,4)</f>
        <v>0</v>
      </c>
      <c r="BE7">
        <f t="shared" si="5"/>
        <v>5</v>
      </c>
      <c r="BF7">
        <f t="shared" si="0"/>
        <v>0</v>
      </c>
      <c r="BH7">
        <f>IFERROR(MATCH(7,$BF$4:$BF$13,0),0)</f>
        <v>0</v>
      </c>
      <c r="BI7">
        <f>IF(7=$BG$5,1,0)</f>
        <v>0</v>
      </c>
      <c r="BJ7">
        <f>IF(OR($BH7&gt;0,$BI7=1,$BL7=1),0,IFERROR(INDEX($BC$5:$BC$41,MATCH(7,$BB$5:$BB$41,0)),0))</f>
        <v>6</v>
      </c>
      <c r="BK7">
        <f>IF($BJ7&gt;0,IF(INDEX($AZ$5:$AZ$41,MATCH(7,$BB$5:$BB$41,0))=10,1,0),IF($BH7=10,1,0))</f>
        <v>0</v>
      </c>
      <c r="BL7">
        <f>IF(7=$BG$4,1,0)</f>
        <v>0</v>
      </c>
      <c r="BM7">
        <f t="shared" si="6"/>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1</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1</v>
      </c>
    </row>
    <row r="8" spans="1:99" ht="15" customHeight="1" x14ac:dyDescent="0.3">
      <c r="A8" s="62">
        <f>IF($BJ7&gt;0,INDEX($BA$5:$BA$41,MATCH(7,$BB$5:$BB$41,0)),IF(OR($BI7=1,$BL7=1,$BH7&gt;0),"∑",""))</f>
        <v>3</v>
      </c>
      <c r="B8" s="63">
        <f>IF($BJ7&gt;0,IF(INDEX('Final Calculation Sheet'!$F$4:$F$40,$BJ7-3)="","",INDEX('Final Calculation Sheet'!$F$4:$F$40,$BJ7-3)),"")</f>
        <v>1875</v>
      </c>
      <c r="C8" s="63" t="str">
        <f>IF($BJ7&gt;0,IF(INDEX('Final Calculation Sheet'!$G$4:$G$40,$BJ7-3)="","",INDEX('Final Calculation Sheet'!$G$4:$G$40,$BJ7-3)),IF(OR($BI7=1,$BL7=1,$BH7&gt;0),IF($BI7=1,37,IF($BL7=1,37-INDEX($BD$4:$BD$13,10),INDEX($BD$4:$BD$13,$BH7)))&amp;" lot(s)",""))</f>
        <v>F R KHANS ENTERPRISES</v>
      </c>
      <c r="D8" s="6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64">
        <f>IF($BJ7&gt;0,IF(INDEX('Final Calculation Sheet'!$D$4:$D$40,$BJ7-3)="","",INDEX('Final Calculation Sheet'!$D$4:$D$40,$BJ7-3)),IF(OR($BI7=1,$BL7=1,$BH7&gt;0),"–",""))</f>
        <v>21977</v>
      </c>
      <c r="F8" s="64">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64" t="str">
        <f>IF($BJ7&gt;0,IF(INDEX('Final Calculation Sheet'!$E$4:$E$40,$BJ7-3)="","",INDEX('Final Calculation Sheet'!$E$4:$E$40,$BJ7-3)),IF(OR($BI7=1,$BL7=1,$BH7&gt;0),"–",""))</f>
        <v>KG</v>
      </c>
      <c r="H8" s="65">
        <f>IF($BJ7&gt;0,IF(INDEX('Final Calculation Sheet'!$C$4:$C$40,$BJ7-3)="","",INDEX('Final Calculation Sheet'!$C$4:$C$40,$BJ7-3)),IF(OR($BI7=1,$BL7=1,$BH7&gt;0),"–",""))</f>
        <v>1456</v>
      </c>
      <c r="I8" s="65">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65">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65">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65">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65">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65">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66">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65">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65">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67">
        <f>IF($BJ7&gt;0,IF(INDEX('Final Calculation Sheet'!$Q$4:$Q$40,$BJ7-3)="","",INDEX('Final Calculation Sheet'!$Q$4:$Q$40,$BJ7-3)),IF(OR($BI7=1,$BL7=1,$BH7&gt;0),"–",""))</f>
        <v>0</v>
      </c>
      <c r="S8" s="65">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65">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65">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68">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65" t="str">
        <f>IF($BJ7&gt;0,IF(INDEX('Final Calculation Sheet'!$V$4:$V$40,$BJ7-3)="","",INDEX('Final Calculation Sheet'!$V$4:$V$40,$BJ7-3)),IF(OR($BI7=1,$BL7=1,$BH7&gt;0),"–",""))</f>
        <v>11.08.2026</v>
      </c>
      <c r="X8" s="65">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65">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65" t="str">
        <f>IF($BJ7&gt;0,IF(INDEX('Final Calculation Sheet'!$Y$4:$Y$40,$BJ7-3)="","",INDEX('Final Calculation Sheet'!$Y$4:$Y$40,$BJ7-3)),IF(OR($BI7=1,$BL7=1,$BH7&gt;0),"–",""))</f>
        <v>20.08.2026</v>
      </c>
      <c r="AA8" s="65">
        <f ca="1">IF($BJ7&gt;0,IF(INDEX('Final Calculation Sheet'!$Z$4:$Z$40,$BJ7-3)="","",INDEX('Final Calculation Sheet'!$Z$4:$Z$40,$BJ7-3)),IF(OR($BI7=1,$BL7=1,$BH7&gt;0),IF($BI7=1,SUM('Final Calculation Sheet'!$Z$4:$Z$40),IF($BL7=1,SUM('Final Calculation Sheet'!$Z$4:$Z$40)-SUMIFS('Final Calculation Sheet'!$Z$4:$Z$40,$AZ$5:$AZ$41,10),SUMIFS('Final Calculation Sheet'!$Z$4:$Z$40,$AZ$5:$AZ$41,$BH7))),""))</f>
        <v>1443.1871999999998</v>
      </c>
      <c r="AB8" s="65"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65" t="str">
        <f>IF($BJ7&gt;0,IF(INDEX('Final Calculation Sheet'!$AB$4:$AB$40,$BJ7-3)="","",INDEX('Final Calculation Sheet'!$AB$4:$AB$40,$BJ7-3)),IF(OR($BI7=1,$BL7=1,$BH7&gt;0),"–",""))</f>
        <v/>
      </c>
      <c r="AD8" s="65">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65">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G8" s="65" t="str">
        <f>IF($BJ7&gt;0,IF(INDEX('Final Calculation Sheet'!$AF$4:$AF$40,$BJ7-3)="","",INDEX('Final Calculation Sheet'!$AF$4:$AF$40,$BJ7-3)),IF(OR($BI7=1,$BL7=1,$BH7&gt;0),"–",""))</f>
        <v>DR2640100047</v>
      </c>
      <c r="AH8" s="69">
        <f>IF($BJ7&gt;0,IF(INDEX('Final Calculation Sheet'!$AG$4:$AG$40,$BJ7-3)="","",INDEX('Final Calculation Sheet'!$AG$4:$AG$40,$BJ7-3)),IF(OR($BI7=1,$BL7=1,$BH7&gt;0),"–",""))</f>
        <v>1800003346</v>
      </c>
      <c r="AI8" s="65" t="str">
        <f>IF($BJ7&gt;0,IF(INDEX('Final Calculation Sheet'!$AH$4:$AH$40,$BJ7-3)="","",INDEX('Final Calculation Sheet'!$AH$4:$AH$40,$BJ7-3)),IF(OR($BI7=1,$BL7=1,$BH7&gt;0),"–",""))</f>
        <v>27.08.2026</v>
      </c>
      <c r="AJ8" s="63"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 t="shared" si="7"/>
        <v>0</v>
      </c>
      <c r="AM8">
        <f t="shared" si="1"/>
        <v>1</v>
      </c>
      <c r="AO8" t="s">
        <v>16</v>
      </c>
      <c r="AR8">
        <v>1</v>
      </c>
      <c r="AS8">
        <f>IF($AR$7="+",$AR$8+1,$AR$8)</f>
        <v>1</v>
      </c>
      <c r="AT8">
        <f>IF($AS$7="+",$AS$8+1,$AS$8)</f>
        <v>1</v>
      </c>
      <c r="AU8">
        <f>IF($AT$7="+",$AT$8+1,$AT$8)</f>
        <v>1</v>
      </c>
      <c r="AV8">
        <f>IF($AU$7="+",$AU$8+1,$AU$8)</f>
        <v>1</v>
      </c>
      <c r="AW8">
        <f>IF($AV$7="+",$AV$8+1,$AV$8)</f>
        <v>1</v>
      </c>
      <c r="AX8">
        <f>IF($AW$7="+",$AW$8+1,$AW$8)</f>
        <v>1</v>
      </c>
      <c r="AY8">
        <f>IF($AX$7="+",$AX$8+1,$AX$8)</f>
        <v>1</v>
      </c>
      <c r="AZ8">
        <f t="shared" si="2"/>
        <v>9</v>
      </c>
      <c r="BA8">
        <f t="shared" si="3"/>
        <v>4</v>
      </c>
      <c r="BB8">
        <f t="shared" si="4"/>
        <v>8</v>
      </c>
      <c r="BC8">
        <v>7</v>
      </c>
      <c r="BD8">
        <f>COUNTIF($AZ$5:$AZ$41,5)</f>
        <v>0</v>
      </c>
      <c r="BE8">
        <f t="shared" si="5"/>
        <v>5</v>
      </c>
      <c r="BF8">
        <f t="shared" si="0"/>
        <v>0</v>
      </c>
      <c r="BH8">
        <f>IFERROR(MATCH(8,$BF$4:$BF$13,0),0)</f>
        <v>0</v>
      </c>
      <c r="BI8">
        <f>IF(8=$BG$5,1,0)</f>
        <v>0</v>
      </c>
      <c r="BJ8">
        <f>IF(OR($BH8&gt;0,$BI8=1,$BL8=1),0,IFERROR(INDEX($BC$5:$BC$41,MATCH(8,$BB$5:$BB$41,0)),0))</f>
        <v>7</v>
      </c>
      <c r="BK8">
        <f>IF($BJ8&gt;0,IF(INDEX($AZ$5:$AZ$41,MATCH(8,$BB$5:$BB$41,0))=10,1,0),IF($BH8=10,1,0))</f>
        <v>0</v>
      </c>
      <c r="BL8">
        <f>IF(8=$BG$4,1,0)</f>
        <v>0</v>
      </c>
      <c r="BM8">
        <f t="shared" si="6"/>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1</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1</v>
      </c>
    </row>
    <row r="9" spans="1:99" ht="15" customHeight="1" x14ac:dyDescent="0.3">
      <c r="A9" s="62">
        <f>IF($BJ8&gt;0,INDEX($BA$5:$BA$41,MATCH(8,$BB$5:$BB$41,0)),IF(OR($BI8=1,$BL8=1,$BH8&gt;0),"∑",""))</f>
        <v>4</v>
      </c>
      <c r="B9" s="63">
        <f>IF($BJ8&gt;0,IF(INDEX('Final Calculation Sheet'!$F$4:$F$40,$BJ8-3)="","",INDEX('Final Calculation Sheet'!$F$4:$F$40,$BJ8-3)),"")</f>
        <v>1876</v>
      </c>
      <c r="C9" s="63" t="str">
        <f>IF($BJ8&gt;0,IF(INDEX('Final Calculation Sheet'!$G$4:$G$40,$BJ8-3)="","",INDEX('Final Calculation Sheet'!$G$4:$G$40,$BJ8-3)),IF(OR($BI8=1,$BL8=1,$BH8&gt;0),IF($BI8=1,37,IF($BL8=1,37-INDEX($BD$4:$BD$13,10),INDEX($BD$4:$BD$13,$BH8)))&amp;" lot(s)",""))</f>
        <v>F R KHANS ENTERPRISES</v>
      </c>
      <c r="D9" s="64"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64">
        <f>IF($BJ8&gt;0,IF(INDEX('Final Calculation Sheet'!$D$4:$D$40,$BJ8-3)="","",INDEX('Final Calculation Sheet'!$D$4:$D$40,$BJ8-3)),IF(OR($BI8=1,$BL8=1,$BH8&gt;0),"–",""))</f>
        <v>21977</v>
      </c>
      <c r="F9" s="64">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64" t="str">
        <f>IF($BJ8&gt;0,IF(INDEX('Final Calculation Sheet'!$E$4:$E$40,$BJ8-3)="","",INDEX('Final Calculation Sheet'!$E$4:$E$40,$BJ8-3)),IF(OR($BI8=1,$BL8=1,$BH8&gt;0),"–",""))</f>
        <v>KG</v>
      </c>
      <c r="H9" s="65">
        <f>IF($BJ8&gt;0,IF(INDEX('Final Calculation Sheet'!$C$4:$C$40,$BJ8-3)="","",INDEX('Final Calculation Sheet'!$C$4:$C$40,$BJ8-3)),IF(OR($BI8=1,$BL8=1,$BH8&gt;0),"–",""))</f>
        <v>66</v>
      </c>
      <c r="I9" s="65">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65">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65">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65">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65">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65">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66">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65">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65">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67">
        <f>IF($BJ8&gt;0,IF(INDEX('Final Calculation Sheet'!$Q$4:$Q$40,$BJ8-3)="","",INDEX('Final Calculation Sheet'!$Q$4:$Q$40,$BJ8-3)),IF(OR($BI8=1,$BL8=1,$BH8&gt;0),"–",""))</f>
        <v>0</v>
      </c>
      <c r="S9" s="65">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65">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65">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68">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65" t="str">
        <f>IF($BJ8&gt;0,IF(INDEX('Final Calculation Sheet'!$V$4:$V$40,$BJ8-3)="","",INDEX('Final Calculation Sheet'!$V$4:$V$40,$BJ8-3)),IF(OR($BI8=1,$BL8=1,$BH8&gt;0),"–",""))</f>
        <v>11.08.2026</v>
      </c>
      <c r="X9" s="65">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65">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65" t="str">
        <f>IF($BJ8&gt;0,IF(INDEX('Final Calculation Sheet'!$Y$4:$Y$40,$BJ8-3)="","",INDEX('Final Calculation Sheet'!$Y$4:$Y$40,$BJ8-3)),IF(OR($BI8=1,$BL8=1,$BH8&gt;0),"–",""))</f>
        <v>20.08.2026</v>
      </c>
      <c r="AA9" s="65">
        <f ca="1">IF($BJ8&gt;0,IF(INDEX('Final Calculation Sheet'!$Z$4:$Z$40,$BJ8-3)="","",INDEX('Final Calculation Sheet'!$Z$4:$Z$40,$BJ8-3)),IF(OR($BI8=1,$BL8=1,$BH8&gt;0),IF($BI8=1,SUM('Final Calculation Sheet'!$Z$4:$Z$40),IF($BL8=1,SUM('Final Calculation Sheet'!$Z$4:$Z$40)-SUMIFS('Final Calculation Sheet'!$Z$4:$Z$40,$AZ$5:$AZ$41,10),SUMIFS('Final Calculation Sheet'!$Z$4:$Z$40,$AZ$5:$AZ$41,$BH8))),""))</f>
        <v>7009.2000000000007</v>
      </c>
      <c r="AB9" s="6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65" t="str">
        <f>IF($BJ8&gt;0,IF(INDEX('Final Calculation Sheet'!$AB$4:$AB$40,$BJ8-3)="","",INDEX('Final Calculation Sheet'!$AB$4:$AB$40,$BJ8-3)),IF(OR($BI8=1,$BL8=1,$BH8&gt;0),"–",""))</f>
        <v/>
      </c>
      <c r="AD9" s="6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6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G9" s="65" t="str">
        <f>IF($BJ8&gt;0,IF(INDEX('Final Calculation Sheet'!$AF$4:$AF$40,$BJ8-3)="","",INDEX('Final Calculation Sheet'!$AF$4:$AF$40,$BJ8-3)),IF(OR($BI8=1,$BL8=1,$BH8&gt;0),"–",""))</f>
        <v>DR2640100048</v>
      </c>
      <c r="AH9" s="69">
        <f>IF($BJ8&gt;0,IF(INDEX('Final Calculation Sheet'!$AG$4:$AG$40,$BJ8-3)="","",INDEX('Final Calculation Sheet'!$AG$4:$AG$40,$BJ8-3)),IF(OR($BI8=1,$BL8=1,$BH8&gt;0),"–",""))</f>
        <v>1800003347</v>
      </c>
      <c r="AI9" s="65" t="str">
        <f>IF($BJ8&gt;0,IF(INDEX('Final Calculation Sheet'!$AH$4:$AH$40,$BJ8-3)="","",INDEX('Final Calculation Sheet'!$AH$4:$AH$40,$BJ8-3)),IF(OR($BI8=1,$BL8=1,$BH8&gt;0),"–",""))</f>
        <v>27.08.2026</v>
      </c>
      <c r="AJ9" s="63"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 t="shared" si="7"/>
        <v>0</v>
      </c>
      <c r="AM9">
        <f t="shared" si="1"/>
        <v>1</v>
      </c>
      <c r="AO9" t="s">
        <v>18</v>
      </c>
      <c r="AR9">
        <f>IF($AR$6="",0,$AR$8)</f>
        <v>0</v>
      </c>
      <c r="AS9">
        <f>IF($AS$6="",0,$AS$8)</f>
        <v>0</v>
      </c>
      <c r="AT9">
        <f>IF($AT$6="",0,$AT$8)</f>
        <v>0</v>
      </c>
      <c r="AU9">
        <f>IF($AU$6="",0,$AU$8)</f>
        <v>0</v>
      </c>
      <c r="AV9">
        <f>IF($AV$6="",0,$AV$8)</f>
        <v>0</v>
      </c>
      <c r="AW9">
        <f>IF($AW$6="",0,$AW$8)</f>
        <v>0</v>
      </c>
      <c r="AX9">
        <f>IF($AX$6="",0,$AX$8)</f>
        <v>0</v>
      </c>
      <c r="AY9">
        <f>IF($AY$6="",0,$AY$8)</f>
        <v>0</v>
      </c>
      <c r="AZ9">
        <f t="shared" si="2"/>
        <v>9</v>
      </c>
      <c r="BA9">
        <f t="shared" si="3"/>
        <v>5</v>
      </c>
      <c r="BB9">
        <f t="shared" si="4"/>
        <v>9</v>
      </c>
      <c r="BC9">
        <v>8</v>
      </c>
      <c r="BD9">
        <f>COUNTIF($AZ$5:$AZ$41,6)</f>
        <v>0</v>
      </c>
      <c r="BE9">
        <f t="shared" si="5"/>
        <v>5</v>
      </c>
      <c r="BF9">
        <f t="shared" si="0"/>
        <v>0</v>
      </c>
      <c r="BH9">
        <f>IFERROR(MATCH(9,$BF$4:$BF$13,0),0)</f>
        <v>0</v>
      </c>
      <c r="BI9">
        <f>IF(9=$BG$5,1,0)</f>
        <v>0</v>
      </c>
      <c r="BJ9">
        <f>IF(OR($BH9&gt;0,$BI9=1,$BL9=1),0,IFERROR(INDEX($BC$5:$BC$41,MATCH(9,$BB$5:$BB$41,0)),0))</f>
        <v>8</v>
      </c>
      <c r="BK9">
        <f>IF($BJ9&gt;0,IF(INDEX($AZ$5:$AZ$41,MATCH(9,$BB$5:$BB$41,0))=10,1,0),IF($BH9=10,1,0))</f>
        <v>0</v>
      </c>
      <c r="BL9">
        <f>IF(9=$BG$4,1,0)</f>
        <v>0</v>
      </c>
      <c r="BM9">
        <f t="shared" si="6"/>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1</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1</v>
      </c>
    </row>
    <row r="10" spans="1:99" ht="15" customHeight="1" x14ac:dyDescent="0.3">
      <c r="A10" s="62">
        <f>IF($BJ9&gt;0,INDEX($BA$5:$BA$41,MATCH(9,$BB$5:$BB$41,0)),IF(OR($BI9=1,$BL9=1,$BH9&gt;0),"∑",""))</f>
        <v>5</v>
      </c>
      <c r="B10" s="63">
        <f>IF($BJ9&gt;0,IF(INDEX('Final Calculation Sheet'!$F$4:$F$40,$BJ9-3)="","",INDEX('Final Calculation Sheet'!$F$4:$F$40,$BJ9-3)),"")</f>
        <v>1923</v>
      </c>
      <c r="C10" s="63" t="str">
        <f>IF($BJ9&gt;0,IF(INDEX('Final Calculation Sheet'!$G$4:$G$40,$BJ9-3)="","",INDEX('Final Calculation Sheet'!$G$4:$G$40,$BJ9-3)),IF(OR($BI9=1,$BL9=1,$BH9&gt;0),IF($BI9=1,37,IF($BL9=1,37-INDEX($BD$4:$BD$13,10),INDEX($BD$4:$BD$13,$BH9)))&amp;" lot(s)",""))</f>
        <v>OMKAR STEELS</v>
      </c>
      <c r="D10" s="64"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64">
        <f>IF($BJ9&gt;0,IF(INDEX('Final Calculation Sheet'!$D$4:$D$40,$BJ9-3)="","",INDEX('Final Calculation Sheet'!$D$4:$D$40,$BJ9-3)),IF(OR($BI9=1,$BL9=1,$BH9&gt;0),"–",""))</f>
        <v>21980</v>
      </c>
      <c r="F10" s="64">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64" t="str">
        <f>IF($BJ9&gt;0,IF(INDEX('Final Calculation Sheet'!$E$4:$E$40,$BJ9-3)="","",INDEX('Final Calculation Sheet'!$E$4:$E$40,$BJ9-3)),IF(OR($BI9=1,$BL9=1,$BH9&gt;0),"–",""))</f>
        <v>KG</v>
      </c>
      <c r="H10" s="65">
        <f>IF($BJ9&gt;0,IF(INDEX('Final Calculation Sheet'!$C$4:$C$40,$BJ9-3)="","",INDEX('Final Calculation Sheet'!$C$4:$C$40,$BJ9-3)),IF(OR($BI9=1,$BL9=1,$BH9&gt;0),"–",""))</f>
        <v>227</v>
      </c>
      <c r="I10" s="65">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65">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65">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65">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65">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65">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66">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65">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65">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67">
        <f>IF($BJ9&gt;0,IF(INDEX('Final Calculation Sheet'!$Q$4:$Q$40,$BJ9-3)="","",INDEX('Final Calculation Sheet'!$Q$4:$Q$40,$BJ9-3)),IF(OR($BI9=1,$BL9=1,$BH9&gt;0),"–",""))</f>
        <v>0.02</v>
      </c>
      <c r="S10" s="65">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65">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65">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68">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65" t="str">
        <f>IF($BJ9&gt;0,IF(INDEX('Final Calculation Sheet'!$V$4:$V$40,$BJ9-3)="","",INDEX('Final Calculation Sheet'!$V$4:$V$40,$BJ9-3)),IF(OR($BI9=1,$BL9=1,$BH9&gt;0),"–",""))</f>
        <v>14.08.2026</v>
      </c>
      <c r="X10" s="65">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65">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65" t="str">
        <f>IF($BJ9&gt;0,IF(INDEX('Final Calculation Sheet'!$Y$4:$Y$40,$BJ9-3)="","",INDEX('Final Calculation Sheet'!$Y$4:$Y$40,$BJ9-3)),IF(OR($BI9=1,$BL9=1,$BH9&gt;0),"–",""))</f>
        <v>24.08.2026</v>
      </c>
      <c r="AA10" s="65">
        <f ca="1">IF($BJ9&gt;0,IF(INDEX('Final Calculation Sheet'!$Z$4:$Z$40,$BJ9-3)="","",INDEX('Final Calculation Sheet'!$Z$4:$Z$40,$BJ9-3)),IF(OR($BI9=1,$BL9=1,$BH9&gt;0),IF($BI9=1,SUM('Final Calculation Sheet'!$Z$4:$Z$40),IF($BL9=1,SUM('Final Calculation Sheet'!$Z$4:$Z$40)-SUMIFS('Final Calculation Sheet'!$Z$4:$Z$40,$AZ$5:$AZ$41,10),SUMIFS('Final Calculation Sheet'!$Z$4:$Z$40,$AZ$5:$AZ$41,$BH9))),""))</f>
        <v>58283.657399999996</v>
      </c>
      <c r="AB10" s="65"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65" t="str">
        <f>IF($BJ9&gt;0,IF(INDEX('Final Calculation Sheet'!$AB$4:$AB$40,$BJ9-3)="","",INDEX('Final Calculation Sheet'!$AB$4:$AB$40,$BJ9-3)),IF(OR($BI9=1,$BL9=1,$BH9&gt;0),"–",""))</f>
        <v/>
      </c>
      <c r="AD10" s="65">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65">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G10" s="65" t="str">
        <f>IF($BJ9&gt;0,IF(INDEX('Final Calculation Sheet'!$AF$4:$AF$40,$BJ9-3)="","",INDEX('Final Calculation Sheet'!$AF$4:$AF$40,$BJ9-3)),IF(OR($BI9=1,$BL9=1,$BH9&gt;0),"–",""))</f>
        <v>DR2640100045</v>
      </c>
      <c r="AH10" s="69">
        <f>IF($BJ9&gt;0,IF(INDEX('Final Calculation Sheet'!$AG$4:$AG$40,$BJ9-3)="","",INDEX('Final Calculation Sheet'!$AG$4:$AG$40,$BJ9-3)),IF(OR($BI9=1,$BL9=1,$BH9&gt;0),"–",""))</f>
        <v>1800003315</v>
      </c>
      <c r="AI10" s="65" t="str">
        <f>IF($BJ9&gt;0,IF(INDEX('Final Calculation Sheet'!$AH$4:$AH$40,$BJ9-3)="","",INDEX('Final Calculation Sheet'!$AH$4:$AH$40,$BJ9-3)),IF(OR($BI9=1,$BL9=1,$BH9&gt;0),"–",""))</f>
        <v>27.08.2026</v>
      </c>
      <c r="AJ10" s="63"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 t="shared" si="7"/>
        <v>0</v>
      </c>
      <c r="AM10">
        <f t="shared" si="1"/>
        <v>1</v>
      </c>
      <c r="AZ10">
        <f t="shared" si="2"/>
        <v>9</v>
      </c>
      <c r="BA10">
        <f t="shared" si="3"/>
        <v>6</v>
      </c>
      <c r="BB10">
        <f t="shared" si="4"/>
        <v>10</v>
      </c>
      <c r="BC10">
        <v>9</v>
      </c>
      <c r="BD10">
        <f>COUNTIF($AZ$5:$AZ$41,7)</f>
        <v>0</v>
      </c>
      <c r="BE10">
        <f t="shared" si="5"/>
        <v>5</v>
      </c>
      <c r="BF10">
        <f t="shared" si="0"/>
        <v>0</v>
      </c>
      <c r="BH10">
        <f>IFERROR(MATCH(10,$BF$4:$BF$13,0),0)</f>
        <v>0</v>
      </c>
      <c r="BI10">
        <f>IF(10=$BG$5,1,0)</f>
        <v>0</v>
      </c>
      <c r="BJ10">
        <f>IF(OR($BH10&gt;0,$BI10=1,$BL10=1),0,IFERROR(INDEX($BC$5:$BC$41,MATCH(10,$BB$5:$BB$41,0)),0))</f>
        <v>9</v>
      </c>
      <c r="BK10">
        <f>IF($BJ10&gt;0,IF(INDEX($AZ$5:$AZ$41,MATCH(10,$BB$5:$BB$41,0))=10,1,0),IF($BH10=10,1,0))</f>
        <v>0</v>
      </c>
      <c r="BL10">
        <f>IF(10=$BG$4,1,0)</f>
        <v>0</v>
      </c>
      <c r="BM10">
        <f t="shared" si="6"/>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1</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1</v>
      </c>
    </row>
    <row r="11" spans="1:99" ht="15" customHeight="1" x14ac:dyDescent="0.3">
      <c r="A11" s="62">
        <f>IF($BJ10&gt;0,INDEX($BA$5:$BA$41,MATCH(10,$BB$5:$BB$41,0)),IF(OR($BI10=1,$BL10=1,$BH10&gt;0),"∑",""))</f>
        <v>6</v>
      </c>
      <c r="B11" s="63">
        <f>IF($BJ10&gt;0,IF(INDEX('Final Calculation Sheet'!$F$4:$F$40,$BJ10-3)="","",INDEX('Final Calculation Sheet'!$F$4:$F$40,$BJ10-3)),"")</f>
        <v>1976</v>
      </c>
      <c r="C11" s="63" t="str">
        <f>IF($BJ10&gt;0,IF(INDEX('Final Calculation Sheet'!$G$4:$G$40,$BJ10-3)="","",INDEX('Final Calculation Sheet'!$G$4:$G$40,$BJ10-3)),IF(OR($BI10=1,$BL10=1,$BH10&gt;0),IF($BI10=1,37,IF($BL10=1,37-INDEX($BD$4:$BD$13,10),INDEX($BD$4:$BD$13,$BH10)))&amp;" lot(s)",""))</f>
        <v>SHAR JAHAN TRADERS</v>
      </c>
      <c r="D11" s="64"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64">
        <f>IF($BJ10&gt;0,IF(INDEX('Final Calculation Sheet'!$D$4:$D$40,$BJ10-3)="","",INDEX('Final Calculation Sheet'!$D$4:$D$40,$BJ10-3)),IF(OR($BI10=1,$BL10=1,$BH10&gt;0),"–",""))</f>
        <v>21977</v>
      </c>
      <c r="F11" s="64">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64" t="str">
        <f>IF($BJ10&gt;0,IF(INDEX('Final Calculation Sheet'!$E$4:$E$40,$BJ10-3)="","",INDEX('Final Calculation Sheet'!$E$4:$E$40,$BJ10-3)),IF(OR($BI10=1,$BL10=1,$BH10&gt;0),"–",""))</f>
        <v>NO</v>
      </c>
      <c r="H11" s="65">
        <f>IF($BJ10&gt;0,IF(INDEX('Final Calculation Sheet'!$C$4:$C$40,$BJ10-3)="","",INDEX('Final Calculation Sheet'!$C$4:$C$40,$BJ10-3)),IF(OR($BI10=1,$BL10=1,$BH10&gt;0),"–",""))</f>
        <v>2787314</v>
      </c>
      <c r="I11" s="65">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65">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65">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65">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65">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65">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66">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65">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65">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67">
        <f>IF($BJ10&gt;0,IF(INDEX('Final Calculation Sheet'!$Q$4:$Q$40,$BJ10-3)="","",INDEX('Final Calculation Sheet'!$Q$4:$Q$40,$BJ10-3)),IF(OR($BI10=1,$BL10=1,$BH10&gt;0),"–",""))</f>
        <v>0</v>
      </c>
      <c r="S11" s="65">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65">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65">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68">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65" t="str">
        <f>IF($BJ10&gt;0,IF(INDEX('Final Calculation Sheet'!$V$4:$V$40,$BJ10-3)="","",INDEX('Final Calculation Sheet'!$V$4:$V$40,$BJ10-3)),IF(OR($BI10=1,$BL10=1,$BH10&gt;0),"–",""))</f>
        <v>13.08.2026</v>
      </c>
      <c r="X11" s="65">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65">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65" t="str">
        <f>IF($BJ10&gt;0,IF(INDEX('Final Calculation Sheet'!$Y$4:$Y$40,$BJ10-3)="","",INDEX('Final Calculation Sheet'!$Y$4:$Y$40,$BJ10-3)),IF(OR($BI10=1,$BL10=1,$BH10&gt;0),"–",""))</f>
        <v>13.08.2026</v>
      </c>
      <c r="AA11" s="65">
        <f ca="1">IF($BJ10&gt;0,IF(INDEX('Final Calculation Sheet'!$Z$4:$Z$40,$BJ10-3)="","",INDEX('Final Calculation Sheet'!$Z$4:$Z$40,$BJ10-3)),IF(OR($BI10=1,$BL10=1,$BH10&gt;0),IF($BI10=1,SUM('Final Calculation Sheet'!$Z$4:$Z$40),IF($BL10=1,SUM('Final Calculation Sheet'!$Z$4:$Z$40)-SUMIFS('Final Calculation Sheet'!$Z$4:$Z$40,$AZ$5:$AZ$41,10),SUMIFS('Final Calculation Sheet'!$Z$4:$Z$40,$AZ$5:$AZ$41,$BH10))),""))</f>
        <v>98670.915600000008</v>
      </c>
      <c r="AB11" s="65"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65" t="str">
        <f>IF($BJ10&gt;0,IF(INDEX('Final Calculation Sheet'!$AB$4:$AB$40,$BJ10-3)="","",INDEX('Final Calculation Sheet'!$AB$4:$AB$40,$BJ10-3)),IF(OR($BI10=1,$BL10=1,$BH10&gt;0),"–",""))</f>
        <v/>
      </c>
      <c r="AD11" s="65">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65">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G11" s="65" t="str">
        <f>IF($BJ10&gt;0,IF(INDEX('Final Calculation Sheet'!$AF$4:$AF$40,$BJ10-3)="","",INDEX('Final Calculation Sheet'!$AF$4:$AF$40,$BJ10-3)),IF(OR($BI10=1,$BL10=1,$BH10&gt;0),"–",""))</f>
        <v>DR2640100023</v>
      </c>
      <c r="AH11" s="69">
        <f>IF($BJ10&gt;0,IF(INDEX('Final Calculation Sheet'!$AG$4:$AG$40,$BJ10-3)="","",INDEX('Final Calculation Sheet'!$AG$4:$AG$40,$BJ10-3)),IF(OR($BI10=1,$BL10=1,$BH10&gt;0),"–",""))</f>
        <v>1800003194</v>
      </c>
      <c r="AI11" s="65" t="str">
        <f>IF($BJ10&gt;0,IF(INDEX('Final Calculation Sheet'!$AH$4:$AH$40,$BJ10-3)="","",INDEX('Final Calculation Sheet'!$AH$4:$AH$40,$BJ10-3)),IF(OR($BI10=1,$BL10=1,$BH10&gt;0),"–",""))</f>
        <v>17.08.2026</v>
      </c>
      <c r="AJ11" s="63"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 t="shared" si="7"/>
        <v>0</v>
      </c>
      <c r="AM11">
        <f t="shared" si="1"/>
        <v>1</v>
      </c>
      <c r="AZ11">
        <f t="shared" si="2"/>
        <v>9</v>
      </c>
      <c r="BA11">
        <f t="shared" si="3"/>
        <v>7</v>
      </c>
      <c r="BB11">
        <f t="shared" si="4"/>
        <v>11</v>
      </c>
      <c r="BC11">
        <v>10</v>
      </c>
      <c r="BD11">
        <f>COUNTIF($AZ$5:$AZ$41,8)</f>
        <v>0</v>
      </c>
      <c r="BE11">
        <f t="shared" si="5"/>
        <v>5</v>
      </c>
      <c r="BF11">
        <f t="shared" si="0"/>
        <v>0</v>
      </c>
      <c r="BH11">
        <f>IFERROR(MATCH(11,$BF$4:$BF$13,0),0)</f>
        <v>0</v>
      </c>
      <c r="BI11">
        <f>IF(11=$BG$5,1,0)</f>
        <v>0</v>
      </c>
      <c r="BJ11">
        <f>IF(OR($BH11&gt;0,$BI11=1,$BL11=1),0,IFERROR(INDEX($BC$5:$BC$41,MATCH(11,$BB$5:$BB$41,0)),0))</f>
        <v>10</v>
      </c>
      <c r="BK11">
        <f>IF($BJ11&gt;0,IF(INDEX($AZ$5:$AZ$41,MATCH(11,$BB$5:$BB$41,0))=10,1,0),IF($BH11=10,1,0))</f>
        <v>0</v>
      </c>
      <c r="BL11">
        <f>IF(11=$BG$4,1,0)</f>
        <v>0</v>
      </c>
      <c r="BM11">
        <f t="shared" si="6"/>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1</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1</v>
      </c>
    </row>
    <row r="12" spans="1:99" ht="15" customHeight="1" x14ac:dyDescent="0.3">
      <c r="A12" s="62">
        <f>IF($BJ11&gt;0,INDEX($BA$5:$BA$41,MATCH(11,$BB$5:$BB$41,0)),IF(OR($BI11=1,$BL11=1,$BH11&gt;0),"∑",""))</f>
        <v>7</v>
      </c>
      <c r="B12" s="63">
        <f>IF($BJ11&gt;0,IF(INDEX('Final Calculation Sheet'!$F$4:$F$40,$BJ11-3)="","",INDEX('Final Calculation Sheet'!$F$4:$F$40,$BJ11-3)),"")</f>
        <v>2002</v>
      </c>
      <c r="C12" s="63" t="str">
        <f>IF($BJ11&gt;0,IF(INDEX('Final Calculation Sheet'!$G$4:$G$40,$BJ11-3)="","",INDEX('Final Calculation Sheet'!$G$4:$G$40,$BJ11-3)),IF(OR($BI11=1,$BL11=1,$BH11&gt;0),IF($BI11=1,37,IF($BL11=1,37-INDEX($BD$4:$BD$13,10),INDEX($BD$4:$BD$13,$BH11)))&amp;" lot(s)",""))</f>
        <v>NATIONAL ENTERPRISES</v>
      </c>
      <c r="D12" s="64"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64">
        <f>IF($BJ11&gt;0,IF(INDEX('Final Calculation Sheet'!$D$4:$D$40,$BJ11-3)="","",INDEX('Final Calculation Sheet'!$D$4:$D$40,$BJ11-3)),IF(OR($BI11=1,$BL11=1,$BH11&gt;0),"–",""))</f>
        <v>21977</v>
      </c>
      <c r="F12" s="64">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64" t="str">
        <f>IF($BJ11&gt;0,IF(INDEX('Final Calculation Sheet'!$E$4:$E$40,$BJ11-3)="","",INDEX('Final Calculation Sheet'!$E$4:$E$40,$BJ11-3)),IF(OR($BI11=1,$BL11=1,$BH11&gt;0),"–",""))</f>
        <v>NO</v>
      </c>
      <c r="H12" s="65">
        <f>IF($BJ11&gt;0,IF(INDEX('Final Calculation Sheet'!$C$4:$C$40,$BJ11-3)="","",INDEX('Final Calculation Sheet'!$C$4:$C$40,$BJ11-3)),IF(OR($BI11=1,$BL11=1,$BH11&gt;0),"–",""))</f>
        <v>51511</v>
      </c>
      <c r="I12" s="65">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65">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65">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65">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65">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65">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66">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65">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65">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67">
        <f>IF($BJ11&gt;0,IF(INDEX('Final Calculation Sheet'!$Q$4:$Q$40,$BJ11-3)="","",INDEX('Final Calculation Sheet'!$Q$4:$Q$40,$BJ11-3)),IF(OR($BI11=1,$BL11=1,$BH11&gt;0),"–",""))</f>
        <v>0</v>
      </c>
      <c r="S12" s="65">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65">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65">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68">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65" t="str">
        <f>IF($BJ11&gt;0,IF(INDEX('Final Calculation Sheet'!$V$4:$V$40,$BJ11-3)="","",INDEX('Final Calculation Sheet'!$V$4:$V$40,$BJ11-3)),IF(OR($BI11=1,$BL11=1,$BH11&gt;0),"–",""))</f>
        <v>13.08.2026</v>
      </c>
      <c r="X12" s="65">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65">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65" t="str">
        <f>IF($BJ11&gt;0,IF(INDEX('Final Calculation Sheet'!$Y$4:$Y$40,$BJ11-3)="","",INDEX('Final Calculation Sheet'!$Y$4:$Y$40,$BJ11-3)),IF(OR($BI11=1,$BL11=1,$BH11&gt;0),"–",""))</f>
        <v>24.08.2026</v>
      </c>
      <c r="AA12" s="65">
        <f ca="1">IF($BJ11&gt;0,IF(INDEX('Final Calculation Sheet'!$Z$4:$Z$40,$BJ11-3)="","",INDEX('Final Calculation Sheet'!$Z$4:$Z$40,$BJ11-3)),IF(OR($BI11=1,$BL11=1,$BH11&gt;0),IF($BI11=1,SUM('Final Calculation Sheet'!$Z$4:$Z$40),IF($BL11=1,SUM('Final Calculation Sheet'!$Z$4:$Z$40)-SUMIFS('Final Calculation Sheet'!$Z$4:$Z$40,$AZ$5:$AZ$41,10),SUMIFS('Final Calculation Sheet'!$Z$4:$Z$40,$AZ$5:$AZ$41,$BH11))),""))</f>
        <v>7293.9575999999997</v>
      </c>
      <c r="AB12" s="65"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65" t="str">
        <f>IF($BJ11&gt;0,IF(INDEX('Final Calculation Sheet'!$AB$4:$AB$40,$BJ11-3)="","",INDEX('Final Calculation Sheet'!$AB$4:$AB$40,$BJ11-3)),IF(OR($BI11=1,$BL11=1,$BH11&gt;0),"–",""))</f>
        <v/>
      </c>
      <c r="AD12" s="65">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65">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G12" s="65" t="str">
        <f>IF($BJ11&gt;0,IF(INDEX('Final Calculation Sheet'!$AF$4:$AF$40,$BJ11-3)="","",INDEX('Final Calculation Sheet'!$AF$4:$AF$40,$BJ11-3)),IF(OR($BI11=1,$BL11=1,$BH11&gt;0),"–",""))</f>
        <v>DR2640100031</v>
      </c>
      <c r="AH12" s="69">
        <f>IF($BJ11&gt;0,IF(INDEX('Final Calculation Sheet'!$AG$4:$AG$40,$BJ11-3)="","",INDEX('Final Calculation Sheet'!$AG$4:$AG$40,$BJ11-3)),IF(OR($BI11=1,$BL11=1,$BH11&gt;0),"–",""))</f>
        <v>1800003303</v>
      </c>
      <c r="AI12" s="65" t="str">
        <f>IF($BJ11&gt;0,IF(INDEX('Final Calculation Sheet'!$AH$4:$AH$40,$BJ11-3)="","",INDEX('Final Calculation Sheet'!$AH$4:$AH$40,$BJ11-3)),IF(OR($BI11=1,$BL11=1,$BH11&gt;0),"–",""))</f>
        <v>27.08.2026</v>
      </c>
      <c r="AJ12" s="63"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 t="shared" si="7"/>
        <v>0</v>
      </c>
      <c r="AM12">
        <f t="shared" si="1"/>
        <v>1</v>
      </c>
      <c r="AZ12">
        <f t="shared" si="2"/>
        <v>9</v>
      </c>
      <c r="BA12">
        <f t="shared" si="3"/>
        <v>8</v>
      </c>
      <c r="BB12">
        <f t="shared" si="4"/>
        <v>12</v>
      </c>
      <c r="BC12">
        <v>11</v>
      </c>
      <c r="BD12">
        <f>COUNTIF($AZ$5:$AZ$41,9)</f>
        <v>37</v>
      </c>
      <c r="BE12">
        <f t="shared" si="5"/>
        <v>5</v>
      </c>
      <c r="BF12">
        <f t="shared" si="0"/>
        <v>42</v>
      </c>
      <c r="BH12">
        <f>IFERROR(MATCH(12,$BF$4:$BF$13,0),0)</f>
        <v>0</v>
      </c>
      <c r="BI12">
        <f>IF(12=$BG$5,1,0)</f>
        <v>0</v>
      </c>
      <c r="BJ12">
        <f>IF(OR($BH12&gt;0,$BI12=1,$BL12=1),0,IFERROR(INDEX($BC$5:$BC$41,MATCH(12,$BB$5:$BB$41,0)),0))</f>
        <v>11</v>
      </c>
      <c r="BK12">
        <f>IF($BJ12&gt;0,IF(INDEX($AZ$5:$AZ$41,MATCH(12,$BB$5:$BB$41,0))=10,1,0),IF($BH12=10,1,0))</f>
        <v>0</v>
      </c>
      <c r="BL12">
        <f>IF(12=$BG$4,1,0)</f>
        <v>0</v>
      </c>
      <c r="BM12">
        <f t="shared" si="6"/>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1</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1</v>
      </c>
    </row>
    <row r="13" spans="1:99" ht="15" customHeight="1" x14ac:dyDescent="0.3">
      <c r="A13" s="62">
        <f>IF($BJ12&gt;0,INDEX($BA$5:$BA$41,MATCH(12,$BB$5:$BB$41,0)),IF(OR($BI12=1,$BL12=1,$BH12&gt;0),"∑",""))</f>
        <v>8</v>
      </c>
      <c r="B13" s="63">
        <f>IF($BJ12&gt;0,IF(INDEX('Final Calculation Sheet'!$F$4:$F$40,$BJ12-3)="","",INDEX('Final Calculation Sheet'!$F$4:$F$40,$BJ12-3)),"")</f>
        <v>2003</v>
      </c>
      <c r="C13" s="63" t="str">
        <f>IF($BJ12&gt;0,IF(INDEX('Final Calculation Sheet'!$G$4:$G$40,$BJ12-3)="","",INDEX('Final Calculation Sheet'!$G$4:$G$40,$BJ12-3)),IF(OR($BI12=1,$BL12=1,$BH12&gt;0),IF($BI12=1,37,IF($BL12=1,37-INDEX($BD$4:$BD$13,10),INDEX($BD$4:$BD$13,$BH12)))&amp;" lot(s)",""))</f>
        <v>NATIONAL ENTERPRISES</v>
      </c>
      <c r="D13" s="64"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64">
        <f>IF($BJ12&gt;0,IF(INDEX('Final Calculation Sheet'!$D$4:$D$40,$BJ12-3)="","",INDEX('Final Calculation Sheet'!$D$4:$D$40,$BJ12-3)),IF(OR($BI12=1,$BL12=1,$BH12&gt;0),"–",""))</f>
        <v>21977</v>
      </c>
      <c r="F13" s="64">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64" t="str">
        <f>IF($BJ12&gt;0,IF(INDEX('Final Calculation Sheet'!$E$4:$E$40,$BJ12-3)="","",INDEX('Final Calculation Sheet'!$E$4:$E$40,$BJ12-3)),IF(OR($BI12=1,$BL12=1,$BH12&gt;0),"–",""))</f>
        <v>NO</v>
      </c>
      <c r="H13" s="65">
        <f>IF($BJ12&gt;0,IF(INDEX('Final Calculation Sheet'!$C$4:$C$40,$BJ12-3)="","",INDEX('Final Calculation Sheet'!$C$4:$C$40,$BJ12-3)),IF(OR($BI12=1,$BL12=1,$BH12&gt;0),"–",""))</f>
        <v>65007</v>
      </c>
      <c r="I13" s="65">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65">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65">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65">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65">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65">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66">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65">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65">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67">
        <f>IF($BJ12&gt;0,IF(INDEX('Final Calculation Sheet'!$Q$4:$Q$40,$BJ12-3)="","",INDEX('Final Calculation Sheet'!$Q$4:$Q$40,$BJ12-3)),IF(OR($BI12=1,$BL12=1,$BH12&gt;0),"–",""))</f>
        <v>0</v>
      </c>
      <c r="S13" s="65">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65">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65">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68">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65" t="str">
        <f>IF($BJ12&gt;0,IF(INDEX('Final Calculation Sheet'!$V$4:$V$40,$BJ12-3)="","",INDEX('Final Calculation Sheet'!$V$4:$V$40,$BJ12-3)),IF(OR($BI12=1,$BL12=1,$BH12&gt;0),"–",""))</f>
        <v>13.08.2026</v>
      </c>
      <c r="X13" s="65">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65">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65" t="str">
        <f>IF($BJ12&gt;0,IF(INDEX('Final Calculation Sheet'!$Y$4:$Y$40,$BJ12-3)="","",INDEX('Final Calculation Sheet'!$Y$4:$Y$40,$BJ12-3)),IF(OR($BI12=1,$BL12=1,$BH12&gt;0),"–",""))</f>
        <v>24.08.2026</v>
      </c>
      <c r="AA13" s="65">
        <f ca="1">IF($BJ12&gt;0,IF(INDEX('Final Calculation Sheet'!$Z$4:$Z$40,$BJ12-3)="","",INDEX('Final Calculation Sheet'!$Z$4:$Z$40,$BJ12-3)),IF(OR($BI12=1,$BL12=1,$BH12&gt;0),IF($BI12=1,SUM('Final Calculation Sheet'!$Z$4:$Z$40),IF($BL12=1,SUM('Final Calculation Sheet'!$Z$4:$Z$40)-SUMIFS('Final Calculation Sheet'!$Z$4:$Z$40,$AZ$5:$AZ$41,10),SUMIFS('Final Calculation Sheet'!$Z$4:$Z$40,$AZ$5:$AZ$41,$BH12))),""))</f>
        <v>2301.2478000000001</v>
      </c>
      <c r="AB13" s="65"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65" t="str">
        <f>IF($BJ12&gt;0,IF(INDEX('Final Calculation Sheet'!$AB$4:$AB$40,$BJ12-3)="","",INDEX('Final Calculation Sheet'!$AB$4:$AB$40,$BJ12-3)),IF(OR($BI12=1,$BL12=1,$BH12&gt;0),"–",""))</f>
        <v/>
      </c>
      <c r="AD13" s="65">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65">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G13" s="65" t="str">
        <f>IF($BJ12&gt;0,IF(INDEX('Final Calculation Sheet'!$AF$4:$AF$40,$BJ12-3)="","",INDEX('Final Calculation Sheet'!$AF$4:$AF$40,$BJ12-3)),IF(OR($BI12=1,$BL12=1,$BH12&gt;0),"–",""))</f>
        <v>DR2640100032</v>
      </c>
      <c r="AH13" s="69">
        <f>IF($BJ12&gt;0,IF(INDEX('Final Calculation Sheet'!$AG$4:$AG$40,$BJ12-3)="","",INDEX('Final Calculation Sheet'!$AG$4:$AG$40,$BJ12-3)),IF(OR($BI12=1,$BL12=1,$BH12&gt;0),"–",""))</f>
        <v>1800003304</v>
      </c>
      <c r="AI13" s="65" t="str">
        <f>IF($BJ12&gt;0,IF(INDEX('Final Calculation Sheet'!$AH$4:$AH$40,$BJ12-3)="","",INDEX('Final Calculation Sheet'!$AH$4:$AH$40,$BJ12-3)),IF(OR($BI12=1,$BL12=1,$BH12&gt;0),"–",""))</f>
        <v>27.08.2026</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 t="shared" si="7"/>
        <v>0</v>
      </c>
      <c r="AM13">
        <f t="shared" si="1"/>
        <v>1</v>
      </c>
      <c r="AZ13">
        <f t="shared" si="2"/>
        <v>9</v>
      </c>
      <c r="BA13">
        <f t="shared" si="3"/>
        <v>9</v>
      </c>
      <c r="BB13">
        <f t="shared" si="4"/>
        <v>13</v>
      </c>
      <c r="BC13">
        <v>12</v>
      </c>
      <c r="BD13">
        <f>COUNTIF($AZ$5:$AZ$41,10)</f>
        <v>0</v>
      </c>
      <c r="BE13">
        <f>$BG$4+1</f>
        <v>44</v>
      </c>
      <c r="BF13">
        <f t="shared" si="0"/>
        <v>0</v>
      </c>
      <c r="BH13">
        <f>IFERROR(MATCH(13,$BF$4:$BF$13,0),0)</f>
        <v>0</v>
      </c>
      <c r="BI13">
        <f>IF(13=$BG$5,1,0)</f>
        <v>0</v>
      </c>
      <c r="BJ13">
        <f>IF(OR($BH13&gt;0,$BI13=1,$BL13=1),0,IFERROR(INDEX($BC$5:$BC$41,MATCH(13,$BB$5:$BB$41,0)),0))</f>
        <v>12</v>
      </c>
      <c r="BK13">
        <f>IF($BJ13&gt;0,IF(INDEX($AZ$5:$AZ$41,MATCH(13,$BB$5:$BB$41,0))=10,1,0),IF($BH13=10,1,0))</f>
        <v>0</v>
      </c>
      <c r="BL13">
        <f>IF(13=$BG$4,1,0)</f>
        <v>0</v>
      </c>
      <c r="BM13">
        <f t="shared" si="6"/>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1</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1</v>
      </c>
    </row>
    <row r="14" spans="1:99" ht="15" customHeight="1" x14ac:dyDescent="0.3">
      <c r="A14" s="62">
        <f>IF($BJ13&gt;0,INDEX($BA$5:$BA$41,MATCH(13,$BB$5:$BB$41,0)),IF(OR($BI13=1,$BL13=1,$BH13&gt;0),"∑",""))</f>
        <v>9</v>
      </c>
      <c r="B14" s="63">
        <f>IF($BJ13&gt;0,IF(INDEX('Final Calculation Sheet'!$F$4:$F$40,$BJ13-3)="","",INDEX('Final Calculation Sheet'!$F$4:$F$40,$BJ13-3)),"")</f>
        <v>2005</v>
      </c>
      <c r="C14" s="63" t="str">
        <f>IF($BJ13&gt;0,IF(INDEX('Final Calculation Sheet'!$G$4:$G$40,$BJ13-3)="","",INDEX('Final Calculation Sheet'!$G$4:$G$40,$BJ13-3)),IF(OR($BI13=1,$BL13=1,$BH13&gt;0),IF($BI13=1,37,IF($BL13=1,37-INDEX($BD$4:$BD$13,10),INDEX($BD$4:$BD$13,$BH13)))&amp;" lot(s)",""))</f>
        <v>NATIONAL ENTERPRISES</v>
      </c>
      <c r="D14" s="64"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64">
        <f>IF($BJ13&gt;0,IF(INDEX('Final Calculation Sheet'!$D$4:$D$40,$BJ13-3)="","",INDEX('Final Calculation Sheet'!$D$4:$D$40,$BJ13-3)),IF(OR($BI13=1,$BL13=1,$BH13&gt;0),"–",""))</f>
        <v>21977</v>
      </c>
      <c r="F14" s="64">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64" t="str">
        <f>IF($BJ13&gt;0,IF(INDEX('Final Calculation Sheet'!$E$4:$E$40,$BJ13-3)="","",INDEX('Final Calculation Sheet'!$E$4:$E$40,$BJ13-3)),IF(OR($BI13=1,$BL13=1,$BH13&gt;0),"–",""))</f>
        <v>NO</v>
      </c>
      <c r="H14" s="65">
        <f>IF($BJ13&gt;0,IF(INDEX('Final Calculation Sheet'!$C$4:$C$40,$BJ13-3)="","",INDEX('Final Calculation Sheet'!$C$4:$C$40,$BJ13-3)),IF(OR($BI13=1,$BL13=1,$BH13&gt;0),"–",""))</f>
        <v>70006</v>
      </c>
      <c r="I14" s="65">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65">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65">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65">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65">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65">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66">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65">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65">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67">
        <f>IF($BJ13&gt;0,IF(INDEX('Final Calculation Sheet'!$Q$4:$Q$40,$BJ13-3)="","",INDEX('Final Calculation Sheet'!$Q$4:$Q$40,$BJ13-3)),IF(OR($BI13=1,$BL13=1,$BH13&gt;0),"–",""))</f>
        <v>0</v>
      </c>
      <c r="S14" s="65">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65">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65">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68">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65" t="str">
        <f>IF($BJ13&gt;0,IF(INDEX('Final Calculation Sheet'!$V$4:$V$40,$BJ13-3)="","",INDEX('Final Calculation Sheet'!$V$4:$V$40,$BJ13-3)),IF(OR($BI13=1,$BL13=1,$BH13&gt;0),"–",""))</f>
        <v>13.08.2026</v>
      </c>
      <c r="X14" s="65">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65">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65" t="str">
        <f>IF($BJ13&gt;0,IF(INDEX('Final Calculation Sheet'!$Y$4:$Y$40,$BJ13-3)="","",INDEX('Final Calculation Sheet'!$Y$4:$Y$40,$BJ13-3)),IF(OR($BI13=1,$BL13=1,$BH13&gt;0),"–",""))</f>
        <v>24.08.2026</v>
      </c>
      <c r="AA14" s="65">
        <f ca="1">IF($BJ13&gt;0,IF(INDEX('Final Calculation Sheet'!$Z$4:$Z$40,$BJ13-3)="","",INDEX('Final Calculation Sheet'!$Z$4:$Z$40,$BJ13-3)),IF(OR($BI13=1,$BL13=1,$BH13&gt;0),IF($BI13=1,SUM('Final Calculation Sheet'!$Z$4:$Z$40),IF($BL13=1,SUM('Final Calculation Sheet'!$Z$4:$Z$40)-SUMIFS('Final Calculation Sheet'!$Z$4:$Z$40,$AZ$5:$AZ$41,10),SUMIFS('Final Calculation Sheet'!$Z$4:$Z$40,$AZ$5:$AZ$41,$BH13))),""))</f>
        <v>2478.2123999999999</v>
      </c>
      <c r="AB14" s="65"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65" t="str">
        <f>IF($BJ13&gt;0,IF(INDEX('Final Calculation Sheet'!$AB$4:$AB$40,$BJ13-3)="","",INDEX('Final Calculation Sheet'!$AB$4:$AB$40,$BJ13-3)),IF(OR($BI13=1,$BL13=1,$BH13&gt;0),"–",""))</f>
        <v/>
      </c>
      <c r="AD14" s="65">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65">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G14" s="65" t="str">
        <f>IF($BJ13&gt;0,IF(INDEX('Final Calculation Sheet'!$AF$4:$AF$40,$BJ13-3)="","",INDEX('Final Calculation Sheet'!$AF$4:$AF$40,$BJ13-3)),IF(OR($BI13=1,$BL13=1,$BH13&gt;0),"–",""))</f>
        <v>DR2640100033</v>
      </c>
      <c r="AH14" s="69">
        <f>IF($BJ13&gt;0,IF(INDEX('Final Calculation Sheet'!$AG$4:$AG$40,$BJ13-3)="","",INDEX('Final Calculation Sheet'!$AG$4:$AG$40,$BJ13-3)),IF(OR($BI13=1,$BL13=1,$BH13&gt;0),"–",""))</f>
        <v>1800003305</v>
      </c>
      <c r="AI14" s="65" t="str">
        <f>IF($BJ13&gt;0,IF(INDEX('Final Calculation Sheet'!$AH$4:$AH$40,$BJ13-3)="","",INDEX('Final Calculation Sheet'!$AH$4:$AH$40,$BJ13-3)),IF(OR($BI13=1,$BL13=1,$BH13&gt;0),"–",""))</f>
        <v>27.08.2026</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 t="shared" si="7"/>
        <v>0</v>
      </c>
      <c r="AM14">
        <f t="shared" si="1"/>
        <v>1</v>
      </c>
      <c r="AZ14">
        <f t="shared" si="2"/>
        <v>9</v>
      </c>
      <c r="BA14">
        <f t="shared" si="3"/>
        <v>10</v>
      </c>
      <c r="BB14">
        <f t="shared" si="4"/>
        <v>14</v>
      </c>
      <c r="BC14">
        <v>13</v>
      </c>
      <c r="BH14">
        <f>IFERROR(MATCH(14,$BF$4:$BF$13,0),0)</f>
        <v>0</v>
      </c>
      <c r="BI14">
        <f>IF(14=$BG$5,1,0)</f>
        <v>0</v>
      </c>
      <c r="BJ14">
        <f>IF(OR($BH14&gt;0,$BI14=1,$BL14=1),0,IFERROR(INDEX($BC$5:$BC$41,MATCH(14,$BB$5:$BB$41,0)),0))</f>
        <v>13</v>
      </c>
      <c r="BK14">
        <f>IF($BJ14&gt;0,IF(INDEX($AZ$5:$AZ$41,MATCH(14,$BB$5:$BB$41,0))=10,1,0),IF($BH14=10,1,0))</f>
        <v>0</v>
      </c>
      <c r="BL14">
        <f>IF(14=$BG$4,1,0)</f>
        <v>0</v>
      </c>
      <c r="BM14">
        <f t="shared" si="6"/>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1</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1</v>
      </c>
    </row>
    <row r="15" spans="1:99" ht="15" customHeight="1" x14ac:dyDescent="0.3">
      <c r="A15" s="62">
        <f>IF($BJ14&gt;0,INDEX($BA$5:$BA$41,MATCH(14,$BB$5:$BB$41,0)),IF(OR($BI14=1,$BL14=1,$BH14&gt;0),"∑",""))</f>
        <v>10</v>
      </c>
      <c r="B15" s="63">
        <f>IF($BJ14&gt;0,IF(INDEX('Final Calculation Sheet'!$F$4:$F$40,$BJ14-3)="","",INDEX('Final Calculation Sheet'!$F$4:$F$40,$BJ14-3)),"")</f>
        <v>2006</v>
      </c>
      <c r="C15" s="63" t="str">
        <f>IF($BJ14&gt;0,IF(INDEX('Final Calculation Sheet'!$G$4:$G$40,$BJ14-3)="","",INDEX('Final Calculation Sheet'!$G$4:$G$40,$BJ14-3)),IF(OR($BI14=1,$BL14=1,$BH14&gt;0),IF($BI14=1,37,IF($BL14=1,37-INDEX($BD$4:$BD$13,10),INDEX($BD$4:$BD$13,$BH14)))&amp;" lot(s)",""))</f>
        <v>STERLING ENTERPRISES</v>
      </c>
      <c r="D15" s="64"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64">
        <f>IF($BJ14&gt;0,IF(INDEX('Final Calculation Sheet'!$D$4:$D$40,$BJ14-3)="","",INDEX('Final Calculation Sheet'!$D$4:$D$40,$BJ14-3)),IF(OR($BI14=1,$BL14=1,$BH14&gt;0),"–",""))</f>
        <v>21977</v>
      </c>
      <c r="F15" s="64">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64" t="str">
        <f>IF($BJ14&gt;0,IF(INDEX('Final Calculation Sheet'!$E$4:$E$40,$BJ14-3)="","",INDEX('Final Calculation Sheet'!$E$4:$E$40,$BJ14-3)),IF(OR($BI14=1,$BL14=1,$BH14&gt;0),"–",""))</f>
        <v>NO</v>
      </c>
      <c r="H15" s="65">
        <f>IF($BJ14&gt;0,IF(INDEX('Final Calculation Sheet'!$C$4:$C$40,$BJ14-3)="","",INDEX('Final Calculation Sheet'!$C$4:$C$40,$BJ14-3)),IF(OR($BI14=1,$BL14=1,$BH14&gt;0),"–",""))</f>
        <v>700</v>
      </c>
      <c r="I15" s="65">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65">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65">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65">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65">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65">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66">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65">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65">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67">
        <f>IF($BJ14&gt;0,IF(INDEX('Final Calculation Sheet'!$Q$4:$Q$40,$BJ14-3)="","",INDEX('Final Calculation Sheet'!$Q$4:$Q$40,$BJ14-3)),IF(OR($BI14=1,$BL14=1,$BH14&gt;0),"–",""))</f>
        <v>0</v>
      </c>
      <c r="S15" s="65">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65">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65">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68">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65" t="str">
        <f>IF($BJ14&gt;0,IF(INDEX('Final Calculation Sheet'!$V$4:$V$40,$BJ14-3)="","",INDEX('Final Calculation Sheet'!$V$4:$V$40,$BJ14-3)),IF(OR($BI14=1,$BL14=1,$BH14&gt;0),"–",""))</f>
        <v>11.08.2026</v>
      </c>
      <c r="X15" s="65">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65">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65" t="str">
        <f>IF($BJ14&gt;0,IF(INDEX('Final Calculation Sheet'!$Y$4:$Y$40,$BJ14-3)="","",INDEX('Final Calculation Sheet'!$Y$4:$Y$40,$BJ14-3)),IF(OR($BI14=1,$BL14=1,$BH14&gt;0),"–",""))</f>
        <v>11.08.2026</v>
      </c>
      <c r="AA15" s="65">
        <f ca="1">IF($BJ14&gt;0,IF(INDEX('Final Calculation Sheet'!$Z$4:$Z$40,$BJ14-3)="","",INDEX('Final Calculation Sheet'!$Z$4:$Z$40,$BJ14-3)),IF(OR($BI14=1,$BL14=1,$BH14&gt;0),IF($BI14=1,SUM('Final Calculation Sheet'!$Z$4:$Z$40),IF($BL14=1,SUM('Final Calculation Sheet'!$Z$4:$Z$40)-SUMIFS('Final Calculation Sheet'!$Z$4:$Z$40,$AZ$5:$AZ$41,10),SUMIFS('Final Calculation Sheet'!$Z$4:$Z$40,$AZ$5:$AZ$41,$BH14))),""))</f>
        <v>619.5</v>
      </c>
      <c r="AB15" s="65"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65" t="str">
        <f>IF($BJ14&gt;0,IF(INDEX('Final Calculation Sheet'!$AB$4:$AB$40,$BJ14-3)="","",INDEX('Final Calculation Sheet'!$AB$4:$AB$40,$BJ14-3)),IF(OR($BI14=1,$BL14=1,$BH14&gt;0),"–",""))</f>
        <v/>
      </c>
      <c r="AD15" s="65">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65">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G15" s="65" t="str">
        <f>IF($BJ14&gt;0,IF(INDEX('Final Calculation Sheet'!$AF$4:$AF$40,$BJ14-3)="","",INDEX('Final Calculation Sheet'!$AF$4:$AF$40,$BJ14-3)),IF(OR($BI14=1,$BL14=1,$BH14&gt;0),"–",""))</f>
        <v>DR2640100018</v>
      </c>
      <c r="AH15" s="69">
        <f>IF($BJ14&gt;0,IF(INDEX('Final Calculation Sheet'!$AG$4:$AG$40,$BJ14-3)="","",INDEX('Final Calculation Sheet'!$AG$4:$AG$40,$BJ14-3)),IF(OR($BI14=1,$BL14=1,$BH14&gt;0),"–",""))</f>
        <v>1800003156</v>
      </c>
      <c r="AI15" s="65" t="str">
        <f>IF($BJ14&gt;0,IF(INDEX('Final Calculation Sheet'!$AH$4:$AH$40,$BJ14-3)="","",INDEX('Final Calculation Sheet'!$AH$4:$AH$40,$BJ14-3)),IF(OR($BI14=1,$BL14=1,$BH14&gt;0),"–",""))</f>
        <v>14.08.2026</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 t="shared" si="7"/>
        <v>0</v>
      </c>
      <c r="AM15">
        <f t="shared" si="1"/>
        <v>1</v>
      </c>
      <c r="AZ15">
        <f t="shared" si="2"/>
        <v>9</v>
      </c>
      <c r="BA15">
        <f t="shared" si="3"/>
        <v>11</v>
      </c>
      <c r="BB15">
        <f t="shared" si="4"/>
        <v>15</v>
      </c>
      <c r="BC15">
        <v>14</v>
      </c>
      <c r="BH15">
        <f>IFERROR(MATCH(15,$BF$4:$BF$13,0),0)</f>
        <v>0</v>
      </c>
      <c r="BI15">
        <f>IF(15=$BG$5,1,0)</f>
        <v>0</v>
      </c>
      <c r="BJ15">
        <f>IF(OR($BH15&gt;0,$BI15=1,$BL15=1),0,IFERROR(INDEX($BC$5:$BC$41,MATCH(15,$BB$5:$BB$41,0)),0))</f>
        <v>14</v>
      </c>
      <c r="BK15">
        <f>IF($BJ15&gt;0,IF(INDEX($AZ$5:$AZ$41,MATCH(15,$BB$5:$BB$41,0))=10,1,0),IF($BH15=10,1,0))</f>
        <v>0</v>
      </c>
      <c r="BL15">
        <f>IF(15=$BG$4,1,0)</f>
        <v>0</v>
      </c>
      <c r="BM15">
        <f t="shared" si="6"/>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1</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1</v>
      </c>
    </row>
    <row r="16" spans="1:99" ht="15" customHeight="1" x14ac:dyDescent="0.3">
      <c r="A16" s="62">
        <f>IF($BJ15&gt;0,INDEX($BA$5:$BA$41,MATCH(15,$BB$5:$BB$41,0)),IF(OR($BI15=1,$BL15=1,$BH15&gt;0),"∑",""))</f>
        <v>11</v>
      </c>
      <c r="B16" s="63">
        <f>IF($BJ15&gt;0,IF(INDEX('Final Calculation Sheet'!$F$4:$F$40,$BJ15-3)="","",INDEX('Final Calculation Sheet'!$F$4:$F$40,$BJ15-3)),"")</f>
        <v>2007</v>
      </c>
      <c r="C16" s="63" t="str">
        <f>IF($BJ15&gt;0,IF(INDEX('Final Calculation Sheet'!$G$4:$G$40,$BJ15-3)="","",INDEX('Final Calculation Sheet'!$G$4:$G$40,$BJ15-3)),IF(OR($BI15=1,$BL15=1,$BH15&gt;0),IF($BI15=1,37,IF($BL15=1,37-INDEX($BD$4:$BD$13,10),INDEX($BD$4:$BD$13,$BH15)))&amp;" lot(s)",""))</f>
        <v>SHAR JAHAN TRADERS</v>
      </c>
      <c r="D16" s="64"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64">
        <f>IF($BJ15&gt;0,IF(INDEX('Final Calculation Sheet'!$D$4:$D$40,$BJ15-3)="","",INDEX('Final Calculation Sheet'!$D$4:$D$40,$BJ15-3)),IF(OR($BI15=1,$BL15=1,$BH15&gt;0),"–",""))</f>
        <v>21977</v>
      </c>
      <c r="F16" s="64">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64" t="str">
        <f>IF($BJ15&gt;0,IF(INDEX('Final Calculation Sheet'!$E$4:$E$40,$BJ15-3)="","",INDEX('Final Calculation Sheet'!$E$4:$E$40,$BJ15-3)),IF(OR($BI15=1,$BL15=1,$BH15&gt;0),"–",""))</f>
        <v>NO</v>
      </c>
      <c r="H16" s="65">
        <f>IF($BJ15&gt;0,IF(INDEX('Final Calculation Sheet'!$C$4:$C$40,$BJ15-3)="","",INDEX('Final Calculation Sheet'!$C$4:$C$40,$BJ15-3)),IF(OR($BI15=1,$BL15=1,$BH15&gt;0),"–",""))</f>
        <v>3857116</v>
      </c>
      <c r="I16" s="65">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65">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65">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65">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65">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65">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66">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65">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65">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67">
        <f>IF($BJ15&gt;0,IF(INDEX('Final Calculation Sheet'!$Q$4:$Q$40,$BJ15-3)="","",INDEX('Final Calculation Sheet'!$Q$4:$Q$40,$BJ15-3)),IF(OR($BI15=1,$BL15=1,$BH15&gt;0),"–",""))</f>
        <v>0</v>
      </c>
      <c r="S16" s="65">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65">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65">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68">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65" t="str">
        <f>IF($BJ15&gt;0,IF(INDEX('Final Calculation Sheet'!$V$4:$V$40,$BJ15-3)="","",INDEX('Final Calculation Sheet'!$V$4:$V$40,$BJ15-3)),IF(OR($BI15=1,$BL15=1,$BH15&gt;0),"–",""))</f>
        <v>13.08.2026</v>
      </c>
      <c r="X16" s="65">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65">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65" t="str">
        <f>IF($BJ15&gt;0,IF(INDEX('Final Calculation Sheet'!$Y$4:$Y$40,$BJ15-3)="","",INDEX('Final Calculation Sheet'!$Y$4:$Y$40,$BJ15-3)),IF(OR($BI15=1,$BL15=1,$BH15&gt;0),"–",""))</f>
        <v>13.08.2026</v>
      </c>
      <c r="AA16" s="65">
        <f ca="1">IF($BJ15&gt;0,IF(INDEX('Final Calculation Sheet'!$Z$4:$Z$40,$BJ15-3)="","",INDEX('Final Calculation Sheet'!$Z$4:$Z$40,$BJ15-3)),IF(OR($BI15=1,$BL15=1,$BH15&gt;0),IF($BI15=1,SUM('Final Calculation Sheet'!$Z$4:$Z$40),IF($BL15=1,SUM('Final Calculation Sheet'!$Z$4:$Z$40)-SUMIFS('Final Calculation Sheet'!$Z$4:$Z$40,$AZ$5:$AZ$41,10),SUMIFS('Final Calculation Sheet'!$Z$4:$Z$40,$AZ$5:$AZ$41,$BH15))),""))</f>
        <v>136541.90640000001</v>
      </c>
      <c r="AB16" s="65"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65" t="str">
        <f>IF($BJ15&gt;0,IF(INDEX('Final Calculation Sheet'!$AB$4:$AB$40,$BJ15-3)="","",INDEX('Final Calculation Sheet'!$AB$4:$AB$40,$BJ15-3)),IF(OR($BI15=1,$BL15=1,$BH15&gt;0),"–",""))</f>
        <v/>
      </c>
      <c r="AD16" s="65">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65">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G16" s="65" t="str">
        <f>IF($BJ15&gt;0,IF(INDEX('Final Calculation Sheet'!$AF$4:$AF$40,$BJ15-3)="","",INDEX('Final Calculation Sheet'!$AF$4:$AF$40,$BJ15-3)),IF(OR($BI15=1,$BL15=1,$BH15&gt;0),"–",""))</f>
        <v>DR2640100024</v>
      </c>
      <c r="AH16" s="69">
        <f>IF($BJ15&gt;0,IF(INDEX('Final Calculation Sheet'!$AG$4:$AG$40,$BJ15-3)="","",INDEX('Final Calculation Sheet'!$AG$4:$AG$40,$BJ15-3)),IF(OR($BI15=1,$BL15=1,$BH15&gt;0),"–",""))</f>
        <v>1800003196</v>
      </c>
      <c r="AI16" s="65" t="str">
        <f>IF($BJ15&gt;0,IF(INDEX('Final Calculation Sheet'!$AH$4:$AH$40,$BJ15-3)="","",INDEX('Final Calculation Sheet'!$AH$4:$AH$40,$BJ15-3)),IF(OR($BI15=1,$BL15=1,$BH15&gt;0),"–",""))</f>
        <v>17.08.2026</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 t="shared" si="7"/>
        <v>0</v>
      </c>
      <c r="AM16">
        <f t="shared" si="1"/>
        <v>1</v>
      </c>
      <c r="AZ16">
        <f t="shared" si="2"/>
        <v>9</v>
      </c>
      <c r="BA16">
        <f t="shared" si="3"/>
        <v>12</v>
      </c>
      <c r="BB16">
        <f t="shared" si="4"/>
        <v>16</v>
      </c>
      <c r="BC16">
        <v>15</v>
      </c>
      <c r="BH16">
        <f>IFERROR(MATCH(16,$BF$4:$BF$13,0),0)</f>
        <v>0</v>
      </c>
      <c r="BI16">
        <f>IF(16=$BG$5,1,0)</f>
        <v>0</v>
      </c>
      <c r="BJ16">
        <f>IF(OR($BH16&gt;0,$BI16=1,$BL16=1),0,IFERROR(INDEX($BC$5:$BC$41,MATCH(16,$BB$5:$BB$41,0)),0))</f>
        <v>15</v>
      </c>
      <c r="BK16">
        <f>IF($BJ16&gt;0,IF(INDEX($AZ$5:$AZ$41,MATCH(16,$BB$5:$BB$41,0))=10,1,0),IF($BH16=10,1,0))</f>
        <v>0</v>
      </c>
      <c r="BL16">
        <f>IF(16=$BG$4,1,0)</f>
        <v>0</v>
      </c>
      <c r="BM16">
        <f t="shared" si="6"/>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1</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1</v>
      </c>
    </row>
    <row r="17" spans="1:99" ht="15" customHeight="1" x14ac:dyDescent="0.3">
      <c r="A17" s="62">
        <f>IF($BJ16&gt;0,INDEX($BA$5:$BA$41,MATCH(16,$BB$5:$BB$41,0)),IF(OR($BI16=1,$BL16=1,$BH16&gt;0),"∑",""))</f>
        <v>12</v>
      </c>
      <c r="B17" s="63">
        <f>IF($BJ16&gt;0,IF(INDEX('Final Calculation Sheet'!$F$4:$F$40,$BJ16-3)="","",INDEX('Final Calculation Sheet'!$F$4:$F$40,$BJ16-3)),"")</f>
        <v>2008</v>
      </c>
      <c r="C17" s="63" t="str">
        <f>IF($BJ16&gt;0,IF(INDEX('Final Calculation Sheet'!$G$4:$G$40,$BJ16-3)="","",INDEX('Final Calculation Sheet'!$G$4:$G$40,$BJ16-3)),IF(OR($BI16=1,$BL16=1,$BH16&gt;0),IF($BI16=1,37,IF($BL16=1,37-INDEX($BD$4:$BD$13,10),INDEX($BD$4:$BD$13,$BH16)))&amp;" lot(s)",""))</f>
        <v>HIND TRADERS</v>
      </c>
      <c r="D17" s="64"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64">
        <f>IF($BJ16&gt;0,IF(INDEX('Final Calculation Sheet'!$D$4:$D$40,$BJ16-3)="","",INDEX('Final Calculation Sheet'!$D$4:$D$40,$BJ16-3)),IF(OR($BI16=1,$BL16=1,$BH16&gt;0),"–",""))</f>
        <v>21977</v>
      </c>
      <c r="F17" s="64">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64" t="str">
        <f>IF($BJ16&gt;0,IF(INDEX('Final Calculation Sheet'!$E$4:$E$40,$BJ16-3)="","",INDEX('Final Calculation Sheet'!$E$4:$E$40,$BJ16-3)),IF(OR($BI16=1,$BL16=1,$BH16&gt;0),"–",""))</f>
        <v>NO</v>
      </c>
      <c r="H17" s="65">
        <f>IF($BJ16&gt;0,IF(INDEX('Final Calculation Sheet'!$C$4:$C$40,$BJ16-3)="","",INDEX('Final Calculation Sheet'!$C$4:$C$40,$BJ16-3)),IF(OR($BI16=1,$BL16=1,$BH16&gt;0),"–",""))</f>
        <v>543</v>
      </c>
      <c r="I17" s="65">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65">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65">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65">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65">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65">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66">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65">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65">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67">
        <f>IF($BJ16&gt;0,IF(INDEX('Final Calculation Sheet'!$Q$4:$Q$40,$BJ16-3)="","",INDEX('Final Calculation Sheet'!$Q$4:$Q$40,$BJ16-3)),IF(OR($BI16=1,$BL16=1,$BH16&gt;0),"–",""))</f>
        <v>0</v>
      </c>
      <c r="S17" s="65">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65">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65">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68">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65" t="str">
        <f>IF($BJ16&gt;0,IF(INDEX('Final Calculation Sheet'!$V$4:$V$40,$BJ16-3)="","",INDEX('Final Calculation Sheet'!$V$4:$V$40,$BJ16-3)),IF(OR($BI16=1,$BL16=1,$BH16&gt;0),"–",""))</f>
        <v>14.08.2026</v>
      </c>
      <c r="X17" s="65">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65">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65" t="str">
        <f>IF($BJ16&gt;0,IF(INDEX('Final Calculation Sheet'!$Y$4:$Y$40,$BJ16-3)="","",INDEX('Final Calculation Sheet'!$Y$4:$Y$40,$BJ16-3)),IF(OR($BI16=1,$BL16=1,$BH16&gt;0),"–",""))</f>
        <v>18.08.2026</v>
      </c>
      <c r="AA17" s="65">
        <f ca="1">IF($BJ16&gt;0,IF(INDEX('Final Calculation Sheet'!$Z$4:$Z$40,$BJ16-3)="","",INDEX('Final Calculation Sheet'!$Z$4:$Z$40,$BJ16-3)),IF(OR($BI16=1,$BL16=1,$BH16&gt;0),IF($BI16=1,SUM('Final Calculation Sheet'!$Z$4:$Z$40),IF($BL16=1,SUM('Final Calculation Sheet'!$Z$4:$Z$40)-SUMIFS('Final Calculation Sheet'!$Z$4:$Z$40,$AZ$5:$AZ$41,10),SUMIFS('Final Calculation Sheet'!$Z$4:$Z$40,$AZ$5:$AZ$41,$BH16))),""))</f>
        <v>4805.5499999999993</v>
      </c>
      <c r="AB17" s="65"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65" t="str">
        <f>IF($BJ16&gt;0,IF(INDEX('Final Calculation Sheet'!$AB$4:$AB$40,$BJ16-3)="","",INDEX('Final Calculation Sheet'!$AB$4:$AB$40,$BJ16-3)),IF(OR($BI16=1,$BL16=1,$BH16&gt;0),"–",""))</f>
        <v/>
      </c>
      <c r="AD17" s="65">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65">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G17" s="65" t="str">
        <f>IF($BJ16&gt;0,IF(INDEX('Final Calculation Sheet'!$AF$4:$AF$40,$BJ16-3)="","",INDEX('Final Calculation Sheet'!$AF$4:$AF$40,$BJ16-3)),IF(OR($BI16=1,$BL16=1,$BH16&gt;0),"–",""))</f>
        <v>DR2640100026</v>
      </c>
      <c r="AH17" s="69">
        <f>IF($BJ16&gt;0,IF(INDEX('Final Calculation Sheet'!$AG$4:$AG$40,$BJ16-3)="","",INDEX('Final Calculation Sheet'!$AG$4:$AG$40,$BJ16-3)),IF(OR($BI16=1,$BL16=1,$BH16&gt;0),"–",""))</f>
        <v>1800003247</v>
      </c>
      <c r="AI17" s="65" t="str">
        <f>IF($BJ16&gt;0,IF(INDEX('Final Calculation Sheet'!$AH$4:$AH$40,$BJ16-3)="","",INDEX('Final Calculation Sheet'!$AH$4:$AH$40,$BJ16-3)),IF(OR($BI16=1,$BL16=1,$BH16&gt;0),"–",""))</f>
        <v>20.08.2026</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 t="shared" si="7"/>
        <v>0</v>
      </c>
      <c r="AM17">
        <f t="shared" si="1"/>
        <v>1</v>
      </c>
      <c r="AZ17">
        <f t="shared" si="2"/>
        <v>9</v>
      </c>
      <c r="BA17">
        <f t="shared" si="3"/>
        <v>13</v>
      </c>
      <c r="BB17">
        <f t="shared" si="4"/>
        <v>17</v>
      </c>
      <c r="BC17">
        <v>16</v>
      </c>
      <c r="BH17">
        <f>IFERROR(MATCH(17,$BF$4:$BF$13,0),0)</f>
        <v>0</v>
      </c>
      <c r="BI17">
        <f>IF(17=$BG$5,1,0)</f>
        <v>0</v>
      </c>
      <c r="BJ17">
        <f>IF(OR($BH17&gt;0,$BI17=1,$BL17=1),0,IFERROR(INDEX($BC$5:$BC$41,MATCH(17,$BB$5:$BB$41,0)),0))</f>
        <v>16</v>
      </c>
      <c r="BK17">
        <f>IF($BJ17&gt;0,IF(INDEX($AZ$5:$AZ$41,MATCH(17,$BB$5:$BB$41,0))=10,1,0),IF($BH17=10,1,0))</f>
        <v>0</v>
      </c>
      <c r="BL17">
        <f>IF(17=$BG$4,1,0)</f>
        <v>0</v>
      </c>
      <c r="BM17">
        <f t="shared" si="6"/>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1</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1</v>
      </c>
    </row>
    <row r="18" spans="1:99" ht="15" customHeight="1" x14ac:dyDescent="0.3">
      <c r="A18" s="62">
        <f>IF($BJ17&gt;0,INDEX($BA$5:$BA$41,MATCH(17,$BB$5:$BB$41,0)),IF(OR($BI17=1,$BL17=1,$BH17&gt;0),"∑",""))</f>
        <v>13</v>
      </c>
      <c r="B18" s="63">
        <f>IF($BJ17&gt;0,IF(INDEX('Final Calculation Sheet'!$F$4:$F$40,$BJ17-3)="","",INDEX('Final Calculation Sheet'!$F$4:$F$40,$BJ17-3)),"")</f>
        <v>2011</v>
      </c>
      <c r="C18" s="63" t="str">
        <f>IF($BJ17&gt;0,IF(INDEX('Final Calculation Sheet'!$G$4:$G$40,$BJ17-3)="","",INDEX('Final Calculation Sheet'!$G$4:$G$40,$BJ17-3)),IF(OR($BI17=1,$BL17=1,$BH17&gt;0),IF($BI17=1,37,IF($BL17=1,37-INDEX($BD$4:$BD$13,10),INDEX($BD$4:$BD$13,$BH17)))&amp;" lot(s)",""))</f>
        <v>STERLING ENTERPRISES</v>
      </c>
      <c r="D18" s="6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64">
        <f>IF($BJ17&gt;0,IF(INDEX('Final Calculation Sheet'!$D$4:$D$40,$BJ17-3)="","",INDEX('Final Calculation Sheet'!$D$4:$D$40,$BJ17-3)),IF(OR($BI17=1,$BL17=1,$BH17&gt;0),"–",""))</f>
        <v>21977</v>
      </c>
      <c r="F18" s="64">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64" t="str">
        <f>IF($BJ17&gt;0,IF(INDEX('Final Calculation Sheet'!$E$4:$E$40,$BJ17-3)="","",INDEX('Final Calculation Sheet'!$E$4:$E$40,$BJ17-3)),IF(OR($BI17=1,$BL17=1,$BH17&gt;0),"–",""))</f>
        <v>NO</v>
      </c>
      <c r="H18" s="65">
        <f>IF($BJ17&gt;0,IF(INDEX('Final Calculation Sheet'!$C$4:$C$40,$BJ17-3)="","",INDEX('Final Calculation Sheet'!$C$4:$C$40,$BJ17-3)),IF(OR($BI17=1,$BL17=1,$BH17&gt;0),"–",""))</f>
        <v>700</v>
      </c>
      <c r="I18" s="65">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65">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65">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65">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65">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65">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66">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65">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65">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67">
        <f>IF($BJ17&gt;0,IF(INDEX('Final Calculation Sheet'!$Q$4:$Q$40,$BJ17-3)="","",INDEX('Final Calculation Sheet'!$Q$4:$Q$40,$BJ17-3)),IF(OR($BI17=1,$BL17=1,$BH17&gt;0),"–",""))</f>
        <v>0</v>
      </c>
      <c r="S18" s="65">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65">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65">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68">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65" t="str">
        <f>IF($BJ17&gt;0,IF(INDEX('Final Calculation Sheet'!$V$4:$V$40,$BJ17-3)="","",INDEX('Final Calculation Sheet'!$V$4:$V$40,$BJ17-3)),IF(OR($BI17=1,$BL17=1,$BH17&gt;0),"–",""))</f>
        <v>11.08.2026</v>
      </c>
      <c r="X18" s="65">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65">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65" t="str">
        <f>IF($BJ17&gt;0,IF(INDEX('Final Calculation Sheet'!$Y$4:$Y$40,$BJ17-3)="","",INDEX('Final Calculation Sheet'!$Y$4:$Y$40,$BJ17-3)),IF(OR($BI17=1,$BL17=1,$BH17&gt;0),"–",""))</f>
        <v>11.08.2026</v>
      </c>
      <c r="AA18" s="65">
        <f ca="1">IF($BJ17&gt;0,IF(INDEX('Final Calculation Sheet'!$Z$4:$Z$40,$BJ17-3)="","",INDEX('Final Calculation Sheet'!$Z$4:$Z$40,$BJ17-3)),IF(OR($BI17=1,$BL17=1,$BH17&gt;0),IF($BI17=1,SUM('Final Calculation Sheet'!$Z$4:$Z$40),IF($BL17=1,SUM('Final Calculation Sheet'!$Z$4:$Z$40)-SUMIFS('Final Calculation Sheet'!$Z$4:$Z$40,$AZ$5:$AZ$41,10),SUMIFS('Final Calculation Sheet'!$Z$4:$Z$40,$AZ$5:$AZ$41,$BH17))),""))</f>
        <v>545.16</v>
      </c>
      <c r="AB18" s="65"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65" t="str">
        <f>IF($BJ17&gt;0,IF(INDEX('Final Calculation Sheet'!$AB$4:$AB$40,$BJ17-3)="","",INDEX('Final Calculation Sheet'!$AB$4:$AB$40,$BJ17-3)),IF(OR($BI17=1,$BL17=1,$BH17&gt;0),"–",""))</f>
        <v/>
      </c>
      <c r="AD18" s="65">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65">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G18" s="65" t="str">
        <f>IF($BJ17&gt;0,IF(INDEX('Final Calculation Sheet'!$AF$4:$AF$40,$BJ17-3)="","",INDEX('Final Calculation Sheet'!$AF$4:$AF$40,$BJ17-3)),IF(OR($BI17=1,$BL17=1,$BH17&gt;0),"–",""))</f>
        <v>DR2640100019</v>
      </c>
      <c r="AH18" s="69">
        <f>IF($BJ17&gt;0,IF(INDEX('Final Calculation Sheet'!$AG$4:$AG$40,$BJ17-3)="","",INDEX('Final Calculation Sheet'!$AG$4:$AG$40,$BJ17-3)),IF(OR($BI17=1,$BL17=1,$BH17&gt;0),"–",""))</f>
        <v>1800003157</v>
      </c>
      <c r="AI18" s="65" t="str">
        <f>IF($BJ17&gt;0,IF(INDEX('Final Calculation Sheet'!$AH$4:$AH$40,$BJ17-3)="","",INDEX('Final Calculation Sheet'!$AH$4:$AH$40,$BJ17-3)),IF(OR($BI17=1,$BL17=1,$BH17&gt;0),"–",""))</f>
        <v>14.08.2026</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 t="shared" si="7"/>
        <v>0</v>
      </c>
      <c r="AM18">
        <f t="shared" si="1"/>
        <v>1</v>
      </c>
      <c r="AZ18">
        <f t="shared" si="2"/>
        <v>9</v>
      </c>
      <c r="BA18">
        <f t="shared" si="3"/>
        <v>14</v>
      </c>
      <c r="BB18">
        <f t="shared" si="4"/>
        <v>18</v>
      </c>
      <c r="BC18">
        <v>17</v>
      </c>
      <c r="BH18">
        <f>IFERROR(MATCH(18,$BF$4:$BF$13,0),0)</f>
        <v>0</v>
      </c>
      <c r="BI18">
        <f>IF(18=$BG$5,1,0)</f>
        <v>0</v>
      </c>
      <c r="BJ18">
        <f>IF(OR($BH18&gt;0,$BI18=1,$BL18=1),0,IFERROR(INDEX($BC$5:$BC$41,MATCH(18,$BB$5:$BB$41,0)),0))</f>
        <v>17</v>
      </c>
      <c r="BK18">
        <f>IF($BJ18&gt;0,IF(INDEX($AZ$5:$AZ$41,MATCH(18,$BB$5:$BB$41,0))=10,1,0),IF($BH18=10,1,0))</f>
        <v>0</v>
      </c>
      <c r="BL18">
        <f>IF(18=$BG$4,1,0)</f>
        <v>0</v>
      </c>
      <c r="BM18">
        <f t="shared" si="6"/>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1</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1</v>
      </c>
    </row>
    <row r="19" spans="1:99" ht="15" customHeight="1" x14ac:dyDescent="0.3">
      <c r="A19" s="62">
        <f>IF($BJ18&gt;0,INDEX($BA$5:$BA$41,MATCH(18,$BB$5:$BB$41,0)),IF(OR($BI18=1,$BL18=1,$BH18&gt;0),"∑",""))</f>
        <v>14</v>
      </c>
      <c r="B19" s="63">
        <f>IF($BJ18&gt;0,IF(INDEX('Final Calculation Sheet'!$F$4:$F$40,$BJ18-3)="","",INDEX('Final Calculation Sheet'!$F$4:$F$40,$BJ18-3)),"")</f>
        <v>2015</v>
      </c>
      <c r="C19" s="63" t="str">
        <f>IF($BJ18&gt;0,IF(INDEX('Final Calculation Sheet'!$G$4:$G$40,$BJ18-3)="","",INDEX('Final Calculation Sheet'!$G$4:$G$40,$BJ18-3)),IF(OR($BI18=1,$BL18=1,$BH18&gt;0),IF($BI18=1,37,IF($BL18=1,37-INDEX($BD$4:$BD$13,10),INDEX($BD$4:$BD$13,$BH18)))&amp;" lot(s)",""))</f>
        <v>STERLING ENTERPRISES</v>
      </c>
      <c r="D19" s="64"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64">
        <f>IF($BJ18&gt;0,IF(INDEX('Final Calculation Sheet'!$D$4:$D$40,$BJ18-3)="","",INDEX('Final Calculation Sheet'!$D$4:$D$40,$BJ18-3)),IF(OR($BI18=1,$BL18=1,$BH18&gt;0),"–",""))</f>
        <v>21978</v>
      </c>
      <c r="F19" s="64">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64" t="str">
        <f>IF($BJ18&gt;0,IF(INDEX('Final Calculation Sheet'!$E$4:$E$40,$BJ18-3)="","",INDEX('Final Calculation Sheet'!$E$4:$E$40,$BJ18-3)),IF(OR($BI18=1,$BL18=1,$BH18&gt;0),"–",""))</f>
        <v>NO</v>
      </c>
      <c r="H19" s="65">
        <f>IF($BJ18&gt;0,IF(INDEX('Final Calculation Sheet'!$C$4:$C$40,$BJ18-3)="","",INDEX('Final Calculation Sheet'!$C$4:$C$40,$BJ18-3)),IF(OR($BI18=1,$BL18=1,$BH18&gt;0),"–",""))</f>
        <v>710</v>
      </c>
      <c r="I19" s="65">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65">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65">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65">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65">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65">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66">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65">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65">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67">
        <f>IF($BJ18&gt;0,IF(INDEX('Final Calculation Sheet'!$Q$4:$Q$40,$BJ18-3)="","",INDEX('Final Calculation Sheet'!$Q$4:$Q$40,$BJ18-3)),IF(OR($BI18=1,$BL18=1,$BH18&gt;0),"–",""))</f>
        <v>0</v>
      </c>
      <c r="S19" s="65">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65">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65">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68">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65" t="str">
        <f>IF($BJ18&gt;0,IF(INDEX('Final Calculation Sheet'!$V$4:$V$40,$BJ18-3)="","",INDEX('Final Calculation Sheet'!$V$4:$V$40,$BJ18-3)),IF(OR($BI18=1,$BL18=1,$BH18&gt;0),"–",""))</f>
        <v>11.08.2026</v>
      </c>
      <c r="X19" s="65">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65">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65" t="str">
        <f>IF($BJ18&gt;0,IF(INDEX('Final Calculation Sheet'!$Y$4:$Y$40,$BJ18-3)="","",INDEX('Final Calculation Sheet'!$Y$4:$Y$40,$BJ18-3)),IF(OR($BI18=1,$BL18=1,$BH18&gt;0),"–",""))</f>
        <v>11.08.2026</v>
      </c>
      <c r="AA19" s="65">
        <f ca="1">IF($BJ18&gt;0,IF(INDEX('Final Calculation Sheet'!$Z$4:$Z$40,$BJ18-3)="","",INDEX('Final Calculation Sheet'!$Z$4:$Z$40,$BJ18-3)),IF(OR($BI18=1,$BL18=1,$BH18&gt;0),IF($BI18=1,SUM('Final Calculation Sheet'!$Z$4:$Z$40),IF($BL18=1,SUM('Final Calculation Sheet'!$Z$4:$Z$40)-SUMIFS('Final Calculation Sheet'!$Z$4:$Z$40,$AZ$5:$AZ$41,10),SUMIFS('Final Calculation Sheet'!$Z$4:$Z$40,$AZ$5:$AZ$41,$BH18))),""))</f>
        <v>2513.3999999999996</v>
      </c>
      <c r="AB19" s="6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65" t="str">
        <f>IF($BJ18&gt;0,IF(INDEX('Final Calculation Sheet'!$AB$4:$AB$40,$BJ18-3)="","",INDEX('Final Calculation Sheet'!$AB$4:$AB$40,$BJ18-3)),IF(OR($BI18=1,$BL18=1,$BH18&gt;0),"–",""))</f>
        <v/>
      </c>
      <c r="AD19" s="6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6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G19" s="65" t="str">
        <f>IF($BJ18&gt;0,IF(INDEX('Final Calculation Sheet'!$AF$4:$AF$40,$BJ18-3)="","",INDEX('Final Calculation Sheet'!$AF$4:$AF$40,$BJ18-3)),IF(OR($BI18=1,$BL18=1,$BH18&gt;0),"–",""))</f>
        <v>DR2640100020</v>
      </c>
      <c r="AH19" s="69">
        <f>IF($BJ18&gt;0,IF(INDEX('Final Calculation Sheet'!$AG$4:$AG$40,$BJ18-3)="","",INDEX('Final Calculation Sheet'!$AG$4:$AG$40,$BJ18-3)),IF(OR($BI18=1,$BL18=1,$BH18&gt;0),"–",""))</f>
        <v>1800003158</v>
      </c>
      <c r="AI19" s="65" t="str">
        <f>IF($BJ18&gt;0,IF(INDEX('Final Calculation Sheet'!$AH$4:$AH$40,$BJ18-3)="","",INDEX('Final Calculation Sheet'!$AH$4:$AH$40,$BJ18-3)),IF(OR($BI18=1,$BL18=1,$BH18&gt;0),"–",""))</f>
        <v>14.08.2026</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 t="shared" si="7"/>
        <v>0</v>
      </c>
      <c r="AM19">
        <f t="shared" si="1"/>
        <v>1</v>
      </c>
      <c r="AZ19">
        <f t="shared" si="2"/>
        <v>9</v>
      </c>
      <c r="BA19">
        <f t="shared" si="3"/>
        <v>15</v>
      </c>
      <c r="BB19">
        <f t="shared" si="4"/>
        <v>19</v>
      </c>
      <c r="BC19">
        <v>18</v>
      </c>
      <c r="BH19">
        <f>IFERROR(MATCH(19,$BF$4:$BF$13,0),0)</f>
        <v>0</v>
      </c>
      <c r="BI19">
        <f>IF(19=$BG$5,1,0)</f>
        <v>0</v>
      </c>
      <c r="BJ19">
        <f>IF(OR($BH19&gt;0,$BI19=1,$BL19=1),0,IFERROR(INDEX($BC$5:$BC$41,MATCH(19,$BB$5:$BB$41,0)),0))</f>
        <v>18</v>
      </c>
      <c r="BK19">
        <f>IF($BJ19&gt;0,IF(INDEX($AZ$5:$AZ$41,MATCH(19,$BB$5:$BB$41,0))=10,1,0),IF($BH19=10,1,0))</f>
        <v>0</v>
      </c>
      <c r="BL19">
        <f>IF(19=$BG$4,1,0)</f>
        <v>0</v>
      </c>
      <c r="BM19">
        <f t="shared" si="6"/>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1</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1</v>
      </c>
    </row>
    <row r="20" spans="1:99" ht="15" customHeight="1" x14ac:dyDescent="0.3">
      <c r="A20" s="62">
        <f>IF($BJ19&gt;0,INDEX($BA$5:$BA$41,MATCH(19,$BB$5:$BB$41,0)),IF(OR($BI19=1,$BL19=1,$BH19&gt;0),"∑",""))</f>
        <v>15</v>
      </c>
      <c r="B20" s="63">
        <f>IF($BJ19&gt;0,IF(INDEX('Final Calculation Sheet'!$F$4:$F$40,$BJ19-3)="","",INDEX('Final Calculation Sheet'!$F$4:$F$40,$BJ19-3)),"")</f>
        <v>2018</v>
      </c>
      <c r="C20" s="63" t="str">
        <f>IF($BJ19&gt;0,IF(INDEX('Final Calculation Sheet'!$G$4:$G$40,$BJ19-3)="","",INDEX('Final Calculation Sheet'!$G$4:$G$40,$BJ19-3)),IF(OR($BI19=1,$BL19=1,$BH19&gt;0),IF($BI19=1,37,IF($BL19=1,37-INDEX($BD$4:$BD$13,10),INDEX($BD$4:$BD$13,$BH19)))&amp;" lot(s)",""))</f>
        <v>NATIONAL ENTERPRISES</v>
      </c>
      <c r="D20" s="64"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64">
        <f>IF($BJ19&gt;0,IF(INDEX('Final Calculation Sheet'!$D$4:$D$40,$BJ19-3)="","",INDEX('Final Calculation Sheet'!$D$4:$D$40,$BJ19-3)),IF(OR($BI19=1,$BL19=1,$BH19&gt;0),"–",""))</f>
        <v>21978</v>
      </c>
      <c r="F20" s="64">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64" t="str">
        <f>IF($BJ19&gt;0,IF(INDEX('Final Calculation Sheet'!$E$4:$E$40,$BJ19-3)="","",INDEX('Final Calculation Sheet'!$E$4:$E$40,$BJ19-3)),IF(OR($BI19=1,$BL19=1,$BH19&gt;0),"–",""))</f>
        <v>NO</v>
      </c>
      <c r="H20" s="65">
        <f>IF($BJ19&gt;0,IF(INDEX('Final Calculation Sheet'!$C$4:$C$40,$BJ19-3)="","",INDEX('Final Calculation Sheet'!$C$4:$C$40,$BJ19-3)),IF(OR($BI19=1,$BL19=1,$BH19&gt;0),"–",""))</f>
        <v>220001</v>
      </c>
      <c r="I20" s="65">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65">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65">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65">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65">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65">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66">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65">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65">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67">
        <f>IF($BJ19&gt;0,IF(INDEX('Final Calculation Sheet'!$Q$4:$Q$40,$BJ19-3)="","",INDEX('Final Calculation Sheet'!$Q$4:$Q$40,$BJ19-3)),IF(OR($BI19=1,$BL19=1,$BH19&gt;0),"–",""))</f>
        <v>0</v>
      </c>
      <c r="S20" s="65">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65">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65">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68">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65" t="str">
        <f>IF($BJ19&gt;0,IF(INDEX('Final Calculation Sheet'!$V$4:$V$40,$BJ19-3)="","",INDEX('Final Calculation Sheet'!$V$4:$V$40,$BJ19-3)),IF(OR($BI19=1,$BL19=1,$BH19&gt;0),"–",""))</f>
        <v>13.08.2026</v>
      </c>
      <c r="X20" s="65">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65">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65" t="str">
        <f>IF($BJ19&gt;0,IF(INDEX('Final Calculation Sheet'!$Y$4:$Y$40,$BJ19-3)="","",INDEX('Final Calculation Sheet'!$Y$4:$Y$40,$BJ19-3)),IF(OR($BI19=1,$BL19=1,$BH19&gt;0),"–",""))</f>
        <v>24.08.2026</v>
      </c>
      <c r="AA20" s="65">
        <f ca="1">IF($BJ19&gt;0,IF(INDEX('Final Calculation Sheet'!$Z$4:$Z$40,$BJ19-3)="","",INDEX('Final Calculation Sheet'!$Z$4:$Z$40,$BJ19-3)),IF(OR($BI19=1,$BL19=1,$BH19&gt;0),IF($BI19=1,SUM('Final Calculation Sheet'!$Z$4:$Z$40),IF($BL19=1,SUM('Final Calculation Sheet'!$Z$4:$Z$40)-SUMIFS('Final Calculation Sheet'!$Z$4:$Z$40,$AZ$5:$AZ$41,10),SUMIFS('Final Calculation Sheet'!$Z$4:$Z$40,$AZ$5:$AZ$41,$BH19))),""))</f>
        <v>7788.0353999999988</v>
      </c>
      <c r="AB20" s="65"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65" t="str">
        <f>IF($BJ19&gt;0,IF(INDEX('Final Calculation Sheet'!$AB$4:$AB$40,$BJ19-3)="","",INDEX('Final Calculation Sheet'!$AB$4:$AB$40,$BJ19-3)),IF(OR($BI19=1,$BL19=1,$BH19&gt;0),"–",""))</f>
        <v/>
      </c>
      <c r="AD20" s="65">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65">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G20" s="65" t="str">
        <f>IF($BJ19&gt;0,IF(INDEX('Final Calculation Sheet'!$AF$4:$AF$40,$BJ19-3)="","",INDEX('Final Calculation Sheet'!$AF$4:$AF$40,$BJ19-3)),IF(OR($BI19=1,$BL19=1,$BH19&gt;0),"–",""))</f>
        <v>DR2640100034</v>
      </c>
      <c r="AH20" s="69">
        <f>IF($BJ19&gt;0,IF(INDEX('Final Calculation Sheet'!$AG$4:$AG$40,$BJ19-3)="","",INDEX('Final Calculation Sheet'!$AG$4:$AG$40,$BJ19-3)),IF(OR($BI19=1,$BL19=1,$BH19&gt;0),"–",""))</f>
        <v>1800003306</v>
      </c>
      <c r="AI20" s="65" t="str">
        <f>IF($BJ19&gt;0,IF(INDEX('Final Calculation Sheet'!$AH$4:$AH$40,$BJ19-3)="","",INDEX('Final Calculation Sheet'!$AH$4:$AH$40,$BJ19-3)),IF(OR($BI19=1,$BL19=1,$BH19&gt;0),"–",""))</f>
        <v>27.08.2026</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 t="shared" si="7"/>
        <v>0</v>
      </c>
      <c r="AM20">
        <f t="shared" si="1"/>
        <v>1</v>
      </c>
      <c r="AZ20">
        <f t="shared" si="2"/>
        <v>9</v>
      </c>
      <c r="BA20">
        <f t="shared" si="3"/>
        <v>16</v>
      </c>
      <c r="BB20">
        <f t="shared" si="4"/>
        <v>20</v>
      </c>
      <c r="BC20">
        <v>19</v>
      </c>
      <c r="BH20">
        <f>IFERROR(MATCH(20,$BF$4:$BF$13,0),0)</f>
        <v>0</v>
      </c>
      <c r="BI20">
        <f>IF(20=$BG$5,1,0)</f>
        <v>0</v>
      </c>
      <c r="BJ20">
        <f>IF(OR($BH20&gt;0,$BI20=1,$BL20=1),0,IFERROR(INDEX($BC$5:$BC$41,MATCH(20,$BB$5:$BB$41,0)),0))</f>
        <v>19</v>
      </c>
      <c r="BK20">
        <f>IF($BJ20&gt;0,IF(INDEX($AZ$5:$AZ$41,MATCH(20,$BB$5:$BB$41,0))=10,1,0),IF($BH20=10,1,0))</f>
        <v>0</v>
      </c>
      <c r="BL20">
        <f>IF(20=$BG$4,1,0)</f>
        <v>0</v>
      </c>
      <c r="BM20">
        <f t="shared" si="6"/>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1</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1</v>
      </c>
    </row>
    <row r="21" spans="1:99" ht="15" customHeight="1" x14ac:dyDescent="0.3">
      <c r="A21" s="62">
        <f>IF($BJ20&gt;0,INDEX($BA$5:$BA$41,MATCH(20,$BB$5:$BB$41,0)),IF(OR($BI20=1,$BL20=1,$BH20&gt;0),"∑",""))</f>
        <v>16</v>
      </c>
      <c r="B21" s="63">
        <f>IF($BJ20&gt;0,IF(INDEX('Final Calculation Sheet'!$F$4:$F$40,$BJ20-3)="","",INDEX('Final Calculation Sheet'!$F$4:$F$40,$BJ20-3)),"")</f>
        <v>2019</v>
      </c>
      <c r="C21" s="63" t="str">
        <f>IF($BJ20&gt;0,IF(INDEX('Final Calculation Sheet'!$G$4:$G$40,$BJ20-3)="","",INDEX('Final Calculation Sheet'!$G$4:$G$40,$BJ20-3)),IF(OR($BI20=1,$BL20=1,$BH20&gt;0),IF($BI20=1,37,IF($BL20=1,37-INDEX($BD$4:$BD$13,10),INDEX($BD$4:$BD$13,$BH20)))&amp;" lot(s)",""))</f>
        <v>NATIONAL ENTERPRISES</v>
      </c>
      <c r="D21" s="64"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64">
        <f>IF($BJ20&gt;0,IF(INDEX('Final Calculation Sheet'!$D$4:$D$40,$BJ20-3)="","",INDEX('Final Calculation Sheet'!$D$4:$D$40,$BJ20-3)),IF(OR($BI20=1,$BL20=1,$BH20&gt;0),"–",""))</f>
        <v>21978</v>
      </c>
      <c r="F21" s="64">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64" t="str">
        <f>IF($BJ20&gt;0,IF(INDEX('Final Calculation Sheet'!$E$4:$E$40,$BJ20-3)="","",INDEX('Final Calculation Sheet'!$E$4:$E$40,$BJ20-3)),IF(OR($BI20=1,$BL20=1,$BH20&gt;0),"–",""))</f>
        <v>NO</v>
      </c>
      <c r="H21" s="65">
        <f>IF($BJ20&gt;0,IF(INDEX('Final Calculation Sheet'!$C$4:$C$40,$BJ20-3)="","",INDEX('Final Calculation Sheet'!$C$4:$C$40,$BJ20-3)),IF(OR($BI20=1,$BL20=1,$BH20&gt;0),"–",""))</f>
        <v>210001</v>
      </c>
      <c r="I21" s="65">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65">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65">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65">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65">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65">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66">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65">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65">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67">
        <f>IF($BJ20&gt;0,IF(INDEX('Final Calculation Sheet'!$Q$4:$Q$40,$BJ20-3)="","",INDEX('Final Calculation Sheet'!$Q$4:$Q$40,$BJ20-3)),IF(OR($BI20=1,$BL20=1,$BH20&gt;0),"–",""))</f>
        <v>0</v>
      </c>
      <c r="S21" s="65">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65">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65">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68">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65" t="str">
        <f>IF($BJ20&gt;0,IF(INDEX('Final Calculation Sheet'!$V$4:$V$40,$BJ20-3)="","",INDEX('Final Calculation Sheet'!$V$4:$V$40,$BJ20-3)),IF(OR($BI20=1,$BL20=1,$BH20&gt;0),"–",""))</f>
        <v>13.08.2026</v>
      </c>
      <c r="X21" s="65">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65">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65" t="str">
        <f>IF($BJ20&gt;0,IF(INDEX('Final Calculation Sheet'!$Y$4:$Y$40,$BJ20-3)="","",INDEX('Final Calculation Sheet'!$Y$4:$Y$40,$BJ20-3)),IF(OR($BI20=1,$BL20=1,$BH20&gt;0),"–",""))</f>
        <v>24.08.2026</v>
      </c>
      <c r="AA21" s="65">
        <f ca="1">IF($BJ20&gt;0,IF(INDEX('Final Calculation Sheet'!$Z$4:$Z$40,$BJ20-3)="","",INDEX('Final Calculation Sheet'!$Z$4:$Z$40,$BJ20-3)),IF(OR($BI20=1,$BL20=1,$BH20&gt;0),IF($BI20=1,SUM('Final Calculation Sheet'!$Z$4:$Z$40),IF($BL20=1,SUM('Final Calculation Sheet'!$Z$4:$Z$40)-SUMIFS('Final Calculation Sheet'!$Z$4:$Z$40,$AZ$5:$AZ$41,10),SUMIFS('Final Calculation Sheet'!$Z$4:$Z$40,$AZ$5:$AZ$41,$BH20))),""))</f>
        <v>7434.0353999999988</v>
      </c>
      <c r="AB21" s="65"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65" t="str">
        <f>IF($BJ20&gt;0,IF(INDEX('Final Calculation Sheet'!$AB$4:$AB$40,$BJ20-3)="","",INDEX('Final Calculation Sheet'!$AB$4:$AB$40,$BJ20-3)),IF(OR($BI20=1,$BL20=1,$BH20&gt;0),"–",""))</f>
        <v/>
      </c>
      <c r="AD21" s="65">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65">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G21" s="65" t="str">
        <f>IF($BJ20&gt;0,IF(INDEX('Final Calculation Sheet'!$AF$4:$AF$40,$BJ20-3)="","",INDEX('Final Calculation Sheet'!$AF$4:$AF$40,$BJ20-3)),IF(OR($BI20=1,$BL20=1,$BH20&gt;0),"–",""))</f>
        <v>DR2640100035</v>
      </c>
      <c r="AH21" s="69">
        <f>IF($BJ20&gt;0,IF(INDEX('Final Calculation Sheet'!$AG$4:$AG$40,$BJ20-3)="","",INDEX('Final Calculation Sheet'!$AG$4:$AG$40,$BJ20-3)),IF(OR($BI20=1,$BL20=1,$BH20&gt;0),"–",""))</f>
        <v>1800003307</v>
      </c>
      <c r="AI21" s="65" t="str">
        <f>IF($BJ20&gt;0,IF(INDEX('Final Calculation Sheet'!$AH$4:$AH$40,$BJ20-3)="","",INDEX('Final Calculation Sheet'!$AH$4:$AH$40,$BJ20-3)),IF(OR($BI20=1,$BL20=1,$BH20&gt;0),"–",""))</f>
        <v>27.08.2026</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 t="shared" si="7"/>
        <v>0</v>
      </c>
      <c r="AM21">
        <f t="shared" si="1"/>
        <v>1</v>
      </c>
      <c r="AZ21">
        <f t="shared" si="2"/>
        <v>9</v>
      </c>
      <c r="BA21">
        <f t="shared" si="3"/>
        <v>17</v>
      </c>
      <c r="BB21">
        <f t="shared" si="4"/>
        <v>21</v>
      </c>
      <c r="BC21">
        <v>20</v>
      </c>
      <c r="BH21">
        <f>IFERROR(MATCH(21,$BF$4:$BF$13,0),0)</f>
        <v>0</v>
      </c>
      <c r="BI21">
        <f>IF(21=$BG$5,1,0)</f>
        <v>0</v>
      </c>
      <c r="BJ21">
        <f>IF(OR($BH21&gt;0,$BI21=1,$BL21=1),0,IFERROR(INDEX($BC$5:$BC$41,MATCH(21,$BB$5:$BB$41,0)),0))</f>
        <v>20</v>
      </c>
      <c r="BK21">
        <f>IF($BJ21&gt;0,IF(INDEX($AZ$5:$AZ$41,MATCH(21,$BB$5:$BB$41,0))=10,1,0),IF($BH21=10,1,0))</f>
        <v>0</v>
      </c>
      <c r="BL21">
        <f>IF(21=$BG$4,1,0)</f>
        <v>0</v>
      </c>
      <c r="BM21">
        <f t="shared" si="6"/>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1</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1</v>
      </c>
    </row>
    <row r="22" spans="1:99" ht="15" customHeight="1" x14ac:dyDescent="0.3">
      <c r="A22" s="62">
        <f>IF($BJ21&gt;0,INDEX($BA$5:$BA$41,MATCH(21,$BB$5:$BB$41,0)),IF(OR($BI21=1,$BL21=1,$BH21&gt;0),"∑",""))</f>
        <v>17</v>
      </c>
      <c r="B22" s="63">
        <f>IF($BJ21&gt;0,IF(INDEX('Final Calculation Sheet'!$F$4:$F$40,$BJ21-3)="","",INDEX('Final Calculation Sheet'!$F$4:$F$40,$BJ21-3)),"")</f>
        <v>2020</v>
      </c>
      <c r="C22" s="63" t="str">
        <f>IF($BJ21&gt;0,IF(INDEX('Final Calculation Sheet'!$G$4:$G$40,$BJ21-3)="","",INDEX('Final Calculation Sheet'!$G$4:$G$40,$BJ21-3)),IF(OR($BI21=1,$BL21=1,$BH21&gt;0),IF($BI21=1,37,IF($BL21=1,37-INDEX($BD$4:$BD$13,10),INDEX($BD$4:$BD$13,$BH21)))&amp;" lot(s)",""))</f>
        <v>OMKAR STEELS</v>
      </c>
      <c r="D22" s="64"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64">
        <f>IF($BJ21&gt;0,IF(INDEX('Final Calculation Sheet'!$D$4:$D$40,$BJ21-3)="","",INDEX('Final Calculation Sheet'!$D$4:$D$40,$BJ21-3)),IF(OR($BI21=1,$BL21=1,$BH21&gt;0),"–",""))</f>
        <v>21978</v>
      </c>
      <c r="F22" s="64">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64" t="str">
        <f>IF($BJ21&gt;0,IF(INDEX('Final Calculation Sheet'!$E$4:$E$40,$BJ21-3)="","",INDEX('Final Calculation Sheet'!$E$4:$E$40,$BJ21-3)),IF(OR($BI21=1,$BL21=1,$BH21&gt;0),"–",""))</f>
        <v>KG</v>
      </c>
      <c r="H22" s="65">
        <f>IF($BJ21&gt;0,IF(INDEX('Final Calculation Sheet'!$C$4:$C$40,$BJ21-3)="","",INDEX('Final Calculation Sheet'!$C$4:$C$40,$BJ21-3)),IF(OR($BI21=1,$BL21=1,$BH21&gt;0),"–",""))</f>
        <v>333</v>
      </c>
      <c r="I22" s="65">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65">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65">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65">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65">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65">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66">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65">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65">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67">
        <f>IF($BJ21&gt;0,IF(INDEX('Final Calculation Sheet'!$Q$4:$Q$40,$BJ21-3)="","",INDEX('Final Calculation Sheet'!$Q$4:$Q$40,$BJ21-3)),IF(OR($BI21=1,$BL21=1,$BH21&gt;0),"–",""))</f>
        <v>0.02</v>
      </c>
      <c r="S22" s="65">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65">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65">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68">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65" t="str">
        <f>IF($BJ21&gt;0,IF(INDEX('Final Calculation Sheet'!$V$4:$V$40,$BJ21-3)="","",INDEX('Final Calculation Sheet'!$V$4:$V$40,$BJ21-3)),IF(OR($BI21=1,$BL21=1,$BH21&gt;0),"–",""))</f>
        <v>10.08.2026</v>
      </c>
      <c r="X22" s="65">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65">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65" t="str">
        <f>IF($BJ21&gt;0,IF(INDEX('Final Calculation Sheet'!$Y$4:$Y$40,$BJ21-3)="","",INDEX('Final Calculation Sheet'!$Y$4:$Y$40,$BJ21-3)),IF(OR($BI21=1,$BL21=1,$BH21&gt;0),"–",""))</f>
        <v>10.08.2026</v>
      </c>
      <c r="AA22" s="65">
        <f ca="1">IF($BJ21&gt;0,IF(INDEX('Final Calculation Sheet'!$Z$4:$Z$40,$BJ21-3)="","",INDEX('Final Calculation Sheet'!$Z$4:$Z$40,$BJ21-3)),IF(OR($BI21=1,$BL21=1,$BH21&gt;0),IF($BI21=1,SUM('Final Calculation Sheet'!$Z$4:$Z$40),IF($BL21=1,SUM('Final Calculation Sheet'!$Z$4:$Z$40)-SUMIFS('Final Calculation Sheet'!$Z$4:$Z$40,$AZ$5:$AZ$41,10),SUMIFS('Final Calculation Sheet'!$Z$4:$Z$40,$AZ$5:$AZ$41,$BH21))),""))</f>
        <v>41258.699999999997</v>
      </c>
      <c r="AB22" s="65"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65" t="str">
        <f>IF($BJ21&gt;0,IF(INDEX('Final Calculation Sheet'!$AB$4:$AB$40,$BJ21-3)="","",INDEX('Final Calculation Sheet'!$AB$4:$AB$40,$BJ21-3)),IF(OR($BI21=1,$BL21=1,$BH21&gt;0),"–",""))</f>
        <v/>
      </c>
      <c r="AD22" s="65">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65">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G22" s="65" t="str">
        <f>IF($BJ21&gt;0,IF(INDEX('Final Calculation Sheet'!$AF$4:$AF$40,$BJ21-3)="","",INDEX('Final Calculation Sheet'!$AF$4:$AF$40,$BJ21-3)),IF(OR($BI21=1,$BL21=1,$BH21&gt;0),"–",""))</f>
        <v>DR2640100017</v>
      </c>
      <c r="AH22" s="69">
        <f>IF($BJ21&gt;0,IF(INDEX('Final Calculation Sheet'!$AG$4:$AG$40,$BJ21-3)="","",INDEX('Final Calculation Sheet'!$AG$4:$AG$40,$BJ21-3)),IF(OR($BI21=1,$BL21=1,$BH21&gt;0),"–",""))</f>
        <v>1800003065</v>
      </c>
      <c r="AI22" s="65" t="str">
        <f>IF($BJ21&gt;0,IF(INDEX('Final Calculation Sheet'!$AH$4:$AH$40,$BJ21-3)="","",INDEX('Final Calculation Sheet'!$AH$4:$AH$40,$BJ21-3)),IF(OR($BI21=1,$BL21=1,$BH21&gt;0),"–",""))</f>
        <v>12.08.2026</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 t="shared" si="7"/>
        <v>0</v>
      </c>
      <c r="AM22">
        <f t="shared" si="1"/>
        <v>1</v>
      </c>
      <c r="AZ22">
        <f t="shared" si="2"/>
        <v>9</v>
      </c>
      <c r="BA22">
        <f t="shared" si="3"/>
        <v>18</v>
      </c>
      <c r="BB22">
        <f t="shared" si="4"/>
        <v>22</v>
      </c>
      <c r="BC22">
        <v>21</v>
      </c>
      <c r="BH22">
        <f>IFERROR(MATCH(22,$BF$4:$BF$13,0),0)</f>
        <v>0</v>
      </c>
      <c r="BI22">
        <f>IF(22=$BG$5,1,0)</f>
        <v>0</v>
      </c>
      <c r="BJ22">
        <f>IF(OR($BH22&gt;0,$BI22=1,$BL22=1),0,IFERROR(INDEX($BC$5:$BC$41,MATCH(22,$BB$5:$BB$41,0)),0))</f>
        <v>21</v>
      </c>
      <c r="BK22">
        <f>IF($BJ22&gt;0,IF(INDEX($AZ$5:$AZ$41,MATCH(22,$BB$5:$BB$41,0))=10,1,0),IF($BH22=10,1,0))</f>
        <v>0</v>
      </c>
      <c r="BL22">
        <f>IF(22=$BG$4,1,0)</f>
        <v>0</v>
      </c>
      <c r="BM22">
        <f t="shared" si="6"/>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1</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1</v>
      </c>
    </row>
    <row r="23" spans="1:99" ht="15" customHeight="1" x14ac:dyDescent="0.3">
      <c r="A23" s="62">
        <f>IF($BJ22&gt;0,INDEX($BA$5:$BA$41,MATCH(22,$BB$5:$BB$41,0)),IF(OR($BI22=1,$BL22=1,$BH22&gt;0),"∑",""))</f>
        <v>18</v>
      </c>
      <c r="B23" s="63">
        <f>IF($BJ22&gt;0,IF(INDEX('Final Calculation Sheet'!$F$4:$F$40,$BJ22-3)="","",INDEX('Final Calculation Sheet'!$F$4:$F$40,$BJ22-3)),"")</f>
        <v>2022</v>
      </c>
      <c r="C23" s="63" t="str">
        <f>IF($BJ22&gt;0,IF(INDEX('Final Calculation Sheet'!$G$4:$G$40,$BJ22-3)="","",INDEX('Final Calculation Sheet'!$G$4:$G$40,$BJ22-3)),IF(OR($BI22=1,$BL22=1,$BH22&gt;0),IF($BI22=1,37,IF($BL22=1,37-INDEX($BD$4:$BD$13,10),INDEX($BD$4:$BD$13,$BH22)))&amp;" lot(s)",""))</f>
        <v>NATIONAL SCRAP AND BUILDING MATERIAL SUPPLIER</v>
      </c>
      <c r="D23" s="64"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64">
        <f>IF($BJ22&gt;0,IF(INDEX('Final Calculation Sheet'!$D$4:$D$40,$BJ22-3)="","",INDEX('Final Calculation Sheet'!$D$4:$D$40,$BJ22-3)),IF(OR($BI22=1,$BL22=1,$BH22&gt;0),"–",""))</f>
        <v>21978</v>
      </c>
      <c r="F23" s="64">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64" t="str">
        <f>IF($BJ22&gt;0,IF(INDEX('Final Calculation Sheet'!$E$4:$E$40,$BJ22-3)="","",INDEX('Final Calculation Sheet'!$E$4:$E$40,$BJ22-3)),IF(OR($BI22=1,$BL22=1,$BH22&gt;0),"–",""))</f>
        <v>NO</v>
      </c>
      <c r="H23" s="65">
        <f>IF($BJ22&gt;0,IF(INDEX('Final Calculation Sheet'!$C$4:$C$40,$BJ22-3)="","",INDEX('Final Calculation Sheet'!$C$4:$C$40,$BJ22-3)),IF(OR($BI22=1,$BL22=1,$BH22&gt;0),"–",""))</f>
        <v>110200</v>
      </c>
      <c r="I23" s="65">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65">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65">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65">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65">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65">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66">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65">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65">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67">
        <f>IF($BJ22&gt;0,IF(INDEX('Final Calculation Sheet'!$Q$4:$Q$40,$BJ22-3)="","",INDEX('Final Calculation Sheet'!$Q$4:$Q$40,$BJ22-3)),IF(OR($BI22=1,$BL22=1,$BH22&gt;0),"–",""))</f>
        <v>0</v>
      </c>
      <c r="S23" s="65">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65">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65">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68">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65" t="str">
        <f>IF($BJ22&gt;0,IF(INDEX('Final Calculation Sheet'!$V$4:$V$40,$BJ22-3)="","",INDEX('Final Calculation Sheet'!$V$4:$V$40,$BJ22-3)),IF(OR($BI22=1,$BL22=1,$BH22&gt;0),"–",""))</f>
        <v>14.08.2026</v>
      </c>
      <c r="X23" s="65">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65">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65" t="str">
        <f>IF($BJ22&gt;0,IF(INDEX('Final Calculation Sheet'!$Y$4:$Y$40,$BJ22-3)="","",INDEX('Final Calculation Sheet'!$Y$4:$Y$40,$BJ22-3)),IF(OR($BI22=1,$BL22=1,$BH22&gt;0),"–",""))</f>
        <v>21.08.2026</v>
      </c>
      <c r="AA23" s="65">
        <f ca="1">IF($BJ22&gt;0,IF(INDEX('Final Calculation Sheet'!$Z$4:$Z$40,$BJ22-3)="","",INDEX('Final Calculation Sheet'!$Z$4:$Z$40,$BJ22-3)),IF(OR($BI22=1,$BL22=1,$BH22&gt;0),IF($BI22=1,SUM('Final Calculation Sheet'!$Z$4:$Z$40),IF($BL22=1,SUM('Final Calculation Sheet'!$Z$4:$Z$40)-SUMIFS('Final Calculation Sheet'!$Z$4:$Z$40,$AZ$5:$AZ$41,10),SUMIFS('Final Calculation Sheet'!$Z$4:$Z$40,$AZ$5:$AZ$41,$BH22))),""))</f>
        <v>11703.24</v>
      </c>
      <c r="AB23" s="65"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65" t="str">
        <f>IF($BJ22&gt;0,IF(INDEX('Final Calculation Sheet'!$AB$4:$AB$40,$BJ22-3)="","",INDEX('Final Calculation Sheet'!$AB$4:$AB$40,$BJ22-3)),IF(OR($BI22=1,$BL22=1,$BH22&gt;0),"–",""))</f>
        <v/>
      </c>
      <c r="AD23" s="65">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65">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G23" s="65" t="str">
        <f>IF($BJ22&gt;0,IF(INDEX('Final Calculation Sheet'!$AF$4:$AF$40,$BJ22-3)="","",INDEX('Final Calculation Sheet'!$AF$4:$AF$40,$BJ22-3)),IF(OR($BI22=1,$BL22=1,$BH22&gt;0),"–",""))</f>
        <v>DR2640100028</v>
      </c>
      <c r="AH23" s="69">
        <f>IF($BJ22&gt;0,IF(INDEX('Final Calculation Sheet'!$AG$4:$AG$40,$BJ22-3)="","",INDEX('Final Calculation Sheet'!$AG$4:$AG$40,$BJ22-3)),IF(OR($BI22=1,$BL22=1,$BH22&gt;0),"–",""))</f>
        <v>1800003269</v>
      </c>
      <c r="AI23" s="65" t="str">
        <f>IF($BJ22&gt;0,IF(INDEX('Final Calculation Sheet'!$AH$4:$AH$40,$BJ22-3)="","",INDEX('Final Calculation Sheet'!$AH$4:$AH$40,$BJ22-3)),IF(OR($BI22=1,$BL22=1,$BH22&gt;0),"–",""))</f>
        <v>24.08.2026</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 t="shared" si="7"/>
        <v>0</v>
      </c>
      <c r="AM23">
        <f t="shared" si="1"/>
        <v>1</v>
      </c>
      <c r="AZ23">
        <f t="shared" si="2"/>
        <v>9</v>
      </c>
      <c r="BA23">
        <f t="shared" si="3"/>
        <v>19</v>
      </c>
      <c r="BB23">
        <f t="shared" si="4"/>
        <v>23</v>
      </c>
      <c r="BC23">
        <v>22</v>
      </c>
      <c r="BH23">
        <f>IFERROR(MATCH(23,$BF$4:$BF$13,0),0)</f>
        <v>0</v>
      </c>
      <c r="BI23">
        <f>IF(23=$BG$5,1,0)</f>
        <v>0</v>
      </c>
      <c r="BJ23">
        <f>IF(OR($BH23&gt;0,$BI23=1,$BL23=1),0,IFERROR(INDEX($BC$5:$BC$41,MATCH(23,$BB$5:$BB$41,0)),0))</f>
        <v>22</v>
      </c>
      <c r="BK23">
        <f>IF($BJ23&gt;0,IF(INDEX($AZ$5:$AZ$41,MATCH(23,$BB$5:$BB$41,0))=10,1,0),IF($BH23=10,1,0))</f>
        <v>0</v>
      </c>
      <c r="BL23">
        <f>IF(23=$BG$4,1,0)</f>
        <v>0</v>
      </c>
      <c r="BM23">
        <f t="shared" si="6"/>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1</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1</v>
      </c>
    </row>
    <row r="24" spans="1:99" ht="15" customHeight="1" x14ac:dyDescent="0.3">
      <c r="A24" s="62">
        <f>IF($BJ23&gt;0,INDEX($BA$5:$BA$41,MATCH(23,$BB$5:$BB$41,0)),IF(OR($BI23=1,$BL23=1,$BH23&gt;0),"∑",""))</f>
        <v>19</v>
      </c>
      <c r="B24" s="63">
        <f>IF($BJ23&gt;0,IF(INDEX('Final Calculation Sheet'!$F$4:$F$40,$BJ23-3)="","",INDEX('Final Calculation Sheet'!$F$4:$F$40,$BJ23-3)),"")</f>
        <v>2023</v>
      </c>
      <c r="C24" s="63" t="str">
        <f>IF($BJ23&gt;0,IF(INDEX('Final Calculation Sheet'!$G$4:$G$40,$BJ23-3)="","",INDEX('Final Calculation Sheet'!$G$4:$G$40,$BJ23-3)),IF(OR($BI23=1,$BL23=1,$BH23&gt;0),IF($BI23=1,37,IF($BL23=1,37-INDEX($BD$4:$BD$13,10),INDEX($BD$4:$BD$13,$BH23)))&amp;" lot(s)",""))</f>
        <v>NATIONAL ENTERPRISES</v>
      </c>
      <c r="D24" s="64"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64">
        <f>IF($BJ23&gt;0,IF(INDEX('Final Calculation Sheet'!$D$4:$D$40,$BJ23-3)="","",INDEX('Final Calculation Sheet'!$D$4:$D$40,$BJ23-3)),IF(OR($BI23=1,$BL23=1,$BH23&gt;0),"–",""))</f>
        <v>21978</v>
      </c>
      <c r="F24" s="64">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64" t="str">
        <f>IF($BJ23&gt;0,IF(INDEX('Final Calculation Sheet'!$E$4:$E$40,$BJ23-3)="","",INDEX('Final Calculation Sheet'!$E$4:$E$40,$BJ23-3)),IF(OR($BI23=1,$BL23=1,$BH23&gt;0),"–",""))</f>
        <v>NO</v>
      </c>
      <c r="H24" s="65">
        <f>IF($BJ23&gt;0,IF(INDEX('Final Calculation Sheet'!$C$4:$C$40,$BJ23-3)="","",INDEX('Final Calculation Sheet'!$C$4:$C$40,$BJ23-3)),IF(OR($BI23=1,$BL23=1,$BH23&gt;0),"–",""))</f>
        <v>83743</v>
      </c>
      <c r="I24" s="65">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65">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65">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65">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65">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65">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66">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65">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65">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67">
        <f>IF($BJ23&gt;0,IF(INDEX('Final Calculation Sheet'!$Q$4:$Q$40,$BJ23-3)="","",INDEX('Final Calculation Sheet'!$Q$4:$Q$40,$BJ23-3)),IF(OR($BI23=1,$BL23=1,$BH23&gt;0),"–",""))</f>
        <v>0</v>
      </c>
      <c r="S24" s="65">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65">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65">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68">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65" t="str">
        <f>IF($BJ23&gt;0,IF(INDEX('Final Calculation Sheet'!$V$4:$V$40,$BJ23-3)="","",INDEX('Final Calculation Sheet'!$V$4:$V$40,$BJ23-3)),IF(OR($BI23=1,$BL23=1,$BH23&gt;0),"–",""))</f>
        <v>13.08.2026</v>
      </c>
      <c r="X24" s="65">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65">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65" t="str">
        <f>IF($BJ23&gt;0,IF(INDEX('Final Calculation Sheet'!$Y$4:$Y$40,$BJ23-3)="","",INDEX('Final Calculation Sheet'!$Y$4:$Y$40,$BJ23-3)),IF(OR($BI23=1,$BL23=1,$BH23&gt;0),"–",""))</f>
        <v>24.08.2026</v>
      </c>
      <c r="AA24" s="65">
        <f ca="1">IF($BJ23&gt;0,IF(INDEX('Final Calculation Sheet'!$Z$4:$Z$40,$BJ23-3)="","",INDEX('Final Calculation Sheet'!$Z$4:$Z$40,$BJ23-3)),IF(OR($BI23=1,$BL23=1,$BH23&gt;0),IF($BI23=1,SUM('Final Calculation Sheet'!$Z$4:$Z$40),IF($BL23=1,SUM('Final Calculation Sheet'!$Z$4:$Z$40)-SUMIFS('Final Calculation Sheet'!$Z$4:$Z$40,$AZ$5:$AZ$41,10),SUMIFS('Final Calculation Sheet'!$Z$4:$Z$40,$AZ$5:$AZ$41,$BH23))),""))</f>
        <v>8893.5066000000006</v>
      </c>
      <c r="AB24" s="65"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65" t="str">
        <f>IF($BJ23&gt;0,IF(INDEX('Final Calculation Sheet'!$AB$4:$AB$40,$BJ23-3)="","",INDEX('Final Calculation Sheet'!$AB$4:$AB$40,$BJ23-3)),IF(OR($BI23=1,$BL23=1,$BH23&gt;0),"–",""))</f>
        <v/>
      </c>
      <c r="AD24" s="65">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65">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G24" s="65" t="str">
        <f>IF($BJ23&gt;0,IF(INDEX('Final Calculation Sheet'!$AF$4:$AF$40,$BJ23-3)="","",INDEX('Final Calculation Sheet'!$AF$4:$AF$40,$BJ23-3)),IF(OR($BI23=1,$BL23=1,$BH23&gt;0),"–",""))</f>
        <v>DR2640100044</v>
      </c>
      <c r="AH24" s="69">
        <f>IF($BJ23&gt;0,IF(INDEX('Final Calculation Sheet'!$AG$4:$AG$40,$BJ23-3)="","",INDEX('Final Calculation Sheet'!$AG$4:$AG$40,$BJ23-3)),IF(OR($BI23=1,$BL23=1,$BH23&gt;0),"–",""))</f>
        <v>1800003308</v>
      </c>
      <c r="AI24" s="65" t="str">
        <f>IF($BJ23&gt;0,IF(INDEX('Final Calculation Sheet'!$AH$4:$AH$40,$BJ23-3)="","",INDEX('Final Calculation Sheet'!$AH$4:$AH$40,$BJ23-3)),IF(OR($BI23=1,$BL23=1,$BH23&gt;0),"–",""))</f>
        <v>27.08.2026</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 t="shared" si="7"/>
        <v>0</v>
      </c>
      <c r="AM24">
        <f t="shared" si="1"/>
        <v>1</v>
      </c>
      <c r="AZ24">
        <f t="shared" si="2"/>
        <v>9</v>
      </c>
      <c r="BA24">
        <f t="shared" si="3"/>
        <v>20</v>
      </c>
      <c r="BB24">
        <f t="shared" si="4"/>
        <v>24</v>
      </c>
      <c r="BC24">
        <v>23</v>
      </c>
      <c r="BH24">
        <f>IFERROR(MATCH(24,$BF$4:$BF$13,0),0)</f>
        <v>0</v>
      </c>
      <c r="BI24">
        <f>IF(24=$BG$5,1,0)</f>
        <v>0</v>
      </c>
      <c r="BJ24">
        <f>IF(OR($BH24&gt;0,$BI24=1,$BL24=1),0,IFERROR(INDEX($BC$5:$BC$41,MATCH(24,$BB$5:$BB$41,0)),0))</f>
        <v>23</v>
      </c>
      <c r="BK24">
        <f>IF($BJ24&gt;0,IF(INDEX($AZ$5:$AZ$41,MATCH(24,$BB$5:$BB$41,0))=10,1,0),IF($BH24=10,1,0))</f>
        <v>0</v>
      </c>
      <c r="BL24">
        <f>IF(24=$BG$4,1,0)</f>
        <v>0</v>
      </c>
      <c r="BM24">
        <f t="shared" si="6"/>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1</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1</v>
      </c>
    </row>
    <row r="25" spans="1:99" ht="15" customHeight="1" x14ac:dyDescent="0.3">
      <c r="A25" s="62">
        <f>IF($BJ24&gt;0,INDEX($BA$5:$BA$41,MATCH(24,$BB$5:$BB$41,0)),IF(OR($BI24=1,$BL24=1,$BH24&gt;0),"∑",""))</f>
        <v>20</v>
      </c>
      <c r="B25" s="63">
        <f>IF($BJ24&gt;0,IF(INDEX('Final Calculation Sheet'!$F$4:$F$40,$BJ24-3)="","",INDEX('Final Calculation Sheet'!$F$4:$F$40,$BJ24-3)),"")</f>
        <v>2025</v>
      </c>
      <c r="C25" s="63" t="str">
        <f>IF($BJ24&gt;0,IF(INDEX('Final Calculation Sheet'!$G$4:$G$40,$BJ24-3)="","",INDEX('Final Calculation Sheet'!$G$4:$G$40,$BJ24-3)),IF(OR($BI24=1,$BL24=1,$BH24&gt;0),IF($BI24=1,37,IF($BL24=1,37-INDEX($BD$4:$BD$13,10),INDEX($BD$4:$BD$13,$BH24)))&amp;" lot(s)",""))</f>
        <v>STERLING ENTERPRISES</v>
      </c>
      <c r="D25" s="64"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64">
        <f>IF($BJ24&gt;0,IF(INDEX('Final Calculation Sheet'!$D$4:$D$40,$BJ24-3)="","",INDEX('Final Calculation Sheet'!$D$4:$D$40,$BJ24-3)),IF(OR($BI24=1,$BL24=1,$BH24&gt;0),"–",""))</f>
        <v>21978</v>
      </c>
      <c r="F25" s="64">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64" t="str">
        <f>IF($BJ24&gt;0,IF(INDEX('Final Calculation Sheet'!$E$4:$E$40,$BJ24-3)="","",INDEX('Final Calculation Sheet'!$E$4:$E$40,$BJ24-3)),IF(OR($BI24=1,$BL24=1,$BH24&gt;0),"–",""))</f>
        <v>NO</v>
      </c>
      <c r="H25" s="65">
        <f>IF($BJ24&gt;0,IF(INDEX('Final Calculation Sheet'!$C$4:$C$40,$BJ24-3)="","",INDEX('Final Calculation Sheet'!$C$4:$C$40,$BJ24-3)),IF(OR($BI24=1,$BL24=1,$BH24&gt;0),"–",""))</f>
        <v>700</v>
      </c>
      <c r="I25" s="65">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65">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65">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65">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65">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65">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66">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65">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65">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67">
        <f>IF($BJ24&gt;0,IF(INDEX('Final Calculation Sheet'!$Q$4:$Q$40,$BJ24-3)="","",INDEX('Final Calculation Sheet'!$Q$4:$Q$40,$BJ24-3)),IF(OR($BI24=1,$BL24=1,$BH24&gt;0),"–",""))</f>
        <v>0</v>
      </c>
      <c r="S25" s="65">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65">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65">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68">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65" t="str">
        <f>IF($BJ24&gt;0,IF(INDEX('Final Calculation Sheet'!$V$4:$V$40,$BJ24-3)="","",INDEX('Final Calculation Sheet'!$V$4:$V$40,$BJ24-3)),IF(OR($BI24=1,$BL24=1,$BH24&gt;0),"–",""))</f>
        <v>11.08.2026</v>
      </c>
      <c r="X25" s="65">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65">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65" t="str">
        <f>IF($BJ24&gt;0,IF(INDEX('Final Calculation Sheet'!$Y$4:$Y$40,$BJ24-3)="","",INDEX('Final Calculation Sheet'!$Y$4:$Y$40,$BJ24-3)),IF(OR($BI24=1,$BL24=1,$BH24&gt;0),"–",""))</f>
        <v>11.08.2026</v>
      </c>
      <c r="AA25" s="65">
        <f ca="1">IF($BJ24&gt;0,IF(INDEX('Final Calculation Sheet'!$Z$4:$Z$40,$BJ24-3)="","",INDEX('Final Calculation Sheet'!$Z$4:$Z$40,$BJ24-3)),IF(OR($BI24=1,$BL24=1,$BH24&gt;0),IF($BI24=1,SUM('Final Calculation Sheet'!$Z$4:$Z$40),IF($BL24=1,SUM('Final Calculation Sheet'!$Z$4:$Z$40)-SUMIFS('Final Calculation Sheet'!$Z$4:$Z$40,$AZ$5:$AZ$41,10),SUMIFS('Final Calculation Sheet'!$Z$4:$Z$40,$AZ$5:$AZ$41,$BH24))),""))</f>
        <v>2230.1999999999998</v>
      </c>
      <c r="AB25" s="65"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65" t="str">
        <f>IF($BJ24&gt;0,IF(INDEX('Final Calculation Sheet'!$AB$4:$AB$40,$BJ24-3)="","",INDEX('Final Calculation Sheet'!$AB$4:$AB$40,$BJ24-3)),IF(OR($BI24=1,$BL24=1,$BH24&gt;0),"–",""))</f>
        <v/>
      </c>
      <c r="AD25" s="65">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65">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G25" s="65" t="str">
        <f>IF($BJ24&gt;0,IF(INDEX('Final Calculation Sheet'!$AF$4:$AF$40,$BJ24-3)="","",INDEX('Final Calculation Sheet'!$AF$4:$AF$40,$BJ24-3)),IF(OR($BI24=1,$BL24=1,$BH24&gt;0),"–",""))</f>
        <v>DR2640100021</v>
      </c>
      <c r="AH25" s="69">
        <f>IF($BJ24&gt;0,IF(INDEX('Final Calculation Sheet'!$AG$4:$AG$40,$BJ24-3)="","",INDEX('Final Calculation Sheet'!$AG$4:$AG$40,$BJ24-3)),IF(OR($BI24=1,$BL24=1,$BH24&gt;0),"–",""))</f>
        <v>1800003160</v>
      </c>
      <c r="AI25" s="65" t="str">
        <f>IF($BJ24&gt;0,IF(INDEX('Final Calculation Sheet'!$AH$4:$AH$40,$BJ24-3)="","",INDEX('Final Calculation Sheet'!$AH$4:$AH$40,$BJ24-3)),IF(OR($BI24=1,$BL24=1,$BH24&gt;0),"–",""))</f>
        <v>14.08.2026</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 t="shared" si="7"/>
        <v>0</v>
      </c>
      <c r="AM25">
        <f t="shared" si="1"/>
        <v>1</v>
      </c>
      <c r="AZ25">
        <f t="shared" si="2"/>
        <v>9</v>
      </c>
      <c r="BA25">
        <f t="shared" si="3"/>
        <v>21</v>
      </c>
      <c r="BB25">
        <f t="shared" si="4"/>
        <v>25</v>
      </c>
      <c r="BC25">
        <v>24</v>
      </c>
      <c r="BH25">
        <f>IFERROR(MATCH(25,$BF$4:$BF$13,0),0)</f>
        <v>0</v>
      </c>
      <c r="BI25">
        <f>IF(25=$BG$5,1,0)</f>
        <v>0</v>
      </c>
      <c r="BJ25">
        <f>IF(OR($BH25&gt;0,$BI25=1,$BL25=1),0,IFERROR(INDEX($BC$5:$BC$41,MATCH(25,$BB$5:$BB$41,0)),0))</f>
        <v>24</v>
      </c>
      <c r="BK25">
        <f>IF($BJ25&gt;0,IF(INDEX($AZ$5:$AZ$41,MATCH(25,$BB$5:$BB$41,0))=10,1,0),IF($BH25=10,1,0))</f>
        <v>0</v>
      </c>
      <c r="BL25">
        <f>IF(25=$BG$4,1,0)</f>
        <v>0</v>
      </c>
      <c r="BM25">
        <f t="shared" si="6"/>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1</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1</v>
      </c>
    </row>
    <row r="26" spans="1:99" ht="15" customHeight="1" x14ac:dyDescent="0.3">
      <c r="A26" s="62">
        <f>IF($BJ25&gt;0,INDEX($BA$5:$BA$41,MATCH(25,$BB$5:$BB$41,0)),IF(OR($BI25=1,$BL25=1,$BH25&gt;0),"∑",""))</f>
        <v>21</v>
      </c>
      <c r="B26" s="63">
        <f>IF($BJ25&gt;0,IF(INDEX('Final Calculation Sheet'!$F$4:$F$40,$BJ25-3)="","",INDEX('Final Calculation Sheet'!$F$4:$F$40,$BJ25-3)),"")</f>
        <v>2027</v>
      </c>
      <c r="C26" s="63" t="str">
        <f>IF($BJ25&gt;0,IF(INDEX('Final Calculation Sheet'!$G$4:$G$40,$BJ25-3)="","",INDEX('Final Calculation Sheet'!$G$4:$G$40,$BJ25-3)),IF(OR($BI25=1,$BL25=1,$BH25&gt;0),IF($BI25=1,37,IF($BL25=1,37-INDEX($BD$4:$BD$13,10),INDEX($BD$4:$BD$13,$BH25)))&amp;" lot(s)",""))</f>
        <v>NATIONAL ENTERPRISES</v>
      </c>
      <c r="D26" s="64"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64">
        <f>IF($BJ25&gt;0,IF(INDEX('Final Calculation Sheet'!$D$4:$D$40,$BJ25-3)="","",INDEX('Final Calculation Sheet'!$D$4:$D$40,$BJ25-3)),IF(OR($BI25=1,$BL25=1,$BH25&gt;0),"–",""))</f>
        <v>21978</v>
      </c>
      <c r="F26" s="64">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64" t="str">
        <f>IF($BJ25&gt;0,IF(INDEX('Final Calculation Sheet'!$E$4:$E$40,$BJ25-3)="","",INDEX('Final Calculation Sheet'!$E$4:$E$40,$BJ25-3)),IF(OR($BI25=1,$BL25=1,$BH25&gt;0),"–",""))</f>
        <v>NO</v>
      </c>
      <c r="H26" s="65">
        <f>IF($BJ25&gt;0,IF(INDEX('Final Calculation Sheet'!$C$4:$C$40,$BJ25-3)="","",INDEX('Final Calculation Sheet'!$C$4:$C$40,$BJ25-3)),IF(OR($BI25=1,$BL25=1,$BH25&gt;0),"–",""))</f>
        <v>50003</v>
      </c>
      <c r="I26" s="65">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65">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65">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65">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65">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65">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66">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65">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65">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67">
        <f>IF($BJ25&gt;0,IF(INDEX('Final Calculation Sheet'!$Q$4:$Q$40,$BJ25-3)="","",INDEX('Final Calculation Sheet'!$Q$4:$Q$40,$BJ25-3)),IF(OR($BI25=1,$BL25=1,$BH25&gt;0),"–",""))</f>
        <v>0</v>
      </c>
      <c r="S26" s="65">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65">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65">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68">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65" t="str">
        <f>IF($BJ25&gt;0,IF(INDEX('Final Calculation Sheet'!$V$4:$V$40,$BJ25-3)="","",INDEX('Final Calculation Sheet'!$V$4:$V$40,$BJ25-3)),IF(OR($BI25=1,$BL25=1,$BH25&gt;0),"–",""))</f>
        <v>13.08.2026</v>
      </c>
      <c r="X26" s="65">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65">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65" t="str">
        <f>IF($BJ25&gt;0,IF(INDEX('Final Calculation Sheet'!$Y$4:$Y$40,$BJ25-3)="","",INDEX('Final Calculation Sheet'!$Y$4:$Y$40,$BJ25-3)),IF(OR($BI25=1,$BL25=1,$BH25&gt;0),"–",""))</f>
        <v>24.08.2026</v>
      </c>
      <c r="AA26" s="65">
        <f ca="1">IF($BJ25&gt;0,IF(INDEX('Final Calculation Sheet'!$Z$4:$Z$40,$BJ25-3)="","",INDEX('Final Calculation Sheet'!$Z$4:$Z$40,$BJ25-3)),IF(OR($BI25=1,$BL25=1,$BH25&gt;0),IF($BI25=1,SUM('Final Calculation Sheet'!$Z$4:$Z$40),IF($BL25=1,SUM('Final Calculation Sheet'!$Z$4:$Z$40)-SUMIFS('Final Calculation Sheet'!$Z$4:$Z$40,$AZ$5:$AZ$41,10),SUMIFS('Final Calculation Sheet'!$Z$4:$Z$40,$AZ$5:$AZ$41,$BH25))),""))</f>
        <v>1770.1061999999999</v>
      </c>
      <c r="AB26" s="65"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65" t="str">
        <f>IF($BJ25&gt;0,IF(INDEX('Final Calculation Sheet'!$AB$4:$AB$40,$BJ25-3)="","",INDEX('Final Calculation Sheet'!$AB$4:$AB$40,$BJ25-3)),IF(OR($BI25=1,$BL25=1,$BH25&gt;0),"–",""))</f>
        <v/>
      </c>
      <c r="AD26" s="65">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65">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G26" s="65" t="str">
        <f>IF($BJ25&gt;0,IF(INDEX('Final Calculation Sheet'!$AF$4:$AF$40,$BJ25-3)="","",INDEX('Final Calculation Sheet'!$AF$4:$AF$40,$BJ25-3)),IF(OR($BI25=1,$BL25=1,$BH25&gt;0),"–",""))</f>
        <v>DR2640100036</v>
      </c>
      <c r="AH26" s="69">
        <f>IF($BJ25&gt;0,IF(INDEX('Final Calculation Sheet'!$AG$4:$AG$40,$BJ25-3)="","",INDEX('Final Calculation Sheet'!$AG$4:$AG$40,$BJ25-3)),IF(OR($BI25=1,$BL25=1,$BH25&gt;0),"–",""))</f>
        <v>1800003309</v>
      </c>
      <c r="AI26" s="65" t="str">
        <f>IF($BJ25&gt;0,IF(INDEX('Final Calculation Sheet'!$AH$4:$AH$40,$BJ25-3)="","",INDEX('Final Calculation Sheet'!$AH$4:$AH$40,$BJ25-3)),IF(OR($BI25=1,$BL25=1,$BH25&gt;0),"–",""))</f>
        <v>27.08.2026</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 t="shared" si="7"/>
        <v>0</v>
      </c>
      <c r="AM26">
        <f t="shared" si="1"/>
        <v>1</v>
      </c>
      <c r="AZ26">
        <f t="shared" si="2"/>
        <v>9</v>
      </c>
      <c r="BA26">
        <f t="shared" si="3"/>
        <v>22</v>
      </c>
      <c r="BB26">
        <f t="shared" si="4"/>
        <v>26</v>
      </c>
      <c r="BC26">
        <v>25</v>
      </c>
      <c r="BH26">
        <f>IFERROR(MATCH(26,$BF$4:$BF$13,0),0)</f>
        <v>0</v>
      </c>
      <c r="BI26">
        <f>IF(26=$BG$5,1,0)</f>
        <v>0</v>
      </c>
      <c r="BJ26">
        <f>IF(OR($BH26&gt;0,$BI26=1,$BL26=1),0,IFERROR(INDEX($BC$5:$BC$41,MATCH(26,$BB$5:$BB$41,0)),0))</f>
        <v>25</v>
      </c>
      <c r="BK26">
        <f>IF($BJ26&gt;0,IF(INDEX($AZ$5:$AZ$41,MATCH(26,$BB$5:$BB$41,0))=10,1,0),IF($BH26=10,1,0))</f>
        <v>0</v>
      </c>
      <c r="BL26">
        <f>IF(26=$BG$4,1,0)</f>
        <v>0</v>
      </c>
      <c r="BM26">
        <f t="shared" si="6"/>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1</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1</v>
      </c>
    </row>
    <row r="27" spans="1:99" ht="15" customHeight="1" x14ac:dyDescent="0.3">
      <c r="A27" s="62">
        <f>IF($BJ26&gt;0,INDEX($BA$5:$BA$41,MATCH(26,$BB$5:$BB$41,0)),IF(OR($BI26=1,$BL26=1,$BH26&gt;0),"∑",""))</f>
        <v>22</v>
      </c>
      <c r="B27" s="63">
        <f>IF($BJ26&gt;0,IF(INDEX('Final Calculation Sheet'!$F$4:$F$40,$BJ26-3)="","",INDEX('Final Calculation Sheet'!$F$4:$F$40,$BJ26-3)),"")</f>
        <v>2033</v>
      </c>
      <c r="C27" s="63" t="str">
        <f>IF($BJ26&gt;0,IF(INDEX('Final Calculation Sheet'!$G$4:$G$40,$BJ26-3)="","",INDEX('Final Calculation Sheet'!$G$4:$G$40,$BJ26-3)),IF(OR($BI26=1,$BL26=1,$BH26&gt;0),IF($BI26=1,37,IF($BL26=1,37-INDEX($BD$4:$BD$13,10),INDEX($BD$4:$BD$13,$BH26)))&amp;" lot(s)",""))</f>
        <v>WATAN SCRAP TRADERS</v>
      </c>
      <c r="D27" s="64"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64">
        <f>IF($BJ26&gt;0,IF(INDEX('Final Calculation Sheet'!$D$4:$D$40,$BJ26-3)="","",INDEX('Final Calculation Sheet'!$D$4:$D$40,$BJ26-3)),IF(OR($BI26=1,$BL26=1,$BH26&gt;0),"–",""))</f>
        <v>21978</v>
      </c>
      <c r="F27" s="64">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64" t="str">
        <f>IF($BJ26&gt;0,IF(INDEX('Final Calculation Sheet'!$E$4:$E$40,$BJ26-3)="","",INDEX('Final Calculation Sheet'!$E$4:$E$40,$BJ26-3)),IF(OR($BI26=1,$BL26=1,$BH26&gt;0),"–",""))</f>
        <v>NO</v>
      </c>
      <c r="H27" s="65">
        <f>IF($BJ26&gt;0,IF(INDEX('Final Calculation Sheet'!$C$4:$C$40,$BJ26-3)="","",INDEX('Final Calculation Sheet'!$C$4:$C$40,$BJ26-3)),IF(OR($BI26=1,$BL26=1,$BH26&gt;0),"–",""))</f>
        <v>517</v>
      </c>
      <c r="I27" s="65">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65">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65">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65">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65">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65">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66">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65">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65">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67">
        <f>IF($BJ26&gt;0,IF(INDEX('Final Calculation Sheet'!$Q$4:$Q$40,$BJ26-3)="","",INDEX('Final Calculation Sheet'!$Q$4:$Q$40,$BJ26-3)),IF(OR($BI26=1,$BL26=1,$BH26&gt;0),"–",""))</f>
        <v>0</v>
      </c>
      <c r="S27" s="65">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65">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65">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68">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65" t="str">
        <f>IF($BJ26&gt;0,IF(INDEX('Final Calculation Sheet'!$V$4:$V$40,$BJ26-3)="","",INDEX('Final Calculation Sheet'!$V$4:$V$40,$BJ26-3)),IF(OR($BI26=1,$BL26=1,$BH26&gt;0),"–",""))</f>
        <v>14.08.2026</v>
      </c>
      <c r="X27" s="65">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65">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65" t="str">
        <f>IF($BJ26&gt;0,IF(INDEX('Final Calculation Sheet'!$Y$4:$Y$40,$BJ26-3)="","",INDEX('Final Calculation Sheet'!$Y$4:$Y$40,$BJ26-3)),IF(OR($BI26=1,$BL26=1,$BH26&gt;0),"–",""))</f>
        <v>21.08.2026</v>
      </c>
      <c r="AA27" s="65">
        <f ca="1">IF($BJ26&gt;0,IF(INDEX('Final Calculation Sheet'!$Z$4:$Z$40,$BJ26-3)="","",INDEX('Final Calculation Sheet'!$Z$4:$Z$40,$BJ26-3)),IF(OR($BI26=1,$BL26=1,$BH26&gt;0),IF($BI26=1,SUM('Final Calculation Sheet'!$Z$4:$Z$40),IF($BL26=1,SUM('Final Calculation Sheet'!$Z$4:$Z$40)-SUMIFS('Final Calculation Sheet'!$Z$4:$Z$40,$AZ$5:$AZ$41,10),SUMIFS('Final Calculation Sheet'!$Z$4:$Z$40,$AZ$5:$AZ$41,$BH26))),""))</f>
        <v>18301.8</v>
      </c>
      <c r="AB27" s="65"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65" t="str">
        <f>IF($BJ26&gt;0,IF(INDEX('Final Calculation Sheet'!$AB$4:$AB$40,$BJ26-3)="","",INDEX('Final Calculation Sheet'!$AB$4:$AB$40,$BJ26-3)),IF(OR($BI26=1,$BL26=1,$BH26&gt;0),"–",""))</f>
        <v/>
      </c>
      <c r="AD27" s="65">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65">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G27" s="65" t="str">
        <f>IF($BJ26&gt;0,IF(INDEX('Final Calculation Sheet'!$AF$4:$AF$40,$BJ26-3)="","",INDEX('Final Calculation Sheet'!$AF$4:$AF$40,$BJ26-3)),IF(OR($BI26=1,$BL26=1,$BH26&gt;0),"–",""))</f>
        <v>DR2640100042</v>
      </c>
      <c r="AH27" s="69">
        <f>IF($BJ26&gt;0,IF(INDEX('Final Calculation Sheet'!$AG$4:$AG$40,$BJ26-3)="","",INDEX('Final Calculation Sheet'!$AG$4:$AG$40,$BJ26-3)),IF(OR($BI26=1,$BL26=1,$BH26&gt;0),"–",""))</f>
        <v>1800003317</v>
      </c>
      <c r="AI27" s="65" t="str">
        <f>IF($BJ26&gt;0,IF(INDEX('Final Calculation Sheet'!$AH$4:$AH$40,$BJ26-3)="","",INDEX('Final Calculation Sheet'!$AH$4:$AH$40,$BJ26-3)),IF(OR($BI26=1,$BL26=1,$BH26&gt;0),"–",""))</f>
        <v>27.08.2026</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 t="shared" si="7"/>
        <v>0</v>
      </c>
      <c r="AM27">
        <f t="shared" si="1"/>
        <v>1</v>
      </c>
      <c r="AZ27">
        <f t="shared" si="2"/>
        <v>9</v>
      </c>
      <c r="BA27">
        <f t="shared" si="3"/>
        <v>23</v>
      </c>
      <c r="BB27">
        <f t="shared" si="4"/>
        <v>27</v>
      </c>
      <c r="BC27">
        <v>26</v>
      </c>
      <c r="BH27">
        <f>IFERROR(MATCH(27,$BF$4:$BF$13,0),0)</f>
        <v>0</v>
      </c>
      <c r="BI27">
        <f>IF(27=$BG$5,1,0)</f>
        <v>0</v>
      </c>
      <c r="BJ27">
        <f>IF(OR($BH27&gt;0,$BI27=1,$BL27=1),0,IFERROR(INDEX($BC$5:$BC$41,MATCH(27,$BB$5:$BB$41,0)),0))</f>
        <v>26</v>
      </c>
      <c r="BK27">
        <f>IF($BJ27&gt;0,IF(INDEX($AZ$5:$AZ$41,MATCH(27,$BB$5:$BB$41,0))=10,1,0),IF($BH27=10,1,0))</f>
        <v>0</v>
      </c>
      <c r="BL27">
        <f>IF(27=$BG$4,1,0)</f>
        <v>0</v>
      </c>
      <c r="BM27">
        <f t="shared" si="6"/>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1</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1</v>
      </c>
    </row>
    <row r="28" spans="1:99" ht="15" customHeight="1" x14ac:dyDescent="0.3">
      <c r="A28" s="62">
        <f>IF($BJ27&gt;0,INDEX($BA$5:$BA$41,MATCH(27,$BB$5:$BB$41,0)),IF(OR($BI27=1,$BL27=1,$BH27&gt;0),"∑",""))</f>
        <v>23</v>
      </c>
      <c r="B28" s="63">
        <f>IF($BJ27&gt;0,IF(INDEX('Final Calculation Sheet'!$F$4:$F$40,$BJ27-3)="","",INDEX('Final Calculation Sheet'!$F$4:$F$40,$BJ27-3)),"")</f>
        <v>2035</v>
      </c>
      <c r="C28" s="63" t="str">
        <f>IF($BJ27&gt;0,IF(INDEX('Final Calculation Sheet'!$G$4:$G$40,$BJ27-3)="","",INDEX('Final Calculation Sheet'!$G$4:$G$40,$BJ27-3)),IF(OR($BI27=1,$BL27=1,$BH27&gt;0),IF($BI27=1,37,IF($BL27=1,37-INDEX($BD$4:$BD$13,10),INDEX($BD$4:$BD$13,$BH27)))&amp;" lot(s)",""))</f>
        <v>NATIONAL ENTERPRISES</v>
      </c>
      <c r="D28" s="6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64">
        <f>IF($BJ27&gt;0,IF(INDEX('Final Calculation Sheet'!$D$4:$D$40,$BJ27-3)="","",INDEX('Final Calculation Sheet'!$D$4:$D$40,$BJ27-3)),IF(OR($BI27=1,$BL27=1,$BH27&gt;0),"–",""))</f>
        <v>21978</v>
      </c>
      <c r="F28" s="64">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64" t="str">
        <f>IF($BJ27&gt;0,IF(INDEX('Final Calculation Sheet'!$E$4:$E$40,$BJ27-3)="","",INDEX('Final Calculation Sheet'!$E$4:$E$40,$BJ27-3)),IF(OR($BI27=1,$BL27=1,$BH27&gt;0),"–",""))</f>
        <v>NO</v>
      </c>
      <c r="H28" s="65">
        <f>IF($BJ27&gt;0,IF(INDEX('Final Calculation Sheet'!$C$4:$C$40,$BJ27-3)="","",INDEX('Final Calculation Sheet'!$C$4:$C$40,$BJ27-3)),IF(OR($BI27=1,$BL27=1,$BH27&gt;0),"–",""))</f>
        <v>14001</v>
      </c>
      <c r="I28" s="65">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65">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65">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65">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65">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65">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66">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65">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65">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67">
        <f>IF($BJ27&gt;0,IF(INDEX('Final Calculation Sheet'!$Q$4:$Q$40,$BJ27-3)="","",INDEX('Final Calculation Sheet'!$Q$4:$Q$40,$BJ27-3)),IF(OR($BI27=1,$BL27=1,$BH27&gt;0),"–",""))</f>
        <v>0</v>
      </c>
      <c r="S28" s="65">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65">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65">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68">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65" t="str">
        <f>IF($BJ27&gt;0,IF(INDEX('Final Calculation Sheet'!$V$4:$V$40,$BJ27-3)="","",INDEX('Final Calculation Sheet'!$V$4:$V$40,$BJ27-3)),IF(OR($BI27=1,$BL27=1,$BH27&gt;0),"–",""))</f>
        <v>13.08.2026</v>
      </c>
      <c r="X28" s="65">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65">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65" t="str">
        <f>IF($BJ27&gt;0,IF(INDEX('Final Calculation Sheet'!$Y$4:$Y$40,$BJ27-3)="","",INDEX('Final Calculation Sheet'!$Y$4:$Y$40,$BJ27-3)),IF(OR($BI27=1,$BL27=1,$BH27&gt;0),"–",""))</f>
        <v>24.08.2026</v>
      </c>
      <c r="AA28" s="65">
        <f ca="1">IF($BJ27&gt;0,IF(INDEX('Final Calculation Sheet'!$Z$4:$Z$40,$BJ27-3)="","",INDEX('Final Calculation Sheet'!$Z$4:$Z$40,$BJ27-3)),IF(OR($BI27=1,$BL27=1,$BH27&gt;0),IF($BI27=1,SUM('Final Calculation Sheet'!$Z$4:$Z$40),IF($BL27=1,SUM('Final Calculation Sheet'!$Z$4:$Z$40)-SUMIFS('Final Calculation Sheet'!$Z$4:$Z$40,$AZ$5:$AZ$41,10),SUMIFS('Final Calculation Sheet'!$Z$4:$Z$40,$AZ$5:$AZ$41,$BH27))),""))</f>
        <v>991.27079999999989</v>
      </c>
      <c r="AB28" s="65"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65" t="str">
        <f>IF($BJ27&gt;0,IF(INDEX('Final Calculation Sheet'!$AB$4:$AB$40,$BJ27-3)="","",INDEX('Final Calculation Sheet'!$AB$4:$AB$40,$BJ27-3)),IF(OR($BI27=1,$BL27=1,$BH27&gt;0),"–",""))</f>
        <v/>
      </c>
      <c r="AD28" s="65">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65">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G28" s="65" t="str">
        <f>IF($BJ27&gt;0,IF(INDEX('Final Calculation Sheet'!$AF$4:$AF$40,$BJ27-3)="","",INDEX('Final Calculation Sheet'!$AF$4:$AF$40,$BJ27-3)),IF(OR($BI27=1,$BL27=1,$BH27&gt;0),"–",""))</f>
        <v>DR2640100037</v>
      </c>
      <c r="AH28" s="69">
        <f>IF($BJ27&gt;0,IF(INDEX('Final Calculation Sheet'!$AG$4:$AG$40,$BJ27-3)="","",INDEX('Final Calculation Sheet'!$AG$4:$AG$40,$BJ27-3)),IF(OR($BI27=1,$BL27=1,$BH27&gt;0),"–",""))</f>
        <v>1800003310</v>
      </c>
      <c r="AI28" s="65" t="str">
        <f>IF($BJ27&gt;0,IF(INDEX('Final Calculation Sheet'!$AH$4:$AH$40,$BJ27-3)="","",INDEX('Final Calculation Sheet'!$AH$4:$AH$40,$BJ27-3)),IF(OR($BI27=1,$BL27=1,$BH27&gt;0),"–",""))</f>
        <v>27.08.2026</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 t="shared" si="7"/>
        <v>0</v>
      </c>
      <c r="AM28">
        <f t="shared" si="1"/>
        <v>1</v>
      </c>
      <c r="AZ28">
        <f t="shared" si="2"/>
        <v>9</v>
      </c>
      <c r="BA28">
        <f t="shared" si="3"/>
        <v>24</v>
      </c>
      <c r="BB28">
        <f t="shared" si="4"/>
        <v>28</v>
      </c>
      <c r="BC28">
        <v>27</v>
      </c>
      <c r="BH28">
        <f>IFERROR(MATCH(28,$BF$4:$BF$13,0),0)</f>
        <v>0</v>
      </c>
      <c r="BI28">
        <f>IF(28=$BG$5,1,0)</f>
        <v>0</v>
      </c>
      <c r="BJ28">
        <f>IF(OR($BH28&gt;0,$BI28=1,$BL28=1),0,IFERROR(INDEX($BC$5:$BC$41,MATCH(28,$BB$5:$BB$41,0)),0))</f>
        <v>27</v>
      </c>
      <c r="BK28">
        <f>IF($BJ28&gt;0,IF(INDEX($AZ$5:$AZ$41,MATCH(28,$BB$5:$BB$41,0))=10,1,0),IF($BH28=10,1,0))</f>
        <v>0</v>
      </c>
      <c r="BL28">
        <f>IF(28=$BG$4,1,0)</f>
        <v>0</v>
      </c>
      <c r="BM28">
        <f t="shared" si="6"/>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1</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1</v>
      </c>
    </row>
    <row r="29" spans="1:99" ht="15" customHeight="1" x14ac:dyDescent="0.3">
      <c r="A29" s="62">
        <f>IF($BJ28&gt;0,INDEX($BA$5:$BA$41,MATCH(28,$BB$5:$BB$41,0)),IF(OR($BI28=1,$BL28=1,$BH28&gt;0),"∑",""))</f>
        <v>24</v>
      </c>
      <c r="B29" s="63">
        <f>IF($BJ28&gt;0,IF(INDEX('Final Calculation Sheet'!$F$4:$F$40,$BJ28-3)="","",INDEX('Final Calculation Sheet'!$F$4:$F$40,$BJ28-3)),"")</f>
        <v>2036</v>
      </c>
      <c r="C29" s="63" t="str">
        <f>IF($BJ28&gt;0,IF(INDEX('Final Calculation Sheet'!$G$4:$G$40,$BJ28-3)="","",INDEX('Final Calculation Sheet'!$G$4:$G$40,$BJ28-3)),IF(OR($BI28=1,$BL28=1,$BH28&gt;0),IF($BI28=1,37,IF($BL28=1,37-INDEX($BD$4:$BD$13,10),INDEX($BD$4:$BD$13,$BH28)))&amp;" lot(s)",""))</f>
        <v>M I SCRAP TRADERS</v>
      </c>
      <c r="D29" s="64"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64">
        <f>IF($BJ28&gt;0,IF(INDEX('Final Calculation Sheet'!$D$4:$D$40,$BJ28-3)="","",INDEX('Final Calculation Sheet'!$D$4:$D$40,$BJ28-3)),IF(OR($BI28=1,$BL28=1,$BH28&gt;0),"–",""))</f>
        <v>21978</v>
      </c>
      <c r="F29" s="64">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64" t="str">
        <f>IF($BJ28&gt;0,IF(INDEX('Final Calculation Sheet'!$E$4:$E$40,$BJ28-3)="","",INDEX('Final Calculation Sheet'!$E$4:$E$40,$BJ28-3)),IF(OR($BI28=1,$BL28=1,$BH28&gt;0),"–",""))</f>
        <v>MT</v>
      </c>
      <c r="H29" s="65">
        <f>IF($BJ28&gt;0,IF(INDEX('Final Calculation Sheet'!$C$4:$C$40,$BJ28-3)="","",INDEX('Final Calculation Sheet'!$C$4:$C$40,$BJ28-3)),IF(OR($BI28=1,$BL28=1,$BH28&gt;0),"–",""))</f>
        <v>67000</v>
      </c>
      <c r="I29" s="65">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65">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65">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65">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65">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65">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66">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65">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65">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67">
        <f>IF($BJ28&gt;0,IF(INDEX('Final Calculation Sheet'!$Q$4:$Q$40,$BJ28-3)="","",INDEX('Final Calculation Sheet'!$Q$4:$Q$40,$BJ28-3)),IF(OR($BI28=1,$BL28=1,$BH28&gt;0),"–",""))</f>
        <v>0.02</v>
      </c>
      <c r="S29" s="65">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65">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65">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68">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65" t="str">
        <f>IF($BJ28&gt;0,IF(INDEX('Final Calculation Sheet'!$V$4:$V$40,$BJ28-3)="","",INDEX('Final Calculation Sheet'!$V$4:$V$40,$BJ28-3)),IF(OR($BI28=1,$BL28=1,$BH28&gt;0),"–",""))</f>
        <v>14.08.2026</v>
      </c>
      <c r="X29" s="65">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6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65">
        <f>IF($BJ28&gt;0,IF(INDEX('Final Calculation Sheet'!$Y$4:$Y$40,$BJ28-3)="","",INDEX('Final Calculation Sheet'!$Y$4:$Y$40,$BJ28-3)),IF(OR($BI28=1,$BL28=1,$BH28&gt;0),"–",""))</f>
        <v>0</v>
      </c>
      <c r="AA29" s="65">
        <f ca="1">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6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65" t="str">
        <f>IF($BJ28&gt;0,IF(INDEX('Final Calculation Sheet'!$AB$4:$AB$40,$BJ28-3)="","",INDEX('Final Calculation Sheet'!$AB$4:$AB$40,$BJ28-3)),IF(OR($BI28=1,$BL28=1,$BH28&gt;0),"–",""))</f>
        <v/>
      </c>
      <c r="AD29" s="6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6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G29" s="65" t="str">
        <f>IF($BJ28&gt;0,IF(INDEX('Final Calculation Sheet'!$AF$4:$AF$40,$BJ28-3)="","",INDEX('Final Calculation Sheet'!$AF$4:$AF$40,$BJ28-3)),IF(OR($BI28=1,$BL28=1,$BH28&gt;0),"–",""))</f>
        <v/>
      </c>
      <c r="AH29" s="69" t="str">
        <f>IF($BJ28&gt;0,IF(INDEX('Final Calculation Sheet'!$AG$4:$AG$40,$BJ28-3)="","",INDEX('Final Calculation Sheet'!$AG$4:$AG$40,$BJ28-3)),IF(OR($BI28=1,$BL28=1,$BH28&gt;0),"–",""))</f>
        <v/>
      </c>
      <c r="AI29" s="65" t="str">
        <f>IF($BJ28&gt;0,IF(INDEX('Final Calculation Sheet'!$AH$4:$AH$40,$BJ28-3)="","",INDEX('Final Calculation Sheet'!$AH$4:$AH$40,$BJ28-3)),IF(OR($BI28=1,$BL28=1,$BH28&gt;0),"–",""))</f>
        <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 t="shared" si="7"/>
        <v>0</v>
      </c>
      <c r="AM29">
        <f t="shared" si="1"/>
        <v>1</v>
      </c>
      <c r="AZ29">
        <f t="shared" si="2"/>
        <v>9</v>
      </c>
      <c r="BA29">
        <f t="shared" si="3"/>
        <v>25</v>
      </c>
      <c r="BB29">
        <f t="shared" si="4"/>
        <v>29</v>
      </c>
      <c r="BC29">
        <v>28</v>
      </c>
      <c r="BH29">
        <f>IFERROR(MATCH(29,$BF$4:$BF$13,0),0)</f>
        <v>0</v>
      </c>
      <c r="BI29">
        <f>IF(29=$BG$5,1,0)</f>
        <v>0</v>
      </c>
      <c r="BJ29">
        <f>IF(OR($BH29&gt;0,$BI29=1,$BL29=1),0,IFERROR(INDEX($BC$5:$BC$41,MATCH(29,$BB$5:$BB$41,0)),0))</f>
        <v>28</v>
      </c>
      <c r="BK29">
        <f>IF($BJ29&gt;0,IF(INDEX($AZ$5:$AZ$41,MATCH(29,$BB$5:$BB$41,0))=10,1,0),IF($BH29=10,1,0))</f>
        <v>0</v>
      </c>
      <c r="BL29">
        <f>IF(29=$BG$4,1,0)</f>
        <v>0</v>
      </c>
      <c r="BM29">
        <f t="shared" si="6"/>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1</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1</v>
      </c>
    </row>
    <row r="30" spans="1:99" ht="15" customHeight="1" x14ac:dyDescent="0.3">
      <c r="A30" s="62">
        <f>IF($BJ29&gt;0,INDEX($BA$5:$BA$41,MATCH(29,$BB$5:$BB$41,0)),IF(OR($BI29=1,$BL29=1,$BH29&gt;0),"∑",""))</f>
        <v>25</v>
      </c>
      <c r="B30" s="63">
        <f>IF($BJ29&gt;0,IF(INDEX('Final Calculation Sheet'!$F$4:$F$40,$BJ29-3)="","",INDEX('Final Calculation Sheet'!$F$4:$F$40,$BJ29-3)),"")</f>
        <v>2037</v>
      </c>
      <c r="C30" s="63" t="str">
        <f>IF($BJ29&gt;0,IF(INDEX('Final Calculation Sheet'!$G$4:$G$40,$BJ29-3)="","",INDEX('Final Calculation Sheet'!$G$4:$G$40,$BJ29-3)),IF(OR($BI29=1,$BL29=1,$BH29&gt;0),IF($BI29=1,37,IF($BL29=1,37-INDEX($BD$4:$BD$13,10),INDEX($BD$4:$BD$13,$BH29)))&amp;" lot(s)",""))</f>
        <v>WATAN SCRAP TRADERS</v>
      </c>
      <c r="D30" s="64"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64">
        <f>IF($BJ29&gt;0,IF(INDEX('Final Calculation Sheet'!$D$4:$D$40,$BJ29-3)="","",INDEX('Final Calculation Sheet'!$D$4:$D$40,$BJ29-3)),IF(OR($BI29=1,$BL29=1,$BH29&gt;0),"–",""))</f>
        <v>21978</v>
      </c>
      <c r="F30" s="64">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64" t="str">
        <f>IF($BJ29&gt;0,IF(INDEX('Final Calculation Sheet'!$E$4:$E$40,$BJ29-3)="","",INDEX('Final Calculation Sheet'!$E$4:$E$40,$BJ29-3)),IF(OR($BI29=1,$BL29=1,$BH29&gt;0),"–",""))</f>
        <v>NO</v>
      </c>
      <c r="H30" s="65">
        <f>IF($BJ29&gt;0,IF(INDEX('Final Calculation Sheet'!$C$4:$C$40,$BJ29-3)="","",INDEX('Final Calculation Sheet'!$C$4:$C$40,$BJ29-3)),IF(OR($BI29=1,$BL29=1,$BH29&gt;0),"–",""))</f>
        <v>531</v>
      </c>
      <c r="I30" s="65">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65">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65">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65">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65">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65">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66">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65">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65">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67">
        <f>IF($BJ29&gt;0,IF(INDEX('Final Calculation Sheet'!$Q$4:$Q$40,$BJ29-3)="","",INDEX('Final Calculation Sheet'!$Q$4:$Q$40,$BJ29-3)),IF(OR($BI29=1,$BL29=1,$BH29&gt;0),"–",""))</f>
        <v>0</v>
      </c>
      <c r="S30" s="65">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65">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65">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68">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65" t="str">
        <f>IF($BJ29&gt;0,IF(INDEX('Final Calculation Sheet'!$V$4:$V$40,$BJ29-3)="","",INDEX('Final Calculation Sheet'!$V$4:$V$40,$BJ29-3)),IF(OR($BI29=1,$BL29=1,$BH29&gt;0),"–",""))</f>
        <v>14.08.2026</v>
      </c>
      <c r="X30" s="65">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65">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65" t="str">
        <f>IF($BJ29&gt;0,IF(INDEX('Final Calculation Sheet'!$Y$4:$Y$40,$BJ29-3)="","",INDEX('Final Calculation Sheet'!$Y$4:$Y$40,$BJ29-3)),IF(OR($BI29=1,$BL29=1,$BH29&gt;0),"–",""))</f>
        <v>21.08.2026</v>
      </c>
      <c r="AA30" s="65">
        <f ca="1">IF($BJ29&gt;0,IF(INDEX('Final Calculation Sheet'!$Z$4:$Z$40,$BJ29-3)="","",INDEX('Final Calculation Sheet'!$Z$4:$Z$40,$BJ29-3)),IF(OR($BI29=1,$BL29=1,$BH29&gt;0),IF($BI29=1,SUM('Final Calculation Sheet'!$Z$4:$Z$40),IF($BL29=1,SUM('Final Calculation Sheet'!$Z$4:$Z$40)-SUMIFS('Final Calculation Sheet'!$Z$4:$Z$40,$AZ$5:$AZ$41,10),SUMIFS('Final Calculation Sheet'!$Z$4:$Z$40,$AZ$5:$AZ$41,$BH29))),""))</f>
        <v>939.87000000000012</v>
      </c>
      <c r="AB30" s="65"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65" t="str">
        <f>IF($BJ29&gt;0,IF(INDEX('Final Calculation Sheet'!$AB$4:$AB$40,$BJ29-3)="","",INDEX('Final Calculation Sheet'!$AB$4:$AB$40,$BJ29-3)),IF(OR($BI29=1,$BL29=1,$BH29&gt;0),"–",""))</f>
        <v/>
      </c>
      <c r="AD30" s="65">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65">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G30" s="65" t="str">
        <f>IF($BJ29&gt;0,IF(INDEX('Final Calculation Sheet'!$AF$4:$AF$40,$BJ29-3)="","",INDEX('Final Calculation Sheet'!$AF$4:$AF$40,$BJ29-3)),IF(OR($BI29=1,$BL29=1,$BH29&gt;0),"–",""))</f>
        <v>DR2640100043</v>
      </c>
      <c r="AH30" s="69">
        <f>IF($BJ29&gt;0,IF(INDEX('Final Calculation Sheet'!$AG$4:$AG$40,$BJ29-3)="","",INDEX('Final Calculation Sheet'!$AG$4:$AG$40,$BJ29-3)),IF(OR($BI29=1,$BL29=1,$BH29&gt;0),"–",""))</f>
        <v>1800003318</v>
      </c>
      <c r="AI30" s="65" t="str">
        <f>IF($BJ29&gt;0,IF(INDEX('Final Calculation Sheet'!$AH$4:$AH$40,$BJ29-3)="","",INDEX('Final Calculation Sheet'!$AH$4:$AH$40,$BJ29-3)),IF(OR($BI29=1,$BL29=1,$BH29&gt;0),"–",""))</f>
        <v>27.08.2026</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 t="shared" si="7"/>
        <v>0</v>
      </c>
      <c r="AM30">
        <f t="shared" si="1"/>
        <v>1</v>
      </c>
      <c r="AZ30">
        <f t="shared" si="2"/>
        <v>9</v>
      </c>
      <c r="BA30">
        <f t="shared" si="3"/>
        <v>26</v>
      </c>
      <c r="BB30">
        <f t="shared" si="4"/>
        <v>30</v>
      </c>
      <c r="BC30">
        <v>29</v>
      </c>
      <c r="BH30">
        <f>IFERROR(MATCH(30,$BF$4:$BF$13,0),0)</f>
        <v>0</v>
      </c>
      <c r="BI30">
        <f>IF(30=$BG$5,1,0)</f>
        <v>0</v>
      </c>
      <c r="BJ30">
        <f>IF(OR($BH30&gt;0,$BI30=1,$BL30=1),0,IFERROR(INDEX($BC$5:$BC$41,MATCH(30,$BB$5:$BB$41,0)),0))</f>
        <v>29</v>
      </c>
      <c r="BK30">
        <f>IF($BJ30&gt;0,IF(INDEX($AZ$5:$AZ$41,MATCH(30,$BB$5:$BB$41,0))=10,1,0),IF($BH30=10,1,0))</f>
        <v>0</v>
      </c>
      <c r="BL30">
        <f>IF(30=$BG$4,1,0)</f>
        <v>0</v>
      </c>
      <c r="BM30">
        <f t="shared" si="6"/>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1</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1</v>
      </c>
    </row>
    <row r="31" spans="1:99" ht="15" customHeight="1" x14ac:dyDescent="0.3">
      <c r="A31" s="62">
        <f>IF($BJ30&gt;0,INDEX($BA$5:$BA$41,MATCH(30,$BB$5:$BB$41,0)),IF(OR($BI30=1,$BL30=1,$BH30&gt;0),"∑",""))</f>
        <v>26</v>
      </c>
      <c r="B31" s="63">
        <f>IF($BJ30&gt;0,IF(INDEX('Final Calculation Sheet'!$F$4:$F$40,$BJ30-3)="","",INDEX('Final Calculation Sheet'!$F$4:$F$40,$BJ30-3)),"")</f>
        <v>2040</v>
      </c>
      <c r="C31" s="63" t="str">
        <f>IF($BJ30&gt;0,IF(INDEX('Final Calculation Sheet'!$G$4:$G$40,$BJ30-3)="","",INDEX('Final Calculation Sheet'!$G$4:$G$40,$BJ30-3)),IF(OR($BI30=1,$BL30=1,$BH30&gt;0),IF($BI30=1,37,IF($BL30=1,37-INDEX($BD$4:$BD$13,10),INDEX($BD$4:$BD$13,$BH30)))&amp;" lot(s)",""))</f>
        <v>STERLING ENTERPRISES</v>
      </c>
      <c r="D31" s="64"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64">
        <f>IF($BJ30&gt;0,IF(INDEX('Final Calculation Sheet'!$D$4:$D$40,$BJ30-3)="","",INDEX('Final Calculation Sheet'!$D$4:$D$40,$BJ30-3)),IF(OR($BI30=1,$BL30=1,$BH30&gt;0),"–",""))</f>
        <v>21978</v>
      </c>
      <c r="F31" s="64">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64" t="str">
        <f>IF($BJ30&gt;0,IF(INDEX('Final Calculation Sheet'!$E$4:$E$40,$BJ30-3)="","",INDEX('Final Calculation Sheet'!$E$4:$E$40,$BJ30-3)),IF(OR($BI30=1,$BL30=1,$BH30&gt;0),"–",""))</f>
        <v>NO</v>
      </c>
      <c r="H31" s="65">
        <f>IF($BJ30&gt;0,IF(INDEX('Final Calculation Sheet'!$C$4:$C$40,$BJ30-3)="","",INDEX('Final Calculation Sheet'!$C$4:$C$40,$BJ30-3)),IF(OR($BI30=1,$BL30=1,$BH30&gt;0),"–",""))</f>
        <v>90002</v>
      </c>
      <c r="I31" s="65">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65">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65">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65">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65">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65">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66">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65">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65">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67">
        <f>IF($BJ30&gt;0,IF(INDEX('Final Calculation Sheet'!$Q$4:$Q$40,$BJ30-3)="","",INDEX('Final Calculation Sheet'!$Q$4:$Q$40,$BJ30-3)),IF(OR($BI30=1,$BL30=1,$BH30&gt;0),"–",""))</f>
        <v>0</v>
      </c>
      <c r="S31" s="65">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65">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65">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68">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65" t="str">
        <f>IF($BJ30&gt;0,IF(INDEX('Final Calculation Sheet'!$V$4:$V$40,$BJ30-3)="","",INDEX('Final Calculation Sheet'!$V$4:$V$40,$BJ30-3)),IF(OR($BI30=1,$BL30=1,$BH30&gt;0),"–",""))</f>
        <v>11.08.2026</v>
      </c>
      <c r="X31" s="65">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65"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65">
        <f>IF($BJ30&gt;0,IF(INDEX('Final Calculation Sheet'!$Y$4:$Y$40,$BJ30-3)="","",INDEX('Final Calculation Sheet'!$Y$4:$Y$40,$BJ30-3)),IF(OR($BI30=1,$BL30=1,$BH30&gt;0),"–",""))</f>
        <v>0</v>
      </c>
      <c r="AA31" s="65">
        <f ca="1">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65"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65" t="str">
        <f>IF($BJ30&gt;0,IF(INDEX('Final Calculation Sheet'!$AB$4:$AB$40,$BJ30-3)="","",INDEX('Final Calculation Sheet'!$AB$4:$AB$40,$BJ30-3)),IF(OR($BI30=1,$BL30=1,$BH30&gt;0),"–",""))</f>
        <v/>
      </c>
      <c r="AD31" s="65">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65">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G31" s="65" t="str">
        <f>IF($BJ30&gt;0,IF(INDEX('Final Calculation Sheet'!$AF$4:$AF$40,$BJ30-3)="","",INDEX('Final Calculation Sheet'!$AF$4:$AF$40,$BJ30-3)),IF(OR($BI30=1,$BL30=1,$BH30&gt;0),"–",""))</f>
        <v/>
      </c>
      <c r="AH31" s="69" t="str">
        <f>IF($BJ30&gt;0,IF(INDEX('Final Calculation Sheet'!$AG$4:$AG$40,$BJ30-3)="","",INDEX('Final Calculation Sheet'!$AG$4:$AG$40,$BJ30-3)),IF(OR($BI30=1,$BL30=1,$BH30&gt;0),"–",""))</f>
        <v/>
      </c>
      <c r="AI31" s="65" t="str">
        <f>IF($BJ30&gt;0,IF(INDEX('Final Calculation Sheet'!$AH$4:$AH$40,$BJ30-3)="","",INDEX('Final Calculation Sheet'!$AH$4:$AH$40,$BJ30-3)),IF(OR($BI30=1,$BL30=1,$BH30&gt;0),"–",""))</f>
        <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 t="shared" si="7"/>
        <v>0</v>
      </c>
      <c r="AM31">
        <f t="shared" si="1"/>
        <v>1</v>
      </c>
      <c r="AZ31">
        <f t="shared" si="2"/>
        <v>9</v>
      </c>
      <c r="BA31">
        <f t="shared" si="3"/>
        <v>27</v>
      </c>
      <c r="BB31">
        <f t="shared" si="4"/>
        <v>31</v>
      </c>
      <c r="BC31">
        <v>30</v>
      </c>
      <c r="BH31">
        <f>IFERROR(MATCH(31,$BF$4:$BF$13,0),0)</f>
        <v>0</v>
      </c>
      <c r="BI31">
        <f>IF(31=$BG$5,1,0)</f>
        <v>0</v>
      </c>
      <c r="BJ31">
        <f>IF(OR($BH31&gt;0,$BI31=1,$BL31=1),0,IFERROR(INDEX($BC$5:$BC$41,MATCH(31,$BB$5:$BB$41,0)),0))</f>
        <v>30</v>
      </c>
      <c r="BK31">
        <f>IF($BJ31&gt;0,IF(INDEX($AZ$5:$AZ$41,MATCH(31,$BB$5:$BB$41,0))=10,1,0),IF($BH31=10,1,0))</f>
        <v>0</v>
      </c>
      <c r="BL31">
        <f>IF(31=$BG$4,1,0)</f>
        <v>0</v>
      </c>
      <c r="BM31">
        <f t="shared" si="6"/>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1</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1</v>
      </c>
    </row>
    <row r="32" spans="1:99" ht="15" customHeight="1" x14ac:dyDescent="0.3">
      <c r="A32" s="62">
        <f>IF($BJ31&gt;0,INDEX($BA$5:$BA$41,MATCH(31,$BB$5:$BB$41,0)),IF(OR($BI31=1,$BL31=1,$BH31&gt;0),"∑",""))</f>
        <v>27</v>
      </c>
      <c r="B32" s="63">
        <f>IF($BJ31&gt;0,IF(INDEX('Final Calculation Sheet'!$F$4:$F$40,$BJ31-3)="","",INDEX('Final Calculation Sheet'!$F$4:$F$40,$BJ31-3)),"")</f>
        <v>2043</v>
      </c>
      <c r="C32" s="63" t="str">
        <f>IF($BJ31&gt;0,IF(INDEX('Final Calculation Sheet'!$G$4:$G$40,$BJ31-3)="","",INDEX('Final Calculation Sheet'!$G$4:$G$40,$BJ31-3)),IF(OR($BI31=1,$BL31=1,$BH31&gt;0),IF($BI31=1,37,IF($BL31=1,37-INDEX($BD$4:$BD$13,10),INDEX($BD$4:$BD$13,$BH31)))&amp;" lot(s)",""))</f>
        <v>NATIONAL ENTERPRISES</v>
      </c>
      <c r="D32" s="64"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64">
        <f>IF($BJ31&gt;0,IF(INDEX('Final Calculation Sheet'!$D$4:$D$40,$BJ31-3)="","",INDEX('Final Calculation Sheet'!$D$4:$D$40,$BJ31-3)),IF(OR($BI31=1,$BL31=1,$BH31&gt;0),"–",""))</f>
        <v>21979</v>
      </c>
      <c r="F32" s="64">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64" t="str">
        <f>IF($BJ31&gt;0,IF(INDEX('Final Calculation Sheet'!$E$4:$E$40,$BJ31-3)="","",INDEX('Final Calculation Sheet'!$E$4:$E$40,$BJ31-3)),IF(OR($BI31=1,$BL31=1,$BH31&gt;0),"–",""))</f>
        <v>NO</v>
      </c>
      <c r="H32" s="65">
        <f>IF($BJ31&gt;0,IF(INDEX('Final Calculation Sheet'!$C$4:$C$40,$BJ31-3)="","",INDEX('Final Calculation Sheet'!$C$4:$C$40,$BJ31-3)),IF(OR($BI31=1,$BL31=1,$BH31&gt;0),"–",""))</f>
        <v>80000</v>
      </c>
      <c r="I32" s="65">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65">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65">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65">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65">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65">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66">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65">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65">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67">
        <f>IF($BJ31&gt;0,IF(INDEX('Final Calculation Sheet'!$Q$4:$Q$40,$BJ31-3)="","",INDEX('Final Calculation Sheet'!$Q$4:$Q$40,$BJ31-3)),IF(OR($BI31=1,$BL31=1,$BH31&gt;0),"–",""))</f>
        <v>0</v>
      </c>
      <c r="S32" s="65">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65">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65">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68">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65" t="str">
        <f>IF($BJ31&gt;0,IF(INDEX('Final Calculation Sheet'!$V$4:$V$40,$BJ31-3)="","",INDEX('Final Calculation Sheet'!$V$4:$V$40,$BJ31-3)),IF(OR($BI31=1,$BL31=1,$BH31&gt;0),"–",""))</f>
        <v>13.08.2026</v>
      </c>
      <c r="X32" s="65">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65">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65" t="str">
        <f>IF($BJ31&gt;0,IF(INDEX('Final Calculation Sheet'!$Y$4:$Y$40,$BJ31-3)="","",INDEX('Final Calculation Sheet'!$Y$4:$Y$40,$BJ31-3)),IF(OR($BI31=1,$BL31=1,$BH31&gt;0),"–",""))</f>
        <v>24.08.2026</v>
      </c>
      <c r="AA32" s="65">
        <f ca="1">IF($BJ31&gt;0,IF(INDEX('Final Calculation Sheet'!$Z$4:$Z$40,$BJ31-3)="","",INDEX('Final Calculation Sheet'!$Z$4:$Z$40,$BJ31-3)),IF(OR($BI31=1,$BL31=1,$BH31&gt;0),IF($BI31=1,SUM('Final Calculation Sheet'!$Z$4:$Z$40),IF($BL31=1,SUM('Final Calculation Sheet'!$Z$4:$Z$40)-SUMIFS('Final Calculation Sheet'!$Z$4:$Z$40,$AZ$5:$AZ$41,10),SUMIFS('Final Calculation Sheet'!$Z$4:$Z$40,$AZ$5:$AZ$41,$BH31))),""))</f>
        <v>14160</v>
      </c>
      <c r="AB32" s="65"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65" t="str">
        <f>IF($BJ31&gt;0,IF(INDEX('Final Calculation Sheet'!$AB$4:$AB$40,$BJ31-3)="","",INDEX('Final Calculation Sheet'!$AB$4:$AB$40,$BJ31-3)),IF(OR($BI31=1,$BL31=1,$BH31&gt;0),"–",""))</f>
        <v/>
      </c>
      <c r="AD32" s="65">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65">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G32" s="65" t="str">
        <f>IF($BJ31&gt;0,IF(INDEX('Final Calculation Sheet'!$AF$4:$AF$40,$BJ31-3)="","",INDEX('Final Calculation Sheet'!$AF$4:$AF$40,$BJ31-3)),IF(OR($BI31=1,$BL31=1,$BH31&gt;0),"–",""))</f>
        <v>DR2640100038</v>
      </c>
      <c r="AH32" s="69">
        <f>IF($BJ31&gt;0,IF(INDEX('Final Calculation Sheet'!$AG$4:$AG$40,$BJ31-3)="","",INDEX('Final Calculation Sheet'!$AG$4:$AG$40,$BJ31-3)),IF(OR($BI31=1,$BL31=1,$BH31&gt;0),"–",""))</f>
        <v>1800003311</v>
      </c>
      <c r="AI32" s="65" t="str">
        <f>IF($BJ31&gt;0,IF(INDEX('Final Calculation Sheet'!$AH$4:$AH$40,$BJ31-3)="","",INDEX('Final Calculation Sheet'!$AH$4:$AH$40,$BJ31-3)),IF(OR($BI31=1,$BL31=1,$BH31&gt;0),"–",""))</f>
        <v>27.08.2026</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 t="shared" si="7"/>
        <v>0</v>
      </c>
      <c r="AM32">
        <f t="shared" si="1"/>
        <v>1</v>
      </c>
      <c r="AZ32">
        <f t="shared" si="2"/>
        <v>9</v>
      </c>
      <c r="BA32">
        <f t="shared" si="3"/>
        <v>28</v>
      </c>
      <c r="BB32">
        <f t="shared" si="4"/>
        <v>32</v>
      </c>
      <c r="BC32">
        <v>31</v>
      </c>
      <c r="BH32">
        <f>IFERROR(MATCH(32,$BF$4:$BF$13,0),0)</f>
        <v>0</v>
      </c>
      <c r="BI32">
        <f>IF(32=$BG$5,1,0)</f>
        <v>0</v>
      </c>
      <c r="BJ32">
        <f>IF(OR($BH32&gt;0,$BI32=1,$BL32=1),0,IFERROR(INDEX($BC$5:$BC$41,MATCH(32,$BB$5:$BB$41,0)),0))</f>
        <v>31</v>
      </c>
      <c r="BK32">
        <f>IF($BJ32&gt;0,IF(INDEX($AZ$5:$AZ$41,MATCH(32,$BB$5:$BB$41,0))=10,1,0),IF($BH32=10,1,0))</f>
        <v>0</v>
      </c>
      <c r="BL32">
        <f>IF(32=$BG$4,1,0)</f>
        <v>0</v>
      </c>
      <c r="BM32">
        <f t="shared" si="6"/>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1</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1</v>
      </c>
    </row>
    <row r="33" spans="1:99" ht="15" customHeight="1" x14ac:dyDescent="0.3">
      <c r="A33" s="62">
        <f>IF($BJ32&gt;0,INDEX($BA$5:$BA$41,MATCH(32,$BB$5:$BB$41,0)),IF(OR($BI32=1,$BL32=1,$BH32&gt;0),"∑",""))</f>
        <v>28</v>
      </c>
      <c r="B33" s="63">
        <f>IF($BJ32&gt;0,IF(INDEX('Final Calculation Sheet'!$F$4:$F$40,$BJ32-3)="","",INDEX('Final Calculation Sheet'!$F$4:$F$40,$BJ32-3)),"")</f>
        <v>2046</v>
      </c>
      <c r="C33" s="63" t="str">
        <f>IF($BJ32&gt;0,IF(INDEX('Final Calculation Sheet'!$G$4:$G$40,$BJ32-3)="","",INDEX('Final Calculation Sheet'!$G$4:$G$40,$BJ32-3)),IF(OR($BI32=1,$BL32=1,$BH32&gt;0),IF($BI32=1,37,IF($BL32=1,37-INDEX($BD$4:$BD$13,10),INDEX($BD$4:$BD$13,$BH32)))&amp;" lot(s)",""))</f>
        <v>SAHARA ENTERPRISES</v>
      </c>
      <c r="D33" s="64"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64">
        <f>IF($BJ32&gt;0,IF(INDEX('Final Calculation Sheet'!$D$4:$D$40,$BJ32-3)="","",INDEX('Final Calculation Sheet'!$D$4:$D$40,$BJ32-3)),IF(OR($BI32=1,$BL32=1,$BH32&gt;0),"–",""))</f>
        <v>21979</v>
      </c>
      <c r="F33" s="64">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64" t="str">
        <f>IF($BJ32&gt;0,IF(INDEX('Final Calculation Sheet'!$E$4:$E$40,$BJ32-3)="","",INDEX('Final Calculation Sheet'!$E$4:$E$40,$BJ32-3)),IF(OR($BI32=1,$BL32=1,$BH32&gt;0),"–",""))</f>
        <v>KG</v>
      </c>
      <c r="H33" s="65">
        <f>IF($BJ32&gt;0,IF(INDEX('Final Calculation Sheet'!$C$4:$C$40,$BJ32-3)="","",INDEX('Final Calculation Sheet'!$C$4:$C$40,$BJ32-3)),IF(OR($BI32=1,$BL32=1,$BH32&gt;0),"–",""))</f>
        <v>309</v>
      </c>
      <c r="I33" s="65">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65">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65">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65">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65">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65">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66">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65">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65">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67">
        <f>IF($BJ32&gt;0,IF(INDEX('Final Calculation Sheet'!$Q$4:$Q$40,$BJ32-3)="","",INDEX('Final Calculation Sheet'!$Q$4:$Q$40,$BJ32-3)),IF(OR($BI32=1,$BL32=1,$BH32&gt;0),"–",""))</f>
        <v>0</v>
      </c>
      <c r="S33" s="65">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65">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65">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68">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65" t="str">
        <f>IF($BJ32&gt;0,IF(INDEX('Final Calculation Sheet'!$V$4:$V$40,$BJ32-3)="","",INDEX('Final Calculation Sheet'!$V$4:$V$40,$BJ32-3)),IF(OR($BI32=1,$BL32=1,$BH32&gt;0),"–",""))</f>
        <v>11.08.2026</v>
      </c>
      <c r="X33" s="65">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65">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65" t="str">
        <f>IF($BJ32&gt;0,IF(INDEX('Final Calculation Sheet'!$Y$4:$Y$40,$BJ32-3)="","",INDEX('Final Calculation Sheet'!$Y$4:$Y$40,$BJ32-3)),IF(OR($BI32=1,$BL32=1,$BH32&gt;0),"–",""))</f>
        <v>21.08.2026</v>
      </c>
      <c r="AA33" s="65">
        <f ca="1">IF($BJ32&gt;0,IF(INDEX('Final Calculation Sheet'!$Z$4:$Z$40,$BJ32-3)="","",INDEX('Final Calculation Sheet'!$Z$4:$Z$40,$BJ32-3)),IF(OR($BI32=1,$BL32=1,$BH32&gt;0),IF($BI32=1,SUM('Final Calculation Sheet'!$Z$4:$Z$40),IF($BL32=1,SUM('Final Calculation Sheet'!$Z$4:$Z$40)-SUMIFS('Final Calculation Sheet'!$Z$4:$Z$40,$AZ$5:$AZ$41,10),SUMIFS('Final Calculation Sheet'!$Z$4:$Z$40,$AZ$5:$AZ$41,$BH32))),""))</f>
        <v>7328.8619999999992</v>
      </c>
      <c r="AB33" s="65"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65" t="str">
        <f>IF($BJ32&gt;0,IF(INDEX('Final Calculation Sheet'!$AB$4:$AB$40,$BJ32-3)="","",INDEX('Final Calculation Sheet'!$AB$4:$AB$40,$BJ32-3)),IF(OR($BI32=1,$BL32=1,$BH32&gt;0),"–",""))</f>
        <v/>
      </c>
      <c r="AD33" s="65">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65">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G33" s="65" t="str">
        <f>IF($BJ32&gt;0,IF(INDEX('Final Calculation Sheet'!$AF$4:$AF$40,$BJ32-3)="","",INDEX('Final Calculation Sheet'!$AF$4:$AF$40,$BJ32-3)),IF(OR($BI32=1,$BL32=1,$BH32&gt;0),"–",""))</f>
        <v>DR2640100041</v>
      </c>
      <c r="AH33" s="69">
        <f>IF($BJ32&gt;0,IF(INDEX('Final Calculation Sheet'!$AG$4:$AG$40,$BJ32-3)="","",INDEX('Final Calculation Sheet'!$AG$4:$AG$40,$BJ32-3)),IF(OR($BI32=1,$BL32=1,$BH32&gt;0),"–",""))</f>
        <v>1800003316</v>
      </c>
      <c r="AI33" s="65" t="str">
        <f>IF($BJ32&gt;0,IF(INDEX('Final Calculation Sheet'!$AH$4:$AH$40,$BJ32-3)="","",INDEX('Final Calculation Sheet'!$AH$4:$AH$40,$BJ32-3)),IF(OR($BI32=1,$BL32=1,$BH32&gt;0),"–",""))</f>
        <v>27.08.2026</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 t="shared" si="7"/>
        <v>0</v>
      </c>
      <c r="AM33">
        <f t="shared" si="1"/>
        <v>1</v>
      </c>
      <c r="AZ33">
        <f t="shared" si="2"/>
        <v>9</v>
      </c>
      <c r="BA33">
        <f t="shared" si="3"/>
        <v>29</v>
      </c>
      <c r="BB33">
        <f t="shared" si="4"/>
        <v>33</v>
      </c>
      <c r="BC33">
        <v>32</v>
      </c>
      <c r="BH33">
        <f>IFERROR(MATCH(33,$BF$4:$BF$13,0),0)</f>
        <v>0</v>
      </c>
      <c r="BI33">
        <f>IF(33=$BG$5,1,0)</f>
        <v>0</v>
      </c>
      <c r="BJ33">
        <f>IF(OR($BH33&gt;0,$BI33=1,$BL33=1),0,IFERROR(INDEX($BC$5:$BC$41,MATCH(33,$BB$5:$BB$41,0)),0))</f>
        <v>32</v>
      </c>
      <c r="BK33">
        <f>IF($BJ33&gt;0,IF(INDEX($AZ$5:$AZ$41,MATCH(33,$BB$5:$BB$41,0))=10,1,0),IF($BH33=10,1,0))</f>
        <v>0</v>
      </c>
      <c r="BL33">
        <f>IF(33=$BG$4,1,0)</f>
        <v>0</v>
      </c>
      <c r="BM33">
        <f t="shared" si="6"/>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1</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1</v>
      </c>
    </row>
    <row r="34" spans="1:99" ht="15" customHeight="1" x14ac:dyDescent="0.3">
      <c r="A34" s="62">
        <f>IF($BJ33&gt;0,INDEX($BA$5:$BA$41,MATCH(33,$BB$5:$BB$41,0)),IF(OR($BI33=1,$BL33=1,$BH33&gt;0),"∑",""))</f>
        <v>29</v>
      </c>
      <c r="B34" s="63">
        <f>IF($BJ33&gt;0,IF(INDEX('Final Calculation Sheet'!$F$4:$F$40,$BJ33-3)="","",INDEX('Final Calculation Sheet'!$F$4:$F$40,$BJ33-3)),"")</f>
        <v>2055</v>
      </c>
      <c r="C34" s="63" t="str">
        <f>IF($BJ33&gt;0,IF(INDEX('Final Calculation Sheet'!$G$4:$G$40,$BJ33-3)="","",INDEX('Final Calculation Sheet'!$G$4:$G$40,$BJ33-3)),IF(OR($BI33=1,$BL33=1,$BH33&gt;0),IF($BI33=1,37,IF($BL33=1,37-INDEX($BD$4:$BD$13,10),INDEX($BD$4:$BD$13,$BH33)))&amp;" lot(s)",""))</f>
        <v>NATIONAL ENTERPRISES</v>
      </c>
      <c r="D34" s="64"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64">
        <f>IF($BJ33&gt;0,IF(INDEX('Final Calculation Sheet'!$D$4:$D$40,$BJ33-3)="","",INDEX('Final Calculation Sheet'!$D$4:$D$40,$BJ33-3)),IF(OR($BI33=1,$BL33=1,$BH33&gt;0),"–",""))</f>
        <v>21979</v>
      </c>
      <c r="F34" s="64">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64" t="str">
        <f>IF($BJ33&gt;0,IF(INDEX('Final Calculation Sheet'!$E$4:$E$40,$BJ33-3)="","",INDEX('Final Calculation Sheet'!$E$4:$E$40,$BJ33-3)),IF(OR($BI33=1,$BL33=1,$BH33&gt;0),"–",""))</f>
        <v>NO</v>
      </c>
      <c r="H34" s="65">
        <f>IF($BJ33&gt;0,IF(INDEX('Final Calculation Sheet'!$C$4:$C$40,$BJ33-3)="","",INDEX('Final Calculation Sheet'!$C$4:$C$40,$BJ33-3)),IF(OR($BI33=1,$BL33=1,$BH33&gt;0),"–",""))</f>
        <v>80006</v>
      </c>
      <c r="I34" s="65">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65">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65">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65">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65">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65">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66">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65">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65">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67">
        <f>IF($BJ33&gt;0,IF(INDEX('Final Calculation Sheet'!$Q$4:$Q$40,$BJ33-3)="","",INDEX('Final Calculation Sheet'!$Q$4:$Q$40,$BJ33-3)),IF(OR($BI33=1,$BL33=1,$BH33&gt;0),"–",""))</f>
        <v>0</v>
      </c>
      <c r="S34" s="65">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65">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65">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68">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65" t="str">
        <f>IF($BJ33&gt;0,IF(INDEX('Final Calculation Sheet'!$V$4:$V$40,$BJ33-3)="","",INDEX('Final Calculation Sheet'!$V$4:$V$40,$BJ33-3)),IF(OR($BI33=1,$BL33=1,$BH33&gt;0),"–",""))</f>
        <v>13.08.2026</v>
      </c>
      <c r="X34" s="65">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65">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65" t="str">
        <f>IF($BJ33&gt;0,IF(INDEX('Final Calculation Sheet'!$Y$4:$Y$40,$BJ33-3)="","",INDEX('Final Calculation Sheet'!$Y$4:$Y$40,$BJ33-3)),IF(OR($BI33=1,$BL33=1,$BH33&gt;0),"–",""))</f>
        <v>24.08.2026</v>
      </c>
      <c r="AA34" s="65">
        <f ca="1">IF($BJ33&gt;0,IF(INDEX('Final Calculation Sheet'!$Z$4:$Z$40,$BJ33-3)="","",INDEX('Final Calculation Sheet'!$Z$4:$Z$40,$BJ33-3)),IF(OR($BI33=1,$BL33=1,$BH33&gt;0),IF($BI33=1,SUM('Final Calculation Sheet'!$Z$4:$Z$40),IF($BL33=1,SUM('Final Calculation Sheet'!$Z$4:$Z$40)-SUMIFS('Final Calculation Sheet'!$Z$4:$Z$40,$AZ$5:$AZ$41,10),SUMIFS('Final Calculation Sheet'!$Z$4:$Z$40,$AZ$5:$AZ$41,$BH33))),""))</f>
        <v>5664.4247999999998</v>
      </c>
      <c r="AB34" s="65"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65" t="str">
        <f>IF($BJ33&gt;0,IF(INDEX('Final Calculation Sheet'!$AB$4:$AB$40,$BJ33-3)="","",INDEX('Final Calculation Sheet'!$AB$4:$AB$40,$BJ33-3)),IF(OR($BI33=1,$BL33=1,$BH33&gt;0),"–",""))</f>
        <v/>
      </c>
      <c r="AD34" s="65">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65">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G34" s="65" t="str">
        <f>IF($BJ33&gt;0,IF(INDEX('Final Calculation Sheet'!$AF$4:$AF$40,$BJ33-3)="","",INDEX('Final Calculation Sheet'!$AF$4:$AF$40,$BJ33-3)),IF(OR($BI33=1,$BL33=1,$BH33&gt;0),"–",""))</f>
        <v>DR2640100039</v>
      </c>
      <c r="AH34" s="69">
        <f>IF($BJ33&gt;0,IF(INDEX('Final Calculation Sheet'!$AG$4:$AG$40,$BJ33-3)="","",INDEX('Final Calculation Sheet'!$AG$4:$AG$40,$BJ33-3)),IF(OR($BI33=1,$BL33=1,$BH33&gt;0),"–",""))</f>
        <v>1800003312</v>
      </c>
      <c r="AI34" s="65" t="str">
        <f>IF($BJ33&gt;0,IF(INDEX('Final Calculation Sheet'!$AH$4:$AH$40,$BJ33-3)="","",INDEX('Final Calculation Sheet'!$AH$4:$AH$40,$BJ33-3)),IF(OR($BI33=1,$BL33=1,$BH33&gt;0),"–",""))</f>
        <v>27.08.2026</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 t="shared" si="7"/>
        <v>0</v>
      </c>
      <c r="AM34">
        <f t="shared" si="1"/>
        <v>1</v>
      </c>
      <c r="AZ34">
        <f t="shared" si="2"/>
        <v>9</v>
      </c>
      <c r="BA34">
        <f t="shared" si="3"/>
        <v>30</v>
      </c>
      <c r="BB34">
        <f t="shared" si="4"/>
        <v>34</v>
      </c>
      <c r="BC34">
        <v>33</v>
      </c>
      <c r="BH34">
        <f>IFERROR(MATCH(34,$BF$4:$BF$13,0),0)</f>
        <v>0</v>
      </c>
      <c r="BI34">
        <f>IF(34=$BG$5,1,0)</f>
        <v>0</v>
      </c>
      <c r="BJ34">
        <f>IF(OR($BH34&gt;0,$BI34=1,$BL34=1),0,IFERROR(INDEX($BC$5:$BC$41,MATCH(34,$BB$5:$BB$41,0)),0))</f>
        <v>33</v>
      </c>
      <c r="BK34">
        <f>IF($BJ34&gt;0,IF(INDEX($AZ$5:$AZ$41,MATCH(34,$BB$5:$BB$41,0))=10,1,0),IF($BH34=10,1,0))</f>
        <v>0</v>
      </c>
      <c r="BL34">
        <f>IF(34=$BG$4,1,0)</f>
        <v>0</v>
      </c>
      <c r="BM34">
        <f t="shared" si="6"/>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1</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1</v>
      </c>
    </row>
    <row r="35" spans="1:99" ht="15" customHeight="1" x14ac:dyDescent="0.3">
      <c r="A35" s="62">
        <f>IF($BJ34&gt;0,INDEX($BA$5:$BA$41,MATCH(34,$BB$5:$BB$41,0)),IF(OR($BI34=1,$BL34=1,$BH34&gt;0),"∑",""))</f>
        <v>30</v>
      </c>
      <c r="B35" s="63">
        <f>IF($BJ34&gt;0,IF(INDEX('Final Calculation Sheet'!$F$4:$F$40,$BJ34-3)="","",INDEX('Final Calculation Sheet'!$F$4:$F$40,$BJ34-3)),"")</f>
        <v>2059</v>
      </c>
      <c r="C35" s="63" t="str">
        <f>IF($BJ34&gt;0,IF(INDEX('Final Calculation Sheet'!$G$4:$G$40,$BJ34-3)="","",INDEX('Final Calculation Sheet'!$G$4:$G$40,$BJ34-3)),IF(OR($BI34=1,$BL34=1,$BH34&gt;0),IF($BI34=1,37,IF($BL34=1,37-INDEX($BD$4:$BD$13,10),INDEX($BD$4:$BD$13,$BH34)))&amp;" lot(s)",""))</f>
        <v>NATIONAL ENTERPRISES</v>
      </c>
      <c r="D35" s="64"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64">
        <f>IF($BJ34&gt;0,IF(INDEX('Final Calculation Sheet'!$D$4:$D$40,$BJ34-3)="","",INDEX('Final Calculation Sheet'!$D$4:$D$40,$BJ34-3)),IF(OR($BI34=1,$BL34=1,$BH34&gt;0),"–",""))</f>
        <v>21979</v>
      </c>
      <c r="F35" s="64">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64" t="str">
        <f>IF($BJ34&gt;0,IF(INDEX('Final Calculation Sheet'!$E$4:$E$40,$BJ34-3)="","",INDEX('Final Calculation Sheet'!$E$4:$E$40,$BJ34-3)),IF(OR($BI34=1,$BL34=1,$BH34&gt;0),"–",""))</f>
        <v>NO</v>
      </c>
      <c r="H35" s="65">
        <f>IF($BJ34&gt;0,IF(INDEX('Final Calculation Sheet'!$C$4:$C$40,$BJ34-3)="","",INDEX('Final Calculation Sheet'!$C$4:$C$40,$BJ34-3)),IF(OR($BI34=1,$BL34=1,$BH34&gt;0),"–",""))</f>
        <v>29502</v>
      </c>
      <c r="I35" s="65">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65">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65">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65">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65">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65">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66">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65">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65">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67">
        <f>IF($BJ34&gt;0,IF(INDEX('Final Calculation Sheet'!$Q$4:$Q$40,$BJ34-3)="","",INDEX('Final Calculation Sheet'!$Q$4:$Q$40,$BJ34-3)),IF(OR($BI34=1,$BL34=1,$BH34&gt;0),"–",""))</f>
        <v>0</v>
      </c>
      <c r="S35" s="65">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65">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65">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68">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65" t="str">
        <f>IF($BJ34&gt;0,IF(INDEX('Final Calculation Sheet'!$V$4:$V$40,$BJ34-3)="","",INDEX('Final Calculation Sheet'!$V$4:$V$40,$BJ34-3)),IF(OR($BI34=1,$BL34=1,$BH34&gt;0),"–",""))</f>
        <v>13.08.2026</v>
      </c>
      <c r="X35" s="65">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65">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65" t="str">
        <f>IF($BJ34&gt;0,IF(INDEX('Final Calculation Sheet'!$Y$4:$Y$40,$BJ34-3)="","",INDEX('Final Calculation Sheet'!$Y$4:$Y$40,$BJ34-3)),IF(OR($BI34=1,$BL34=1,$BH34&gt;0),"–",""))</f>
        <v>24.08.2026</v>
      </c>
      <c r="AA35" s="65">
        <f ca="1">IF($BJ34&gt;0,IF(INDEX('Final Calculation Sheet'!$Z$4:$Z$40,$BJ34-3)="","",INDEX('Final Calculation Sheet'!$Z$4:$Z$40,$BJ34-3)),IF(OR($BI34=1,$BL34=1,$BH34&gt;0),IF($BI34=1,SUM('Final Calculation Sheet'!$Z$4:$Z$40),IF($BL34=1,SUM('Final Calculation Sheet'!$Z$4:$Z$40)-SUMIFS('Final Calculation Sheet'!$Z$4:$Z$40,$AZ$5:$AZ$41,10),SUMIFS('Final Calculation Sheet'!$Z$4:$Z$40,$AZ$5:$AZ$41,$BH34))),""))</f>
        <v>1044.3708000000001</v>
      </c>
      <c r="AB35" s="65"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65" t="str">
        <f>IF($BJ34&gt;0,IF(INDEX('Final Calculation Sheet'!$AB$4:$AB$40,$BJ34-3)="","",INDEX('Final Calculation Sheet'!$AB$4:$AB$40,$BJ34-3)),IF(OR($BI34=1,$BL34=1,$BH34&gt;0),"–",""))</f>
        <v/>
      </c>
      <c r="AD35" s="65">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65">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G35" s="65" t="str">
        <f>IF($BJ34&gt;0,IF(INDEX('Final Calculation Sheet'!$AF$4:$AF$40,$BJ34-3)="","",INDEX('Final Calculation Sheet'!$AF$4:$AF$40,$BJ34-3)),IF(OR($BI34=1,$BL34=1,$BH34&gt;0),"–",""))</f>
        <v>DR2640100046</v>
      </c>
      <c r="AH35" s="69">
        <f>IF($BJ34&gt;0,IF(INDEX('Final Calculation Sheet'!$AG$4:$AG$40,$BJ34-3)="","",INDEX('Final Calculation Sheet'!$AG$4:$AG$40,$BJ34-3)),IF(OR($BI34=1,$BL34=1,$BH34&gt;0),"–",""))</f>
        <v>1800003313</v>
      </c>
      <c r="AI35" s="65" t="str">
        <f>IF($BJ34&gt;0,IF(INDEX('Final Calculation Sheet'!$AH$4:$AH$40,$BJ34-3)="","",INDEX('Final Calculation Sheet'!$AH$4:$AH$40,$BJ34-3)),IF(OR($BI34=1,$BL34=1,$BH34&gt;0),"–",""))</f>
        <v>27.08.2026</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 t="shared" si="7"/>
        <v>0</v>
      </c>
      <c r="AM35">
        <f t="shared" si="1"/>
        <v>1</v>
      </c>
      <c r="AZ35">
        <f t="shared" si="2"/>
        <v>9</v>
      </c>
      <c r="BA35">
        <f t="shared" si="3"/>
        <v>31</v>
      </c>
      <c r="BB35">
        <f t="shared" si="4"/>
        <v>35</v>
      </c>
      <c r="BC35">
        <v>34</v>
      </c>
      <c r="BH35">
        <f>IFERROR(MATCH(35,$BF$4:$BF$13,0),0)</f>
        <v>0</v>
      </c>
      <c r="BI35">
        <f>IF(35=$BG$5,1,0)</f>
        <v>0</v>
      </c>
      <c r="BJ35">
        <f>IF(OR($BH35&gt;0,$BI35=1,$BL35=1),0,IFERROR(INDEX($BC$5:$BC$41,MATCH(35,$BB$5:$BB$41,0)),0))</f>
        <v>34</v>
      </c>
      <c r="BK35">
        <f>IF($BJ35&gt;0,IF(INDEX($AZ$5:$AZ$41,MATCH(35,$BB$5:$BB$41,0))=10,1,0),IF($BH35=10,1,0))</f>
        <v>0</v>
      </c>
      <c r="BL35">
        <f>IF(35=$BG$4,1,0)</f>
        <v>0</v>
      </c>
      <c r="BM35">
        <f t="shared" si="6"/>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1</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1</v>
      </c>
    </row>
    <row r="36" spans="1:99" ht="15" customHeight="1" x14ac:dyDescent="0.3">
      <c r="A36" s="62">
        <f>IF($BJ35&gt;0,INDEX($BA$5:$BA$41,MATCH(35,$BB$5:$BB$41,0)),IF(OR($BI35=1,$BL35=1,$BH35&gt;0),"∑",""))</f>
        <v>31</v>
      </c>
      <c r="B36" s="63">
        <f>IF($BJ35&gt;0,IF(INDEX('Final Calculation Sheet'!$F$4:$F$40,$BJ35-3)="","",INDEX('Final Calculation Sheet'!$F$4:$F$40,$BJ35-3)),"")</f>
        <v>2062</v>
      </c>
      <c r="C36" s="63" t="str">
        <f>IF($BJ35&gt;0,IF(INDEX('Final Calculation Sheet'!$G$4:$G$40,$BJ35-3)="","",INDEX('Final Calculation Sheet'!$G$4:$G$40,$BJ35-3)),IF(OR($BI35=1,$BL35=1,$BH35&gt;0),IF($BI35=1,37,IF($BL35=1,37-INDEX($BD$4:$BD$13,10),INDEX($BD$4:$BD$13,$BH35)))&amp;" lot(s)",""))</f>
        <v>STERLING ENTERPRISES</v>
      </c>
      <c r="D36" s="64"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64">
        <f>IF($BJ35&gt;0,IF(INDEX('Final Calculation Sheet'!$D$4:$D$40,$BJ35-3)="","",INDEX('Final Calculation Sheet'!$D$4:$D$40,$BJ35-3)),IF(OR($BI35=1,$BL35=1,$BH35&gt;0),"–",""))</f>
        <v>21979</v>
      </c>
      <c r="F36" s="64">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64" t="str">
        <f>IF($BJ35&gt;0,IF(INDEX('Final Calculation Sheet'!$E$4:$E$40,$BJ35-3)="","",INDEX('Final Calculation Sheet'!$E$4:$E$40,$BJ35-3)),IF(OR($BI35=1,$BL35=1,$BH35&gt;0),"–",""))</f>
        <v>NO</v>
      </c>
      <c r="H36" s="65">
        <f>IF($BJ35&gt;0,IF(INDEX('Final Calculation Sheet'!$C$4:$C$40,$BJ35-3)="","",INDEX('Final Calculation Sheet'!$C$4:$C$40,$BJ35-3)),IF(OR($BI35=1,$BL35=1,$BH35&gt;0),"–",""))</f>
        <v>702</v>
      </c>
      <c r="I36" s="65">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65">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65">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65">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65">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65">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66">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65">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65">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67">
        <f>IF($BJ35&gt;0,IF(INDEX('Final Calculation Sheet'!$Q$4:$Q$40,$BJ35-3)="","",INDEX('Final Calculation Sheet'!$Q$4:$Q$40,$BJ35-3)),IF(OR($BI35=1,$BL35=1,$BH35&gt;0),"–",""))</f>
        <v>0</v>
      </c>
      <c r="S36" s="65">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65">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65">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68">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65" t="str">
        <f>IF($BJ35&gt;0,IF(INDEX('Final Calculation Sheet'!$V$4:$V$40,$BJ35-3)="","",INDEX('Final Calculation Sheet'!$V$4:$V$40,$BJ35-3)),IF(OR($BI35=1,$BL35=1,$BH35&gt;0),"–",""))</f>
        <v>11.08.2026</v>
      </c>
      <c r="X36" s="65">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65">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65" t="str">
        <f>IF($BJ35&gt;0,IF(INDEX('Final Calculation Sheet'!$Y$4:$Y$40,$BJ35-3)="","",INDEX('Final Calculation Sheet'!$Y$4:$Y$40,$BJ35-3)),IF(OR($BI35=1,$BL35=1,$BH35&gt;0),"–",""))</f>
        <v>11.08.2026</v>
      </c>
      <c r="AA36" s="65">
        <f ca="1">IF($BJ35&gt;0,IF(INDEX('Final Calculation Sheet'!$Z$4:$Z$40,$BJ35-3)="","",INDEX('Final Calculation Sheet'!$Z$4:$Z$40,$BJ35-3)),IF(OR($BI35=1,$BL35=1,$BH35&gt;0),IF($BI35=1,SUM('Final Calculation Sheet'!$Z$4:$Z$40),IF($BL35=1,SUM('Final Calculation Sheet'!$Z$4:$Z$40)-SUMIFS('Final Calculation Sheet'!$Z$4:$Z$40,$AZ$5:$AZ$41,10),SUMIFS('Final Calculation Sheet'!$Z$4:$Z$40,$AZ$5:$AZ$41,$BH35))),""))</f>
        <v>745.52399999999989</v>
      </c>
      <c r="AB36" s="65"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65" t="str">
        <f>IF($BJ35&gt;0,IF(INDEX('Final Calculation Sheet'!$AB$4:$AB$40,$BJ35-3)="","",INDEX('Final Calculation Sheet'!$AB$4:$AB$40,$BJ35-3)),IF(OR($BI35=1,$BL35=1,$BH35&gt;0),"–",""))</f>
        <v/>
      </c>
      <c r="AD36" s="65">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65">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G36" s="65" t="str">
        <f>IF($BJ35&gt;0,IF(INDEX('Final Calculation Sheet'!$AF$4:$AF$40,$BJ35-3)="","",INDEX('Final Calculation Sheet'!$AF$4:$AF$40,$BJ35-3)),IF(OR($BI35=1,$BL35=1,$BH35&gt;0),"–",""))</f>
        <v>DR2640100022</v>
      </c>
      <c r="AH36" s="69">
        <f>IF($BJ35&gt;0,IF(INDEX('Final Calculation Sheet'!$AG$4:$AG$40,$BJ35-3)="","",INDEX('Final Calculation Sheet'!$AG$4:$AG$40,$BJ35-3)),IF(OR($BI35=1,$BL35=1,$BH35&gt;0),"–",""))</f>
        <v>1800003161</v>
      </c>
      <c r="AI36" s="65" t="str">
        <f>IF($BJ35&gt;0,IF(INDEX('Final Calculation Sheet'!$AH$4:$AH$40,$BJ35-3)="","",INDEX('Final Calculation Sheet'!$AH$4:$AH$40,$BJ35-3)),IF(OR($BI35=1,$BL35=1,$BH35&gt;0),"–",""))</f>
        <v>14.08.2026</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 t="shared" si="7"/>
        <v>0</v>
      </c>
      <c r="AM36">
        <f t="shared" si="1"/>
        <v>1</v>
      </c>
      <c r="AZ36">
        <f t="shared" si="2"/>
        <v>9</v>
      </c>
      <c r="BA36">
        <f t="shared" si="3"/>
        <v>32</v>
      </c>
      <c r="BB36">
        <f t="shared" si="4"/>
        <v>36</v>
      </c>
      <c r="BC36">
        <v>35</v>
      </c>
      <c r="BH36">
        <f>IFERROR(MATCH(36,$BF$4:$BF$13,0),0)</f>
        <v>0</v>
      </c>
      <c r="BI36">
        <f>IF(36=$BG$5,1,0)</f>
        <v>0</v>
      </c>
      <c r="BJ36">
        <f>IF(OR($BH36&gt;0,$BI36=1,$BL36=1),0,IFERROR(INDEX($BC$5:$BC$41,MATCH(36,$BB$5:$BB$41,0)),0))</f>
        <v>35</v>
      </c>
      <c r="BK36">
        <f>IF($BJ36&gt;0,IF(INDEX($AZ$5:$AZ$41,MATCH(36,$BB$5:$BB$41,0))=10,1,0),IF($BH36=10,1,0))</f>
        <v>0</v>
      </c>
      <c r="BL36">
        <f>IF(36=$BG$4,1,0)</f>
        <v>0</v>
      </c>
      <c r="BM36">
        <f t="shared" si="6"/>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1</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1</v>
      </c>
    </row>
    <row r="37" spans="1:99" ht="15" customHeight="1" x14ac:dyDescent="0.3">
      <c r="A37" s="62">
        <f>IF($BJ36&gt;0,INDEX($BA$5:$BA$41,MATCH(36,$BB$5:$BB$41,0)),IF(OR($BI36=1,$BL36=1,$BH36&gt;0),"∑",""))</f>
        <v>32</v>
      </c>
      <c r="B37" s="63">
        <f>IF($BJ36&gt;0,IF(INDEX('Final Calculation Sheet'!$F$4:$F$40,$BJ36-3)="","",INDEX('Final Calculation Sheet'!$F$4:$F$40,$BJ36-3)),"")</f>
        <v>2067</v>
      </c>
      <c r="C37" s="63" t="str">
        <f>IF($BJ36&gt;0,IF(INDEX('Final Calculation Sheet'!$G$4:$G$40,$BJ36-3)="","",INDEX('Final Calculation Sheet'!$G$4:$G$40,$BJ36-3)),IF(OR($BI36=1,$BL36=1,$BH36&gt;0),IF($BI36=1,37,IF($BL36=1,37-INDEX($BD$4:$BD$13,10),INDEX($BD$4:$BD$13,$BH36)))&amp;" lot(s)",""))</f>
        <v>WATAN SCRAP TRADERS</v>
      </c>
      <c r="D37" s="64"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64">
        <f>IF($BJ36&gt;0,IF(INDEX('Final Calculation Sheet'!$D$4:$D$40,$BJ36-3)="","",INDEX('Final Calculation Sheet'!$D$4:$D$40,$BJ36-3)),IF(OR($BI36=1,$BL36=1,$BH36&gt;0),"–",""))</f>
        <v>21980</v>
      </c>
      <c r="F37" s="64">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64" t="str">
        <f>IF($BJ36&gt;0,IF(INDEX('Final Calculation Sheet'!$E$4:$E$40,$BJ36-3)="","",INDEX('Final Calculation Sheet'!$E$4:$E$40,$BJ36-3)),IF(OR($BI36=1,$BL36=1,$BH36&gt;0),"–",""))</f>
        <v>NO</v>
      </c>
      <c r="H37" s="65">
        <f>IF($BJ36&gt;0,IF(INDEX('Final Calculation Sheet'!$C$4:$C$40,$BJ36-3)="","",INDEX('Final Calculation Sheet'!$C$4:$C$40,$BJ36-3)),IF(OR($BI36=1,$BL36=1,$BH36&gt;0),"–",""))</f>
        <v>571</v>
      </c>
      <c r="I37" s="65">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65">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65">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65">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65">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65">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66">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65">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65">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67">
        <f>IF($BJ36&gt;0,IF(INDEX('Final Calculation Sheet'!$Q$4:$Q$40,$BJ36-3)="","",INDEX('Final Calculation Sheet'!$Q$4:$Q$40,$BJ36-3)),IF(OR($BI36=1,$BL36=1,$BH36&gt;0),"–",""))</f>
        <v>0</v>
      </c>
      <c r="S37" s="65">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65">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65">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68">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65" t="str">
        <f>IF($BJ36&gt;0,IF(INDEX('Final Calculation Sheet'!$V$4:$V$40,$BJ36-3)="","",INDEX('Final Calculation Sheet'!$V$4:$V$40,$BJ36-3)),IF(OR($BI36=1,$BL36=1,$BH36&gt;0),"–",""))</f>
        <v>14.08.2026</v>
      </c>
      <c r="X37" s="65">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65">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65" t="str">
        <f>IF($BJ36&gt;0,IF(INDEX('Final Calculation Sheet'!$Y$4:$Y$40,$BJ36-3)="","",INDEX('Final Calculation Sheet'!$Y$4:$Y$40,$BJ36-3)),IF(OR($BI36=1,$BL36=1,$BH36&gt;0),"–",""))</f>
        <v>20.08.2026</v>
      </c>
      <c r="AA37" s="65">
        <f ca="1">IF($BJ36&gt;0,IF(INDEX('Final Calculation Sheet'!$Z$4:$Z$40,$BJ36-3)="","",INDEX('Final Calculation Sheet'!$Z$4:$Z$40,$BJ36-3)),IF(OR($BI36=1,$BL36=1,$BH36&gt;0),IF($BI36=1,SUM('Final Calculation Sheet'!$Z$4:$Z$40),IF($BL36=1,SUM('Final Calculation Sheet'!$Z$4:$Z$40)-SUMIFS('Final Calculation Sheet'!$Z$4:$Z$40,$AZ$5:$AZ$41,10),SUMIFS('Final Calculation Sheet'!$Z$4:$Z$40,$AZ$5:$AZ$41,$BH36))),""))</f>
        <v>3032.0099999999998</v>
      </c>
      <c r="AB37" s="65"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65" t="str">
        <f>IF($BJ36&gt;0,IF(INDEX('Final Calculation Sheet'!$AB$4:$AB$40,$BJ36-3)="","",INDEX('Final Calculation Sheet'!$AB$4:$AB$40,$BJ36-3)),IF(OR($BI36=1,$BL36=1,$BH36&gt;0),"–",""))</f>
        <v/>
      </c>
      <c r="AD37" s="65">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65">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G37" s="65" t="str">
        <f>IF($BJ36&gt;0,IF(INDEX('Final Calculation Sheet'!$AF$4:$AF$40,$BJ36-3)="","",INDEX('Final Calculation Sheet'!$AF$4:$AF$40,$BJ36-3)),IF(OR($BI36=1,$BL36=1,$BH36&gt;0),"–",""))</f>
        <v>DR2640100027</v>
      </c>
      <c r="AH37" s="69">
        <f>IF($BJ36&gt;0,IF(INDEX('Final Calculation Sheet'!$AG$4:$AG$40,$BJ36-3)="","",INDEX('Final Calculation Sheet'!$AG$4:$AG$40,$BJ36-3)),IF(OR($BI36=1,$BL36=1,$BH36&gt;0),"–",""))</f>
        <v>1800003248</v>
      </c>
      <c r="AI37" s="65" t="str">
        <f>IF($BJ36&gt;0,IF(INDEX('Final Calculation Sheet'!$AH$4:$AH$40,$BJ36-3)="","",INDEX('Final Calculation Sheet'!$AH$4:$AH$40,$BJ36-3)),IF(OR($BI36=1,$BL36=1,$BH36&gt;0),"–",""))</f>
        <v>20.08.2026</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 t="shared" si="7"/>
        <v>0</v>
      </c>
      <c r="AM37">
        <f t="shared" si="1"/>
        <v>1</v>
      </c>
      <c r="AZ37">
        <f t="shared" si="2"/>
        <v>9</v>
      </c>
      <c r="BA37">
        <f t="shared" si="3"/>
        <v>33</v>
      </c>
      <c r="BB37">
        <f t="shared" si="4"/>
        <v>37</v>
      </c>
      <c r="BC37">
        <v>36</v>
      </c>
      <c r="BH37">
        <f>IFERROR(MATCH(37,$BF$4:$BF$13,0),0)</f>
        <v>0</v>
      </c>
      <c r="BI37">
        <f>IF(37=$BG$5,1,0)</f>
        <v>0</v>
      </c>
      <c r="BJ37">
        <f>IF(OR($BH37&gt;0,$BI37=1,$BL37=1),0,IFERROR(INDEX($BC$5:$BC$41,MATCH(37,$BB$5:$BB$41,0)),0))</f>
        <v>36</v>
      </c>
      <c r="BK37">
        <f>IF($BJ37&gt;0,IF(INDEX($AZ$5:$AZ$41,MATCH(37,$BB$5:$BB$41,0))=10,1,0),IF($BH37=10,1,0))</f>
        <v>0</v>
      </c>
      <c r="BL37">
        <f>IF(37=$BG$4,1,0)</f>
        <v>0</v>
      </c>
      <c r="BM37">
        <f t="shared" si="6"/>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1</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1</v>
      </c>
    </row>
    <row r="38" spans="1:99" ht="15" customHeight="1" x14ac:dyDescent="0.3">
      <c r="A38" s="62">
        <f>IF($BJ37&gt;0,INDEX($BA$5:$BA$41,MATCH(37,$BB$5:$BB$41,0)),IF(OR($BI37=1,$BL37=1,$BH37&gt;0),"∑",""))</f>
        <v>33</v>
      </c>
      <c r="B38" s="63">
        <f>IF($BJ37&gt;0,IF(INDEX('Final Calculation Sheet'!$F$4:$F$40,$BJ37-3)="","",INDEX('Final Calculation Sheet'!$F$4:$F$40,$BJ37-3)),"")</f>
        <v>2069</v>
      </c>
      <c r="C38" s="63" t="str">
        <f>IF($BJ37&gt;0,IF(INDEX('Final Calculation Sheet'!$G$4:$G$40,$BJ37-3)="","",INDEX('Final Calculation Sheet'!$G$4:$G$40,$BJ37-3)),IF(OR($BI37=1,$BL37=1,$BH37&gt;0),IF($BI37=1,37,IF($BL37=1,37-INDEX($BD$4:$BD$13,10),INDEX($BD$4:$BD$13,$BH37)))&amp;" lot(s)",""))</f>
        <v>STERLING ENTERPRISES</v>
      </c>
      <c r="D38" s="6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64">
        <f>IF($BJ37&gt;0,IF(INDEX('Final Calculation Sheet'!$D$4:$D$40,$BJ37-3)="","",INDEX('Final Calculation Sheet'!$D$4:$D$40,$BJ37-3)),IF(OR($BI37=1,$BL37=1,$BH37&gt;0),"–",""))</f>
        <v>21980</v>
      </c>
      <c r="F38" s="64">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64" t="str">
        <f>IF($BJ37&gt;0,IF(INDEX('Final Calculation Sheet'!$E$4:$E$40,$BJ37-3)="","",INDEX('Final Calculation Sheet'!$E$4:$E$40,$BJ37-3)),IF(OR($BI37=1,$BL37=1,$BH37&gt;0),"–",""))</f>
        <v>NO</v>
      </c>
      <c r="H38" s="65">
        <f>IF($BJ37&gt;0,IF(INDEX('Final Calculation Sheet'!$C$4:$C$40,$BJ37-3)="","",INDEX('Final Calculation Sheet'!$C$4:$C$40,$BJ37-3)),IF(OR($BI37=1,$BL37=1,$BH37&gt;0),"–",""))</f>
        <v>54000</v>
      </c>
      <c r="I38" s="65">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65">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65">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65">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65">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65">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66">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65">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65">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67">
        <f>IF($BJ37&gt;0,IF(INDEX('Final Calculation Sheet'!$Q$4:$Q$40,$BJ37-3)="","",INDEX('Final Calculation Sheet'!$Q$4:$Q$40,$BJ37-3)),IF(OR($BI37=1,$BL37=1,$BH37&gt;0),"–",""))</f>
        <v>0</v>
      </c>
      <c r="S38" s="65">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65">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65">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68">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65" t="str">
        <f>IF($BJ37&gt;0,IF(INDEX('Final Calculation Sheet'!$V$4:$V$40,$BJ37-3)="","",INDEX('Final Calculation Sheet'!$V$4:$V$40,$BJ37-3)),IF(OR($BI37=1,$BL37=1,$BH37&gt;0),"–",""))</f>
        <v>11.08.2026</v>
      </c>
      <c r="X38" s="65">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65"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65">
        <f>IF($BJ37&gt;0,IF(INDEX('Final Calculation Sheet'!$Y$4:$Y$40,$BJ37-3)="","",INDEX('Final Calculation Sheet'!$Y$4:$Y$40,$BJ37-3)),IF(OR($BI37=1,$BL37=1,$BH37&gt;0),"–",""))</f>
        <v>0</v>
      </c>
      <c r="AA38" s="65">
        <f ca="1">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65"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65" t="str">
        <f>IF($BJ37&gt;0,IF(INDEX('Final Calculation Sheet'!$AB$4:$AB$40,$BJ37-3)="","",INDEX('Final Calculation Sheet'!$AB$4:$AB$40,$BJ37-3)),IF(OR($BI37=1,$BL37=1,$BH37&gt;0),"–",""))</f>
        <v/>
      </c>
      <c r="AD38" s="65">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65">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G38" s="65" t="str">
        <f>IF($BJ37&gt;0,IF(INDEX('Final Calculation Sheet'!$AF$4:$AF$40,$BJ37-3)="","",INDEX('Final Calculation Sheet'!$AF$4:$AF$40,$BJ37-3)),IF(OR($BI37=1,$BL37=1,$BH37&gt;0),"–",""))</f>
        <v/>
      </c>
      <c r="AH38" s="69" t="str">
        <f>IF($BJ37&gt;0,IF(INDEX('Final Calculation Sheet'!$AG$4:$AG$40,$BJ37-3)="","",INDEX('Final Calculation Sheet'!$AG$4:$AG$40,$BJ37-3)),IF(OR($BI37=1,$BL37=1,$BH37&gt;0),"–",""))</f>
        <v/>
      </c>
      <c r="AI38" s="65" t="str">
        <f>IF($BJ37&gt;0,IF(INDEX('Final Calculation Sheet'!$AH$4:$AH$40,$BJ37-3)="","",INDEX('Final Calculation Sheet'!$AH$4:$AH$40,$BJ37-3)),IF(OR($BI37=1,$BL37=1,$BH37&gt;0),"–",""))</f>
        <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 t="shared" si="7"/>
        <v>0</v>
      </c>
      <c r="AM38">
        <f t="shared" si="1"/>
        <v>1</v>
      </c>
      <c r="AZ38">
        <f t="shared" si="2"/>
        <v>9</v>
      </c>
      <c r="BA38">
        <f t="shared" si="3"/>
        <v>34</v>
      </c>
      <c r="BB38">
        <f t="shared" si="4"/>
        <v>38</v>
      </c>
      <c r="BC38">
        <v>37</v>
      </c>
      <c r="BH38">
        <f>IFERROR(MATCH(38,$BF$4:$BF$13,0),0)</f>
        <v>0</v>
      </c>
      <c r="BI38">
        <f>IF(38=$BG$5,1,0)</f>
        <v>0</v>
      </c>
      <c r="BJ38">
        <f>IF(OR($BH38&gt;0,$BI38=1,$BL38=1),0,IFERROR(INDEX($BC$5:$BC$41,MATCH(38,$BB$5:$BB$41,0)),0))</f>
        <v>37</v>
      </c>
      <c r="BK38">
        <f>IF($BJ38&gt;0,IF(INDEX($AZ$5:$AZ$41,MATCH(38,$BB$5:$BB$41,0))=10,1,0),IF($BH38=10,1,0))</f>
        <v>0</v>
      </c>
      <c r="BL38">
        <f>IF(38=$BG$4,1,0)</f>
        <v>0</v>
      </c>
      <c r="BM38">
        <f t="shared" si="6"/>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1</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1</v>
      </c>
    </row>
    <row r="39" spans="1:99" ht="15" customHeight="1" x14ac:dyDescent="0.3">
      <c r="A39" s="62">
        <f>IF($BJ38&gt;0,INDEX($BA$5:$BA$41,MATCH(38,$BB$5:$BB$41,0)),IF(OR($BI38=1,$BL38=1,$BH38&gt;0),"∑",""))</f>
        <v>34</v>
      </c>
      <c r="B39" s="63">
        <f>IF($BJ38&gt;0,IF(INDEX('Final Calculation Sheet'!$F$4:$F$40,$BJ38-3)="","",INDEX('Final Calculation Sheet'!$F$4:$F$40,$BJ38-3)),"")</f>
        <v>2071</v>
      </c>
      <c r="C39" s="63" t="str">
        <f>IF($BJ38&gt;0,IF(INDEX('Final Calculation Sheet'!$G$4:$G$40,$BJ38-3)="","",INDEX('Final Calculation Sheet'!$G$4:$G$40,$BJ38-3)),IF(OR($BI38=1,$BL38=1,$BH38&gt;0),IF($BI38=1,37,IF($BL38=1,37-INDEX($BD$4:$BD$13,10),INDEX($BD$4:$BD$13,$BH38)))&amp;" lot(s)",""))</f>
        <v>NATIONAL ENTERPRISES</v>
      </c>
      <c r="D39" s="64"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64">
        <f>IF($BJ38&gt;0,IF(INDEX('Final Calculation Sheet'!$D$4:$D$40,$BJ38-3)="","",INDEX('Final Calculation Sheet'!$D$4:$D$40,$BJ38-3)),IF(OR($BI38=1,$BL38=1,$BH38&gt;0),"–",""))</f>
        <v>21980</v>
      </c>
      <c r="F39" s="64">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64" t="str">
        <f>IF($BJ38&gt;0,IF(INDEX('Final Calculation Sheet'!$E$4:$E$40,$BJ38-3)="","",INDEX('Final Calculation Sheet'!$E$4:$E$40,$BJ38-3)),IF(OR($BI38=1,$BL38=1,$BH38&gt;0),"–",""))</f>
        <v>NO</v>
      </c>
      <c r="H39" s="65">
        <f>IF($BJ38&gt;0,IF(INDEX('Final Calculation Sheet'!$C$4:$C$40,$BJ38-3)="","",INDEX('Final Calculation Sheet'!$C$4:$C$40,$BJ38-3)),IF(OR($BI38=1,$BL38=1,$BH38&gt;0),"–",""))</f>
        <v>25001</v>
      </c>
      <c r="I39" s="65">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65">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65">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65">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65">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65">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66">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65">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65">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67">
        <f>IF($BJ38&gt;0,IF(INDEX('Final Calculation Sheet'!$Q$4:$Q$40,$BJ38-3)="","",INDEX('Final Calculation Sheet'!$Q$4:$Q$40,$BJ38-3)),IF(OR($BI38=1,$BL38=1,$BH38&gt;0),"–",""))</f>
        <v>0</v>
      </c>
      <c r="S39" s="65">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65">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65">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68">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65" t="str">
        <f>IF($BJ38&gt;0,IF(INDEX('Final Calculation Sheet'!$V$4:$V$40,$BJ38-3)="","",INDEX('Final Calculation Sheet'!$V$4:$V$40,$BJ38-3)),IF(OR($BI38=1,$BL38=1,$BH38&gt;0),"–",""))</f>
        <v>13.08.2026</v>
      </c>
      <c r="X39" s="65">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65">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65" t="str">
        <f>IF($BJ38&gt;0,IF(INDEX('Final Calculation Sheet'!$Y$4:$Y$40,$BJ38-3)="","",INDEX('Final Calculation Sheet'!$Y$4:$Y$40,$BJ38-3)),IF(OR($BI38=1,$BL38=1,$BH38&gt;0),"–",""))</f>
        <v>24.08.2026</v>
      </c>
      <c r="AA39" s="65">
        <f ca="1">IF($BJ38&gt;0,IF(INDEX('Final Calculation Sheet'!$Z$4:$Z$40,$BJ38-3)="","",INDEX('Final Calculation Sheet'!$Z$4:$Z$40,$BJ38-3)),IF(OR($BI38=1,$BL38=1,$BH38&gt;0),IF($BI38=1,SUM('Final Calculation Sheet'!$Z$4:$Z$40),IF($BL38=1,SUM('Final Calculation Sheet'!$Z$4:$Z$40)-SUMIFS('Final Calculation Sheet'!$Z$4:$Z$40,$AZ$5:$AZ$41,10),SUMIFS('Final Calculation Sheet'!$Z$4:$Z$40,$AZ$5:$AZ$41,$BH38))),""))</f>
        <v>2655.1062000000002</v>
      </c>
      <c r="AB39" s="6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65" t="str">
        <f>IF($BJ38&gt;0,IF(INDEX('Final Calculation Sheet'!$AB$4:$AB$40,$BJ38-3)="","",INDEX('Final Calculation Sheet'!$AB$4:$AB$40,$BJ38-3)),IF(OR($BI38=1,$BL38=1,$BH38&gt;0),"–",""))</f>
        <v/>
      </c>
      <c r="AD39" s="6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6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G39" s="65" t="str">
        <f>IF($BJ38&gt;0,IF(INDEX('Final Calculation Sheet'!$AF$4:$AF$40,$BJ38-3)="","",INDEX('Final Calculation Sheet'!$AF$4:$AF$40,$BJ38-3)),IF(OR($BI38=1,$BL38=1,$BH38&gt;0),"–",""))</f>
        <v>DR2640100040</v>
      </c>
      <c r="AH39" s="69">
        <f>IF($BJ38&gt;0,IF(INDEX('Final Calculation Sheet'!$AG$4:$AG$40,$BJ38-3)="","",INDEX('Final Calculation Sheet'!$AG$4:$AG$40,$BJ38-3)),IF(OR($BI38=1,$BL38=1,$BH38&gt;0),"–",""))</f>
        <v>1800003314</v>
      </c>
      <c r="AI39" s="65" t="str">
        <f>IF($BJ38&gt;0,IF(INDEX('Final Calculation Sheet'!$AH$4:$AH$40,$BJ38-3)="","",INDEX('Final Calculation Sheet'!$AH$4:$AH$40,$BJ38-3)),IF(OR($BI38=1,$BL38=1,$BH38&gt;0),"–",""))</f>
        <v>27.08.2026</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 t="shared" si="7"/>
        <v>0</v>
      </c>
      <c r="AM39">
        <f t="shared" si="1"/>
        <v>1</v>
      </c>
      <c r="AZ39">
        <f t="shared" si="2"/>
        <v>9</v>
      </c>
      <c r="BA39">
        <f t="shared" si="3"/>
        <v>35</v>
      </c>
      <c r="BB39">
        <f t="shared" si="4"/>
        <v>39</v>
      </c>
      <c r="BC39">
        <v>38</v>
      </c>
      <c r="BH39">
        <f>IFERROR(MATCH(39,$BF$4:$BF$13,0),0)</f>
        <v>0</v>
      </c>
      <c r="BI39">
        <f>IF(39=$BG$5,1,0)</f>
        <v>0</v>
      </c>
      <c r="BJ39">
        <f>IF(OR($BH39&gt;0,$BI39=1,$BL39=1),0,IFERROR(INDEX($BC$5:$BC$41,MATCH(39,$BB$5:$BB$41,0)),0))</f>
        <v>38</v>
      </c>
      <c r="BK39">
        <f>IF($BJ39&gt;0,IF(INDEX($AZ$5:$AZ$41,MATCH(39,$BB$5:$BB$41,0))=10,1,0),IF($BH39=10,1,0))</f>
        <v>0</v>
      </c>
      <c r="BL39">
        <f>IF(39=$BG$4,1,0)</f>
        <v>0</v>
      </c>
      <c r="BM39">
        <f t="shared" si="6"/>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1</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1</v>
      </c>
    </row>
    <row r="40" spans="1:99" ht="15" customHeight="1" x14ac:dyDescent="0.3">
      <c r="A40" s="62">
        <f>IF($BJ39&gt;0,INDEX($BA$5:$BA$41,MATCH(39,$BB$5:$BB$41,0)),IF(OR($BI39=1,$BL39=1,$BH39&gt;0),"∑",""))</f>
        <v>35</v>
      </c>
      <c r="B40" s="63">
        <f>IF($BJ39&gt;0,IF(INDEX('Final Calculation Sheet'!$F$4:$F$40,$BJ39-3)="","",INDEX('Final Calculation Sheet'!$F$4:$F$40,$BJ39-3)),"")</f>
        <v>2086</v>
      </c>
      <c r="C40" s="63" t="str">
        <f>IF($BJ39&gt;0,IF(INDEX('Final Calculation Sheet'!$G$4:$G$40,$BJ39-3)="","",INDEX('Final Calculation Sheet'!$G$4:$G$40,$BJ39-3)),IF(OR($BI39=1,$BL39=1,$BH39&gt;0),IF($BI39=1,37,IF($BL39=1,37-INDEX($BD$4:$BD$13,10),INDEX($BD$4:$BD$13,$BH39)))&amp;" lot(s)",""))</f>
        <v>KASHYAP TRADING CO</v>
      </c>
      <c r="D40" s="64"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64">
        <f>IF($BJ39&gt;0,IF(INDEX('Final Calculation Sheet'!$D$4:$D$40,$BJ39-3)="","",INDEX('Final Calculation Sheet'!$D$4:$D$40,$BJ39-3)),IF(OR($BI39=1,$BL39=1,$BH39&gt;0),"–",""))</f>
        <v>21980</v>
      </c>
      <c r="F40" s="64">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64" t="str">
        <f>IF($BJ39&gt;0,IF(INDEX('Final Calculation Sheet'!$E$4:$E$40,$BJ39-3)="","",INDEX('Final Calculation Sheet'!$E$4:$E$40,$BJ39-3)),IF(OR($BI39=1,$BL39=1,$BH39&gt;0),"–",""))</f>
        <v>NO</v>
      </c>
      <c r="H40" s="65">
        <f>IF($BJ39&gt;0,IF(INDEX('Final Calculation Sheet'!$C$4:$C$40,$BJ39-3)="","",INDEX('Final Calculation Sheet'!$C$4:$C$40,$BJ39-3)),IF(OR($BI39=1,$BL39=1,$BH39&gt;0),"–",""))</f>
        <v>70001</v>
      </c>
      <c r="I40" s="65">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65">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65">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65">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65">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65">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66">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65">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65">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67">
        <f>IF($BJ39&gt;0,IF(INDEX('Final Calculation Sheet'!$Q$4:$Q$40,$BJ39-3)="","",INDEX('Final Calculation Sheet'!$Q$4:$Q$40,$BJ39-3)),IF(OR($BI39=1,$BL39=1,$BH39&gt;0),"–",""))</f>
        <v>0</v>
      </c>
      <c r="S40" s="65">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65">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65">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68">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65" t="str">
        <f>IF($BJ39&gt;0,IF(INDEX('Final Calculation Sheet'!$V$4:$V$40,$BJ39-3)="","",INDEX('Final Calculation Sheet'!$V$4:$V$40,$BJ39-3)),IF(OR($BI39=1,$BL39=1,$BH39&gt;0),"–",""))</f>
        <v>17.08.2026</v>
      </c>
      <c r="X40" s="65">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65">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65" t="str">
        <f>IF($BJ39&gt;0,IF(INDEX('Final Calculation Sheet'!$Y$4:$Y$40,$BJ39-3)="","",INDEX('Final Calculation Sheet'!$Y$4:$Y$40,$BJ39-3)),IF(OR($BI39=1,$BL39=1,$BH39&gt;0),"–",""))</f>
        <v>17.08.2026</v>
      </c>
      <c r="AA40" s="65">
        <f ca="1">IF($BJ39&gt;0,IF(INDEX('Final Calculation Sheet'!$Z$4:$Z$40,$BJ39-3)="","",INDEX('Final Calculation Sheet'!$Z$4:$Z$40,$BJ39-3)),IF(OR($BI39=1,$BL39=1,$BH39&gt;0),IF($BI39=1,SUM('Final Calculation Sheet'!$Z$4:$Z$40),IF($BL39=1,SUM('Final Calculation Sheet'!$Z$4:$Z$40)-SUMIFS('Final Calculation Sheet'!$Z$4:$Z$40,$AZ$5:$AZ$41,10),SUMIFS('Final Calculation Sheet'!$Z$4:$Z$40,$AZ$5:$AZ$41,$BH39))),""))</f>
        <v>7434.1061999999993</v>
      </c>
      <c r="AB40" s="65"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65" t="str">
        <f>IF($BJ39&gt;0,IF(INDEX('Final Calculation Sheet'!$AB$4:$AB$40,$BJ39-3)="","",INDEX('Final Calculation Sheet'!$AB$4:$AB$40,$BJ39-3)),IF(OR($BI39=1,$BL39=1,$BH39&gt;0),"–",""))</f>
        <v/>
      </c>
      <c r="AD40" s="65">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65">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G40" s="65" t="str">
        <f>IF($BJ39&gt;0,IF(INDEX('Final Calculation Sheet'!$AF$4:$AF$40,$BJ39-3)="","",INDEX('Final Calculation Sheet'!$AF$4:$AF$40,$BJ39-3)),IF(OR($BI39=1,$BL39=1,$BH39&gt;0),"–",""))</f>
        <v>DR2640100025</v>
      </c>
      <c r="AH40" s="69">
        <f>IF($BJ39&gt;0,IF(INDEX('Final Calculation Sheet'!$AG$4:$AG$40,$BJ39-3)="","",INDEX('Final Calculation Sheet'!$AG$4:$AG$40,$BJ39-3)),IF(OR($BI39=1,$BL39=1,$BH39&gt;0),"–",""))</f>
        <v>1800003226</v>
      </c>
      <c r="AI40" s="65" t="str">
        <f>IF($BJ39&gt;0,IF(INDEX('Final Calculation Sheet'!$AH$4:$AH$40,$BJ39-3)="","",INDEX('Final Calculation Sheet'!$AH$4:$AH$40,$BJ39-3)),IF(OR($BI39=1,$BL39=1,$BH39&gt;0),"–",""))</f>
        <v>19.08.2026</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 t="shared" si="7"/>
        <v>0</v>
      </c>
      <c r="AM40">
        <f t="shared" si="1"/>
        <v>1</v>
      </c>
      <c r="AZ40">
        <f t="shared" si="2"/>
        <v>9</v>
      </c>
      <c r="BA40">
        <f t="shared" si="3"/>
        <v>36</v>
      </c>
      <c r="BB40">
        <f t="shared" si="4"/>
        <v>40</v>
      </c>
      <c r="BC40">
        <v>39</v>
      </c>
      <c r="BH40">
        <f>IFERROR(MATCH(40,$BF$4:$BF$13,0),0)</f>
        <v>0</v>
      </c>
      <c r="BI40">
        <f>IF(40=$BG$5,1,0)</f>
        <v>0</v>
      </c>
      <c r="BJ40">
        <f>IF(OR($BH40&gt;0,$BI40=1,$BL40=1),0,IFERROR(INDEX($BC$5:$BC$41,MATCH(40,$BB$5:$BB$41,0)),0))</f>
        <v>39</v>
      </c>
      <c r="BK40">
        <f>IF($BJ40&gt;0,IF(INDEX($AZ$5:$AZ$41,MATCH(40,$BB$5:$BB$41,0))=10,1,0),IF($BH40=10,1,0))</f>
        <v>0</v>
      </c>
      <c r="BL40">
        <f>IF(40=$BG$4,1,0)</f>
        <v>0</v>
      </c>
      <c r="BM40">
        <f t="shared" si="6"/>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1</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1</v>
      </c>
    </row>
    <row r="41" spans="1:99" ht="15" customHeight="1" x14ac:dyDescent="0.3">
      <c r="A41" s="62">
        <f>IF($BJ40&gt;0,INDEX($BA$5:$BA$41,MATCH(40,$BB$5:$BB$41,0)),IF(OR($BI40=1,$BL40=1,$BH40&gt;0),"∑",""))</f>
        <v>36</v>
      </c>
      <c r="B41" s="63">
        <f>IF($BJ40&gt;0,IF(INDEX('Final Calculation Sheet'!$F$4:$F$40,$BJ40-3)="","",INDEX('Final Calculation Sheet'!$F$4:$F$40,$BJ40-3)),"")</f>
        <v>2089</v>
      </c>
      <c r="C41" s="63" t="str">
        <f>IF($BJ40&gt;0,IF(INDEX('Final Calculation Sheet'!$G$4:$G$40,$BJ40-3)="","",INDEX('Final Calculation Sheet'!$G$4:$G$40,$BJ40-3)),IF(OR($BI40=1,$BL40=1,$BH40&gt;0),IF($BI40=1,37,IF($BL40=1,37-INDEX($BD$4:$BD$13,10),INDEX($BD$4:$BD$13,$BH40)))&amp;" lot(s)",""))</f>
        <v>S M ENTERPRISES</v>
      </c>
      <c r="D41" s="64"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64">
        <f>IF($BJ40&gt;0,IF(INDEX('Final Calculation Sheet'!$D$4:$D$40,$BJ40-3)="","",INDEX('Final Calculation Sheet'!$D$4:$D$40,$BJ40-3)),IF(OR($BI40=1,$BL40=1,$BH40&gt;0),"–",""))</f>
        <v>21980</v>
      </c>
      <c r="F41" s="64">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64" t="str">
        <f>IF($BJ40&gt;0,IF(INDEX('Final Calculation Sheet'!$E$4:$E$40,$BJ40-3)="","",INDEX('Final Calculation Sheet'!$E$4:$E$40,$BJ40-3)),IF(OR($BI40=1,$BL40=1,$BH40&gt;0),"–",""))</f>
        <v>NO</v>
      </c>
      <c r="H41" s="65">
        <f>IF($BJ40&gt;0,IF(INDEX('Final Calculation Sheet'!$C$4:$C$40,$BJ40-3)="","",INDEX('Final Calculation Sheet'!$C$4:$C$40,$BJ40-3)),IF(OR($BI40=1,$BL40=1,$BH40&gt;0),"–",""))</f>
        <v>15006</v>
      </c>
      <c r="I41" s="65">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65">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65">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65">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65">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65">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66">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65">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65">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67">
        <f>IF($BJ40&gt;0,IF(INDEX('Final Calculation Sheet'!$Q$4:$Q$40,$BJ40-3)="","",INDEX('Final Calculation Sheet'!$Q$4:$Q$40,$BJ40-3)),IF(OR($BI40=1,$BL40=1,$BH40&gt;0),"–",""))</f>
        <v>0</v>
      </c>
      <c r="S41" s="65">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65">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65">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68">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65" t="str">
        <f>IF($BJ40&gt;0,IF(INDEX('Final Calculation Sheet'!$V$4:$V$40,$BJ40-3)="","",INDEX('Final Calculation Sheet'!$V$4:$V$40,$BJ40-3)),IF(OR($BI40=1,$BL40=1,$BH40&gt;0),"–",""))</f>
        <v>14.08.2026</v>
      </c>
      <c r="X41" s="65">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65">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65" t="str">
        <f>IF($BJ40&gt;0,IF(INDEX('Final Calculation Sheet'!$Y$4:$Y$40,$BJ40-3)="","",INDEX('Final Calculation Sheet'!$Y$4:$Y$40,$BJ40-3)),IF(OR($BI40=1,$BL40=1,$BH40&gt;0),"–",""))</f>
        <v>01.09.2026</v>
      </c>
      <c r="AA41" s="65">
        <f ca="1">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65">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65" t="str">
        <f>IF($BJ40&gt;0,IF(INDEX('Final Calculation Sheet'!$AB$4:$AB$40,$BJ40-3)="","",INDEX('Final Calculation Sheet'!$AB$4:$AB$40,$BJ40-3)),IF(OR($BI40=1,$BL40=1,$BH40&gt;0),"–",""))</f>
        <v>01.09.2026</v>
      </c>
      <c r="AD41" s="65">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65">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G41" s="65" t="str">
        <f>IF($BJ40&gt;0,IF(INDEX('Final Calculation Sheet'!$AF$4:$AF$40,$BJ40-3)="","",INDEX('Final Calculation Sheet'!$AF$4:$AF$40,$BJ40-3)),IF(OR($BI40=1,$BL40=1,$BH40&gt;0),"–",""))</f>
        <v/>
      </c>
      <c r="AH41" s="69" t="str">
        <f>IF($BJ40&gt;0,IF(INDEX('Final Calculation Sheet'!$AG$4:$AG$40,$BJ40-3)="","",INDEX('Final Calculation Sheet'!$AG$4:$AG$40,$BJ40-3)),IF(OR($BI40=1,$BL40=1,$BH40&gt;0),"–",""))</f>
        <v/>
      </c>
      <c r="AI41" s="65" t="str">
        <f>IF($BJ40&gt;0,IF(INDEX('Final Calculation Sheet'!$AH$4:$AH$40,$BJ40-3)="","",INDEX('Final Calculation Sheet'!$AH$4:$AH$40,$BJ40-3)),IF(OR($BI40=1,$BL40=1,$BH40&gt;0),"–",""))</f>
        <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 t="shared" si="7"/>
        <v>0</v>
      </c>
      <c r="AM41">
        <f t="shared" si="1"/>
        <v>1</v>
      </c>
      <c r="AZ41">
        <f t="shared" si="2"/>
        <v>9</v>
      </c>
      <c r="BA41">
        <f t="shared" si="3"/>
        <v>37</v>
      </c>
      <c r="BB41">
        <f t="shared" si="4"/>
        <v>41</v>
      </c>
      <c r="BC41">
        <v>40</v>
      </c>
      <c r="BH41">
        <f>IFERROR(MATCH(41,$BF$4:$BF$13,0),0)</f>
        <v>0</v>
      </c>
      <c r="BI41">
        <f>IF(41=$BG$5,1,0)</f>
        <v>0</v>
      </c>
      <c r="BJ41">
        <f>IF(OR($BH41&gt;0,$BI41=1,$BL41=1),0,IFERROR(INDEX($BC$5:$BC$41,MATCH(41,$BB$5:$BB$41,0)),0))</f>
        <v>40</v>
      </c>
      <c r="BK41">
        <f>IF($BJ41&gt;0,IF(INDEX($AZ$5:$AZ$41,MATCH(41,$BB$5:$BB$41,0))=10,1,0),IF($BH41=10,1,0))</f>
        <v>0</v>
      </c>
      <c r="BL41">
        <f>IF(41=$BG$4,1,0)</f>
        <v>0</v>
      </c>
      <c r="BM41">
        <f t="shared" si="6"/>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1</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1</v>
      </c>
    </row>
    <row r="42" spans="1:99" ht="15" customHeight="1" x14ac:dyDescent="0.3">
      <c r="A42" s="62">
        <f>IF($BJ41&gt;0,INDEX($BA$5:$BA$41,MATCH(41,$BB$5:$BB$41,0)),IF(OR($BI41=1,$BL41=1,$BH41&gt;0),"∑",""))</f>
        <v>37</v>
      </c>
      <c r="B42" s="63">
        <f>IF($BJ41&gt;0,IF(INDEX('Final Calculation Sheet'!$F$4:$F$40,$BJ41-3)="","",INDEX('Final Calculation Sheet'!$F$4:$F$40,$BJ41-3)),"")</f>
        <v>2091</v>
      </c>
      <c r="C42" s="63" t="str">
        <f>IF($BJ41&gt;0,IF(INDEX('Final Calculation Sheet'!$G$4:$G$40,$BJ41-3)="","",INDEX('Final Calculation Sheet'!$G$4:$G$40,$BJ41-3)),IF(OR($BI41=1,$BL41=1,$BH41&gt;0),IF($BI41=1,37,IF($BL41=1,37-INDEX($BD$4:$BD$13,10),INDEX($BD$4:$BD$13,$BH41)))&amp;" lot(s)",""))</f>
        <v>S M ENTERPRISES</v>
      </c>
      <c r="D42" s="64"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64">
        <f>IF($BJ41&gt;0,IF(INDEX('Final Calculation Sheet'!$D$4:$D$40,$BJ41-3)="","",INDEX('Final Calculation Sheet'!$D$4:$D$40,$BJ41-3)),IF(OR($BI41=1,$BL41=1,$BH41&gt;0),"–",""))</f>
        <v>21980</v>
      </c>
      <c r="F42" s="64">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64" t="str">
        <f>IF($BJ41&gt;0,IF(INDEX('Final Calculation Sheet'!$E$4:$E$40,$BJ41-3)="","",INDEX('Final Calculation Sheet'!$E$4:$E$40,$BJ41-3)),IF(OR($BI41=1,$BL41=1,$BH41&gt;0),"–",""))</f>
        <v>NO</v>
      </c>
      <c r="H42" s="65">
        <f>IF($BJ41&gt;0,IF(INDEX('Final Calculation Sheet'!$C$4:$C$40,$BJ41-3)="","",INDEX('Final Calculation Sheet'!$C$4:$C$40,$BJ41-3)),IF(OR($BI41=1,$BL41=1,$BH41&gt;0),"–",""))</f>
        <v>40003</v>
      </c>
      <c r="I42" s="65">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65">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65">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65">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65">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65">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66">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65">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65">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67">
        <f>IF($BJ41&gt;0,IF(INDEX('Final Calculation Sheet'!$Q$4:$Q$40,$BJ41-3)="","",INDEX('Final Calculation Sheet'!$Q$4:$Q$40,$BJ41-3)),IF(OR($BI41=1,$BL41=1,$BH41&gt;0),"–",""))</f>
        <v>0</v>
      </c>
      <c r="S42" s="65">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65">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65">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68">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65" t="str">
        <f>IF($BJ41&gt;0,IF(INDEX('Final Calculation Sheet'!$V$4:$V$40,$BJ41-3)="","",INDEX('Final Calculation Sheet'!$V$4:$V$40,$BJ41-3)),IF(OR($BI41=1,$BL41=1,$BH41&gt;0),"–",""))</f>
        <v>14.08.2026</v>
      </c>
      <c r="X42" s="65">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65">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65" t="str">
        <f>IF($BJ41&gt;0,IF(INDEX('Final Calculation Sheet'!$Y$4:$Y$40,$BJ41-3)="","",INDEX('Final Calculation Sheet'!$Y$4:$Y$40,$BJ41-3)),IF(OR($BI41=1,$BL41=1,$BH41&gt;0),"–",""))</f>
        <v>01.09.2026</v>
      </c>
      <c r="AA42" s="65">
        <f ca="1">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65">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65" t="str">
        <f>IF($BJ41&gt;0,IF(INDEX('Final Calculation Sheet'!$AB$4:$AB$40,$BJ41-3)="","",INDEX('Final Calculation Sheet'!$AB$4:$AB$40,$BJ41-3)),IF(OR($BI41=1,$BL41=1,$BH41&gt;0),"–",""))</f>
        <v>01.09.2026</v>
      </c>
      <c r="AD42" s="65">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65">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AG42" s="65" t="str">
        <f>IF($BJ41&gt;0,IF(INDEX('Final Calculation Sheet'!$AF$4:$AF$40,$BJ41-3)="","",INDEX('Final Calculation Sheet'!$AF$4:$AF$40,$BJ41-3)),IF(OR($BI41=1,$BL41=1,$BH41&gt;0),"–",""))</f>
        <v/>
      </c>
      <c r="AH42" s="69" t="str">
        <f>IF($BJ41&gt;0,IF(INDEX('Final Calculation Sheet'!$AG$4:$AG$40,$BJ41-3)="","",INDEX('Final Calculation Sheet'!$AG$4:$AG$40,$BJ41-3)),IF(OR($BI41=1,$BL41=1,$BH41&gt;0),"–",""))</f>
        <v/>
      </c>
      <c r="AI42" s="65" t="str">
        <f>IF($BJ41&gt;0,IF(INDEX('Final Calculation Sheet'!$AH$4:$AH$40,$BJ41-3)="","",INDEX('Final Calculation Sheet'!$AH$4:$AH$40,$BJ41-3)),IF(OR($BI41=1,$BL41=1,$BH41&gt;0),"–",""))</f>
        <v/>
      </c>
      <c r="BH42">
        <f>IFERROR(MATCH(42,$BF$4:$BF$13,0),0)</f>
        <v>9</v>
      </c>
      <c r="BI42">
        <f>IF(42=$BG$5,1,0)</f>
        <v>0</v>
      </c>
      <c r="BJ42">
        <f>IF(OR($BH42&gt;0,$BI42=1,$BL42=1),0,IFERROR(INDEX($BC$5:$BC$41,MATCH(42,$BB$5:$BB$41,0)),0))</f>
        <v>0</v>
      </c>
      <c r="BK42">
        <f>IF($BJ42&gt;0,IF(INDEX($AZ$5:$AZ$41,MATCH(42,$BB$5:$BB$41,0))=10,1,0),IF($BH42=10,1,0))</f>
        <v>0</v>
      </c>
      <c r="BL42">
        <f>IF(42=$BG$4,1,0)</f>
        <v>0</v>
      </c>
    </row>
    <row r="43" spans="1:99" ht="15" customHeight="1" x14ac:dyDescent="0.3">
      <c r="A43" s="62" t="str">
        <f>IF($BJ42&gt;0,INDEX($BA$5:$BA$41,MATCH(42,$BB$5:$BB$41,0)),IF(OR($BI42=1,$BL42=1,$BH42&gt;0),"∑",""))</f>
        <v>∑</v>
      </c>
      <c r="B43" s="63" t="str">
        <f>IF($BJ42&gt;0,IF(INDEX('Final Calculation Sheet'!$F$4:$F$40,$BJ42-3)="","",INDEX('Final Calculation Sheet'!$F$4:$F$40,$BJ42-3)),"")</f>
        <v/>
      </c>
      <c r="C43" s="63" t="str">
        <f>IF($BJ42&gt;0,IF(INDEX('Final Calculation Sheet'!$G$4:$G$40,$BJ42-3)="","",INDEX('Final Calculation Sheet'!$G$4:$G$40,$BJ42-3)),IF(OR($BI42=1,$BL42=1,$BH42&gt;0),IF($BI42=1,37,IF($BL42=1,37-INDEX($BD$4:$BD$13,10),INDEX($BD$4:$BD$13,$BH42)))&amp;" lot(s)",""))</f>
        <v>37 lot(s)</v>
      </c>
      <c r="D43" s="64"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64" t="str">
        <f>IF($BJ42&gt;0,IF(INDEX('Final Calculation Sheet'!$D$4:$D$40,$BJ42-3)="","",INDEX('Final Calculation Sheet'!$D$4:$D$40,$BJ42-3)),IF(OR($BI42=1,$BL42=1,$BH42&gt;0),"–",""))</f>
        <v>–</v>
      </c>
      <c r="F43" s="64">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64" t="str">
        <f>IF($BJ42&gt;0,IF(INDEX('Final Calculation Sheet'!$E$4:$E$40,$BJ42-3)="","",INDEX('Final Calculation Sheet'!$E$4:$E$40,$BJ42-3)),IF(OR($BI42=1,$BL42=1,$BH42&gt;0),"–",""))</f>
        <v>–</v>
      </c>
      <c r="H43" s="65" t="str">
        <f>IF($BJ42&gt;0,IF(INDEX('Final Calculation Sheet'!$C$4:$C$40,$BJ42-3)="","",INDEX('Final Calculation Sheet'!$C$4:$C$40,$BJ42-3)),IF(OR($BI42=1,$BL42=1,$BH42&gt;0),"–",""))</f>
        <v>–</v>
      </c>
      <c r="I43" s="65">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65">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65">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65">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65">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65">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66">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65">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65">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67" t="str">
        <f>IF($BJ42&gt;0,IF(INDEX('Final Calculation Sheet'!$Q$4:$Q$40,$BJ42-3)="","",INDEX('Final Calculation Sheet'!$Q$4:$Q$40,$BJ42-3)),IF(OR($BI42=1,$BL42=1,$BH42&gt;0),"–",""))</f>
        <v>–</v>
      </c>
      <c r="S43" s="65">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65">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65">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68">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65" t="str">
        <f>IF($BJ42&gt;0,IF(INDEX('Final Calculation Sheet'!$V$4:$V$40,$BJ42-3)="","",INDEX('Final Calculation Sheet'!$V$4:$V$40,$BJ42-3)),IF(OR($BI42=1,$BL42=1,$BH42&gt;0),"–",""))</f>
        <v>–</v>
      </c>
      <c r="X43" s="65">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65">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65" t="str">
        <f>IF($BJ42&gt;0,IF(INDEX('Final Calculation Sheet'!$Y$4:$Y$40,$BJ42-3)="","",INDEX('Final Calculation Sheet'!$Y$4:$Y$40,$BJ42-3)),IF(OR($BI42=1,$BL42=1,$BH42&gt;0),"–",""))</f>
        <v>–</v>
      </c>
      <c r="AA43" s="65">
        <f ca="1">IF($BJ42&gt;0,IF(INDEX('Final Calculation Sheet'!$Z$4:$Z$40,$BJ42-3)="","",INDEX('Final Calculation Sheet'!$Z$4:$Z$40,$BJ42-3)),IF(OR($BI42=1,$BL42=1,$BH42&gt;0),IF($BI42=1,SUM('Final Calculation Sheet'!$Z$4:$Z$40),IF($BL42=1,SUM('Final Calculation Sheet'!$Z$4:$Z$40)-SUMIFS('Final Calculation Sheet'!$Z$4:$Z$40,$AZ$5:$AZ$41,10),SUMIFS('Final Calculation Sheet'!$Z$4:$Z$40,$AZ$5:$AZ$41,$BH42))),""))</f>
        <v>533852.92139999988</v>
      </c>
      <c r="AB43" s="65">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65" t="str">
        <f>IF($BJ42&gt;0,IF(INDEX('Final Calculation Sheet'!$AB$4:$AB$40,$BJ42-3)="","",INDEX('Final Calculation Sheet'!$AB$4:$AB$40,$BJ42-3)),IF(OR($BI42=1,$BL42=1,$BH42&gt;0),"–",""))</f>
        <v>–</v>
      </c>
      <c r="AD43" s="65">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65">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AG43" s="65" t="str">
        <f>IF($BJ42&gt;0,IF(INDEX('Final Calculation Sheet'!$AF$4:$AF$40,$BJ42-3)="","",INDEX('Final Calculation Sheet'!$AF$4:$AF$40,$BJ42-3)),IF(OR($BI42=1,$BL42=1,$BH42&gt;0),"–",""))</f>
        <v>–</v>
      </c>
      <c r="AH43" s="69" t="str">
        <f>IF($BJ42&gt;0,IF(INDEX('Final Calculation Sheet'!$AG$4:$AG$40,$BJ42-3)="","",INDEX('Final Calculation Sheet'!$AG$4:$AG$40,$BJ42-3)),IF(OR($BI42=1,$BL42=1,$BH42&gt;0),"–",""))</f>
        <v>–</v>
      </c>
      <c r="AI43" s="65" t="str">
        <f>IF($BJ42&gt;0,IF(INDEX('Final Calculation Sheet'!$AH$4:$AH$40,$BJ42-3)="","",INDEX('Final Calculation Sheet'!$AH$4:$AH$40,$BJ42-3)),IF(OR($BI42=1,$BL42=1,$BH42&gt;0),"–",""))</f>
        <v>–</v>
      </c>
      <c r="BH43">
        <f>IFERROR(MATCH(43,$BF$4:$BF$13,0),0)</f>
        <v>0</v>
      </c>
      <c r="BI43">
        <f>IF(43=$BG$5,1,0)</f>
        <v>0</v>
      </c>
      <c r="BJ43">
        <f>IF(OR($BH43&gt;0,$BI43=1,$BL43=1),0,IFERROR(INDEX($BC$5:$BC$41,MATCH(43,$BB$5:$BB$41,0)),0))</f>
        <v>0</v>
      </c>
      <c r="BK43">
        <f>IF($BJ43&gt;0,IF(INDEX($AZ$5:$AZ$41,MATCH(43,$BB$5:$BB$41,0))=10,1,0),IF($BH43=10,1,0))</f>
        <v>0</v>
      </c>
      <c r="BL43">
        <f>IF(43=$BG$4,1,0)</f>
        <v>1</v>
      </c>
    </row>
    <row r="44" spans="1:99" ht="15" customHeight="1" x14ac:dyDescent="0.3">
      <c r="A44" s="62" t="str">
        <f>IF($BJ43&gt;0,INDEX($BA$5:$BA$41,MATCH(43,$BB$5:$BB$41,0)),IF(OR($BI43=1,$BL43=1,$BH43&gt;0),"∑",""))</f>
        <v>∑</v>
      </c>
      <c r="B44" s="63" t="str">
        <f>IF($BJ43&gt;0,IF(INDEX('Final Calculation Sheet'!$F$4:$F$40,$BJ43-3)="","",INDEX('Final Calculation Sheet'!$F$4:$F$40,$BJ43-3)),"")</f>
        <v/>
      </c>
      <c r="C44" s="63" t="str">
        <f>IF($BJ43&gt;0,IF(INDEX('Final Calculation Sheet'!$G$4:$G$40,$BJ43-3)="","",INDEX('Final Calculation Sheet'!$G$4:$G$40,$BJ43-3)),IF(OR($BI43=1,$BL43=1,$BH43&gt;0),IF($BI43=1,37,IF($BL43=1,37-INDEX($BD$4:$BD$13,10),INDEX($BD$4:$BD$13,$BH43)))&amp;" lot(s)",""))</f>
        <v>37 lot(s)</v>
      </c>
      <c r="D44" s="64"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64" t="str">
        <f>IF($BJ43&gt;0,IF(INDEX('Final Calculation Sheet'!$D$4:$D$40,$BJ43-3)="","",INDEX('Final Calculation Sheet'!$D$4:$D$40,$BJ43-3)),IF(OR($BI43=1,$BL43=1,$BH43&gt;0),"–",""))</f>
        <v>–</v>
      </c>
      <c r="F44" s="64">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64" t="str">
        <f>IF($BJ43&gt;0,IF(INDEX('Final Calculation Sheet'!$E$4:$E$40,$BJ43-3)="","",INDEX('Final Calculation Sheet'!$E$4:$E$40,$BJ43-3)),IF(OR($BI43=1,$BL43=1,$BH43&gt;0),"–",""))</f>
        <v>–</v>
      </c>
      <c r="H44" s="65" t="str">
        <f>IF($BJ43&gt;0,IF(INDEX('Final Calculation Sheet'!$C$4:$C$40,$BJ43-3)="","",INDEX('Final Calculation Sheet'!$C$4:$C$40,$BJ43-3)),IF(OR($BI43=1,$BL43=1,$BH43&gt;0),"–",""))</f>
        <v>–</v>
      </c>
      <c r="I44" s="65">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65">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65">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65">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65">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65">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66">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65">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65">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67" t="str">
        <f>IF($BJ43&gt;0,IF(INDEX('Final Calculation Sheet'!$Q$4:$Q$40,$BJ43-3)="","",INDEX('Final Calculation Sheet'!$Q$4:$Q$40,$BJ43-3)),IF(OR($BI43=1,$BL43=1,$BH43&gt;0),"–",""))</f>
        <v>–</v>
      </c>
      <c r="S44" s="65">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65">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65">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68">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65" t="str">
        <f>IF($BJ43&gt;0,IF(INDEX('Final Calculation Sheet'!$V$4:$V$40,$BJ43-3)="","",INDEX('Final Calculation Sheet'!$V$4:$V$40,$BJ43-3)),IF(OR($BI43=1,$BL43=1,$BH43&gt;0),"–",""))</f>
        <v>–</v>
      </c>
      <c r="X44" s="65">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65">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65" t="str">
        <f>IF($BJ43&gt;0,IF(INDEX('Final Calculation Sheet'!$Y$4:$Y$40,$BJ43-3)="","",INDEX('Final Calculation Sheet'!$Y$4:$Y$40,$BJ43-3)),IF(OR($BI43=1,$BL43=1,$BH43&gt;0),"–",""))</f>
        <v>–</v>
      </c>
      <c r="AA44" s="65">
        <f ca="1">IF($BJ43&gt;0,IF(INDEX('Final Calculation Sheet'!$Z$4:$Z$40,$BJ43-3)="","",INDEX('Final Calculation Sheet'!$Z$4:$Z$40,$BJ43-3)),IF(OR($BI43=1,$BL43=1,$BH43&gt;0),IF($BI43=1,SUM('Final Calculation Sheet'!$Z$4:$Z$40),IF($BL43=1,SUM('Final Calculation Sheet'!$Z$4:$Z$40)-SUMIFS('Final Calculation Sheet'!$Z$4:$Z$40,$AZ$5:$AZ$41,10),SUMIFS('Final Calculation Sheet'!$Z$4:$Z$40,$AZ$5:$AZ$41,$BH43))),""))</f>
        <v>533852.92139999988</v>
      </c>
      <c r="AB44" s="65">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65" t="str">
        <f>IF($BJ43&gt;0,IF(INDEX('Final Calculation Sheet'!$AB$4:$AB$40,$BJ43-3)="","",INDEX('Final Calculation Sheet'!$AB$4:$AB$40,$BJ43-3)),IF(OR($BI43=1,$BL43=1,$BH43&gt;0),"–",""))</f>
        <v>–</v>
      </c>
      <c r="AD44" s="65">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65">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AG44" s="65" t="str">
        <f>IF($BJ43&gt;0,IF(INDEX('Final Calculation Sheet'!$AF$4:$AF$40,$BJ43-3)="","",INDEX('Final Calculation Sheet'!$AF$4:$AF$40,$BJ43-3)),IF(OR($BI43=1,$BL43=1,$BH43&gt;0),"–",""))</f>
        <v>–</v>
      </c>
      <c r="AH44" s="69" t="str">
        <f>IF($BJ43&gt;0,IF(INDEX('Final Calculation Sheet'!$AG$4:$AG$40,$BJ43-3)="","",INDEX('Final Calculation Sheet'!$AG$4:$AG$40,$BJ43-3)),IF(OR($BI43=1,$BL43=1,$BH43&gt;0),"–",""))</f>
        <v>–</v>
      </c>
      <c r="AI44" s="65" t="str">
        <f>IF($BJ43&gt;0,IF(INDEX('Final Calculation Sheet'!$AH$4:$AH$40,$BJ43-3)="","",INDEX('Final Calculation Sheet'!$AH$4:$AH$40,$BJ43-3)),IF(OR($BI43=1,$BL43=1,$BH43&gt;0),"–",""))</f>
        <v>–</v>
      </c>
      <c r="BH44">
        <f>IFERROR(MATCH(44,$BF$4:$BF$13,0),0)</f>
        <v>0</v>
      </c>
      <c r="BI44">
        <f>IF(44=$BG$5,1,0)</f>
        <v>1</v>
      </c>
      <c r="BJ44">
        <f>IF(OR($BH44&gt;0,$BI44=1,$BL44=1),0,IFERROR(INDEX($BC$5:$BC$41,MATCH(44,$BB$5:$BB$41,0)),0))</f>
        <v>0</v>
      </c>
      <c r="BK44">
        <f>IF($BJ44&gt;0,IF(INDEX($AZ$5:$AZ$41,MATCH(44,$BB$5:$BB$41,0))=10,1,0),IF($BH44=10,1,0))</f>
        <v>0</v>
      </c>
      <c r="BL44">
        <f>IF(44=$BG$4,1,0)</f>
        <v>0</v>
      </c>
    </row>
    <row r="45" spans="1:99" ht="15" customHeight="1" x14ac:dyDescent="0.3">
      <c r="A45" s="62" t="str">
        <f>IF($BJ44&gt;0,INDEX($BA$5:$BA$41,MATCH(44,$BB$5:$BB$41,0)),IF(OR($BI44=1,$BL44=1,$BH44&gt;0),"∑",""))</f>
        <v>∑</v>
      </c>
      <c r="B45" s="63" t="str">
        <f>IF($BJ44&gt;0,IF(INDEX('Final Calculation Sheet'!$F$4:$F$40,$BJ44-3)="","",INDEX('Final Calculation Sheet'!$F$4:$F$40,$BJ44-3)),"")</f>
        <v/>
      </c>
      <c r="C45" s="63" t="str">
        <f>IF($BJ44&gt;0,IF(INDEX('Final Calculation Sheet'!$G$4:$G$40,$BJ44-3)="","",INDEX('Final Calculation Sheet'!$G$4:$G$40,$BJ44-3)),IF(OR($BI44=1,$BL44=1,$BH44&gt;0),IF($BI44=1,37,IF($BL44=1,37-INDEX($BD$4:$BD$13,10),INDEX($BD$4:$BD$13,$BH44)))&amp;" lot(s)",""))</f>
        <v>37 lot(s)</v>
      </c>
      <c r="D45" s="64"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64" t="str">
        <f>IF($BJ44&gt;0,IF(INDEX('Final Calculation Sheet'!$D$4:$D$40,$BJ44-3)="","",INDEX('Final Calculation Sheet'!$D$4:$D$40,$BJ44-3)),IF(OR($BI44=1,$BL44=1,$BH44&gt;0),"–",""))</f>
        <v>–</v>
      </c>
      <c r="F45" s="64">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64" t="str">
        <f>IF($BJ44&gt;0,IF(INDEX('Final Calculation Sheet'!$E$4:$E$40,$BJ44-3)="","",INDEX('Final Calculation Sheet'!$E$4:$E$40,$BJ44-3)),IF(OR($BI44=1,$BL44=1,$BH44&gt;0),"–",""))</f>
        <v>–</v>
      </c>
      <c r="H45" s="65" t="str">
        <f>IF($BJ44&gt;0,IF(INDEX('Final Calculation Sheet'!$C$4:$C$40,$BJ44-3)="","",INDEX('Final Calculation Sheet'!$C$4:$C$40,$BJ44-3)),IF(OR($BI44=1,$BL44=1,$BH44&gt;0),"–",""))</f>
        <v>–</v>
      </c>
      <c r="I45" s="65">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65">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65">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65">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65">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65">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66">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65">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65">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67" t="str">
        <f>IF($BJ44&gt;0,IF(INDEX('Final Calculation Sheet'!$Q$4:$Q$40,$BJ44-3)="","",INDEX('Final Calculation Sheet'!$Q$4:$Q$40,$BJ44-3)),IF(OR($BI44=1,$BL44=1,$BH44&gt;0),"–",""))</f>
        <v>–</v>
      </c>
      <c r="S45" s="65">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65">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65">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68">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65" t="str">
        <f>IF($BJ44&gt;0,IF(INDEX('Final Calculation Sheet'!$V$4:$V$40,$BJ44-3)="","",INDEX('Final Calculation Sheet'!$V$4:$V$40,$BJ44-3)),IF(OR($BI44=1,$BL44=1,$BH44&gt;0),"–",""))</f>
        <v>–</v>
      </c>
      <c r="X45" s="65">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65">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65" t="str">
        <f>IF($BJ44&gt;0,IF(INDEX('Final Calculation Sheet'!$Y$4:$Y$40,$BJ44-3)="","",INDEX('Final Calculation Sheet'!$Y$4:$Y$40,$BJ44-3)),IF(OR($BI44=1,$BL44=1,$BH44&gt;0),"–",""))</f>
        <v>–</v>
      </c>
      <c r="AA45" s="65">
        <f ca="1">IF($BJ44&gt;0,IF(INDEX('Final Calculation Sheet'!$Z$4:$Z$40,$BJ44-3)="","",INDEX('Final Calculation Sheet'!$Z$4:$Z$40,$BJ44-3)),IF(OR($BI44=1,$BL44=1,$BH44&gt;0),IF($BI44=1,SUM('Final Calculation Sheet'!$Z$4:$Z$40),IF($BL44=1,SUM('Final Calculation Sheet'!$Z$4:$Z$40)-SUMIFS('Final Calculation Sheet'!$Z$4:$Z$40,$AZ$5:$AZ$41,10),SUMIFS('Final Calculation Sheet'!$Z$4:$Z$40,$AZ$5:$AZ$41,$BH44))),""))</f>
        <v>533852.92139999988</v>
      </c>
      <c r="AB45" s="65">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65" t="str">
        <f>IF($BJ44&gt;0,IF(INDEX('Final Calculation Sheet'!$AB$4:$AB$40,$BJ44-3)="","",INDEX('Final Calculation Sheet'!$AB$4:$AB$40,$BJ44-3)),IF(OR($BI44=1,$BL44=1,$BH44&gt;0),"–",""))</f>
        <v>–</v>
      </c>
      <c r="AD45" s="65">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65">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AG45" s="65" t="str">
        <f>IF($BJ44&gt;0,IF(INDEX('Final Calculation Sheet'!$AF$4:$AF$40,$BJ44-3)="","",INDEX('Final Calculation Sheet'!$AF$4:$AF$40,$BJ44-3)),IF(OR($BI44=1,$BL44=1,$BH44&gt;0),"–",""))</f>
        <v>–</v>
      </c>
      <c r="AH45" s="69" t="str">
        <f>IF($BJ44&gt;0,IF(INDEX('Final Calculation Sheet'!$AG$4:$AG$40,$BJ44-3)="","",INDEX('Final Calculation Sheet'!$AG$4:$AG$40,$BJ44-3)),IF(OR($BI44=1,$BL44=1,$BH44&gt;0),"–",""))</f>
        <v>–</v>
      </c>
      <c r="AI45" s="65" t="str">
        <f>IF($BJ44&gt;0,IF(INDEX('Final Calculation Sheet'!$AH$4:$AH$40,$BJ44-3)="","",INDEX('Final Calculation Sheet'!$AH$4:$AH$40,$BJ44-3)),IF(OR($BI44=1,$BL44=1,$BH44&gt;0),"–",""))</f>
        <v>–</v>
      </c>
      <c r="BH45">
        <f>IFERROR(MATCH(45,$BF$4:$BF$13,0),0)</f>
        <v>0</v>
      </c>
      <c r="BI45">
        <f>IF(45=$BG$5,1,0)</f>
        <v>0</v>
      </c>
      <c r="BJ45">
        <f>IF(OR($BH45&gt;0,$BI45=1,$BL45=1),0,IFERROR(INDEX($BC$5:$BC$41,MATCH(45,$BB$5:$BB$41,0)),0))</f>
        <v>0</v>
      </c>
      <c r="BK45">
        <f>IF($BJ45&gt;0,IF(INDEX($AZ$5:$AZ$41,MATCH(45,$BB$5:$BB$41,0))=10,1,0),IF($BH45=10,1,0))</f>
        <v>0</v>
      </c>
      <c r="BL45">
        <f>IF(45=$BG$4,1,0)</f>
        <v>0</v>
      </c>
    </row>
    <row r="46" spans="1:99" ht="15" customHeight="1" x14ac:dyDescent="0.3">
      <c r="A46" s="62" t="str">
        <f>IF($BJ45&gt;0,INDEX($BA$5:$BA$41,MATCH(45,$BB$5:$BB$41,0)),IF(OR($BI45=1,$BL45=1,$BH45&gt;0),"∑",""))</f>
        <v/>
      </c>
      <c r="B46" s="63" t="str">
        <f>IF($BJ45&gt;0,IF(INDEX('Final Calculation Sheet'!$F$4:$F$40,$BJ45-3)="","",INDEX('Final Calculation Sheet'!$F$4:$F$40,$BJ45-3)),"")</f>
        <v/>
      </c>
      <c r="C46" s="63" t="str">
        <f>IF($BJ45&gt;0,IF(INDEX('Final Calculation Sheet'!$G$4:$G$40,$BJ45-3)="","",INDEX('Final Calculation Sheet'!$G$4:$G$40,$BJ45-3)),IF(OR($BI45=1,$BL45=1,$BH45&gt;0),IF($BI45=1,37,IF($BL45=1,37-INDEX($BD$4:$BD$13,10),INDEX($BD$4:$BD$13,$BH45)))&amp;" lot(s)",""))</f>
        <v/>
      </c>
      <c r="D46" s="64"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64" t="str">
        <f>IF($BJ45&gt;0,IF(INDEX('Final Calculation Sheet'!$D$4:$D$40,$BJ45-3)="","",INDEX('Final Calculation Sheet'!$D$4:$D$40,$BJ45-3)),IF(OR($BI45=1,$BL45=1,$BH45&gt;0),"–",""))</f>
        <v/>
      </c>
      <c r="F46" s="64"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64" t="str">
        <f>IF($BJ45&gt;0,IF(INDEX('Final Calculation Sheet'!$E$4:$E$40,$BJ45-3)="","",INDEX('Final Calculation Sheet'!$E$4:$E$40,$BJ45-3)),IF(OR($BI45=1,$BL45=1,$BH45&gt;0),"–",""))</f>
        <v/>
      </c>
      <c r="H46" s="65" t="str">
        <f>IF($BJ45&gt;0,IF(INDEX('Final Calculation Sheet'!$C$4:$C$40,$BJ45-3)="","",INDEX('Final Calculation Sheet'!$C$4:$C$40,$BJ45-3)),IF(OR($BI45=1,$BL45=1,$BH45&gt;0),"–",""))</f>
        <v/>
      </c>
      <c r="I46" s="65"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65"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65"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65"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65"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65"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66"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65"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65"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67" t="str">
        <f>IF($BJ45&gt;0,IF(INDEX('Final Calculation Sheet'!$Q$4:$Q$40,$BJ45-3)="","",INDEX('Final Calculation Sheet'!$Q$4:$Q$40,$BJ45-3)),IF(OR($BI45=1,$BL45=1,$BH45&gt;0),"–",""))</f>
        <v/>
      </c>
      <c r="S46" s="65"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65"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65"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68"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65" t="str">
        <f>IF($BJ45&gt;0,IF(INDEX('Final Calculation Sheet'!$V$4:$V$40,$BJ45-3)="","",INDEX('Final Calculation Sheet'!$V$4:$V$40,$BJ45-3)),IF(OR($BI45=1,$BL45=1,$BH45&gt;0),"–",""))</f>
        <v/>
      </c>
      <c r="X46" s="65"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65"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65" t="str">
        <f>IF($BJ45&gt;0,IF(INDEX('Final Calculation Sheet'!$Y$4:$Y$40,$BJ45-3)="","",INDEX('Final Calculation Sheet'!$Y$4:$Y$40,$BJ45-3)),IF(OR($BI45=1,$BL45=1,$BH45&gt;0),"–",""))</f>
        <v/>
      </c>
      <c r="AA46" s="65"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65"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65" t="str">
        <f>IF($BJ45&gt;0,IF(INDEX('Final Calculation Sheet'!$AB$4:$AB$40,$BJ45-3)="","",INDEX('Final Calculation Sheet'!$AB$4:$AB$40,$BJ45-3)),IF(OR($BI45=1,$BL45=1,$BH45&gt;0),"–",""))</f>
        <v/>
      </c>
      <c r="AD46" s="65"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65"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65" t="str">
        <f>IF($BJ45&gt;0,IF(INDEX('Final Calculation Sheet'!$AF$4:$AF$40,$BJ45-3)="","",INDEX('Final Calculation Sheet'!$AF$4:$AF$40,$BJ45-3)),IF(OR($BI45=1,$BL45=1,$BH45&gt;0),"–",""))</f>
        <v/>
      </c>
      <c r="AH46" s="69" t="str">
        <f>IF($BJ45&gt;0,IF(INDEX('Final Calculation Sheet'!$AG$4:$AG$40,$BJ45-3)="","",INDEX('Final Calculation Sheet'!$AG$4:$AG$40,$BJ45-3)),IF(OR($BI45=1,$BL45=1,$BH45&gt;0),"–",""))</f>
        <v/>
      </c>
      <c r="AI46" s="65" t="str">
        <f>IF($BJ45&gt;0,IF(INDEX('Final Calculation Sheet'!$AH$4:$AH$40,$BJ45-3)="","",INDEX('Final Calculation Sheet'!$AH$4:$AH$40,$BJ45-3)),IF(OR($BI45=1,$BL45=1,$BH45&gt;0),"–",""))</f>
        <v/>
      </c>
      <c r="BH46">
        <f>IFERROR(MATCH(46,$BF$4:$BF$13,0),0)</f>
        <v>0</v>
      </c>
      <c r="BI46">
        <f>IF(46=$BG$5,1,0)</f>
        <v>0</v>
      </c>
      <c r="BJ46">
        <f>IF(OR($BH46&gt;0,$BI46=1,$BL46=1),0,IFERROR(INDEX($BC$5:$BC$41,MATCH(46,$BB$5:$BB$41,0)),0))</f>
        <v>0</v>
      </c>
      <c r="BK46">
        <f>IF($BJ46&gt;0,IF(INDEX($AZ$5:$AZ$41,MATCH(46,$BB$5:$BB$41,0))=10,1,0),IF($BH46=10,1,0))</f>
        <v>0</v>
      </c>
      <c r="BL46">
        <f>IF(46=$BG$4,1,0)</f>
        <v>0</v>
      </c>
    </row>
    <row r="47" spans="1:99" ht="15" customHeight="1" x14ac:dyDescent="0.3">
      <c r="A47" s="62" t="str">
        <f>IF($BJ46&gt;0,INDEX($BA$5:$BA$41,MATCH(46,$BB$5:$BB$41,0)),IF(OR($BI46=1,$BL46=1,$BH46&gt;0),"∑",""))</f>
        <v/>
      </c>
      <c r="B47" s="63" t="str">
        <f>IF($BJ46&gt;0,IF(INDEX('Final Calculation Sheet'!$F$4:$F$40,$BJ46-3)="","",INDEX('Final Calculation Sheet'!$F$4:$F$40,$BJ46-3)),"")</f>
        <v/>
      </c>
      <c r="C47" s="63" t="str">
        <f>IF($BJ46&gt;0,IF(INDEX('Final Calculation Sheet'!$G$4:$G$40,$BJ46-3)="","",INDEX('Final Calculation Sheet'!$G$4:$G$40,$BJ46-3)),IF(OR($BI46=1,$BL46=1,$BH46&gt;0),IF($BI46=1,37,IF($BL46=1,37-INDEX($BD$4:$BD$13,10),INDEX($BD$4:$BD$13,$BH46)))&amp;" lot(s)",""))</f>
        <v/>
      </c>
      <c r="D47" s="64"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64" t="str">
        <f>IF($BJ46&gt;0,IF(INDEX('Final Calculation Sheet'!$D$4:$D$40,$BJ46-3)="","",INDEX('Final Calculation Sheet'!$D$4:$D$40,$BJ46-3)),IF(OR($BI46=1,$BL46=1,$BH46&gt;0),"–",""))</f>
        <v/>
      </c>
      <c r="F47" s="64"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64" t="str">
        <f>IF($BJ46&gt;0,IF(INDEX('Final Calculation Sheet'!$E$4:$E$40,$BJ46-3)="","",INDEX('Final Calculation Sheet'!$E$4:$E$40,$BJ46-3)),IF(OR($BI46=1,$BL46=1,$BH46&gt;0),"–",""))</f>
        <v/>
      </c>
      <c r="H47" s="65" t="str">
        <f>IF($BJ46&gt;0,IF(INDEX('Final Calculation Sheet'!$C$4:$C$40,$BJ46-3)="","",INDEX('Final Calculation Sheet'!$C$4:$C$40,$BJ46-3)),IF(OR($BI46=1,$BL46=1,$BH46&gt;0),"–",""))</f>
        <v/>
      </c>
      <c r="I47" s="65"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65"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65"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65"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65"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65"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66"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65"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65"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67" t="str">
        <f>IF($BJ46&gt;0,IF(INDEX('Final Calculation Sheet'!$Q$4:$Q$40,$BJ46-3)="","",INDEX('Final Calculation Sheet'!$Q$4:$Q$40,$BJ46-3)),IF(OR($BI46=1,$BL46=1,$BH46&gt;0),"–",""))</f>
        <v/>
      </c>
      <c r="S47" s="65"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65"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65"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68"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65" t="str">
        <f>IF($BJ46&gt;0,IF(INDEX('Final Calculation Sheet'!$V$4:$V$40,$BJ46-3)="","",INDEX('Final Calculation Sheet'!$V$4:$V$40,$BJ46-3)),IF(OR($BI46=1,$BL46=1,$BH46&gt;0),"–",""))</f>
        <v/>
      </c>
      <c r="X47" s="65"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65"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65" t="str">
        <f>IF($BJ46&gt;0,IF(INDEX('Final Calculation Sheet'!$Y$4:$Y$40,$BJ46-3)="","",INDEX('Final Calculation Sheet'!$Y$4:$Y$40,$BJ46-3)),IF(OR($BI46=1,$BL46=1,$BH46&gt;0),"–",""))</f>
        <v/>
      </c>
      <c r="AA47" s="65"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65"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65" t="str">
        <f>IF($BJ46&gt;0,IF(INDEX('Final Calculation Sheet'!$AB$4:$AB$40,$BJ46-3)="","",INDEX('Final Calculation Sheet'!$AB$4:$AB$40,$BJ46-3)),IF(OR($BI46=1,$BL46=1,$BH46&gt;0),"–",""))</f>
        <v/>
      </c>
      <c r="AD47" s="65"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65"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65" t="str">
        <f>IF($BJ46&gt;0,IF(INDEX('Final Calculation Sheet'!$AF$4:$AF$40,$BJ46-3)="","",INDEX('Final Calculation Sheet'!$AF$4:$AF$40,$BJ46-3)),IF(OR($BI46=1,$BL46=1,$BH46&gt;0),"–",""))</f>
        <v/>
      </c>
      <c r="AH47" s="69" t="str">
        <f>IF($BJ46&gt;0,IF(INDEX('Final Calculation Sheet'!$AG$4:$AG$40,$BJ46-3)="","",INDEX('Final Calculation Sheet'!$AG$4:$AG$40,$BJ46-3)),IF(OR($BI46=1,$BL46=1,$BH46&gt;0),"–",""))</f>
        <v/>
      </c>
      <c r="AI47" s="65" t="str">
        <f>IF($BJ46&gt;0,IF(INDEX('Final Calculation Sheet'!$AH$4:$AH$40,$BJ46-3)="","",INDEX('Final Calculation Sheet'!$AH$4:$AH$40,$BJ46-3)),IF(OR($BI46=1,$BL46=1,$BH46&gt;0),"–",""))</f>
        <v/>
      </c>
      <c r="BH47">
        <f>IFERROR(MATCH(47,$BF$4:$BF$13,0),0)</f>
        <v>0</v>
      </c>
      <c r="BI47">
        <f>IF(47=$BG$5,1,0)</f>
        <v>0</v>
      </c>
      <c r="BJ47">
        <f>IF(OR($BH47&gt;0,$BI47=1,$BL47=1),0,IFERROR(INDEX($BC$5:$BC$41,MATCH(47,$BB$5:$BB$41,0)),0))</f>
        <v>0</v>
      </c>
      <c r="BK47">
        <f>IF($BJ47&gt;0,IF(INDEX($AZ$5:$AZ$41,MATCH(47,$BB$5:$BB$41,0))=10,1,0),IF($BH47=10,1,0))</f>
        <v>0</v>
      </c>
      <c r="BL47">
        <f>IF(47=$BG$4,1,0)</f>
        <v>0</v>
      </c>
    </row>
    <row r="48" spans="1:99" ht="15" customHeight="1" x14ac:dyDescent="0.3">
      <c r="A48" s="62" t="str">
        <f>IF($BJ47&gt;0,INDEX($BA$5:$BA$41,MATCH(47,$BB$5:$BB$41,0)),IF(OR($BI47=1,$BL47=1,$BH47&gt;0),"∑",""))</f>
        <v/>
      </c>
      <c r="B48" s="63" t="str">
        <f>IF($BJ47&gt;0,IF(INDEX('Final Calculation Sheet'!$F$4:$F$40,$BJ47-3)="","",INDEX('Final Calculation Sheet'!$F$4:$F$40,$BJ47-3)),"")</f>
        <v/>
      </c>
      <c r="C48" s="63" t="str">
        <f>IF($BJ47&gt;0,IF(INDEX('Final Calculation Sheet'!$G$4:$G$40,$BJ47-3)="","",INDEX('Final Calculation Sheet'!$G$4:$G$40,$BJ47-3)),IF(OR($BI47=1,$BL47=1,$BH47&gt;0),IF($BI47=1,37,IF($BL47=1,37-INDEX($BD$4:$BD$13,10),INDEX($BD$4:$BD$13,$BH47)))&amp;" lot(s)",""))</f>
        <v/>
      </c>
      <c r="D48" s="64"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64" t="str">
        <f>IF($BJ47&gt;0,IF(INDEX('Final Calculation Sheet'!$D$4:$D$40,$BJ47-3)="","",INDEX('Final Calculation Sheet'!$D$4:$D$40,$BJ47-3)),IF(OR($BI47=1,$BL47=1,$BH47&gt;0),"–",""))</f>
        <v/>
      </c>
      <c r="F48" s="64"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64" t="str">
        <f>IF($BJ47&gt;0,IF(INDEX('Final Calculation Sheet'!$E$4:$E$40,$BJ47-3)="","",INDEX('Final Calculation Sheet'!$E$4:$E$40,$BJ47-3)),IF(OR($BI47=1,$BL47=1,$BH47&gt;0),"–",""))</f>
        <v/>
      </c>
      <c r="H48" s="65" t="str">
        <f>IF($BJ47&gt;0,IF(INDEX('Final Calculation Sheet'!$C$4:$C$40,$BJ47-3)="","",INDEX('Final Calculation Sheet'!$C$4:$C$40,$BJ47-3)),IF(OR($BI47=1,$BL47=1,$BH47&gt;0),"–",""))</f>
        <v/>
      </c>
      <c r="I48" s="65"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65"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65"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65"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65"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65"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66"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65"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65"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67" t="str">
        <f>IF($BJ47&gt;0,IF(INDEX('Final Calculation Sheet'!$Q$4:$Q$40,$BJ47-3)="","",INDEX('Final Calculation Sheet'!$Q$4:$Q$40,$BJ47-3)),IF(OR($BI47=1,$BL47=1,$BH47&gt;0),"–",""))</f>
        <v/>
      </c>
      <c r="S48" s="65"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65"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65"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68"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65" t="str">
        <f>IF($BJ47&gt;0,IF(INDEX('Final Calculation Sheet'!$V$4:$V$40,$BJ47-3)="","",INDEX('Final Calculation Sheet'!$V$4:$V$40,$BJ47-3)),IF(OR($BI47=1,$BL47=1,$BH47&gt;0),"–",""))</f>
        <v/>
      </c>
      <c r="X48" s="65"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65"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65" t="str">
        <f>IF($BJ47&gt;0,IF(INDEX('Final Calculation Sheet'!$Y$4:$Y$40,$BJ47-3)="","",INDEX('Final Calculation Sheet'!$Y$4:$Y$40,$BJ47-3)),IF(OR($BI47=1,$BL47=1,$BH47&gt;0),"–",""))</f>
        <v/>
      </c>
      <c r="AA48" s="65"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65"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65" t="str">
        <f>IF($BJ47&gt;0,IF(INDEX('Final Calculation Sheet'!$AB$4:$AB$40,$BJ47-3)="","",INDEX('Final Calculation Sheet'!$AB$4:$AB$40,$BJ47-3)),IF(OR($BI47=1,$BL47=1,$BH47&gt;0),"–",""))</f>
        <v/>
      </c>
      <c r="AD48" s="65"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65"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65" t="str">
        <f>IF($BJ47&gt;0,IF(INDEX('Final Calculation Sheet'!$AF$4:$AF$40,$BJ47-3)="","",INDEX('Final Calculation Sheet'!$AF$4:$AF$40,$BJ47-3)),IF(OR($BI47=1,$BL47=1,$BH47&gt;0),"–",""))</f>
        <v/>
      </c>
      <c r="AH48" s="69" t="str">
        <f>IF($BJ47&gt;0,IF(INDEX('Final Calculation Sheet'!$AG$4:$AG$40,$BJ47-3)="","",INDEX('Final Calculation Sheet'!$AG$4:$AG$40,$BJ47-3)),IF(OR($BI47=1,$BL47=1,$BH47&gt;0),"–",""))</f>
        <v/>
      </c>
      <c r="AI48" s="65" t="str">
        <f>IF($BJ47&gt;0,IF(INDEX('Final Calculation Sheet'!$AH$4:$AH$40,$BJ47-3)="","",INDEX('Final Calculation Sheet'!$AH$4:$AH$40,$BJ47-3)),IF(OR($BI47=1,$BL47=1,$BH47&gt;0),"–",""))</f>
        <v/>
      </c>
      <c r="BH48">
        <f>IFERROR(MATCH(48,$BF$4:$BF$13,0),0)</f>
        <v>0</v>
      </c>
      <c r="BI48">
        <f>IF(48=$BG$5,1,0)</f>
        <v>0</v>
      </c>
      <c r="BJ48">
        <f>IF(OR($BH48&gt;0,$BI48=1,$BL48=1),0,IFERROR(INDEX($BC$5:$BC$41,MATCH(48,$BB$5:$BB$41,0)),0))</f>
        <v>0</v>
      </c>
      <c r="BK48">
        <f>IF($BJ48&gt;0,IF(INDEX($AZ$5:$AZ$41,MATCH(48,$BB$5:$BB$41,0))=10,1,0),IF($BH48=10,1,0))</f>
        <v>0</v>
      </c>
      <c r="BL48">
        <f>IF(48=$BG$4,1,0)</f>
        <v>0</v>
      </c>
    </row>
    <row r="49" spans="1:64" ht="15" customHeight="1" x14ac:dyDescent="0.3">
      <c r="A49" s="62" t="str">
        <f>IF($BJ48&gt;0,INDEX($BA$5:$BA$41,MATCH(48,$BB$5:$BB$41,0)),IF(OR($BI48=1,$BL48=1,$BH48&gt;0),"∑",""))</f>
        <v/>
      </c>
      <c r="B49" s="63" t="str">
        <f>IF($BJ48&gt;0,IF(INDEX('Final Calculation Sheet'!$F$4:$F$40,$BJ48-3)="","",INDEX('Final Calculation Sheet'!$F$4:$F$40,$BJ48-3)),"")</f>
        <v/>
      </c>
      <c r="C49" s="63" t="str">
        <f>IF($BJ48&gt;0,IF(INDEX('Final Calculation Sheet'!$G$4:$G$40,$BJ48-3)="","",INDEX('Final Calculation Sheet'!$G$4:$G$40,$BJ48-3)),IF(OR($BI48=1,$BL48=1,$BH48&gt;0),IF($BI48=1,37,IF($BL48=1,37-INDEX($BD$4:$BD$13,10),INDEX($BD$4:$BD$13,$BH48)))&amp;" lot(s)",""))</f>
        <v/>
      </c>
      <c r="D49" s="64"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64" t="str">
        <f>IF($BJ48&gt;0,IF(INDEX('Final Calculation Sheet'!$D$4:$D$40,$BJ48-3)="","",INDEX('Final Calculation Sheet'!$D$4:$D$40,$BJ48-3)),IF(OR($BI48=1,$BL48=1,$BH48&gt;0),"–",""))</f>
        <v/>
      </c>
      <c r="F49" s="64"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64" t="str">
        <f>IF($BJ48&gt;0,IF(INDEX('Final Calculation Sheet'!$E$4:$E$40,$BJ48-3)="","",INDEX('Final Calculation Sheet'!$E$4:$E$40,$BJ48-3)),IF(OR($BI48=1,$BL48=1,$BH48&gt;0),"–",""))</f>
        <v/>
      </c>
      <c r="H49" s="65" t="str">
        <f>IF($BJ48&gt;0,IF(INDEX('Final Calculation Sheet'!$C$4:$C$40,$BJ48-3)="","",INDEX('Final Calculation Sheet'!$C$4:$C$40,$BJ48-3)),IF(OR($BI48=1,$BL48=1,$BH48&gt;0),"–",""))</f>
        <v/>
      </c>
      <c r="I49" s="65"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65"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65"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65"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65"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65"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66"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65"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65"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67" t="str">
        <f>IF($BJ48&gt;0,IF(INDEX('Final Calculation Sheet'!$Q$4:$Q$40,$BJ48-3)="","",INDEX('Final Calculation Sheet'!$Q$4:$Q$40,$BJ48-3)),IF(OR($BI48=1,$BL48=1,$BH48&gt;0),"–",""))</f>
        <v/>
      </c>
      <c r="S49" s="65"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65"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65"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68"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65" t="str">
        <f>IF($BJ48&gt;0,IF(INDEX('Final Calculation Sheet'!$V$4:$V$40,$BJ48-3)="","",INDEX('Final Calculation Sheet'!$V$4:$V$40,$BJ48-3)),IF(OR($BI48=1,$BL48=1,$BH48&gt;0),"–",""))</f>
        <v/>
      </c>
      <c r="X49" s="65"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65"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65" t="str">
        <f>IF($BJ48&gt;0,IF(INDEX('Final Calculation Sheet'!$Y$4:$Y$40,$BJ48-3)="","",INDEX('Final Calculation Sheet'!$Y$4:$Y$40,$BJ48-3)),IF(OR($BI48=1,$BL48=1,$BH48&gt;0),"–",""))</f>
        <v/>
      </c>
      <c r="AA49" s="65"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65"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65" t="str">
        <f>IF($BJ48&gt;0,IF(INDEX('Final Calculation Sheet'!$AB$4:$AB$40,$BJ48-3)="","",INDEX('Final Calculation Sheet'!$AB$4:$AB$40,$BJ48-3)),IF(OR($BI48=1,$BL48=1,$BH48&gt;0),"–",""))</f>
        <v/>
      </c>
      <c r="AD49" s="65"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65"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65" t="str">
        <f>IF($BJ48&gt;0,IF(INDEX('Final Calculation Sheet'!$AF$4:$AF$40,$BJ48-3)="","",INDEX('Final Calculation Sheet'!$AF$4:$AF$40,$BJ48-3)),IF(OR($BI48=1,$BL48=1,$BH48&gt;0),"–",""))</f>
        <v/>
      </c>
      <c r="AH49" s="69" t="str">
        <f>IF($BJ48&gt;0,IF(INDEX('Final Calculation Sheet'!$AG$4:$AG$40,$BJ48-3)="","",INDEX('Final Calculation Sheet'!$AG$4:$AG$40,$BJ48-3)),IF(OR($BI48=1,$BL48=1,$BH48&gt;0),"–",""))</f>
        <v/>
      </c>
      <c r="AI49" s="65" t="str">
        <f>IF($BJ48&gt;0,IF(INDEX('Final Calculation Sheet'!$AH$4:$AH$40,$BJ48-3)="","",INDEX('Final Calculation Sheet'!$AH$4:$AH$40,$BJ48-3)),IF(OR($BI48=1,$BL48=1,$BH48&gt;0),"–",""))</f>
        <v/>
      </c>
      <c r="BH49">
        <f>IFERROR(MATCH(49,$BF$4:$BF$13,0),0)</f>
        <v>0</v>
      </c>
      <c r="BI49">
        <f>IF(49=$BG$5,1,0)</f>
        <v>0</v>
      </c>
      <c r="BJ49">
        <f>IF(OR($BH49&gt;0,$BI49=1,$BL49=1),0,IFERROR(INDEX($BC$5:$BC$41,MATCH(49,$BB$5:$BB$41,0)),0))</f>
        <v>0</v>
      </c>
      <c r="BK49">
        <f>IF($BJ49&gt;0,IF(INDEX($AZ$5:$AZ$41,MATCH(49,$BB$5:$BB$41,0))=10,1,0),IF($BH49=10,1,0))</f>
        <v>0</v>
      </c>
      <c r="BL49">
        <f>IF(49=$BG$4,1,0)</f>
        <v>0</v>
      </c>
    </row>
    <row r="50" spans="1:64" ht="15" customHeight="1" x14ac:dyDescent="0.3">
      <c r="A50" s="62" t="str">
        <f>IF($BJ49&gt;0,INDEX($BA$5:$BA$41,MATCH(49,$BB$5:$BB$41,0)),IF(OR($BI49=1,$BL49=1,$BH49&gt;0),"∑",""))</f>
        <v/>
      </c>
      <c r="B50" s="63" t="str">
        <f>IF($BJ49&gt;0,IF(INDEX('Final Calculation Sheet'!$F$4:$F$40,$BJ49-3)="","",INDEX('Final Calculation Sheet'!$F$4:$F$40,$BJ49-3)),"")</f>
        <v/>
      </c>
      <c r="C50" s="63" t="str">
        <f>IF($BJ49&gt;0,IF(INDEX('Final Calculation Sheet'!$G$4:$G$40,$BJ49-3)="","",INDEX('Final Calculation Sheet'!$G$4:$G$40,$BJ49-3)),IF(OR($BI49=1,$BL49=1,$BH49&gt;0),IF($BI49=1,37,IF($BL49=1,37-INDEX($BD$4:$BD$13,10),INDEX($BD$4:$BD$13,$BH49)))&amp;" lot(s)",""))</f>
        <v/>
      </c>
      <c r="D50" s="64"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64" t="str">
        <f>IF($BJ49&gt;0,IF(INDEX('Final Calculation Sheet'!$D$4:$D$40,$BJ49-3)="","",INDEX('Final Calculation Sheet'!$D$4:$D$40,$BJ49-3)),IF(OR($BI49=1,$BL49=1,$BH49&gt;0),"–",""))</f>
        <v/>
      </c>
      <c r="F50" s="64"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64" t="str">
        <f>IF($BJ49&gt;0,IF(INDEX('Final Calculation Sheet'!$E$4:$E$40,$BJ49-3)="","",INDEX('Final Calculation Sheet'!$E$4:$E$40,$BJ49-3)),IF(OR($BI49=1,$BL49=1,$BH49&gt;0),"–",""))</f>
        <v/>
      </c>
      <c r="H50" s="65" t="str">
        <f>IF($BJ49&gt;0,IF(INDEX('Final Calculation Sheet'!$C$4:$C$40,$BJ49-3)="","",INDEX('Final Calculation Sheet'!$C$4:$C$40,$BJ49-3)),IF(OR($BI49=1,$BL49=1,$BH49&gt;0),"–",""))</f>
        <v/>
      </c>
      <c r="I50" s="65"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65"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65"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65"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65"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65"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66"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65"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65"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67" t="str">
        <f>IF($BJ49&gt;0,IF(INDEX('Final Calculation Sheet'!$Q$4:$Q$40,$BJ49-3)="","",INDEX('Final Calculation Sheet'!$Q$4:$Q$40,$BJ49-3)),IF(OR($BI49=1,$BL49=1,$BH49&gt;0),"–",""))</f>
        <v/>
      </c>
      <c r="S50" s="65"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65"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65"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68"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65" t="str">
        <f>IF($BJ49&gt;0,IF(INDEX('Final Calculation Sheet'!$V$4:$V$40,$BJ49-3)="","",INDEX('Final Calculation Sheet'!$V$4:$V$40,$BJ49-3)),IF(OR($BI49=1,$BL49=1,$BH49&gt;0),"–",""))</f>
        <v/>
      </c>
      <c r="X50" s="65"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65"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65" t="str">
        <f>IF($BJ49&gt;0,IF(INDEX('Final Calculation Sheet'!$Y$4:$Y$40,$BJ49-3)="","",INDEX('Final Calculation Sheet'!$Y$4:$Y$40,$BJ49-3)),IF(OR($BI49=1,$BL49=1,$BH49&gt;0),"–",""))</f>
        <v/>
      </c>
      <c r="AA50" s="65"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65"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65" t="str">
        <f>IF($BJ49&gt;0,IF(INDEX('Final Calculation Sheet'!$AB$4:$AB$40,$BJ49-3)="","",INDEX('Final Calculation Sheet'!$AB$4:$AB$40,$BJ49-3)),IF(OR($BI49=1,$BL49=1,$BH49&gt;0),"–",""))</f>
        <v/>
      </c>
      <c r="AD50" s="65"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65"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65" t="str">
        <f>IF($BJ49&gt;0,IF(INDEX('Final Calculation Sheet'!$AF$4:$AF$40,$BJ49-3)="","",INDEX('Final Calculation Sheet'!$AF$4:$AF$40,$BJ49-3)),IF(OR($BI49=1,$BL49=1,$BH49&gt;0),"–",""))</f>
        <v/>
      </c>
      <c r="AH50" s="69" t="str">
        <f>IF($BJ49&gt;0,IF(INDEX('Final Calculation Sheet'!$AG$4:$AG$40,$BJ49-3)="","",INDEX('Final Calculation Sheet'!$AG$4:$AG$40,$BJ49-3)),IF(OR($BI49=1,$BL49=1,$BH49&gt;0),"–",""))</f>
        <v/>
      </c>
      <c r="AI50" s="65" t="str">
        <f>IF($BJ49&gt;0,IF(INDEX('Final Calculation Sheet'!$AH$4:$AH$40,$BJ49-3)="","",INDEX('Final Calculation Sheet'!$AH$4:$AH$40,$BJ49-3)),IF(OR($BI49=1,$BL49=1,$BH49&gt;0),"–",""))</f>
        <v/>
      </c>
      <c r="BH50">
        <f>IFERROR(MATCH(50,$BF$4:$BF$13,0),0)</f>
        <v>0</v>
      </c>
      <c r="BI50">
        <f>IF(50=$BG$5,1,0)</f>
        <v>0</v>
      </c>
      <c r="BJ50">
        <f>IF(OR($BH50&gt;0,$BI50=1,$BL50=1),0,IFERROR(INDEX($BC$5:$BC$41,MATCH(50,$BB$5:$BB$41,0)),0))</f>
        <v>0</v>
      </c>
      <c r="BK50">
        <f>IF($BJ50&gt;0,IF(INDEX($AZ$5:$AZ$41,MATCH(50,$BB$5:$BB$41,0))=10,1,0),IF($BH50=10,1,0))</f>
        <v>0</v>
      </c>
      <c r="BL50">
        <f>IF(50=$BG$4,1,0)</f>
        <v>0</v>
      </c>
    </row>
    <row r="51" spans="1:64" ht="15" customHeight="1" x14ac:dyDescent="0.3">
      <c r="A51" s="62" t="str">
        <f>IF($BJ50&gt;0,INDEX($BA$5:$BA$41,MATCH(50,$BB$5:$BB$41,0)),IF(OR($BI50=1,$BL50=1,$BH50&gt;0),"∑",""))</f>
        <v/>
      </c>
      <c r="B51" s="63" t="str">
        <f>IF($BJ50&gt;0,IF(INDEX('Final Calculation Sheet'!$F$4:$F$40,$BJ50-3)="","",INDEX('Final Calculation Sheet'!$F$4:$F$40,$BJ50-3)),"")</f>
        <v/>
      </c>
      <c r="C51" s="63" t="str">
        <f>IF($BJ50&gt;0,IF(INDEX('Final Calculation Sheet'!$G$4:$G$40,$BJ50-3)="","",INDEX('Final Calculation Sheet'!$G$4:$G$40,$BJ50-3)),IF(OR($BI50=1,$BL50=1,$BH50&gt;0),IF($BI50=1,37,IF($BL50=1,37-INDEX($BD$4:$BD$13,10),INDEX($BD$4:$BD$13,$BH50)))&amp;" lot(s)",""))</f>
        <v/>
      </c>
      <c r="D51" s="64"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64" t="str">
        <f>IF($BJ50&gt;0,IF(INDEX('Final Calculation Sheet'!$D$4:$D$40,$BJ50-3)="","",INDEX('Final Calculation Sheet'!$D$4:$D$40,$BJ50-3)),IF(OR($BI50=1,$BL50=1,$BH50&gt;0),"–",""))</f>
        <v/>
      </c>
      <c r="F51" s="64"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64" t="str">
        <f>IF($BJ50&gt;0,IF(INDEX('Final Calculation Sheet'!$E$4:$E$40,$BJ50-3)="","",INDEX('Final Calculation Sheet'!$E$4:$E$40,$BJ50-3)),IF(OR($BI50=1,$BL50=1,$BH50&gt;0),"–",""))</f>
        <v/>
      </c>
      <c r="H51" s="65" t="str">
        <f>IF($BJ50&gt;0,IF(INDEX('Final Calculation Sheet'!$C$4:$C$40,$BJ50-3)="","",INDEX('Final Calculation Sheet'!$C$4:$C$40,$BJ50-3)),IF(OR($BI50=1,$BL50=1,$BH50&gt;0),"–",""))</f>
        <v/>
      </c>
      <c r="I51" s="65"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65"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65"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65"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65"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65"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66"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65"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65"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67" t="str">
        <f>IF($BJ50&gt;0,IF(INDEX('Final Calculation Sheet'!$Q$4:$Q$40,$BJ50-3)="","",INDEX('Final Calculation Sheet'!$Q$4:$Q$40,$BJ50-3)),IF(OR($BI50=1,$BL50=1,$BH50&gt;0),"–",""))</f>
        <v/>
      </c>
      <c r="S51" s="65"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65"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65"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68"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65" t="str">
        <f>IF($BJ50&gt;0,IF(INDEX('Final Calculation Sheet'!$V$4:$V$40,$BJ50-3)="","",INDEX('Final Calculation Sheet'!$V$4:$V$40,$BJ50-3)),IF(OR($BI50=1,$BL50=1,$BH50&gt;0),"–",""))</f>
        <v/>
      </c>
      <c r="X51" s="65"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65"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65" t="str">
        <f>IF($BJ50&gt;0,IF(INDEX('Final Calculation Sheet'!$Y$4:$Y$40,$BJ50-3)="","",INDEX('Final Calculation Sheet'!$Y$4:$Y$40,$BJ50-3)),IF(OR($BI50=1,$BL50=1,$BH50&gt;0),"–",""))</f>
        <v/>
      </c>
      <c r="AA51" s="65"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65"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65" t="str">
        <f>IF($BJ50&gt;0,IF(INDEX('Final Calculation Sheet'!$AB$4:$AB$40,$BJ50-3)="","",INDEX('Final Calculation Sheet'!$AB$4:$AB$40,$BJ50-3)),IF(OR($BI50=1,$BL50=1,$BH50&gt;0),"–",""))</f>
        <v/>
      </c>
      <c r="AD51" s="65"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65"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65" t="str">
        <f>IF($BJ50&gt;0,IF(INDEX('Final Calculation Sheet'!$AF$4:$AF$40,$BJ50-3)="","",INDEX('Final Calculation Sheet'!$AF$4:$AF$40,$BJ50-3)),IF(OR($BI50=1,$BL50=1,$BH50&gt;0),"–",""))</f>
        <v/>
      </c>
      <c r="AH51" s="69" t="str">
        <f>IF($BJ50&gt;0,IF(INDEX('Final Calculation Sheet'!$AG$4:$AG$40,$BJ50-3)="","",INDEX('Final Calculation Sheet'!$AG$4:$AG$40,$BJ50-3)),IF(OR($BI50=1,$BL50=1,$BH50&gt;0),"–",""))</f>
        <v/>
      </c>
      <c r="AI51" s="65" t="str">
        <f>IF($BJ50&gt;0,IF(INDEX('Final Calculation Sheet'!$AH$4:$AH$40,$BJ50-3)="","",INDEX('Final Calculation Sheet'!$AH$4:$AH$40,$BJ50-3)),IF(OR($BI50=1,$BL50=1,$BH50&gt;0),"–",""))</f>
        <v/>
      </c>
      <c r="BH51">
        <f>IFERROR(MATCH(51,$BF$4:$BF$13,0),0)</f>
        <v>0</v>
      </c>
      <c r="BI51">
        <f>IF(51=$BG$5,1,0)</f>
        <v>0</v>
      </c>
      <c r="BJ51">
        <f>IF(OR($BH51&gt;0,$BI51=1,$BL51=1),0,IFERROR(INDEX($BC$5:$BC$41,MATCH(51,$BB$5:$BB$41,0)),0))</f>
        <v>0</v>
      </c>
      <c r="BK51">
        <f>IF($BJ51&gt;0,IF(INDEX($AZ$5:$AZ$41,MATCH(51,$BB$5:$BB$41,0))=10,1,0),IF($BH51=10,1,0))</f>
        <v>0</v>
      </c>
      <c r="BL51">
        <f>IF(51=$BG$4,1,0)</f>
        <v>0</v>
      </c>
    </row>
    <row r="52" spans="1:64" ht="15" customHeight="1" x14ac:dyDescent="0.3">
      <c r="A52" s="62" t="str">
        <f>IF($BJ51&gt;0,INDEX($BA$5:$BA$41,MATCH(51,$BB$5:$BB$41,0)),IF(OR($BI51=1,$BL51=1,$BH51&gt;0),"∑",""))</f>
        <v/>
      </c>
      <c r="B52" s="63" t="str">
        <f>IF($BJ51&gt;0,IF(INDEX('Final Calculation Sheet'!$F$4:$F$40,$BJ51-3)="","",INDEX('Final Calculation Sheet'!$F$4:$F$40,$BJ51-3)),"")</f>
        <v/>
      </c>
      <c r="C52" s="63" t="str">
        <f>IF($BJ51&gt;0,IF(INDEX('Final Calculation Sheet'!$G$4:$G$40,$BJ51-3)="","",INDEX('Final Calculation Sheet'!$G$4:$G$40,$BJ51-3)),IF(OR($BI51=1,$BL51=1,$BH51&gt;0),IF($BI51=1,37,IF($BL51=1,37-INDEX($BD$4:$BD$13,10),INDEX($BD$4:$BD$13,$BH51)))&amp;" lot(s)",""))</f>
        <v/>
      </c>
      <c r="D52" s="64"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64" t="str">
        <f>IF($BJ51&gt;0,IF(INDEX('Final Calculation Sheet'!$D$4:$D$40,$BJ51-3)="","",INDEX('Final Calculation Sheet'!$D$4:$D$40,$BJ51-3)),IF(OR($BI51=1,$BL51=1,$BH51&gt;0),"–",""))</f>
        <v/>
      </c>
      <c r="F52" s="64"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64" t="str">
        <f>IF($BJ51&gt;0,IF(INDEX('Final Calculation Sheet'!$E$4:$E$40,$BJ51-3)="","",INDEX('Final Calculation Sheet'!$E$4:$E$40,$BJ51-3)),IF(OR($BI51=1,$BL51=1,$BH51&gt;0),"–",""))</f>
        <v/>
      </c>
      <c r="H52" s="65" t="str">
        <f>IF($BJ51&gt;0,IF(INDEX('Final Calculation Sheet'!$C$4:$C$40,$BJ51-3)="","",INDEX('Final Calculation Sheet'!$C$4:$C$40,$BJ51-3)),IF(OR($BI51=1,$BL51=1,$BH51&gt;0),"–",""))</f>
        <v/>
      </c>
      <c r="I52" s="65"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65"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65"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65"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65"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65"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66"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65"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65"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67" t="str">
        <f>IF($BJ51&gt;0,IF(INDEX('Final Calculation Sheet'!$Q$4:$Q$40,$BJ51-3)="","",INDEX('Final Calculation Sheet'!$Q$4:$Q$40,$BJ51-3)),IF(OR($BI51=1,$BL51=1,$BH51&gt;0),"–",""))</f>
        <v/>
      </c>
      <c r="S52" s="65"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65"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65"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68"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65" t="str">
        <f>IF($BJ51&gt;0,IF(INDEX('Final Calculation Sheet'!$V$4:$V$40,$BJ51-3)="","",INDEX('Final Calculation Sheet'!$V$4:$V$40,$BJ51-3)),IF(OR($BI51=1,$BL51=1,$BH51&gt;0),"–",""))</f>
        <v/>
      </c>
      <c r="X52" s="65"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65"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65" t="str">
        <f>IF($BJ51&gt;0,IF(INDEX('Final Calculation Sheet'!$Y$4:$Y$40,$BJ51-3)="","",INDEX('Final Calculation Sheet'!$Y$4:$Y$40,$BJ51-3)),IF(OR($BI51=1,$BL51=1,$BH51&gt;0),"–",""))</f>
        <v/>
      </c>
      <c r="AA52" s="65"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65"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65" t="str">
        <f>IF($BJ51&gt;0,IF(INDEX('Final Calculation Sheet'!$AB$4:$AB$40,$BJ51-3)="","",INDEX('Final Calculation Sheet'!$AB$4:$AB$40,$BJ51-3)),IF(OR($BI51=1,$BL51=1,$BH51&gt;0),"–",""))</f>
        <v/>
      </c>
      <c r="AD52" s="65"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65"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65" t="str">
        <f>IF($BJ51&gt;0,IF(INDEX('Final Calculation Sheet'!$AF$4:$AF$40,$BJ51-3)="","",INDEX('Final Calculation Sheet'!$AF$4:$AF$40,$BJ51-3)),IF(OR($BI51=1,$BL51=1,$BH51&gt;0),"–",""))</f>
        <v/>
      </c>
      <c r="AH52" s="69" t="str">
        <f>IF($BJ51&gt;0,IF(INDEX('Final Calculation Sheet'!$AG$4:$AG$40,$BJ51-3)="","",INDEX('Final Calculation Sheet'!$AG$4:$AG$40,$BJ51-3)),IF(OR($BI51=1,$BL51=1,$BH51&gt;0),"–",""))</f>
        <v/>
      </c>
      <c r="AI52" s="65" t="str">
        <f>IF($BJ51&gt;0,IF(INDEX('Final Calculation Sheet'!$AH$4:$AH$40,$BJ51-3)="","",INDEX('Final Calculation Sheet'!$AH$4:$AH$40,$BJ51-3)),IF(OR($BI51=1,$BL51=1,$BH51&gt;0),"–",""))</f>
        <v/>
      </c>
      <c r="BH52">
        <f>IFERROR(MATCH(52,$BF$4:$BF$13,0),0)</f>
        <v>0</v>
      </c>
      <c r="BI52">
        <f>IF(52=$BG$5,1,0)</f>
        <v>0</v>
      </c>
      <c r="BJ52">
        <f>IF(OR($BH52&gt;0,$BI52=1,$BL52=1),0,IFERROR(INDEX($BC$5:$BC$41,MATCH(52,$BB$5:$BB$41,0)),0))</f>
        <v>0</v>
      </c>
      <c r="BK52">
        <f>IF($BJ52&gt;0,IF(INDEX($AZ$5:$AZ$41,MATCH(52,$BB$5:$BB$41,0))=10,1,0),IF($BH52=10,1,0))</f>
        <v>0</v>
      </c>
      <c r="BL52">
        <f>IF(52=$BG$4,1,0)</f>
        <v>0</v>
      </c>
    </row>
    <row r="53" spans="1:64" ht="15" customHeight="1" x14ac:dyDescent="0.3">
      <c r="A53" s="62" t="str">
        <f>IF($BJ52&gt;0,INDEX($BA$5:$BA$41,MATCH(52,$BB$5:$BB$41,0)),IF(OR($BI52=1,$BL52=1,$BH52&gt;0),"∑",""))</f>
        <v/>
      </c>
      <c r="B53" s="63" t="str">
        <f>IF($BJ52&gt;0,IF(INDEX('Final Calculation Sheet'!$F$4:$F$40,$BJ52-3)="","",INDEX('Final Calculation Sheet'!$F$4:$F$40,$BJ52-3)),"")</f>
        <v/>
      </c>
      <c r="C53" s="63" t="str">
        <f>IF($BJ52&gt;0,IF(INDEX('Final Calculation Sheet'!$G$4:$G$40,$BJ52-3)="","",INDEX('Final Calculation Sheet'!$G$4:$G$40,$BJ52-3)),IF(OR($BI52=1,$BL52=1,$BH52&gt;0),IF($BI52=1,37,IF($BL52=1,37-INDEX($BD$4:$BD$13,10),INDEX($BD$4:$BD$13,$BH52)))&amp;" lot(s)",""))</f>
        <v/>
      </c>
      <c r="D53" s="64"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64" t="str">
        <f>IF($BJ52&gt;0,IF(INDEX('Final Calculation Sheet'!$D$4:$D$40,$BJ52-3)="","",INDEX('Final Calculation Sheet'!$D$4:$D$40,$BJ52-3)),IF(OR($BI52=1,$BL52=1,$BH52&gt;0),"–",""))</f>
        <v/>
      </c>
      <c r="F53" s="64"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64" t="str">
        <f>IF($BJ52&gt;0,IF(INDEX('Final Calculation Sheet'!$E$4:$E$40,$BJ52-3)="","",INDEX('Final Calculation Sheet'!$E$4:$E$40,$BJ52-3)),IF(OR($BI52=1,$BL52=1,$BH52&gt;0),"–",""))</f>
        <v/>
      </c>
      <c r="H53" s="65" t="str">
        <f>IF($BJ52&gt;0,IF(INDEX('Final Calculation Sheet'!$C$4:$C$40,$BJ52-3)="","",INDEX('Final Calculation Sheet'!$C$4:$C$40,$BJ52-3)),IF(OR($BI52=1,$BL52=1,$BH52&gt;0),"–",""))</f>
        <v/>
      </c>
      <c r="I53" s="65"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65"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65"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65"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65"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65"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66"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65"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65"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67" t="str">
        <f>IF($BJ52&gt;0,IF(INDEX('Final Calculation Sheet'!$Q$4:$Q$40,$BJ52-3)="","",INDEX('Final Calculation Sheet'!$Q$4:$Q$40,$BJ52-3)),IF(OR($BI52=1,$BL52=1,$BH52&gt;0),"–",""))</f>
        <v/>
      </c>
      <c r="S53" s="65"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65"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65"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68"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65" t="str">
        <f>IF($BJ52&gt;0,IF(INDEX('Final Calculation Sheet'!$V$4:$V$40,$BJ52-3)="","",INDEX('Final Calculation Sheet'!$V$4:$V$40,$BJ52-3)),IF(OR($BI52=1,$BL52=1,$BH52&gt;0),"–",""))</f>
        <v/>
      </c>
      <c r="X53" s="65"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65"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65" t="str">
        <f>IF($BJ52&gt;0,IF(INDEX('Final Calculation Sheet'!$Y$4:$Y$40,$BJ52-3)="","",INDEX('Final Calculation Sheet'!$Y$4:$Y$40,$BJ52-3)),IF(OR($BI52=1,$BL52=1,$BH52&gt;0),"–",""))</f>
        <v/>
      </c>
      <c r="AA53" s="65"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65"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65" t="str">
        <f>IF($BJ52&gt;0,IF(INDEX('Final Calculation Sheet'!$AB$4:$AB$40,$BJ52-3)="","",INDEX('Final Calculation Sheet'!$AB$4:$AB$40,$BJ52-3)),IF(OR($BI52=1,$BL52=1,$BH52&gt;0),"–",""))</f>
        <v/>
      </c>
      <c r="AD53" s="65"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65"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65" t="str">
        <f>IF($BJ52&gt;0,IF(INDEX('Final Calculation Sheet'!$AF$4:$AF$40,$BJ52-3)="","",INDEX('Final Calculation Sheet'!$AF$4:$AF$40,$BJ52-3)),IF(OR($BI52=1,$BL52=1,$BH52&gt;0),"–",""))</f>
        <v/>
      </c>
      <c r="AH53" s="69" t="str">
        <f>IF($BJ52&gt;0,IF(INDEX('Final Calculation Sheet'!$AG$4:$AG$40,$BJ52-3)="","",INDEX('Final Calculation Sheet'!$AG$4:$AG$40,$BJ52-3)),IF(OR($BI52=1,$BL52=1,$BH52&gt;0),"–",""))</f>
        <v/>
      </c>
      <c r="AI53" s="65" t="str">
        <f>IF($BJ52&gt;0,IF(INDEX('Final Calculation Sheet'!$AH$4:$AH$40,$BJ52-3)="","",INDEX('Final Calculation Sheet'!$AH$4:$AH$40,$BJ52-3)),IF(OR($BI52=1,$BL52=1,$BH52&gt;0),"–",""))</f>
        <v/>
      </c>
      <c r="BH53">
        <f>IFERROR(MATCH(53,$BF$4:$BF$13,0),0)</f>
        <v>0</v>
      </c>
      <c r="BI53">
        <f>IF(53=$BG$5,1,0)</f>
        <v>0</v>
      </c>
      <c r="BJ53">
        <f>IF(OR($BH53&gt;0,$BI53=1,$BL53=1),0,IFERROR(INDEX($BC$5:$BC$41,MATCH(53,$BB$5:$BB$41,0)),0))</f>
        <v>0</v>
      </c>
      <c r="BK53">
        <f>IF($BJ53&gt;0,IF(INDEX($AZ$5:$AZ$41,MATCH(53,$BB$5:$BB$41,0))=10,1,0),IF($BH53=10,1,0))</f>
        <v>0</v>
      </c>
      <c r="BL53">
        <f>IF(53=$BG$4,1,0)</f>
        <v>0</v>
      </c>
    </row>
    <row r="54" spans="1:64" ht="15" customHeight="1" x14ac:dyDescent="0.3">
      <c r="A54" s="62" t="str">
        <f>IF($BJ53&gt;0,INDEX($BA$5:$BA$41,MATCH(53,$BB$5:$BB$41,0)),IF(OR($BI53=1,$BL53=1,$BH53&gt;0),"∑",""))</f>
        <v/>
      </c>
      <c r="B54" s="63" t="str">
        <f>IF($BJ53&gt;0,IF(INDEX('Final Calculation Sheet'!$F$4:$F$40,$BJ53-3)="","",INDEX('Final Calculation Sheet'!$F$4:$F$40,$BJ53-3)),"")</f>
        <v/>
      </c>
      <c r="C54" s="63" t="str">
        <f>IF($BJ53&gt;0,IF(INDEX('Final Calculation Sheet'!$G$4:$G$40,$BJ53-3)="","",INDEX('Final Calculation Sheet'!$G$4:$G$40,$BJ53-3)),IF(OR($BI53=1,$BL53=1,$BH53&gt;0),IF($BI53=1,37,IF($BL53=1,37-INDEX($BD$4:$BD$13,10),INDEX($BD$4:$BD$13,$BH53)))&amp;" lot(s)",""))</f>
        <v/>
      </c>
      <c r="D54" s="64"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64" t="str">
        <f>IF($BJ53&gt;0,IF(INDEX('Final Calculation Sheet'!$D$4:$D$40,$BJ53-3)="","",INDEX('Final Calculation Sheet'!$D$4:$D$40,$BJ53-3)),IF(OR($BI53=1,$BL53=1,$BH53&gt;0),"–",""))</f>
        <v/>
      </c>
      <c r="F54" s="64"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64" t="str">
        <f>IF($BJ53&gt;0,IF(INDEX('Final Calculation Sheet'!$E$4:$E$40,$BJ53-3)="","",INDEX('Final Calculation Sheet'!$E$4:$E$40,$BJ53-3)),IF(OR($BI53=1,$BL53=1,$BH53&gt;0),"–",""))</f>
        <v/>
      </c>
      <c r="H54" s="65" t="str">
        <f>IF($BJ53&gt;0,IF(INDEX('Final Calculation Sheet'!$C$4:$C$40,$BJ53-3)="","",INDEX('Final Calculation Sheet'!$C$4:$C$40,$BJ53-3)),IF(OR($BI53=1,$BL53=1,$BH53&gt;0),"–",""))</f>
        <v/>
      </c>
      <c r="I54" s="65"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65"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65"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65"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65"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65"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66"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65"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65"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67" t="str">
        <f>IF($BJ53&gt;0,IF(INDEX('Final Calculation Sheet'!$Q$4:$Q$40,$BJ53-3)="","",INDEX('Final Calculation Sheet'!$Q$4:$Q$40,$BJ53-3)),IF(OR($BI53=1,$BL53=1,$BH53&gt;0),"–",""))</f>
        <v/>
      </c>
      <c r="S54" s="65"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65"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65"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68"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65" t="str">
        <f>IF($BJ53&gt;0,IF(INDEX('Final Calculation Sheet'!$V$4:$V$40,$BJ53-3)="","",INDEX('Final Calculation Sheet'!$V$4:$V$40,$BJ53-3)),IF(OR($BI53=1,$BL53=1,$BH53&gt;0),"–",""))</f>
        <v/>
      </c>
      <c r="X54" s="65"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65"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65" t="str">
        <f>IF($BJ53&gt;0,IF(INDEX('Final Calculation Sheet'!$Y$4:$Y$40,$BJ53-3)="","",INDEX('Final Calculation Sheet'!$Y$4:$Y$40,$BJ53-3)),IF(OR($BI53=1,$BL53=1,$BH53&gt;0),"–",""))</f>
        <v/>
      </c>
      <c r="AA54" s="65"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65"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65" t="str">
        <f>IF($BJ53&gt;0,IF(INDEX('Final Calculation Sheet'!$AB$4:$AB$40,$BJ53-3)="","",INDEX('Final Calculation Sheet'!$AB$4:$AB$40,$BJ53-3)),IF(OR($BI53=1,$BL53=1,$BH53&gt;0),"–",""))</f>
        <v/>
      </c>
      <c r="AD54" s="65"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65"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65" t="str">
        <f>IF($BJ53&gt;0,IF(INDEX('Final Calculation Sheet'!$AF$4:$AF$40,$BJ53-3)="","",INDEX('Final Calculation Sheet'!$AF$4:$AF$40,$BJ53-3)),IF(OR($BI53=1,$BL53=1,$BH53&gt;0),"–",""))</f>
        <v/>
      </c>
      <c r="AH54" s="69" t="str">
        <f>IF($BJ53&gt;0,IF(INDEX('Final Calculation Sheet'!$AG$4:$AG$40,$BJ53-3)="","",INDEX('Final Calculation Sheet'!$AG$4:$AG$40,$BJ53-3)),IF(OR($BI53=1,$BL53=1,$BH53&gt;0),"–",""))</f>
        <v/>
      </c>
      <c r="AI54" s="65" t="str">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dxfId="123" priority="2">
      <formula>AND($B$3&lt;&gt;"",$BK5=1,$BH5=0,$BI5=0)</formula>
    </cfRule>
    <cfRule type="expression" dxfId="122" priority="3">
      <formula>$BH5=10</formula>
    </cfRule>
    <cfRule type="expression" dxfId="121" priority="4">
      <formula>$BI5=1</formula>
    </cfRule>
    <cfRule type="expression" dxfId="120" priority="5">
      <formula>$BL5=1</formula>
    </cfRule>
    <cfRule type="expression" dxfId="119" priority="6">
      <formula>$BH5&gt;0</formula>
    </cfRule>
    <cfRule type="expression" dxfId="118" priority="7">
      <formula>AND($B$3&lt;&gt;"",$BJ5&gt;0,$BK5=0)</formula>
    </cfRule>
    <cfRule type="expression" dxfId="117" priority="8">
      <formula>AND($BJ5&gt;0,MOD($BJ5,2)=0)</formula>
    </cfRule>
    <cfRule type="expression" dxfId="116" priority="12">
      <formula>OR($BJ5&gt;0,$BH5&gt;0,$BI5=1,$BL5=1)</formula>
    </cfRule>
  </conditionalFormatting>
  <conditionalFormatting sqref="AE6:AE54">
    <cfRule type="cellIs" dxfId="115" priority="9" operator="greaterThan">
      <formula>5</formula>
    </cfRule>
  </conditionalFormatting>
  <conditionalFormatting sqref="AF6:AF54">
    <cfRule type="cellIs" dxfId="114" priority="10" operator="equal">
      <formula>"SETTLED"</formula>
    </cfRule>
    <cfRule type="cellIs" dxfId="113" priority="11" operator="equal">
      <formula>"OUTSTANDING"</formula>
    </cfRule>
  </conditionalFormatting>
  <dataValidations count="37">
    <dataValidation type="list" sqref="F3" xr:uid="{00000000-0002-0000-0100-000000000000}">
      <formula1>$AO$4:$AO$9</formula1>
      <formula2>0</formula2>
    </dataValidation>
    <dataValidation type="list" sqref="B3" xr:uid="{00000000-0002-0000-0100-000001000000}">
      <formula1>SUG_MAIN</formula1>
      <formula2>0</formula2>
    </dataValidation>
    <dataValidation type="list" sqref="A4" xr:uid="{00000000-0002-0000-0100-000002000000}">
      <formula1>SUG_A</formula1>
      <formula2>0</formula2>
    </dataValidation>
    <dataValidation type="list" sqref="B4" xr:uid="{00000000-0002-0000-0100-000003000000}">
      <formula1>SUG_B</formula1>
      <formula2>0</formula2>
    </dataValidation>
    <dataValidation type="list" sqref="C4" xr:uid="{00000000-0002-0000-0100-000004000000}">
      <formula1>SUG_C</formula1>
      <formula2>0</formula2>
    </dataValidation>
    <dataValidation type="list" sqref="D4" xr:uid="{00000000-0002-0000-0100-000005000000}">
      <formula1>SUG_D</formula1>
      <formula2>0</formula2>
    </dataValidation>
    <dataValidation type="list" sqref="E4" xr:uid="{00000000-0002-0000-0100-000006000000}">
      <formula1>SUG_E</formula1>
      <formula2>0</formula2>
    </dataValidation>
    <dataValidation type="list" sqref="F4" xr:uid="{00000000-0002-0000-0100-000007000000}">
      <formula1>SUG_F</formula1>
      <formula2>0</formula2>
    </dataValidation>
    <dataValidation type="list" sqref="G4" xr:uid="{00000000-0002-0000-0100-000008000000}">
      <formula1>SUG_G</formula1>
      <formula2>0</formula2>
    </dataValidation>
    <dataValidation type="list" sqref="H4" xr:uid="{00000000-0002-0000-0100-000009000000}">
      <formula1>SUG_H</formula1>
      <formula2>0</formula2>
    </dataValidation>
    <dataValidation type="list" sqref="I4" xr:uid="{00000000-0002-0000-0100-00000A000000}">
      <formula1>SUG_I</formula1>
      <formula2>0</formula2>
    </dataValidation>
    <dataValidation type="list" sqref="J4" xr:uid="{00000000-0002-0000-0100-00000B000000}">
      <formula1>SUG_J</formula1>
      <formula2>0</formula2>
    </dataValidation>
    <dataValidation type="list" sqref="K4" xr:uid="{00000000-0002-0000-0100-00000C000000}">
      <formula1>SUG_K</formula1>
      <formula2>0</formula2>
    </dataValidation>
    <dataValidation type="list" sqref="L4" xr:uid="{00000000-0002-0000-0100-00000D000000}">
      <formula1>SUG_L</formula1>
      <formula2>0</formula2>
    </dataValidation>
    <dataValidation type="list" sqref="M4" xr:uid="{00000000-0002-0000-0100-00000E000000}">
      <formula1>SUG_M</formula1>
      <formula2>0</formula2>
    </dataValidation>
    <dataValidation type="list" sqref="N4" xr:uid="{00000000-0002-0000-0100-00000F000000}">
      <formula1>SUG_N</formula1>
      <formula2>0</formula2>
    </dataValidation>
    <dataValidation type="list" sqref="O4" xr:uid="{00000000-0002-0000-0100-000010000000}">
      <formula1>SUG_O</formula1>
      <formula2>0</formula2>
    </dataValidation>
    <dataValidation type="list" sqref="P4" xr:uid="{00000000-0002-0000-0100-000011000000}">
      <formula1>SUG_P</formula1>
      <formula2>0</formula2>
    </dataValidation>
    <dataValidation type="list" sqref="Q4" xr:uid="{00000000-0002-0000-0100-000012000000}">
      <formula1>SUG_Q</formula1>
      <formula2>0</formula2>
    </dataValidation>
    <dataValidation type="list" sqref="R4" xr:uid="{00000000-0002-0000-0100-000013000000}">
      <formula1>SUG_R</formula1>
      <formula2>0</formula2>
    </dataValidation>
    <dataValidation type="list" sqref="S4" xr:uid="{00000000-0002-0000-0100-000014000000}">
      <formula1>SUG_S</formula1>
      <formula2>0</formula2>
    </dataValidation>
    <dataValidation type="list" sqref="T4" xr:uid="{00000000-0002-0000-0100-000015000000}">
      <formula1>SUG_T</formula1>
      <formula2>0</formula2>
    </dataValidation>
    <dataValidation type="list" sqref="U4" xr:uid="{00000000-0002-0000-0100-000016000000}">
      <formula1>SUG_U</formula1>
      <formula2>0</formula2>
    </dataValidation>
    <dataValidation type="list" sqref="V4" xr:uid="{00000000-0002-0000-0100-000017000000}">
      <formula1>SUG_V</formula1>
      <formula2>0</formula2>
    </dataValidation>
    <dataValidation type="list" sqref="W4" xr:uid="{00000000-0002-0000-0100-000018000000}">
      <formula1>SUG_W</formula1>
      <formula2>0</formula2>
    </dataValidation>
    <dataValidation type="list" sqref="X4" xr:uid="{00000000-0002-0000-0100-000019000000}">
      <formula1>SUG_X</formula1>
      <formula2>0</formula2>
    </dataValidation>
    <dataValidation type="list" sqref="Y4" xr:uid="{00000000-0002-0000-0100-00001A000000}">
      <formula1>SUG_Y</formula1>
      <formula2>0</formula2>
    </dataValidation>
    <dataValidation type="list" sqref="Z4" xr:uid="{00000000-0002-0000-0100-00001B000000}">
      <formula1>SUG_Z</formula1>
      <formula2>0</formula2>
    </dataValidation>
    <dataValidation type="list" sqref="AA4" xr:uid="{00000000-0002-0000-0100-00001C000000}">
      <formula1>SUG_AA</formula1>
      <formula2>0</formula2>
    </dataValidation>
    <dataValidation type="list" sqref="AB4" xr:uid="{00000000-0002-0000-0100-00001D000000}">
      <formula1>SUG_AB</formula1>
      <formula2>0</formula2>
    </dataValidation>
    <dataValidation type="list" sqref="AC4" xr:uid="{00000000-0002-0000-0100-00001E000000}">
      <formula1>SUG_AC</formula1>
      <formula2>0</formula2>
    </dataValidation>
    <dataValidation type="list" sqref="AD4" xr:uid="{00000000-0002-0000-0100-00001F000000}">
      <formula1>SUG_AD</formula1>
      <formula2>0</formula2>
    </dataValidation>
    <dataValidation type="list" sqref="AE4" xr:uid="{00000000-0002-0000-0100-000020000000}">
      <formula1>SUG_AE</formula1>
      <formula2>0</formula2>
    </dataValidation>
    <dataValidation type="list" sqref="AG4" xr:uid="{00000000-0002-0000-0100-000021000000}">
      <formula1>SUG_AF</formula1>
      <formula2>0</formula2>
    </dataValidation>
    <dataValidation type="list" sqref="AH4" xr:uid="{00000000-0002-0000-0100-000022000000}">
      <formula1>SUG_AG</formula1>
      <formula2>0</formula2>
    </dataValidation>
    <dataValidation type="list" sqref="AI4" xr:uid="{00000000-0002-0000-0100-000023000000}">
      <formula1>SUG_AH</formula1>
      <formula2>0</formula2>
    </dataValidation>
    <dataValidation type="list" sqref="AF4" xr:uid="{00000000-0002-0000-0100-000024000000}">
      <formula1>SUG_AI</formula1>
      <formula2>0</formula2>
    </dataValidation>
  </dataValidations>
  <pageMargins left="0.75" right="0.75" top="1" bottom="1" header="0.511811023622047" footer="0.511811023622047"/>
  <pageSetup fitToHeight="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5B6"/>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defaultColWidth="8.6640625" defaultRowHeight="14.4" outlineLevelRow="1" outlineLevelCol="1" x14ac:dyDescent="0.3"/>
  <cols>
    <col min="1" max="1" width="14.88671875" hidden="1" customWidth="1"/>
    <col min="2" max="2" width="10" customWidth="1"/>
    <col min="3" max="3" width="30" customWidth="1"/>
    <col min="4" max="4" width="42" customWidth="1" outlineLevel="1"/>
    <col min="5" max="5" width="11.6640625" customWidth="1" outlineLevel="1"/>
    <col min="6" max="6" width="12" customWidth="1" outlineLevel="1"/>
    <col min="7" max="7" width="11" customWidth="1" outlineLevel="1"/>
    <col min="8" max="8" width="8.88671875" customWidth="1" outlineLevel="1"/>
    <col min="9" max="9" width="10.33203125" customWidth="1"/>
    <col min="10" max="10" width="8.88671875" customWidth="1" outlineLevel="1"/>
    <col min="11" max="11" width="13.44140625" customWidth="1" outlineLevel="1"/>
    <col min="12" max="16" width="13" customWidth="1" outlineLevel="1"/>
    <col min="17" max="17" width="13.44140625" customWidth="1"/>
    <col min="18" max="18" width="13" customWidth="1" outlineLevel="1"/>
    <col min="19" max="19" width="13.44140625" customWidth="1"/>
    <col min="20" max="20" width="13" customWidth="1"/>
    <col min="21" max="21" width="13.44140625" customWidth="1" outlineLevel="1"/>
    <col min="22" max="22" width="13.44140625" customWidth="1"/>
    <col min="23" max="23" width="13" customWidth="1"/>
    <col min="24" max="24" width="13" customWidth="1" outlineLevel="1"/>
    <col min="25" max="26" width="13" customWidth="1"/>
    <col min="27" max="27" width="13" customWidth="1" outlineLevel="1"/>
    <col min="28" max="35" width="13" customWidth="1"/>
    <col min="36" max="106" width="13" hidden="1" customWidth="1"/>
    <col min="111" max="144" width="13" hidden="1" customWidth="1"/>
  </cols>
  <sheetData>
    <row r="1" spans="1:144" ht="30" customHeight="1" x14ac:dyDescent="0.3">
      <c r="A1" s="153" t="s">
        <v>142</v>
      </c>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row>
    <row r="2" spans="1:144" ht="43.5" customHeight="1" x14ac:dyDescent="0.3">
      <c r="A2" s="147" t="s">
        <v>143</v>
      </c>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144" ht="21.75" customHeight="1" x14ac:dyDescent="0.3">
      <c r="A3" s="54" t="s">
        <v>144</v>
      </c>
      <c r="B3" s="57">
        <f>SUMPRODUCT(1/COUNTIF('Final Calculation Sheet'!$G$4:$G$40,'Final Calculation Sheet'!$G$4:$G$40))</f>
        <v>12.999999999999998</v>
      </c>
      <c r="C3" s="54" t="s">
        <v>145</v>
      </c>
      <c r="D3" s="57">
        <f>COUNTA('Final Calculation Sheet'!$G$4:$G$40)</f>
        <v>37</v>
      </c>
      <c r="DG3" t="s">
        <v>146</v>
      </c>
      <c r="DH3" t="s">
        <v>147</v>
      </c>
      <c r="DI3" t="s">
        <v>148</v>
      </c>
      <c r="DJ3" t="s">
        <v>149</v>
      </c>
      <c r="DK3" t="s">
        <v>150</v>
      </c>
      <c r="DL3" t="s">
        <v>151</v>
      </c>
      <c r="DM3" t="s">
        <v>152</v>
      </c>
      <c r="DN3" t="s">
        <v>153</v>
      </c>
      <c r="DO3" t="s">
        <v>154</v>
      </c>
      <c r="DP3" t="s">
        <v>155</v>
      </c>
      <c r="DQ3" t="s">
        <v>156</v>
      </c>
      <c r="DR3" t="s">
        <v>157</v>
      </c>
      <c r="DS3" t="s">
        <v>158</v>
      </c>
      <c r="DT3" t="s">
        <v>159</v>
      </c>
      <c r="DU3" t="s">
        <v>160</v>
      </c>
      <c r="DV3" t="s">
        <v>161</v>
      </c>
      <c r="DW3" t="s">
        <v>162</v>
      </c>
      <c r="DX3" t="s">
        <v>163</v>
      </c>
      <c r="DY3" t="s">
        <v>164</v>
      </c>
      <c r="DZ3" t="s">
        <v>165</v>
      </c>
      <c r="EA3" t="s">
        <v>166</v>
      </c>
      <c r="EB3" t="s">
        <v>167</v>
      </c>
      <c r="EC3" t="s">
        <v>168</v>
      </c>
      <c r="ED3" t="s">
        <v>169</v>
      </c>
      <c r="EE3" t="s">
        <v>170</v>
      </c>
      <c r="EF3" t="s">
        <v>171</v>
      </c>
      <c r="EG3" t="s">
        <v>172</v>
      </c>
      <c r="EH3" t="s">
        <v>173</v>
      </c>
      <c r="EI3" t="s">
        <v>174</v>
      </c>
      <c r="EJ3" t="s">
        <v>175</v>
      </c>
      <c r="EK3" t="s">
        <v>176</v>
      </c>
      <c r="EL3" t="s">
        <v>177</v>
      </c>
      <c r="EM3" t="s">
        <v>178</v>
      </c>
      <c r="EN3" t="s">
        <v>179</v>
      </c>
    </row>
    <row r="4" spans="1:144" ht="18" customHeight="1" x14ac:dyDescent="0.3">
      <c r="A4" s="71" t="s">
        <v>180</v>
      </c>
      <c r="B4" s="72"/>
      <c r="C4" s="72"/>
      <c r="D4" s="72"/>
      <c r="E4" s="72"/>
      <c r="F4" s="72"/>
      <c r="G4" s="72"/>
      <c r="H4" s="72"/>
      <c r="I4" s="72"/>
      <c r="J4" s="72"/>
      <c r="K4" s="72"/>
      <c r="L4" s="72"/>
      <c r="M4" s="72"/>
      <c r="N4" s="72"/>
      <c r="O4" s="72"/>
      <c r="P4" s="72"/>
      <c r="Q4" s="72"/>
      <c r="R4" s="72"/>
      <c r="S4" s="72"/>
      <c r="T4" s="72"/>
      <c r="U4" s="72"/>
      <c r="V4" s="72"/>
      <c r="W4" s="72"/>
      <c r="X4" s="72"/>
      <c r="Y4" s="72"/>
      <c r="Z4" s="72"/>
      <c r="AA4" s="72"/>
      <c r="AB4" s="72"/>
      <c r="AC4" s="72"/>
      <c r="AD4" s="72"/>
      <c r="AE4" s="72"/>
      <c r="AF4" s="72"/>
      <c r="AG4" s="72"/>
      <c r="AH4" s="72"/>
      <c r="AI4" s="72"/>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 ca="1">IF(AND(Lists!$EJ$4&lt;&gt;"",ISNUMBER(SEARCH($AA$4,Lists!$EJ$4))),1,0)</f>
        <v>1</v>
      </c>
      <c r="CL4">
        <f ca="1">IF(ROW()-3&gt;MAX($CK$4:$CK$42),"",INDEX(Lists!$EJ$4:$EJ$42,MATCH(ROW()-3,$CK$4:$CK$42,0)))</f>
        <v>545.16</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f>IF(AND(Lists!$FD$4&lt;&gt;"",ISNUMBER(SEARCH($AE$4,Lists!$FD$4))),1,0)</f>
        <v>1</v>
      </c>
      <c r="CT4">
        <f>IF(ROW()-3&gt;MAX($CS$4:$CS$42),"",INDEX(Lists!$FD$4:$FD$42,MATCH(ROW()-3,$CS$4:$CS$42,0)))</f>
        <v>-2832</v>
      </c>
      <c r="CU4" t="e">
        <f>IF(AND(Lists!$FI$4&lt;&gt;"",ISNUMBER(SEARCH($AG$4,Lists!$FI$4))),1,0)</f>
        <v>#N/A</v>
      </c>
      <c r="CV4" t="e">
        <f>IF(ROW()-3&gt;MAX($CU$4:$CU$42),"",INDEX(Lists!$FI$4:$FI$42,MATCH(ROW()-3,$CU$4:$CU$42,0)))</f>
        <v>#N/A</v>
      </c>
      <c r="CW4" t="e">
        <f>IF(AND(Lists!$FN$4&lt;&gt;"",ISNUMBER(SEARCH($AH$4,Lists!$FN$4))),1,0)</f>
        <v>#N/A</v>
      </c>
      <c r="CX4" t="e">
        <f>IF(ROW()-3&gt;MAX($CW$4:$CW$42),"",INDEX(Lists!$FN$4:$FN$42,MATCH(ROW()-3,$CW$4:$CW$42,0)))</f>
        <v>#N/A</v>
      </c>
      <c r="CY4" t="e">
        <f>IF(AND(Lists!$FS$4&lt;&gt;"",ISNUMBER(SEARCH($AI$4,Lists!$FS$4))),1,0)</f>
        <v>#N/A</v>
      </c>
      <c r="CZ4" t="e">
        <f>IF(ROW()-3&gt;MAX($CY$4:$CY$42),"",INDEX(Lists!$FS$4:$FS$42,MATCH(ROW()-3,$CY$4:$CY$42,0)))</f>
        <v>#N/A</v>
      </c>
      <c r="DA4">
        <f>IF(AND(Lists!$FX$4&lt;&gt;"",ISNUMBER(SEARCH($AF$4,Lists!$FX$4))),1,0)</f>
        <v>1</v>
      </c>
      <c r="DB4" t="str">
        <f>IF(ROW()-3&gt;MAX($DA$4:$DA$42),"",INDEX(Lists!$FX$4:$FX$42,MATCH(ROW()-3,$DA$4:$DA$42,0)))</f>
        <v>OUTSTANDING</v>
      </c>
    </row>
    <row r="5" spans="1:144" ht="43.5" customHeight="1" x14ac:dyDescent="0.3">
      <c r="A5" s="59" t="s">
        <v>12</v>
      </c>
      <c r="B5" s="59" t="s">
        <v>13</v>
      </c>
      <c r="C5" s="59" t="s">
        <v>14</v>
      </c>
      <c r="D5" s="59" t="s">
        <v>15</v>
      </c>
      <c r="E5" s="59" t="s">
        <v>16</v>
      </c>
      <c r="F5" s="59" t="s">
        <v>17</v>
      </c>
      <c r="G5" s="59" t="s">
        <v>18</v>
      </c>
      <c r="H5" s="59" t="s">
        <v>19</v>
      </c>
      <c r="I5" s="59" t="s">
        <v>20</v>
      </c>
      <c r="J5" s="59" t="s">
        <v>21</v>
      </c>
      <c r="K5" s="59" t="s">
        <v>22</v>
      </c>
      <c r="L5" s="59" t="s">
        <v>23</v>
      </c>
      <c r="M5" s="59" t="s">
        <v>24</v>
      </c>
      <c r="N5" s="59" t="s">
        <v>25</v>
      </c>
      <c r="O5" s="59" t="s">
        <v>26</v>
      </c>
      <c r="P5" s="59" t="s">
        <v>27</v>
      </c>
      <c r="Q5" s="59" t="s">
        <v>28</v>
      </c>
      <c r="R5" s="59" t="s">
        <v>29</v>
      </c>
      <c r="S5" s="59" t="s">
        <v>30</v>
      </c>
      <c r="T5" s="59" t="s">
        <v>31</v>
      </c>
      <c r="U5" s="59" t="s">
        <v>32</v>
      </c>
      <c r="V5" s="59" t="s">
        <v>33</v>
      </c>
      <c r="W5" s="59" t="s">
        <v>34</v>
      </c>
      <c r="X5" s="59" t="s">
        <v>35</v>
      </c>
      <c r="Y5" s="59" t="s">
        <v>36</v>
      </c>
      <c r="Z5" s="59" t="s">
        <v>37</v>
      </c>
      <c r="AA5" s="59" t="s">
        <v>38</v>
      </c>
      <c r="AB5" s="59" t="s">
        <v>39</v>
      </c>
      <c r="AC5" s="59" t="s">
        <v>40</v>
      </c>
      <c r="AD5" s="59" t="s">
        <v>41</v>
      </c>
      <c r="AE5" s="59" t="s">
        <v>42</v>
      </c>
      <c r="AF5" s="59" t="s">
        <v>43</v>
      </c>
      <c r="AG5" s="59" t="s">
        <v>44</v>
      </c>
      <c r="AH5" s="59" t="s">
        <v>45</v>
      </c>
      <c r="AI5" s="59" t="s">
        <v>46</v>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 ca="1">CK4+IF(AND(Lists!$EJ$5&lt;&gt;"",ISNUMBER(SEARCH($AA$4,Lists!$EJ$5))),1,0)</f>
        <v>2</v>
      </c>
      <c r="CL5">
        <f ca="1">IF(ROW()-3&gt;MAX($CK$4:$CK$42),"",INDEX(Lists!$EJ$4:$EJ$42,MATCH(ROW()-3,$CK$4:$CK$42,0)))</f>
        <v>619.5</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f>CS4+IF(AND(Lists!$FD$5&lt;&gt;"",ISNUMBER(SEARCH($AE$4,Lists!$FD$5))),1,0)</f>
        <v>2</v>
      </c>
      <c r="CT5">
        <f>IF(ROW()-3&gt;MAX($CS$4:$CS$42),"",INDEX(Lists!$FD$4:$FD$42,MATCH(ROW()-3,$CS$4:$CS$42,0)))</f>
        <v>-708</v>
      </c>
      <c r="CU5" t="e">
        <f>CU4+IF(AND(Lists!$FI$5&lt;&gt;"",ISNUMBER(SEARCH($AG$4,Lists!$FI$5))),1,0)</f>
        <v>#N/A</v>
      </c>
      <c r="CV5" t="e">
        <f>IF(ROW()-3&gt;MAX($CU$4:$CU$42),"",INDEX(Lists!$FI$4:$FI$42,MATCH(ROW()-3,$CU$4:$CU$42,0)))</f>
        <v>#N/A</v>
      </c>
      <c r="CW5" t="e">
        <f>CW4+IF(AND(Lists!$FN$5&lt;&gt;"",ISNUMBER(SEARCH($AH$4,Lists!$FN$5))),1,0)</f>
        <v>#N/A</v>
      </c>
      <c r="CX5" t="e">
        <f>IF(ROW()-3&gt;MAX($CW$4:$CW$42),"",INDEX(Lists!$FN$4:$FN$42,MATCH(ROW()-3,$CW$4:$CW$42,0)))</f>
        <v>#N/A</v>
      </c>
      <c r="CY5" t="e">
        <f>CY4+IF(AND(Lists!$FS$5&lt;&gt;"",ISNUMBER(SEARCH($AI$4,Lists!$FS$5))),1,0)</f>
        <v>#N/A</v>
      </c>
      <c r="CZ5" t="e">
        <f>IF(ROW()-3&gt;MAX($CY$4:$CY$42),"",INDEX(Lists!$FS$4:$FS$42,MATCH(ROW()-3,$CY$4:$CY$42,0)))</f>
        <v>#N/A</v>
      </c>
      <c r="DA5">
        <f>DA4+IF(AND(Lists!$FX$5&lt;&gt;"",ISNUMBER(SEARCH($AF$4,Lists!$FX$5))),1,0)</f>
        <v>2</v>
      </c>
      <c r="DB5" t="str">
        <f>IF(ROW()-3&gt;MAX($DA$4:$DA$42),"",INDEX(Lists!$FX$4:$FX$42,MATCH(ROW()-3,$DA$4:$DA$42,0)))</f>
        <v>SETTLED</v>
      </c>
    </row>
    <row r="6" spans="1:144" x14ac:dyDescent="0.3">
      <c r="A6" s="106" t="s">
        <v>181</v>
      </c>
      <c r="B6" s="106"/>
      <c r="C6" s="106"/>
      <c r="D6" s="106"/>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v>1</v>
      </c>
      <c r="AK6">
        <f>IF(AJ6=1,COUNTIF(AJ$6:AJ6,1),"")</f>
        <v>1</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 ca="1">CK5+IF(AND(Lists!$EJ$6&lt;&gt;"",ISNUMBER(SEARCH($AA$4,Lists!$EJ$6))),1,0)</f>
        <v>3</v>
      </c>
      <c r="CL6">
        <f ca="1">IF(ROW()-3&gt;MAX($CK$4:$CK$42),"",INDEX(Lists!$EJ$4:$EJ$42,MATCH(ROW()-3,$CK$4:$CK$42,0)))</f>
        <v>708.28319999999997</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f>CS5+IF(AND(Lists!$FD$6&lt;&gt;"",ISNUMBER(SEARCH($AE$4,Lists!$FD$6))),1,0)</f>
        <v>3</v>
      </c>
      <c r="CT6">
        <f>IF(ROW()-3&gt;MAX($CS$4:$CS$42),"",INDEX(Lists!$FD$4:$FD$42,MATCH(ROW()-3,$CS$4:$CS$42,0)))</f>
        <v>-48</v>
      </c>
      <c r="CU6" t="e">
        <f>CU5+IF(AND(Lists!$FI$6&lt;&gt;"",ISNUMBER(SEARCH($AG$4,Lists!$FI$6))),1,0)</f>
        <v>#N/A</v>
      </c>
      <c r="CV6" t="e">
        <f>IF(ROW()-3&gt;MAX($CU$4:$CU$42),"",INDEX(Lists!$FI$4:$FI$42,MATCH(ROW()-3,$CU$4:$CU$42,0)))</f>
        <v>#N/A</v>
      </c>
      <c r="CW6" t="e">
        <f>CW5+IF(AND(Lists!$FN$6&lt;&gt;"",ISNUMBER(SEARCH($AH$4,Lists!$FN$6))),1,0)</f>
        <v>#N/A</v>
      </c>
      <c r="CX6" t="e">
        <f>IF(ROW()-3&gt;MAX($CW$4:$CW$42),"",INDEX(Lists!$FN$4:$FN$42,MATCH(ROW()-3,$CW$4:$CW$42,0)))</f>
        <v>#N/A</v>
      </c>
      <c r="CY6" t="e">
        <f>CY5+IF(AND(Lists!$FS$6&lt;&gt;"",ISNUMBER(SEARCH($AI$4,Lists!$FS$6))),1,0)</f>
        <v>#N/A</v>
      </c>
      <c r="CZ6" t="e">
        <f>IF(ROW()-3&gt;MAX($CY$4:$CY$42),"",INDEX(Lists!$FS$4:$FS$42,MATCH(ROW()-3,$CY$4:$CY$42,0)))</f>
        <v>#N/A</v>
      </c>
      <c r="DA6">
        <f>DA5+IF(AND(Lists!$FX$6&lt;&gt;"",ISNUMBER(SEARCH($AF$4,Lists!$FX$6))),1,0)</f>
        <v>2</v>
      </c>
      <c r="DB6" t="str">
        <f>IF(ROW()-3&gt;MAX($DA$4:$DA$42),"",INDEX(Lists!$FX$4:$FX$42,MATCH(ROW()-3,$DA$4:$DA$42,0)))</f>
        <v/>
      </c>
      <c r="DG6">
        <f>IF($B$4="",1,IF($B$4="(blank)",--('Final Calculation Sheet'!$F$4=""),IF($B$4="(nonblank)",--('Final Calculation Sheet'!$F$4&lt;&gt;""),--ISNUMBER(SEARCH($B$4,'Final Calculation Sheet'!$F$4)))))</f>
        <v>1</v>
      </c>
      <c r="DH6">
        <f>IF($C$4="",1,IF($C$4="(blank)",--('Final Calculation Sheet'!$G$4=""),IF($C$4="(nonblank)",--('Final Calculation Sheet'!$G$4&lt;&gt;""),--ISNUMBER(SEARCH($C$4,'Final Calculation Sheet'!$G$4)))))</f>
        <v>1</v>
      </c>
      <c r="DI6">
        <f>IF($D$4="",1,IF($D$4="(blank)",--('Final Calculation Sheet'!$B$4=""),IF($D$4="(nonblank)",--('Final Calculation Sheet'!$B$4&lt;&gt;""),--ISNUMBER(SEARCH($D$4,'Final Calculation Sheet'!$B$4)))))</f>
        <v>1</v>
      </c>
      <c r="DJ6">
        <f>IF($E$4="",1,IF($E$4="(blank)",--('Final Calculation Sheet'!$D$4=""),IF($E$4="(nonblank)",--('Final Calculation Sheet'!$D$4&lt;&gt;""),--ISNUMBER(SEARCH($E$4,'Final Calculation Sheet'!$D$4)))))</f>
        <v>1</v>
      </c>
      <c r="DK6">
        <f>IF($F$4="",1,IF($F$4="(blank)",--('Final Calculation Sheet'!$A$4=""),IF($F$4="(nonblank)",--('Final Calculation Sheet'!$A$4&lt;&gt;""),--ISNUMBER(SEARCH($F$4,'Final Calculation Sheet'!$A$4)))))</f>
        <v>1</v>
      </c>
      <c r="DL6">
        <f>IF($G$4="",1,IF($G$4="(blank)",--('Final Calculation Sheet'!$E$4=""),IF($G$4="(nonblank)",--('Final Calculation Sheet'!$E$4&lt;&gt;""),--ISNUMBER(SEARCH($G$4,'Final Calculation Sheet'!$E$4)))))</f>
        <v>1</v>
      </c>
      <c r="DM6">
        <f>IF($H$4="",1,IF($H$4="(blank)",--('Final Calculation Sheet'!$C$4=""),IF($H$4="(nonblank)",--('Final Calculation Sheet'!$C$4&lt;&gt;""),--ISNUMBER(SEARCH($H$4,'Final Calculation Sheet'!$C$4)))))</f>
        <v>1</v>
      </c>
      <c r="DN6">
        <f>IF($I$4="",1,IF($I$4="(blank)",--('Final Calculation Sheet'!$H$4=""),IF($I$4="(nonblank)",--('Final Calculation Sheet'!$H$4&lt;&gt;""),--ISNUMBER(SEARCH($I$4,'Final Calculation Sheet'!$H$4)))))</f>
        <v>1</v>
      </c>
      <c r="DO6">
        <f>IF($J$4="",1,IF($J$4="(blank)",--('Final Calculation Sheet'!$I$4=""),IF($J$4="(nonblank)",--('Final Calculation Sheet'!$I$4&lt;&gt;""),--ISNUMBER(SEARCH($J$4,'Final Calculation Sheet'!$I$4)))))</f>
        <v>1</v>
      </c>
      <c r="DP6">
        <f>IF($K$4="",1,IF($K$4="(blank)",--('Final Calculation Sheet'!$J$4=""),IF($K$4="(nonblank)",--('Final Calculation Sheet'!$J$4&lt;&gt;""),--ISNUMBER(SEARCH($K$4,'Final Calculation Sheet'!$J$4)))))</f>
        <v>1</v>
      </c>
      <c r="DQ6">
        <f>IF($L$4="",1,IF($L$4="(blank)",--('Final Calculation Sheet'!$K$4=""),IF($L$4="(nonblank)",--('Final Calculation Sheet'!$K$4&lt;&gt;""),--ISNUMBER(SEARCH($L$4,'Final Calculation Sheet'!$K$4)))))</f>
        <v>1</v>
      </c>
      <c r="DR6">
        <f>IF($M$4="",1,IF($M$4="(blank)",--('Final Calculation Sheet'!$L$4=""),IF($M$4="(nonblank)",--('Final Calculation Sheet'!$L$4&lt;&gt;""),--ISNUMBER(SEARCH($M$4,'Final Calculation Sheet'!$L$4)))))</f>
        <v>1</v>
      </c>
      <c r="DS6">
        <f>IF($N$4="",1,IF($N$4="(blank)",--('Final Calculation Sheet'!$M$4=""),IF($N$4="(nonblank)",--('Final Calculation Sheet'!$M$4&lt;&gt;""),--ISNUMBER(SEARCH($N$4,'Final Calculation Sheet'!$M$4)))))</f>
        <v>1</v>
      </c>
      <c r="DT6">
        <f>IF($O$4="",1,IF($O$4="(blank)",--('Final Calculation Sheet'!$N$4=""),IF($O$4="(nonblank)",--('Final Calculation Sheet'!$N$4&lt;&gt;""),--ISNUMBER(SEARCH($O$4,'Final Calculation Sheet'!$N$4)))))</f>
        <v>1</v>
      </c>
      <c r="DU6">
        <f>IF($P$4="",1,IF($P$4="(blank)",--('Final Calculation Sheet'!$O$4=""),IF($P$4="(nonblank)",--('Final Calculation Sheet'!$O$4&lt;&gt;""),--ISNUMBER(SEARCH($P$4,'Final Calculation Sheet'!$O$4)))))</f>
        <v>1</v>
      </c>
      <c r="DV6">
        <f>IF($Q$4="",1,IF($Q$4="(blank)",--('Final Calculation Sheet'!$P$4=""),IF($Q$4="(nonblank)",--('Final Calculation Sheet'!$P$4&lt;&gt;""),--ISNUMBER(SEARCH($Q$4,'Final Calculation Sheet'!$P$4)))))</f>
        <v>1</v>
      </c>
      <c r="DW6">
        <f>IF($R$4="",1,IF($R$4="(blank)",--('Final Calculation Sheet'!$Q$4=""),IF($R$4="(nonblank)",--('Final Calculation Sheet'!$Q$4&lt;&gt;""),--ISNUMBER(SEARCH($R$4,'Final Calculation Sheet'!$Q$4)))))</f>
        <v>1</v>
      </c>
      <c r="DX6">
        <f>IF($S$4="",1,IF($S$4="(blank)",--('Final Calculation Sheet'!$R$4=""),IF($S$4="(nonblank)",--('Final Calculation Sheet'!$R$4&lt;&gt;""),--ISNUMBER(SEARCH($S$4,'Final Calculation Sheet'!$R$4)))))</f>
        <v>1</v>
      </c>
      <c r="DY6">
        <f>IF($T$4="",1,IF($T$4="(blank)",--('Final Calculation Sheet'!$S$4=""),IF($T$4="(nonblank)",--('Final Calculation Sheet'!$S$4&lt;&gt;""),--ISNUMBER(SEARCH($T$4,'Final Calculation Sheet'!$S$4)))))</f>
        <v>1</v>
      </c>
      <c r="DZ6">
        <f>IF($U$4="",1,IF($U$4="(blank)",--('Final Calculation Sheet'!$T$4=""),IF($U$4="(nonblank)",--('Final Calculation Sheet'!$T$4&lt;&gt;""),--ISNUMBER(SEARCH($U$4,'Final Calculation Sheet'!$T$4)))))</f>
        <v>1</v>
      </c>
      <c r="EA6">
        <f>IF($V$4="",1,IF($V$4="(blank)",--('Final Calculation Sheet'!$U$4=""),IF($V$4="(nonblank)",--('Final Calculation Sheet'!$U$4&lt;&gt;""),--ISNUMBER(SEARCH($V$4,'Final Calculation Sheet'!$U$4)))))</f>
        <v>1</v>
      </c>
      <c r="EB6">
        <f>IF($W$4="",1,IF($W$4="(blank)",--('Final Calculation Sheet'!$V$4=""),IF($W$4="(nonblank)",--('Final Calculation Sheet'!$V$4&lt;&gt;""),--ISNUMBER(SEARCH($W$4,'Final Calculation Sheet'!$V$4)))))</f>
        <v>1</v>
      </c>
      <c r="EC6">
        <f>IF($X$4="",1,IF($X$4="(blank)",--('Final Calculation Sheet'!$W$4=""),IF($X$4="(nonblank)",--('Final Calculation Sheet'!$W$4&lt;&gt;""),--ISNUMBER(SEARCH($X$4,'Final Calculation Sheet'!$W$4)))))</f>
        <v>1</v>
      </c>
      <c r="ED6">
        <f>IF($Y$4="",1,IF($Y$4="(blank)",--('Final Calculation Sheet'!$X$4=""),IF($Y$4="(nonblank)",--('Final Calculation Sheet'!$X$4&lt;&gt;""),--ISNUMBER(SEARCH($Y$4,'Final Calculation Sheet'!$X$4)))))</f>
        <v>1</v>
      </c>
      <c r="EE6">
        <f>IF($Z$4="",1,IF($Z$4="(blank)",--('Final Calculation Sheet'!$Y$4=""),IF($Z$4="(nonblank)",--('Final Calculation Sheet'!$Y$4&lt;&gt;""),--ISNUMBER(SEARCH($Z$4,'Final Calculation Sheet'!$Y$4)))))</f>
        <v>1</v>
      </c>
      <c r="EF6">
        <f>IF($AA$4="",1,IF($AA$4="(blank)",--('Final Calculation Sheet'!$Z$4=""),IF($AA$4="(nonblank)",--('Final Calculation Sheet'!$Z$4&lt;&gt;""),--ISNUMBER(SEARCH($AA$4,'Final Calculation Sheet'!$Z$4)))))</f>
        <v>1</v>
      </c>
      <c r="EG6">
        <f>IF($AB$4="",1,IF($AB$4="(blank)",--('Final Calculation Sheet'!$AA$4=""),IF($AB$4="(nonblank)",--('Final Calculation Sheet'!$AA$4&lt;&gt;""),--ISNUMBER(SEARCH($AB$4,'Final Calculation Sheet'!$AA$4)))))</f>
        <v>1</v>
      </c>
      <c r="EH6">
        <f>IF($AC$4="",1,IF($AC$4="(blank)",--('Final Calculation Sheet'!$AB$4=""),IF($AC$4="(nonblank)",--('Final Calculation Sheet'!$AB$4&lt;&gt;""),--ISNUMBER(SEARCH($AC$4,'Final Calculation Sheet'!$AB$4)))))</f>
        <v>1</v>
      </c>
      <c r="EI6">
        <f>IF($AD$4="",1,IF($AD$4="(blank)",--('Final Calculation Sheet'!$AC$4=""),IF($AD$4="(nonblank)",--('Final Calculation Sheet'!$AC$4&lt;&gt;""),--ISNUMBER(SEARCH($AD$4,'Final Calculation Sheet'!$AC$4)))))</f>
        <v>1</v>
      </c>
      <c r="EJ6">
        <f>IF($AE$4="",1,IF($AE$4="(blank)",--('Final Calculation Sheet'!$AD$4=""),IF($AE$4="(nonblank)",--('Final Calculation Sheet'!$AD$4&lt;&gt;""),--ISNUMBER(SEARCH($AE$4,'Final Calculation Sheet'!$AD$4)))))</f>
        <v>1</v>
      </c>
      <c r="EK6">
        <f>IF($AF$4="",1,IF($AF$4="(blank)",--(IF('Final Calculation Sheet'!$AD$4&lt;=5,"SETTLED","OUTSTANDING")=""),IF($AF$4="(nonblank)",--(IF('Final Calculation Sheet'!$AD$4&lt;=5,"SETTLED","OUTSTANDING")&lt;&gt;""),--ISNUMBER(SEARCH($AF$4,IF('Final Calculation Sheet'!$AD$4&lt;=5,"SETTLED","OUTSTANDING"))))))</f>
        <v>1</v>
      </c>
      <c r="EL6">
        <f>IF($AG$4="",1,IF($AG$4="(blank)",--('Final Calculation Sheet'!$AF$4=""),IF($AG$4="(nonblank)",--('Final Calculation Sheet'!$AF$4&lt;&gt;""),--ISNUMBER(SEARCH($AG$4,'Final Calculation Sheet'!$AF$4)))))</f>
        <v>1</v>
      </c>
      <c r="EM6">
        <f>IF($AH$4="",1,IF($AH$4="(blank)",--('Final Calculation Sheet'!$AG$4=""),IF($AH$4="(nonblank)",--('Final Calculation Sheet'!$AG$4&lt;&gt;""),--ISNUMBER(SEARCH($AH$4,'Final Calculation Sheet'!$AG$4)))))</f>
        <v>1</v>
      </c>
      <c r="EN6">
        <f>IF($AI$4="",1,IF($AI$4="(blank)",--('Final Calculation Sheet'!$AH$4=""),IF($AI$4="(nonblank)",--('Final Calculation Sheet'!$AH$4&lt;&gt;""),--ISNUMBER(SEARCH($AI$4,'Final Calculation Sheet'!$AH$4)))))</f>
        <v>1</v>
      </c>
    </row>
    <row r="7" spans="1:144" hidden="1" outlineLevel="1" x14ac:dyDescent="0.3">
      <c r="A7" s="107" t="str">
        <f>IF($AL$7="","",1)</f>
        <v/>
      </c>
      <c r="B7" s="108" t="str">
        <f>IF($AL$7="","",IF(INDEX('Final Calculation Sheet'!$F$4:$F$40,$AL$7)="","",INDEX('Final Calculation Sheet'!$F$4:$F$40,$AL$7)))</f>
        <v/>
      </c>
      <c r="C7" s="108" t="str">
        <f>IF($AL$7="","",IF(INDEX('Final Calculation Sheet'!$G$4:$G$40,$AL$7)="","",INDEX('Final Calculation Sheet'!$G$4:$G$40,$AL$7)))</f>
        <v/>
      </c>
      <c r="D7" s="109" t="str">
        <f>IF(COUNTIF($B$4:$AI$4,"&lt;&gt;")=0,"↑ Pick a value from any SEARCH dropdown (or type) — ↓ the SEARCH row above is what fills this list",IF($AL7="","",IF(INDEX('Final Calculation Sheet'!$B$4:$B$40,$AL7)="","",INDEX('Final Calculation Sheet'!$B$4:$B$40,$AL7))))</f>
        <v>↑ Pick a value from any SEARCH dropdown (or type) — ↓ the SEARCH row above is what fills this list</v>
      </c>
      <c r="E7" s="110" t="str">
        <f>IF($AL$7="","",IF(INDEX('Final Calculation Sheet'!$D$4:$D$40,$AL$7)="","",INDEX('Final Calculation Sheet'!$D$4:$D$40,$AL$7)))</f>
        <v/>
      </c>
      <c r="F7" s="110" t="str">
        <f>IF($AL$7="","",IF(INDEX('Final Calculation Sheet'!$A$4:$A$40,$AL$7)="","",INDEX('Final Calculation Sheet'!$A$4:$A$40,$AL$7)))</f>
        <v/>
      </c>
      <c r="G7" s="110" t="str">
        <f>IF($AL$7="","",IF(INDEX('Final Calculation Sheet'!$E$4:$E$40,$AL$7)="","",INDEX('Final Calculation Sheet'!$E$4:$E$40,$AL$7)))</f>
        <v/>
      </c>
      <c r="H7" s="111" t="str">
        <f>IF($AL$7="","",IF(INDEX('Final Calculation Sheet'!$C$4:$C$40,$AL$7)="","",INDEX('Final Calculation Sheet'!$C$4:$C$40,$AL$7)))</f>
        <v/>
      </c>
      <c r="I7" s="111" t="str">
        <f>IF($AL$7="","",IF(INDEX('Final Calculation Sheet'!$H$4:$H$40,$AL$7)="","",INDEX('Final Calculation Sheet'!$H$4:$H$40,$AL$7)))</f>
        <v/>
      </c>
      <c r="J7" s="111" t="str">
        <f>IF($AL$7="","",IF(INDEX('Final Calculation Sheet'!$I$4:$I$40,$AL$7)="","",INDEX('Final Calculation Sheet'!$I$4:$I$40,$AL$7)))</f>
        <v/>
      </c>
      <c r="K7" s="111" t="str">
        <f>IF($AL$7="","",IF(INDEX('Final Calculation Sheet'!$J$4:$J$40,$AL$7)="","",INDEX('Final Calculation Sheet'!$J$4:$J$40,$AL$7)))</f>
        <v/>
      </c>
      <c r="L7" s="111" t="str">
        <f>IF($AL$7="","",IF(INDEX('Final Calculation Sheet'!$K$4:$K$40,$AL$7)="","",INDEX('Final Calculation Sheet'!$K$4:$K$40,$AL$7)))</f>
        <v/>
      </c>
      <c r="M7" s="111" t="str">
        <f>IF($AL$7="","",IF(INDEX('Final Calculation Sheet'!$L$4:$L$40,$AL$7)="","",INDEX('Final Calculation Sheet'!$L$4:$L$40,$AL$7)))</f>
        <v/>
      </c>
      <c r="N7" s="111" t="str">
        <f>IF($AL$7="","",IF(INDEX('Final Calculation Sheet'!$M$4:$M$40,$AL$7)="","",INDEX('Final Calculation Sheet'!$M$4:$M$40,$AL$7)))</f>
        <v/>
      </c>
      <c r="O7" s="112" t="str">
        <f>IF($AL$7="","",IF(INDEX('Final Calculation Sheet'!$N$4:$N$40,$AL$7)="","",INDEX('Final Calculation Sheet'!$N$4:$N$40,$AL$7)))</f>
        <v/>
      </c>
      <c r="P7" s="111" t="str">
        <f>IF($AL$7="","",IF(INDEX('Final Calculation Sheet'!$O$4:$O$40,$AL$7)="","",INDEX('Final Calculation Sheet'!$O$4:$O$40,$AL$7)))</f>
        <v/>
      </c>
      <c r="Q7" s="111" t="str">
        <f>IF($AL$7="","",IF(INDEX('Final Calculation Sheet'!$P$4:$P$40,$AL$7)="","",INDEX('Final Calculation Sheet'!$P$4:$P$40,$AL$7)))</f>
        <v/>
      </c>
      <c r="R7" s="113" t="str">
        <f>IF($AL$7="","",IF(INDEX('Final Calculation Sheet'!$Q$4:$Q$40,$AL$7)="","",INDEX('Final Calculation Sheet'!$Q$4:$Q$40,$AL$7)))</f>
        <v/>
      </c>
      <c r="S7" s="111" t="str">
        <f>IF($AL$7="","",IF(INDEX('Final Calculation Sheet'!$R$4:$R$40,$AL$7)="","",INDEX('Final Calculation Sheet'!$R$4:$R$40,$AL$7)))</f>
        <v/>
      </c>
      <c r="T7" s="111" t="str">
        <f>IF($AL$7="","",IF(INDEX('Final Calculation Sheet'!$S$4:$S$40,$AL$7)="","",INDEX('Final Calculation Sheet'!$S$4:$S$40,$AL$7)))</f>
        <v/>
      </c>
      <c r="U7" s="111" t="str">
        <f>IF($AL$7="","",IF(INDEX('Final Calculation Sheet'!$T$4:$T$40,$AL$7)="","",INDEX('Final Calculation Sheet'!$T$4:$T$40,$AL$7)))</f>
        <v/>
      </c>
      <c r="V7" s="114" t="str">
        <f>IF($AL$7="","",IF(INDEX('Final Calculation Sheet'!$U$4:$U$40,$AL$7)="","",INDEX('Final Calculation Sheet'!$U$4:$U$40,$AL$7)))</f>
        <v/>
      </c>
      <c r="W7" s="111" t="str">
        <f>IF($AL$7="","",IF(INDEX('Final Calculation Sheet'!$V$4:$V$40,$AL$7)="","",INDEX('Final Calculation Sheet'!$V$4:$V$40,$AL$7)))</f>
        <v/>
      </c>
      <c r="X7" s="111" t="str">
        <f>IF($AL$7="","",IF(INDEX('Final Calculation Sheet'!$W$4:$W$40,$AL$7)="","",INDEX('Final Calculation Sheet'!$W$4:$W$40,$AL$7)))</f>
        <v/>
      </c>
      <c r="Y7" s="111" t="str">
        <f>IF($AL$7="","",IF(INDEX('Final Calculation Sheet'!$X$4:$X$40,$AL$7)="","",INDEX('Final Calculation Sheet'!$X$4:$X$40,$AL$7)))</f>
        <v/>
      </c>
      <c r="Z7" s="111" t="str">
        <f>IF($AL$7="","",IF(INDEX('Final Calculation Sheet'!$Y$4:$Y$40,$AL$7)="","",INDEX('Final Calculation Sheet'!$Y$4:$Y$40,$AL$7)))</f>
        <v/>
      </c>
      <c r="AA7" s="111" t="str">
        <f>IF($AL$7="","",IF(INDEX('Final Calculation Sheet'!$Z$4:$Z$40,$AL$7)="","",INDEX('Final Calculation Sheet'!$Z$4:$Z$40,$AL$7)))</f>
        <v/>
      </c>
      <c r="AB7" s="111" t="str">
        <f>IF($AL$7="","",IF(INDEX('Final Calculation Sheet'!$AA$4:$AA$40,$AL$7)="","",INDEX('Final Calculation Sheet'!$AA$4:$AA$40,$AL$7)))</f>
        <v/>
      </c>
      <c r="AC7" s="111" t="str">
        <f>IF($AL$7="","",IF(INDEX('Final Calculation Sheet'!$AB$4:$AB$40,$AL$7)="","",INDEX('Final Calculation Sheet'!$AB$4:$AB$40,$AL$7)))</f>
        <v/>
      </c>
      <c r="AD7" s="111" t="str">
        <f>IF($AL$7="","",IF(INDEX('Final Calculation Sheet'!$AC$4:$AC$40,$AL$7)="","",INDEX('Final Calculation Sheet'!$AC$4:$AC$40,$AL$7)))</f>
        <v/>
      </c>
      <c r="AE7" s="111" t="str">
        <f>IF($AL$7="","",IF(INDEX('Final Calculation Sheet'!$AD$4:$AD$40,$AL$7)="","",INDEX('Final Calculation Sheet'!$AD$4:$AD$40,$AL$7)))</f>
        <v/>
      </c>
      <c r="AF7" s="116" t="str">
        <f>IF($AL$7="","",IF(INDEX('Final Calculation Sheet'!$AD$4:$AD$40,$AL$7)&lt;=5,"SETTLED","OUTSTANDING"))</f>
        <v/>
      </c>
      <c r="AG7" s="111" t="str">
        <f>IF($AL$7="","",IF(INDEX('Final Calculation Sheet'!$AF$4:$AF$40,$AL$7)="","",INDEX('Final Calculation Sheet'!$AF$4:$AF$40,$AL$7)))</f>
        <v/>
      </c>
      <c r="AH7" s="115" t="str">
        <f>IF($AL$7="","",IF(INDEX('Final Calculation Sheet'!$AG$4:$AG$40,$AL$7)="","",INDEX('Final Calculation Sheet'!$AG$4:$AG$40,$AL$7)))</f>
        <v/>
      </c>
      <c r="AI7" s="111" t="str">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v>1</v>
      </c>
      <c r="AK7">
        <f>IF(AJ7=1,COUNTIF(AJ$6:AJ7,1),"")</f>
        <v>2</v>
      </c>
      <c r="AL7" t="str">
        <f>IF(COUNTIF($B$4:$AI$4,"&lt;&gt;")=0,"",IFERROR(MATCH(1,$AK$6:$AK$42,0),""))</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 ca="1">CK6+IF(AND(Lists!$EJ$7&lt;&gt;"",ISNUMBER(SEARCH($AA$4,Lists!$EJ$7))),1,0)</f>
        <v>4</v>
      </c>
      <c r="CL7">
        <f ca="1">IF(ROW()-3&gt;MAX($CK$4:$CK$42),"",INDEX(Lists!$EJ$4:$EJ$42,MATCH(ROW()-3,$CK$4:$CK$42,0)))</f>
        <v>745.52399999999989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f>CS6+IF(AND(Lists!$FD$7&lt;&gt;"",ISNUMBER(SEARCH($AE$4,Lists!$FD$7))),1,0)</f>
        <v>4</v>
      </c>
      <c r="CT7">
        <f>IF(ROW()-3&gt;MAX($CS$4:$CS$42),"",INDEX(Lists!$FD$4:$FD$42,MATCH(ROW()-3,$CS$4:$CS$42,0)))</f>
        <v>-1.0942916101776063</v>
      </c>
      <c r="CU7" t="e">
        <f>CU6+IF(AND(Lists!$FI$7&lt;&gt;"",ISNUMBER(SEARCH($AG$4,Lists!$FI$7))),1,0)</f>
        <v>#N/A</v>
      </c>
      <c r="CV7" t="e">
        <f>IF(ROW()-3&gt;MAX($CU$4:$CU$42),"",INDEX(Lists!$FI$4:$FI$42,MATCH(ROW()-3,$CU$4:$CU$42,0)))</f>
        <v>#N/A</v>
      </c>
      <c r="CW7" t="e">
        <f>CW6+IF(AND(Lists!$FN$7&lt;&gt;"",ISNUMBER(SEARCH($AH$4,Lists!$FN$7))),1,0)</f>
        <v>#N/A</v>
      </c>
      <c r="CX7" t="e">
        <f>IF(ROW()-3&gt;MAX($CW$4:$CW$42),"",INDEX(Lists!$FN$4:$FN$42,MATCH(ROW()-3,$CW$4:$CW$42,0)))</f>
        <v>#N/A</v>
      </c>
      <c r="CY7" t="e">
        <f>CY6+IF(AND(Lists!$FS$7&lt;&gt;"",ISNUMBER(SEARCH($AI$4,Lists!$FS$7))),1,0)</f>
        <v>#N/A</v>
      </c>
      <c r="CZ7" t="e">
        <f>IF(ROW()-3&gt;MAX($CY$4:$CY$42),"",INDEX(Lists!$FS$4:$FS$42,MATCH(ROW()-3,$CY$4:$CY$42,0)))</f>
        <v>#N/A</v>
      </c>
      <c r="DA7">
        <f>DA6+IF(AND(Lists!$FX$7&lt;&gt;"",ISNUMBER(SEARCH($AF$4,Lists!$FX$7))),1,0)</f>
        <v>2</v>
      </c>
      <c r="DB7" t="str">
        <f>IF(ROW()-3&gt;MAX($DA$4:$DA$42),"",INDEX(Lists!$FX$4:$FX$42,MATCH(ROW()-3,$DA$4:$DA$42,0)))</f>
        <v/>
      </c>
      <c r="DG7">
        <f>IF($B$4="",1,IF($B$4="(blank)",--('Final Calculation Sheet'!$F$5=""),IF($B$4="(nonblank)",--('Final Calculation Sheet'!$F$5&lt;&gt;""),--ISNUMBER(SEARCH($B$4,'Final Calculation Sheet'!$F$5)))))</f>
        <v>1</v>
      </c>
      <c r="DH7">
        <f>IF($C$4="",1,IF($C$4="(blank)",--('Final Calculation Sheet'!$G$5=""),IF($C$4="(nonblank)",--('Final Calculation Sheet'!$G$5&lt;&gt;""),--ISNUMBER(SEARCH($C$4,'Final Calculation Sheet'!$G$5)))))</f>
        <v>1</v>
      </c>
      <c r="DI7">
        <f>IF($D$4="",1,IF($D$4="(blank)",--('Final Calculation Sheet'!$B$5=""),IF($D$4="(nonblank)",--('Final Calculation Sheet'!$B$5&lt;&gt;""),--ISNUMBER(SEARCH($D$4,'Final Calculation Sheet'!$B$5)))))</f>
        <v>1</v>
      </c>
      <c r="DJ7">
        <f>IF($E$4="",1,IF($E$4="(blank)",--('Final Calculation Sheet'!$D$5=""),IF($E$4="(nonblank)",--('Final Calculation Sheet'!$D$5&lt;&gt;""),--ISNUMBER(SEARCH($E$4,'Final Calculation Sheet'!$D$5)))))</f>
        <v>1</v>
      </c>
      <c r="DK7">
        <f>IF($F$4="",1,IF($F$4="(blank)",--('Final Calculation Sheet'!$A$5=""),IF($F$4="(nonblank)",--('Final Calculation Sheet'!$A$5&lt;&gt;""),--ISNUMBER(SEARCH($F$4,'Final Calculation Sheet'!$A$5)))))</f>
        <v>1</v>
      </c>
      <c r="DL7">
        <f>IF($G$4="",1,IF($G$4="(blank)",--('Final Calculation Sheet'!$E$5=""),IF($G$4="(nonblank)",--('Final Calculation Sheet'!$E$5&lt;&gt;""),--ISNUMBER(SEARCH($G$4,'Final Calculation Sheet'!$E$5)))))</f>
        <v>1</v>
      </c>
      <c r="DM7">
        <f>IF($H$4="",1,IF($H$4="(blank)",--('Final Calculation Sheet'!$C$5=""),IF($H$4="(nonblank)",--('Final Calculation Sheet'!$C$5&lt;&gt;""),--ISNUMBER(SEARCH($H$4,'Final Calculation Sheet'!$C$5)))))</f>
        <v>1</v>
      </c>
      <c r="DN7">
        <f>IF($I$4="",1,IF($I$4="(blank)",--('Final Calculation Sheet'!$H$5=""),IF($I$4="(nonblank)",--('Final Calculation Sheet'!$H$5&lt;&gt;""),--ISNUMBER(SEARCH($I$4,'Final Calculation Sheet'!$H$5)))))</f>
        <v>1</v>
      </c>
      <c r="DO7">
        <f>IF($J$4="",1,IF($J$4="(blank)",--('Final Calculation Sheet'!$I$5=""),IF($J$4="(nonblank)",--('Final Calculation Sheet'!$I$5&lt;&gt;""),--ISNUMBER(SEARCH($J$4,'Final Calculation Sheet'!$I$5)))))</f>
        <v>1</v>
      </c>
      <c r="DP7">
        <f>IF($K$4="",1,IF($K$4="(blank)",--('Final Calculation Sheet'!$J$5=""),IF($K$4="(nonblank)",--('Final Calculation Sheet'!$J$5&lt;&gt;""),--ISNUMBER(SEARCH($K$4,'Final Calculation Sheet'!$J$5)))))</f>
        <v>1</v>
      </c>
      <c r="DQ7">
        <f>IF($L$4="",1,IF($L$4="(blank)",--('Final Calculation Sheet'!$K$5=""),IF($L$4="(nonblank)",--('Final Calculation Sheet'!$K$5&lt;&gt;""),--ISNUMBER(SEARCH($L$4,'Final Calculation Sheet'!$K$5)))))</f>
        <v>1</v>
      </c>
      <c r="DR7">
        <f>IF($M$4="",1,IF($M$4="(blank)",--('Final Calculation Sheet'!$L$5=""),IF($M$4="(nonblank)",--('Final Calculation Sheet'!$L$5&lt;&gt;""),--ISNUMBER(SEARCH($M$4,'Final Calculation Sheet'!$L$5)))))</f>
        <v>1</v>
      </c>
      <c r="DS7">
        <f>IF($N$4="",1,IF($N$4="(blank)",--('Final Calculation Sheet'!$M$5=""),IF($N$4="(nonblank)",--('Final Calculation Sheet'!$M$5&lt;&gt;""),--ISNUMBER(SEARCH($N$4,'Final Calculation Sheet'!$M$5)))))</f>
        <v>1</v>
      </c>
      <c r="DT7">
        <f>IF($O$4="",1,IF($O$4="(blank)",--('Final Calculation Sheet'!$N$5=""),IF($O$4="(nonblank)",--('Final Calculation Sheet'!$N$5&lt;&gt;""),--ISNUMBER(SEARCH($O$4,'Final Calculation Sheet'!$N$5)))))</f>
        <v>1</v>
      </c>
      <c r="DU7">
        <f>IF($P$4="",1,IF($P$4="(blank)",--('Final Calculation Sheet'!$O$5=""),IF($P$4="(nonblank)",--('Final Calculation Sheet'!$O$5&lt;&gt;""),--ISNUMBER(SEARCH($P$4,'Final Calculation Sheet'!$O$5)))))</f>
        <v>1</v>
      </c>
      <c r="DV7">
        <f>IF($Q$4="",1,IF($Q$4="(blank)",--('Final Calculation Sheet'!$P$5=""),IF($Q$4="(nonblank)",--('Final Calculation Sheet'!$P$5&lt;&gt;""),--ISNUMBER(SEARCH($Q$4,'Final Calculation Sheet'!$P$5)))))</f>
        <v>1</v>
      </c>
      <c r="DW7">
        <f>IF($R$4="",1,IF($R$4="(blank)",--('Final Calculation Sheet'!$Q$5=""),IF($R$4="(nonblank)",--('Final Calculation Sheet'!$Q$5&lt;&gt;""),--ISNUMBER(SEARCH($R$4,'Final Calculation Sheet'!$Q$5)))))</f>
        <v>1</v>
      </c>
      <c r="DX7">
        <f>IF($S$4="",1,IF($S$4="(blank)",--('Final Calculation Sheet'!$R$5=""),IF($S$4="(nonblank)",--('Final Calculation Sheet'!$R$5&lt;&gt;""),--ISNUMBER(SEARCH($S$4,'Final Calculation Sheet'!$R$5)))))</f>
        <v>1</v>
      </c>
      <c r="DY7">
        <f>IF($T$4="",1,IF($T$4="(blank)",--('Final Calculation Sheet'!$S$5=""),IF($T$4="(nonblank)",--('Final Calculation Sheet'!$S$5&lt;&gt;""),--ISNUMBER(SEARCH($T$4,'Final Calculation Sheet'!$S$5)))))</f>
        <v>1</v>
      </c>
      <c r="DZ7">
        <f>IF($U$4="",1,IF($U$4="(blank)",--('Final Calculation Sheet'!$T$5=""),IF($U$4="(nonblank)",--('Final Calculation Sheet'!$T$5&lt;&gt;""),--ISNUMBER(SEARCH($U$4,'Final Calculation Sheet'!$T$5)))))</f>
        <v>1</v>
      </c>
      <c r="EA7">
        <f>IF($V$4="",1,IF($V$4="(blank)",--('Final Calculation Sheet'!$U$5=""),IF($V$4="(nonblank)",--('Final Calculation Sheet'!$U$5&lt;&gt;""),--ISNUMBER(SEARCH($V$4,'Final Calculation Sheet'!$U$5)))))</f>
        <v>1</v>
      </c>
      <c r="EB7">
        <f>IF($W$4="",1,IF($W$4="(blank)",--('Final Calculation Sheet'!$V$5=""),IF($W$4="(nonblank)",--('Final Calculation Sheet'!$V$5&lt;&gt;""),--ISNUMBER(SEARCH($W$4,'Final Calculation Sheet'!$V$5)))))</f>
        <v>1</v>
      </c>
      <c r="EC7">
        <f>IF($X$4="",1,IF($X$4="(blank)",--('Final Calculation Sheet'!$W$5=""),IF($X$4="(nonblank)",--('Final Calculation Sheet'!$W$5&lt;&gt;""),--ISNUMBER(SEARCH($X$4,'Final Calculation Sheet'!$W$5)))))</f>
        <v>1</v>
      </c>
      <c r="ED7">
        <f>IF($Y$4="",1,IF($Y$4="(blank)",--('Final Calculation Sheet'!$X$5=""),IF($Y$4="(nonblank)",--('Final Calculation Sheet'!$X$5&lt;&gt;""),--ISNUMBER(SEARCH($Y$4,'Final Calculation Sheet'!$X$5)))))</f>
        <v>1</v>
      </c>
      <c r="EE7">
        <f>IF($Z$4="",1,IF($Z$4="(blank)",--('Final Calculation Sheet'!$Y$5=""),IF($Z$4="(nonblank)",--('Final Calculation Sheet'!$Y$5&lt;&gt;""),--ISNUMBER(SEARCH($Z$4,'Final Calculation Sheet'!$Y$5)))))</f>
        <v>1</v>
      </c>
      <c r="EF7">
        <f>IF($AA$4="",1,IF($AA$4="(blank)",--('Final Calculation Sheet'!$Z$5=""),IF($AA$4="(nonblank)",--('Final Calculation Sheet'!$Z$5&lt;&gt;""),--ISNUMBER(SEARCH($AA$4,'Final Calculation Sheet'!$Z$5)))))</f>
        <v>1</v>
      </c>
      <c r="EG7">
        <f>IF($AB$4="",1,IF($AB$4="(blank)",--('Final Calculation Sheet'!$AA$5=""),IF($AB$4="(nonblank)",--('Final Calculation Sheet'!$AA$5&lt;&gt;""),--ISNUMBER(SEARCH($AB$4,'Final Calculation Sheet'!$AA$5)))))</f>
        <v>1</v>
      </c>
      <c r="EH7">
        <f>IF($AC$4="",1,IF($AC$4="(blank)",--('Final Calculation Sheet'!$AB$5=""),IF($AC$4="(nonblank)",--('Final Calculation Sheet'!$AB$5&lt;&gt;""),--ISNUMBER(SEARCH($AC$4,'Final Calculation Sheet'!$AB$5)))))</f>
        <v>1</v>
      </c>
      <c r="EI7">
        <f>IF($AD$4="",1,IF($AD$4="(blank)",--('Final Calculation Sheet'!$AC$5=""),IF($AD$4="(nonblank)",--('Final Calculation Sheet'!$AC$5&lt;&gt;""),--ISNUMBER(SEARCH($AD$4,'Final Calculation Sheet'!$AC$5)))))</f>
        <v>1</v>
      </c>
      <c r="EJ7">
        <f>IF($AE$4="",1,IF($AE$4="(blank)",--('Final Calculation Sheet'!$AD$5=""),IF($AE$4="(nonblank)",--('Final Calculation Sheet'!$AD$5&lt;&gt;""),--ISNUMBER(SEARCH($AE$4,'Final Calculation Sheet'!$AD$5)))))</f>
        <v>1</v>
      </c>
      <c r="EK7">
        <f>IF($AF$4="",1,IF($AF$4="(blank)",--(IF('Final Calculation Sheet'!$AD$5&lt;=5,"SETTLED","OUTSTANDING")=""),IF($AF$4="(nonblank)",--(IF('Final Calculation Sheet'!$AD$5&lt;=5,"SETTLED","OUTSTANDING")&lt;&gt;""),--ISNUMBER(SEARCH($AF$4,IF('Final Calculation Sheet'!$AD$5&lt;=5,"SETTLED","OUTSTANDING"))))))</f>
        <v>1</v>
      </c>
      <c r="EL7">
        <f>IF($AG$4="",1,IF($AG$4="(blank)",--('Final Calculation Sheet'!$AF$5=""),IF($AG$4="(nonblank)",--('Final Calculation Sheet'!$AF$5&lt;&gt;""),--ISNUMBER(SEARCH($AG$4,'Final Calculation Sheet'!$AF$5)))))</f>
        <v>1</v>
      </c>
      <c r="EM7">
        <f>IF($AH$4="",1,IF($AH$4="(blank)",--('Final Calculation Sheet'!$AG$5=""),IF($AH$4="(nonblank)",--('Final Calculation Sheet'!$AG$5&lt;&gt;""),--ISNUMBER(SEARCH($AH$4,'Final Calculation Sheet'!$AG$5)))))</f>
        <v>1</v>
      </c>
      <c r="EN7">
        <f>IF($AI$4="",1,IF($AI$4="(blank)",--('Final Calculation Sheet'!$AH$5=""),IF($AI$4="(nonblank)",--('Final Calculation Sheet'!$AH$5&lt;&gt;""),--ISNUMBER(SEARCH($AI$4,'Final Calculation Sheet'!$AH$5)))))</f>
        <v>1</v>
      </c>
    </row>
    <row r="8" spans="1:144" hidden="1" outlineLevel="1" x14ac:dyDescent="0.3">
      <c r="A8" s="117" t="str">
        <f>IF($AL$8="","",2)</f>
        <v/>
      </c>
      <c r="B8" s="118" t="str">
        <f>IF($AL$8="","",IF(INDEX('Final Calculation Sheet'!$F$4:$F$40,$AL$8)="","",INDEX('Final Calculation Sheet'!$F$4:$F$40,$AL$8)))</f>
        <v/>
      </c>
      <c r="C8" s="118" t="str">
        <f>IF($AL$8="","",IF(INDEX('Final Calculation Sheet'!$G$4:$G$40,$AL$8)="","",INDEX('Final Calculation Sheet'!$G$4:$G$40,$AL$8)))</f>
        <v/>
      </c>
      <c r="D8" s="119" t="str">
        <f>IF($AL$8="","",IF(INDEX('Final Calculation Sheet'!$B$4:$B$40,$AL$8)="","",INDEX('Final Calculation Sheet'!$B$4:$B$40,$AL$8)))</f>
        <v/>
      </c>
      <c r="E8" s="119" t="str">
        <f>IF($AL$8="","",IF(INDEX('Final Calculation Sheet'!$D$4:$D$40,$AL$8)="","",INDEX('Final Calculation Sheet'!$D$4:$D$40,$AL$8)))</f>
        <v/>
      </c>
      <c r="F8" s="119" t="str">
        <f>IF($AL$8="","",IF(INDEX('Final Calculation Sheet'!$A$4:$A$40,$AL$8)="","",INDEX('Final Calculation Sheet'!$A$4:$A$40,$AL$8)))</f>
        <v/>
      </c>
      <c r="G8" s="119" t="str">
        <f>IF($AL$8="","",IF(INDEX('Final Calculation Sheet'!$E$4:$E$40,$AL$8)="","",INDEX('Final Calculation Sheet'!$E$4:$E$40,$AL$8)))</f>
        <v/>
      </c>
      <c r="H8" s="120" t="str">
        <f>IF($AL$8="","",IF(INDEX('Final Calculation Sheet'!$C$4:$C$40,$AL$8)="","",INDEX('Final Calculation Sheet'!$C$4:$C$40,$AL$8)))</f>
        <v/>
      </c>
      <c r="I8" s="120" t="str">
        <f>IF($AL$8="","",IF(INDEX('Final Calculation Sheet'!$H$4:$H$40,$AL$8)="","",INDEX('Final Calculation Sheet'!$H$4:$H$40,$AL$8)))</f>
        <v/>
      </c>
      <c r="J8" s="120" t="str">
        <f>IF($AL$8="","",IF(INDEX('Final Calculation Sheet'!$I$4:$I$40,$AL$8)="","",INDEX('Final Calculation Sheet'!$I$4:$I$40,$AL$8)))</f>
        <v/>
      </c>
      <c r="K8" s="120" t="str">
        <f>IF($AL$8="","",IF(INDEX('Final Calculation Sheet'!$J$4:$J$40,$AL$8)="","",INDEX('Final Calculation Sheet'!$J$4:$J$40,$AL$8)))</f>
        <v/>
      </c>
      <c r="L8" s="120" t="str">
        <f>IF($AL$8="","",IF(INDEX('Final Calculation Sheet'!$K$4:$K$40,$AL$8)="","",INDEX('Final Calculation Sheet'!$K$4:$K$40,$AL$8)))</f>
        <v/>
      </c>
      <c r="M8" s="120" t="str">
        <f>IF($AL$8="","",IF(INDEX('Final Calculation Sheet'!$L$4:$L$40,$AL$8)="","",INDEX('Final Calculation Sheet'!$L$4:$L$40,$AL$8)))</f>
        <v/>
      </c>
      <c r="N8" s="120" t="str">
        <f>IF($AL$8="","",IF(INDEX('Final Calculation Sheet'!$M$4:$M$40,$AL$8)="","",INDEX('Final Calculation Sheet'!$M$4:$M$40,$AL$8)))</f>
        <v/>
      </c>
      <c r="O8" s="121" t="str">
        <f>IF($AL$8="","",IF(INDEX('Final Calculation Sheet'!$N$4:$N$40,$AL$8)="","",INDEX('Final Calculation Sheet'!$N$4:$N$40,$AL$8)))</f>
        <v/>
      </c>
      <c r="P8" s="120" t="str">
        <f>IF($AL$8="","",IF(INDEX('Final Calculation Sheet'!$O$4:$O$40,$AL$8)="","",INDEX('Final Calculation Sheet'!$O$4:$O$40,$AL$8)))</f>
        <v/>
      </c>
      <c r="Q8" s="120" t="str">
        <f>IF($AL$8="","",IF(INDEX('Final Calculation Sheet'!$P$4:$P$40,$AL$8)="","",INDEX('Final Calculation Sheet'!$P$4:$P$40,$AL$8)))</f>
        <v/>
      </c>
      <c r="R8" s="122" t="str">
        <f>IF($AL$8="","",IF(INDEX('Final Calculation Sheet'!$Q$4:$Q$40,$AL$8)="","",INDEX('Final Calculation Sheet'!$Q$4:$Q$40,$AL$8)))</f>
        <v/>
      </c>
      <c r="S8" s="120" t="str">
        <f>IF($AL$8="","",IF(INDEX('Final Calculation Sheet'!$R$4:$R$40,$AL$8)="","",INDEX('Final Calculation Sheet'!$R$4:$R$40,$AL$8)))</f>
        <v/>
      </c>
      <c r="T8" s="120" t="str">
        <f>IF($AL$8="","",IF(INDEX('Final Calculation Sheet'!$S$4:$S$40,$AL$8)="","",INDEX('Final Calculation Sheet'!$S$4:$S$40,$AL$8)))</f>
        <v/>
      </c>
      <c r="U8" s="120" t="str">
        <f>IF($AL$8="","",IF(INDEX('Final Calculation Sheet'!$T$4:$T$40,$AL$8)="","",INDEX('Final Calculation Sheet'!$T$4:$T$40,$AL$8)))</f>
        <v/>
      </c>
      <c r="V8" s="123" t="str">
        <f>IF($AL$8="","",IF(INDEX('Final Calculation Sheet'!$U$4:$U$40,$AL$8)="","",INDEX('Final Calculation Sheet'!$U$4:$U$40,$AL$8)))</f>
        <v/>
      </c>
      <c r="W8" s="120" t="str">
        <f>IF($AL$8="","",IF(INDEX('Final Calculation Sheet'!$V$4:$V$40,$AL$8)="","",INDEX('Final Calculation Sheet'!$V$4:$V$40,$AL$8)))</f>
        <v/>
      </c>
      <c r="X8" s="120" t="str">
        <f>IF($AL$8="","",IF(INDEX('Final Calculation Sheet'!$W$4:$W$40,$AL$8)="","",INDEX('Final Calculation Sheet'!$W$4:$W$40,$AL$8)))</f>
        <v/>
      </c>
      <c r="Y8" s="120" t="str">
        <f>IF($AL$8="","",IF(INDEX('Final Calculation Sheet'!$X$4:$X$40,$AL$8)="","",INDEX('Final Calculation Sheet'!$X$4:$X$40,$AL$8)))</f>
        <v/>
      </c>
      <c r="Z8" s="120" t="str">
        <f>IF($AL$8="","",IF(INDEX('Final Calculation Sheet'!$Y$4:$Y$40,$AL$8)="","",INDEX('Final Calculation Sheet'!$Y$4:$Y$40,$AL$8)))</f>
        <v/>
      </c>
      <c r="AA8" s="120" t="str">
        <f>IF($AL$8="","",IF(INDEX('Final Calculation Sheet'!$Z$4:$Z$40,$AL$8)="","",INDEX('Final Calculation Sheet'!$Z$4:$Z$40,$AL$8)))</f>
        <v/>
      </c>
      <c r="AB8" s="120" t="str">
        <f>IF($AL$8="","",IF(INDEX('Final Calculation Sheet'!$AA$4:$AA$40,$AL$8)="","",INDEX('Final Calculation Sheet'!$AA$4:$AA$40,$AL$8)))</f>
        <v/>
      </c>
      <c r="AC8" s="120" t="str">
        <f>IF($AL$8="","",IF(INDEX('Final Calculation Sheet'!$AB$4:$AB$40,$AL$8)="","",INDEX('Final Calculation Sheet'!$AB$4:$AB$40,$AL$8)))</f>
        <v/>
      </c>
      <c r="AD8" s="120" t="str">
        <f>IF($AL$8="","",IF(INDEX('Final Calculation Sheet'!$AC$4:$AC$40,$AL$8)="","",INDEX('Final Calculation Sheet'!$AC$4:$AC$40,$AL$8)))</f>
        <v/>
      </c>
      <c r="AE8" s="120" t="str">
        <f>IF($AL$8="","",IF(INDEX('Final Calculation Sheet'!$AD$4:$AD$40,$AL$8)="","",INDEX('Final Calculation Sheet'!$AD$4:$AD$40,$AL$8)))</f>
        <v/>
      </c>
      <c r="AF8" s="125" t="str">
        <f>IF($AL$8="","",IF(INDEX('Final Calculation Sheet'!$AD$4:$AD$40,$AL$8)&lt;=5,"SETTLED","OUTSTANDING"))</f>
        <v/>
      </c>
      <c r="AG8" s="120" t="str">
        <f>IF($AL$8="","",IF(INDEX('Final Calculation Sheet'!$AF$4:$AF$40,$AL$8)="","",INDEX('Final Calculation Sheet'!$AF$4:$AF$40,$AL$8)))</f>
        <v/>
      </c>
      <c r="AH8" s="124" t="str">
        <f>IF($AL$8="","",IF(INDEX('Final Calculation Sheet'!$AG$4:$AG$40,$AL$8)="","",INDEX('Final Calculation Sheet'!$AG$4:$AG$40,$AL$8)))</f>
        <v/>
      </c>
      <c r="AI8" s="120" t="str">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v>1</v>
      </c>
      <c r="AK8">
        <f>IF(AJ8=1,COUNTIF(AJ$6:AJ8,1),"")</f>
        <v>3</v>
      </c>
      <c r="AL8" t="str">
        <f>IF(COUNTIF($B$4:$AI$4,"&lt;&gt;")=0,"",IFERROR(MATCH(2,$AK$6:$AK$42,0),""))</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 ca="1">CK7+IF(AND(Lists!$EJ$8&lt;&gt;"",ISNUMBER(SEARCH($AA$4,Lists!$EJ$8))),1,0)</f>
        <v>5</v>
      </c>
      <c r="CL8">
        <f ca="1">IF(ROW()-3&gt;MAX($CK$4:$CK$42),"",INDEX(Lists!$EJ$4:$EJ$42,MATCH(ROW()-3,$CK$4:$CK$42,0)))</f>
        <v>939.87000000000012</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f>CS7+IF(AND(Lists!$FD$8&lt;&gt;"",ISNUMBER(SEARCH($AE$4,Lists!$FD$8))),1,0)</f>
        <v>5</v>
      </c>
      <c r="CT8">
        <f>IF(ROW()-3&gt;MAX($CS$4:$CS$42),"",INDEX(Lists!$FD$4:$FD$42,MATCH(ROW()-3,$CS$4:$CS$42,0)))</f>
        <v>-1</v>
      </c>
      <c r="CU8" t="e">
        <f>CU7+IF(AND(Lists!$FI$8&lt;&gt;"",ISNUMBER(SEARCH($AG$4,Lists!$FI$8))),1,0)</f>
        <v>#N/A</v>
      </c>
      <c r="CV8" t="e">
        <f>IF(ROW()-3&gt;MAX($CU$4:$CU$42),"",INDEX(Lists!$FI$4:$FI$42,MATCH(ROW()-3,$CU$4:$CU$42,0)))</f>
        <v>#N/A</v>
      </c>
      <c r="CW8" t="e">
        <f>CW7+IF(AND(Lists!$FN$8&lt;&gt;"",ISNUMBER(SEARCH($AH$4,Lists!$FN$8))),1,0)</f>
        <v>#N/A</v>
      </c>
      <c r="CX8" t="e">
        <f>IF(ROW()-3&gt;MAX($CW$4:$CW$42),"",INDEX(Lists!$FN$4:$FN$42,MATCH(ROW()-3,$CW$4:$CW$42,0)))</f>
        <v>#N/A</v>
      </c>
      <c r="CY8" t="e">
        <f>CY7+IF(AND(Lists!$FS$8&lt;&gt;"",ISNUMBER(SEARCH($AI$4,Lists!$FS$8))),1,0)</f>
        <v>#N/A</v>
      </c>
      <c r="CZ8" t="e">
        <f>IF(ROW()-3&gt;MAX($CY$4:$CY$42),"",INDEX(Lists!$FS$4:$FS$42,MATCH(ROW()-3,$CY$4:$CY$42,0)))</f>
        <v>#N/A</v>
      </c>
      <c r="DA8">
        <f>DA7+IF(AND(Lists!$FX$8&lt;&gt;"",ISNUMBER(SEARCH($AF$4,Lists!$FX$8))),1,0)</f>
        <v>2</v>
      </c>
      <c r="DB8" t="str">
        <f>IF(ROW()-3&gt;MAX($DA$4:$DA$42),"",INDEX(Lists!$FX$4:$FX$42,MATCH(ROW()-3,$DA$4:$DA$42,0)))</f>
        <v/>
      </c>
      <c r="DG8">
        <f>IF($B$4="",1,IF($B$4="(blank)",--('Final Calculation Sheet'!$F$6=""),IF($B$4="(nonblank)",--('Final Calculation Sheet'!$F$6&lt;&gt;""),--ISNUMBER(SEARCH($B$4,'Final Calculation Sheet'!$F$6)))))</f>
        <v>1</v>
      </c>
      <c r="DH8">
        <f>IF($C$4="",1,IF($C$4="(blank)",--('Final Calculation Sheet'!$G$6=""),IF($C$4="(nonblank)",--('Final Calculation Sheet'!$G$6&lt;&gt;""),--ISNUMBER(SEARCH($C$4,'Final Calculation Sheet'!$G$6)))))</f>
        <v>1</v>
      </c>
      <c r="DI8">
        <f>IF($D$4="",1,IF($D$4="(blank)",--('Final Calculation Sheet'!$B$6=""),IF($D$4="(nonblank)",--('Final Calculation Sheet'!$B$6&lt;&gt;""),--ISNUMBER(SEARCH($D$4,'Final Calculation Sheet'!$B$6)))))</f>
        <v>1</v>
      </c>
      <c r="DJ8">
        <f>IF($E$4="",1,IF($E$4="(blank)",--('Final Calculation Sheet'!$D$6=""),IF($E$4="(nonblank)",--('Final Calculation Sheet'!$D$6&lt;&gt;""),--ISNUMBER(SEARCH($E$4,'Final Calculation Sheet'!$D$6)))))</f>
        <v>1</v>
      </c>
      <c r="DK8">
        <f>IF($F$4="",1,IF($F$4="(blank)",--('Final Calculation Sheet'!$A$6=""),IF($F$4="(nonblank)",--('Final Calculation Sheet'!$A$6&lt;&gt;""),--ISNUMBER(SEARCH($F$4,'Final Calculation Sheet'!$A$6)))))</f>
        <v>1</v>
      </c>
      <c r="DL8">
        <f>IF($G$4="",1,IF($G$4="(blank)",--('Final Calculation Sheet'!$E$6=""),IF($G$4="(nonblank)",--('Final Calculation Sheet'!$E$6&lt;&gt;""),--ISNUMBER(SEARCH($G$4,'Final Calculation Sheet'!$E$6)))))</f>
        <v>1</v>
      </c>
      <c r="DM8">
        <f>IF($H$4="",1,IF($H$4="(blank)",--('Final Calculation Sheet'!$C$6=""),IF($H$4="(nonblank)",--('Final Calculation Sheet'!$C$6&lt;&gt;""),--ISNUMBER(SEARCH($H$4,'Final Calculation Sheet'!$C$6)))))</f>
        <v>1</v>
      </c>
      <c r="DN8">
        <f>IF($I$4="",1,IF($I$4="(blank)",--('Final Calculation Sheet'!$H$6=""),IF($I$4="(nonblank)",--('Final Calculation Sheet'!$H$6&lt;&gt;""),--ISNUMBER(SEARCH($I$4,'Final Calculation Sheet'!$H$6)))))</f>
        <v>1</v>
      </c>
      <c r="DO8">
        <f>IF($J$4="",1,IF($J$4="(blank)",--('Final Calculation Sheet'!$I$6=""),IF($J$4="(nonblank)",--('Final Calculation Sheet'!$I$6&lt;&gt;""),--ISNUMBER(SEARCH($J$4,'Final Calculation Sheet'!$I$6)))))</f>
        <v>1</v>
      </c>
      <c r="DP8">
        <f>IF($K$4="",1,IF($K$4="(blank)",--('Final Calculation Sheet'!$J$6=""),IF($K$4="(nonblank)",--('Final Calculation Sheet'!$J$6&lt;&gt;""),--ISNUMBER(SEARCH($K$4,'Final Calculation Sheet'!$J$6)))))</f>
        <v>1</v>
      </c>
      <c r="DQ8">
        <f>IF($L$4="",1,IF($L$4="(blank)",--('Final Calculation Sheet'!$K$6=""),IF($L$4="(nonblank)",--('Final Calculation Sheet'!$K$6&lt;&gt;""),--ISNUMBER(SEARCH($L$4,'Final Calculation Sheet'!$K$6)))))</f>
        <v>1</v>
      </c>
      <c r="DR8">
        <f>IF($M$4="",1,IF($M$4="(blank)",--('Final Calculation Sheet'!$L$6=""),IF($M$4="(nonblank)",--('Final Calculation Sheet'!$L$6&lt;&gt;""),--ISNUMBER(SEARCH($M$4,'Final Calculation Sheet'!$L$6)))))</f>
        <v>1</v>
      </c>
      <c r="DS8">
        <f>IF($N$4="",1,IF($N$4="(blank)",--('Final Calculation Sheet'!$M$6=""),IF($N$4="(nonblank)",--('Final Calculation Sheet'!$M$6&lt;&gt;""),--ISNUMBER(SEARCH($N$4,'Final Calculation Sheet'!$M$6)))))</f>
        <v>1</v>
      </c>
      <c r="DT8">
        <f>IF($O$4="",1,IF($O$4="(blank)",--('Final Calculation Sheet'!$N$6=""),IF($O$4="(nonblank)",--('Final Calculation Sheet'!$N$6&lt;&gt;""),--ISNUMBER(SEARCH($O$4,'Final Calculation Sheet'!$N$6)))))</f>
        <v>1</v>
      </c>
      <c r="DU8">
        <f>IF($P$4="",1,IF($P$4="(blank)",--('Final Calculation Sheet'!$O$6=""),IF($P$4="(nonblank)",--('Final Calculation Sheet'!$O$6&lt;&gt;""),--ISNUMBER(SEARCH($P$4,'Final Calculation Sheet'!$O$6)))))</f>
        <v>1</v>
      </c>
      <c r="DV8">
        <f>IF($Q$4="",1,IF($Q$4="(blank)",--('Final Calculation Sheet'!$P$6=""),IF($Q$4="(nonblank)",--('Final Calculation Sheet'!$P$6&lt;&gt;""),--ISNUMBER(SEARCH($Q$4,'Final Calculation Sheet'!$P$6)))))</f>
        <v>1</v>
      </c>
      <c r="DW8">
        <f>IF($R$4="",1,IF($R$4="(blank)",--('Final Calculation Sheet'!$Q$6=""),IF($R$4="(nonblank)",--('Final Calculation Sheet'!$Q$6&lt;&gt;""),--ISNUMBER(SEARCH($R$4,'Final Calculation Sheet'!$Q$6)))))</f>
        <v>1</v>
      </c>
      <c r="DX8">
        <f>IF($S$4="",1,IF($S$4="(blank)",--('Final Calculation Sheet'!$R$6=""),IF($S$4="(nonblank)",--('Final Calculation Sheet'!$R$6&lt;&gt;""),--ISNUMBER(SEARCH($S$4,'Final Calculation Sheet'!$R$6)))))</f>
        <v>1</v>
      </c>
      <c r="DY8">
        <f>IF($T$4="",1,IF($T$4="(blank)",--('Final Calculation Sheet'!$S$6=""),IF($T$4="(nonblank)",--('Final Calculation Sheet'!$S$6&lt;&gt;""),--ISNUMBER(SEARCH($T$4,'Final Calculation Sheet'!$S$6)))))</f>
        <v>1</v>
      </c>
      <c r="DZ8">
        <f>IF($U$4="",1,IF($U$4="(blank)",--('Final Calculation Sheet'!$T$6=""),IF($U$4="(nonblank)",--('Final Calculation Sheet'!$T$6&lt;&gt;""),--ISNUMBER(SEARCH($U$4,'Final Calculation Sheet'!$T$6)))))</f>
        <v>1</v>
      </c>
      <c r="EA8">
        <f>IF($V$4="",1,IF($V$4="(blank)",--('Final Calculation Sheet'!$U$6=""),IF($V$4="(nonblank)",--('Final Calculation Sheet'!$U$6&lt;&gt;""),--ISNUMBER(SEARCH($V$4,'Final Calculation Sheet'!$U$6)))))</f>
        <v>1</v>
      </c>
      <c r="EB8">
        <f>IF($W$4="",1,IF($W$4="(blank)",--('Final Calculation Sheet'!$V$6=""),IF($W$4="(nonblank)",--('Final Calculation Sheet'!$V$6&lt;&gt;""),--ISNUMBER(SEARCH($W$4,'Final Calculation Sheet'!$V$6)))))</f>
        <v>1</v>
      </c>
      <c r="EC8">
        <f>IF($X$4="",1,IF($X$4="(blank)",--('Final Calculation Sheet'!$W$6=""),IF($X$4="(nonblank)",--('Final Calculation Sheet'!$W$6&lt;&gt;""),--ISNUMBER(SEARCH($X$4,'Final Calculation Sheet'!$W$6)))))</f>
        <v>1</v>
      </c>
      <c r="ED8">
        <f>IF($Y$4="",1,IF($Y$4="(blank)",--('Final Calculation Sheet'!$X$6=""),IF($Y$4="(nonblank)",--('Final Calculation Sheet'!$X$6&lt;&gt;""),--ISNUMBER(SEARCH($Y$4,'Final Calculation Sheet'!$X$6)))))</f>
        <v>1</v>
      </c>
      <c r="EE8">
        <f>IF($Z$4="",1,IF($Z$4="(blank)",--('Final Calculation Sheet'!$Y$6=""),IF($Z$4="(nonblank)",--('Final Calculation Sheet'!$Y$6&lt;&gt;""),--ISNUMBER(SEARCH($Z$4,'Final Calculation Sheet'!$Y$6)))))</f>
        <v>1</v>
      </c>
      <c r="EF8">
        <f>IF($AA$4="",1,IF($AA$4="(blank)",--('Final Calculation Sheet'!$Z$6=""),IF($AA$4="(nonblank)",--('Final Calculation Sheet'!$Z$6&lt;&gt;""),--ISNUMBER(SEARCH($AA$4,'Final Calculation Sheet'!$Z$6)))))</f>
        <v>1</v>
      </c>
      <c r="EG8">
        <f>IF($AB$4="",1,IF($AB$4="(blank)",--('Final Calculation Sheet'!$AA$6=""),IF($AB$4="(nonblank)",--('Final Calculation Sheet'!$AA$6&lt;&gt;""),--ISNUMBER(SEARCH($AB$4,'Final Calculation Sheet'!$AA$6)))))</f>
        <v>1</v>
      </c>
      <c r="EH8">
        <f>IF($AC$4="",1,IF($AC$4="(blank)",--('Final Calculation Sheet'!$AB$6=""),IF($AC$4="(nonblank)",--('Final Calculation Sheet'!$AB$6&lt;&gt;""),--ISNUMBER(SEARCH($AC$4,'Final Calculation Sheet'!$AB$6)))))</f>
        <v>1</v>
      </c>
      <c r="EI8">
        <f>IF($AD$4="",1,IF($AD$4="(blank)",--('Final Calculation Sheet'!$AC$6=""),IF($AD$4="(nonblank)",--('Final Calculation Sheet'!$AC$6&lt;&gt;""),--ISNUMBER(SEARCH($AD$4,'Final Calculation Sheet'!$AC$6)))))</f>
        <v>1</v>
      </c>
      <c r="EJ8">
        <f>IF($AE$4="",1,IF($AE$4="(blank)",--('Final Calculation Sheet'!$AD$6=""),IF($AE$4="(nonblank)",--('Final Calculation Sheet'!$AD$6&lt;&gt;""),--ISNUMBER(SEARCH($AE$4,'Final Calculation Sheet'!$AD$6)))))</f>
        <v>1</v>
      </c>
      <c r="EK8">
        <f>IF($AF$4="",1,IF($AF$4="(blank)",--(IF('Final Calculation Sheet'!$AD$6&lt;=5,"SETTLED","OUTSTANDING")=""),IF($AF$4="(nonblank)",--(IF('Final Calculation Sheet'!$AD$6&lt;=5,"SETTLED","OUTSTANDING")&lt;&gt;""),--ISNUMBER(SEARCH($AF$4,IF('Final Calculation Sheet'!$AD$6&lt;=5,"SETTLED","OUTSTANDING"))))))</f>
        <v>1</v>
      </c>
      <c r="EL8">
        <f>IF($AG$4="",1,IF($AG$4="(blank)",--('Final Calculation Sheet'!$AF$6=""),IF($AG$4="(nonblank)",--('Final Calculation Sheet'!$AF$6&lt;&gt;""),--ISNUMBER(SEARCH($AG$4,'Final Calculation Sheet'!$AF$6)))))</f>
        <v>1</v>
      </c>
      <c r="EM8">
        <f>IF($AH$4="",1,IF($AH$4="(blank)",--('Final Calculation Sheet'!$AG$6=""),IF($AH$4="(nonblank)",--('Final Calculation Sheet'!$AG$6&lt;&gt;""),--ISNUMBER(SEARCH($AH$4,'Final Calculation Sheet'!$AG$6)))))</f>
        <v>1</v>
      </c>
      <c r="EN8">
        <f>IF($AI$4="",1,IF($AI$4="(blank)",--('Final Calculation Sheet'!$AH$6=""),IF($AI$4="(nonblank)",--('Final Calculation Sheet'!$AH$6&lt;&gt;""),--ISNUMBER(SEARCH($AI$4,'Final Calculation Sheet'!$AH$6)))))</f>
        <v>1</v>
      </c>
    </row>
    <row r="9" spans="1:144" hidden="1" outlineLevel="1" x14ac:dyDescent="0.3">
      <c r="A9" s="107" t="str">
        <f>IF($AL$9="","",3)</f>
        <v/>
      </c>
      <c r="B9" s="108" t="str">
        <f>IF($AL$9="","",IF(INDEX('Final Calculation Sheet'!$F$4:$F$40,$AL$9)="","",INDEX('Final Calculation Sheet'!$F$4:$F$40,$AL$9)))</f>
        <v/>
      </c>
      <c r="C9" s="108" t="str">
        <f>IF($AL$9="","",IF(INDEX('Final Calculation Sheet'!$G$4:$G$40,$AL$9)="","",INDEX('Final Calculation Sheet'!$G$4:$G$40,$AL$9)))</f>
        <v/>
      </c>
      <c r="D9" s="110" t="str">
        <f>IF($AL$9="","",IF(INDEX('Final Calculation Sheet'!$B$4:$B$40,$AL$9)="","",INDEX('Final Calculation Sheet'!$B$4:$B$40,$AL$9)))</f>
        <v/>
      </c>
      <c r="E9" s="110" t="str">
        <f>IF($AL$9="","",IF(INDEX('Final Calculation Sheet'!$D$4:$D$40,$AL$9)="","",INDEX('Final Calculation Sheet'!$D$4:$D$40,$AL$9)))</f>
        <v/>
      </c>
      <c r="F9" s="110" t="str">
        <f>IF($AL$9="","",IF(INDEX('Final Calculation Sheet'!$A$4:$A$40,$AL$9)="","",INDEX('Final Calculation Sheet'!$A$4:$A$40,$AL$9)))</f>
        <v/>
      </c>
      <c r="G9" s="110" t="str">
        <f>IF($AL$9="","",IF(INDEX('Final Calculation Sheet'!$E$4:$E$40,$AL$9)="","",INDEX('Final Calculation Sheet'!$E$4:$E$40,$AL$9)))</f>
        <v/>
      </c>
      <c r="H9" s="111" t="str">
        <f>IF($AL$9="","",IF(INDEX('Final Calculation Sheet'!$C$4:$C$40,$AL$9)="","",INDEX('Final Calculation Sheet'!$C$4:$C$40,$AL$9)))</f>
        <v/>
      </c>
      <c r="I9" s="111" t="str">
        <f>IF($AL$9="","",IF(INDEX('Final Calculation Sheet'!$H$4:$H$40,$AL$9)="","",INDEX('Final Calculation Sheet'!$H$4:$H$40,$AL$9)))</f>
        <v/>
      </c>
      <c r="J9" s="111" t="str">
        <f>IF($AL$9="","",IF(INDEX('Final Calculation Sheet'!$I$4:$I$40,$AL$9)="","",INDEX('Final Calculation Sheet'!$I$4:$I$40,$AL$9)))</f>
        <v/>
      </c>
      <c r="K9" s="111" t="str">
        <f>IF($AL$9="","",IF(INDEX('Final Calculation Sheet'!$J$4:$J$40,$AL$9)="","",INDEX('Final Calculation Sheet'!$J$4:$J$40,$AL$9)))</f>
        <v/>
      </c>
      <c r="L9" s="111" t="str">
        <f>IF($AL$9="","",IF(INDEX('Final Calculation Sheet'!$K$4:$K$40,$AL$9)="","",INDEX('Final Calculation Sheet'!$K$4:$K$40,$AL$9)))</f>
        <v/>
      </c>
      <c r="M9" s="111" t="str">
        <f>IF($AL$9="","",IF(INDEX('Final Calculation Sheet'!$L$4:$L$40,$AL$9)="","",INDEX('Final Calculation Sheet'!$L$4:$L$40,$AL$9)))</f>
        <v/>
      </c>
      <c r="N9" s="111" t="str">
        <f>IF($AL$9="","",IF(INDEX('Final Calculation Sheet'!$M$4:$M$40,$AL$9)="","",INDEX('Final Calculation Sheet'!$M$4:$M$40,$AL$9)))</f>
        <v/>
      </c>
      <c r="O9" s="112" t="str">
        <f>IF($AL$9="","",IF(INDEX('Final Calculation Sheet'!$N$4:$N$40,$AL$9)="","",INDEX('Final Calculation Sheet'!$N$4:$N$40,$AL$9)))</f>
        <v/>
      </c>
      <c r="P9" s="111" t="str">
        <f>IF($AL$9="","",IF(INDEX('Final Calculation Sheet'!$O$4:$O$40,$AL$9)="","",INDEX('Final Calculation Sheet'!$O$4:$O$40,$AL$9)))</f>
        <v/>
      </c>
      <c r="Q9" s="111" t="str">
        <f>IF($AL$9="","",IF(INDEX('Final Calculation Sheet'!$P$4:$P$40,$AL$9)="","",INDEX('Final Calculation Sheet'!$P$4:$P$40,$AL$9)))</f>
        <v/>
      </c>
      <c r="R9" s="113" t="str">
        <f>IF($AL$9="","",IF(INDEX('Final Calculation Sheet'!$Q$4:$Q$40,$AL$9)="","",INDEX('Final Calculation Sheet'!$Q$4:$Q$40,$AL$9)))</f>
        <v/>
      </c>
      <c r="S9" s="111" t="str">
        <f>IF($AL$9="","",IF(INDEX('Final Calculation Sheet'!$R$4:$R$40,$AL$9)="","",INDEX('Final Calculation Sheet'!$R$4:$R$40,$AL$9)))</f>
        <v/>
      </c>
      <c r="T9" s="111" t="str">
        <f>IF($AL$9="","",IF(INDEX('Final Calculation Sheet'!$S$4:$S$40,$AL$9)="","",INDEX('Final Calculation Sheet'!$S$4:$S$40,$AL$9)))</f>
        <v/>
      </c>
      <c r="U9" s="111" t="str">
        <f>IF($AL$9="","",IF(INDEX('Final Calculation Sheet'!$T$4:$T$40,$AL$9)="","",INDEX('Final Calculation Sheet'!$T$4:$T$40,$AL$9)))</f>
        <v/>
      </c>
      <c r="V9" s="114" t="str">
        <f>IF($AL$9="","",IF(INDEX('Final Calculation Sheet'!$U$4:$U$40,$AL$9)="","",INDEX('Final Calculation Sheet'!$U$4:$U$40,$AL$9)))</f>
        <v/>
      </c>
      <c r="W9" s="111" t="str">
        <f>IF($AL$9="","",IF(INDEX('Final Calculation Sheet'!$V$4:$V$40,$AL$9)="","",INDEX('Final Calculation Sheet'!$V$4:$V$40,$AL$9)))</f>
        <v/>
      </c>
      <c r="X9" s="111" t="str">
        <f>IF($AL$9="","",IF(INDEX('Final Calculation Sheet'!$W$4:$W$40,$AL$9)="","",INDEX('Final Calculation Sheet'!$W$4:$W$40,$AL$9)))</f>
        <v/>
      </c>
      <c r="Y9" s="111" t="str">
        <f>IF($AL$9="","",IF(INDEX('Final Calculation Sheet'!$X$4:$X$40,$AL$9)="","",INDEX('Final Calculation Sheet'!$X$4:$X$40,$AL$9)))</f>
        <v/>
      </c>
      <c r="Z9" s="111" t="str">
        <f>IF($AL$9="","",IF(INDEX('Final Calculation Sheet'!$Y$4:$Y$40,$AL$9)="","",INDEX('Final Calculation Sheet'!$Y$4:$Y$40,$AL$9)))</f>
        <v/>
      </c>
      <c r="AA9" s="111" t="str">
        <f>IF($AL$9="","",IF(INDEX('Final Calculation Sheet'!$Z$4:$Z$40,$AL$9)="","",INDEX('Final Calculation Sheet'!$Z$4:$Z$40,$AL$9)))</f>
        <v/>
      </c>
      <c r="AB9" s="111" t="str">
        <f>IF($AL$9="","",IF(INDEX('Final Calculation Sheet'!$AA$4:$AA$40,$AL$9)="","",INDEX('Final Calculation Sheet'!$AA$4:$AA$40,$AL$9)))</f>
        <v/>
      </c>
      <c r="AC9" s="111" t="str">
        <f>IF($AL$9="","",IF(INDEX('Final Calculation Sheet'!$AB$4:$AB$40,$AL$9)="","",INDEX('Final Calculation Sheet'!$AB$4:$AB$40,$AL$9)))</f>
        <v/>
      </c>
      <c r="AD9" s="111" t="str">
        <f>IF($AL$9="","",IF(INDEX('Final Calculation Sheet'!$AC$4:$AC$40,$AL$9)="","",INDEX('Final Calculation Sheet'!$AC$4:$AC$40,$AL$9)))</f>
        <v/>
      </c>
      <c r="AE9" s="111" t="str">
        <f>IF($AL$9="","",IF(INDEX('Final Calculation Sheet'!$AD$4:$AD$40,$AL$9)="","",INDEX('Final Calculation Sheet'!$AD$4:$AD$40,$AL$9)))</f>
        <v/>
      </c>
      <c r="AF9" s="116" t="str">
        <f>IF($AL$9="","",IF(INDEX('Final Calculation Sheet'!$AD$4:$AD$40,$AL$9)&lt;=5,"SETTLED","OUTSTANDING"))</f>
        <v/>
      </c>
      <c r="AG9" s="111" t="str">
        <f>IF($AL$9="","",IF(INDEX('Final Calculation Sheet'!$AF$4:$AF$40,$AL$9)="","",INDEX('Final Calculation Sheet'!$AF$4:$AF$40,$AL$9)))</f>
        <v/>
      </c>
      <c r="AH9" s="115" t="str">
        <f>IF($AL$9="","",IF(INDEX('Final Calculation Sheet'!$AG$4:$AG$40,$AL$9)="","",INDEX('Final Calculation Sheet'!$AG$4:$AG$40,$AL$9)))</f>
        <v/>
      </c>
      <c r="AI9" s="111" t="str">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v>1</v>
      </c>
      <c r="AK9">
        <f>IF(AJ9=1,COUNTIF(AJ$6:AJ9,1),"")</f>
        <v>4</v>
      </c>
      <c r="AL9" t="str">
        <f>IF(COUNTIF($B$4:$AI$4,"&lt;&gt;")=0,"",IFERROR(MATCH(3,$AK$6:$AK$42,0),""))</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 ca="1">CK8+IF(AND(Lists!$EJ$9&lt;&gt;"",ISNUMBER(SEARCH($AA$4,Lists!$EJ$9))),1,0)</f>
        <v>6</v>
      </c>
      <c r="CL9">
        <f ca="1">IF(ROW()-3&gt;MAX($CK$4:$CK$42),"",INDEX(Lists!$EJ$4:$EJ$42,MATCH(ROW()-3,$CK$4:$CK$42,0)))</f>
        <v>991.27079999999989</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f>CS8+IF(AND(Lists!$FD$9&lt;&gt;"",ISNUMBER(SEARCH($AE$4,Lists!$FD$9))),1,0)</f>
        <v>6</v>
      </c>
      <c r="CT9">
        <f>IF(ROW()-3&gt;MAX($CS$4:$CS$42),"",INDEX(Lists!$FD$4:$FD$42,MATCH(ROW()-3,$CS$4:$CS$42,0)))</f>
        <v>-0.90570838935673237</v>
      </c>
      <c r="CU9" t="e">
        <f>CU8+IF(AND(Lists!$FI$9&lt;&gt;"",ISNUMBER(SEARCH($AG$4,Lists!$FI$9))),1,0)</f>
        <v>#N/A</v>
      </c>
      <c r="CV9" t="e">
        <f>IF(ROW()-3&gt;MAX($CU$4:$CU$42),"",INDEX(Lists!$FI$4:$FI$42,MATCH(ROW()-3,$CU$4:$CU$42,0)))</f>
        <v>#N/A</v>
      </c>
      <c r="CW9" t="e">
        <f>CW8+IF(AND(Lists!$FN$9&lt;&gt;"",ISNUMBER(SEARCH($AH$4,Lists!$FN$9))),1,0)</f>
        <v>#N/A</v>
      </c>
      <c r="CX9" t="e">
        <f>IF(ROW()-3&gt;MAX($CW$4:$CW$42),"",INDEX(Lists!$FN$4:$FN$42,MATCH(ROW()-3,$CW$4:$CW$42,0)))</f>
        <v>#N/A</v>
      </c>
      <c r="CY9" t="e">
        <f>CY8+IF(AND(Lists!$FS$9&lt;&gt;"",ISNUMBER(SEARCH($AI$4,Lists!$FS$9))),1,0)</f>
        <v>#N/A</v>
      </c>
      <c r="CZ9" t="e">
        <f>IF(ROW()-3&gt;MAX($CY$4:$CY$42),"",INDEX(Lists!$FS$4:$FS$42,MATCH(ROW()-3,$CY$4:$CY$42,0)))</f>
        <v>#N/A</v>
      </c>
      <c r="DA9">
        <f>DA8+IF(AND(Lists!$FX$9&lt;&gt;"",ISNUMBER(SEARCH($AF$4,Lists!$FX$9))),1,0)</f>
        <v>2</v>
      </c>
      <c r="DB9" t="str">
        <f>IF(ROW()-3&gt;MAX($DA$4:$DA$42),"",INDEX(Lists!$FX$4:$FX$42,MATCH(ROW()-3,$DA$4:$DA$42,0)))</f>
        <v/>
      </c>
      <c r="DG9">
        <f>IF($B$4="",1,IF($B$4="(blank)",--('Final Calculation Sheet'!$F$7=""),IF($B$4="(nonblank)",--('Final Calculation Sheet'!$F$7&lt;&gt;""),--ISNUMBER(SEARCH($B$4,'Final Calculation Sheet'!$F$7)))))</f>
        <v>1</v>
      </c>
      <c r="DH9">
        <f>IF($C$4="",1,IF($C$4="(blank)",--('Final Calculation Sheet'!$G$7=""),IF($C$4="(nonblank)",--('Final Calculation Sheet'!$G$7&lt;&gt;""),--ISNUMBER(SEARCH($C$4,'Final Calculation Sheet'!$G$7)))))</f>
        <v>1</v>
      </c>
      <c r="DI9">
        <f>IF($D$4="",1,IF($D$4="(blank)",--('Final Calculation Sheet'!$B$7=""),IF($D$4="(nonblank)",--('Final Calculation Sheet'!$B$7&lt;&gt;""),--ISNUMBER(SEARCH($D$4,'Final Calculation Sheet'!$B$7)))))</f>
        <v>1</v>
      </c>
      <c r="DJ9">
        <f>IF($E$4="",1,IF($E$4="(blank)",--('Final Calculation Sheet'!$D$7=""),IF($E$4="(nonblank)",--('Final Calculation Sheet'!$D$7&lt;&gt;""),--ISNUMBER(SEARCH($E$4,'Final Calculation Sheet'!$D$7)))))</f>
        <v>1</v>
      </c>
      <c r="DK9">
        <f>IF($F$4="",1,IF($F$4="(blank)",--('Final Calculation Sheet'!$A$7=""),IF($F$4="(nonblank)",--('Final Calculation Sheet'!$A$7&lt;&gt;""),--ISNUMBER(SEARCH($F$4,'Final Calculation Sheet'!$A$7)))))</f>
        <v>1</v>
      </c>
      <c r="DL9">
        <f>IF($G$4="",1,IF($G$4="(blank)",--('Final Calculation Sheet'!$E$7=""),IF($G$4="(nonblank)",--('Final Calculation Sheet'!$E$7&lt;&gt;""),--ISNUMBER(SEARCH($G$4,'Final Calculation Sheet'!$E$7)))))</f>
        <v>1</v>
      </c>
      <c r="DM9">
        <f>IF($H$4="",1,IF($H$4="(blank)",--('Final Calculation Sheet'!$C$7=""),IF($H$4="(nonblank)",--('Final Calculation Sheet'!$C$7&lt;&gt;""),--ISNUMBER(SEARCH($H$4,'Final Calculation Sheet'!$C$7)))))</f>
        <v>1</v>
      </c>
      <c r="DN9">
        <f>IF($I$4="",1,IF($I$4="(blank)",--('Final Calculation Sheet'!$H$7=""),IF($I$4="(nonblank)",--('Final Calculation Sheet'!$H$7&lt;&gt;""),--ISNUMBER(SEARCH($I$4,'Final Calculation Sheet'!$H$7)))))</f>
        <v>1</v>
      </c>
      <c r="DO9">
        <f>IF($J$4="",1,IF($J$4="(blank)",--('Final Calculation Sheet'!$I$7=""),IF($J$4="(nonblank)",--('Final Calculation Sheet'!$I$7&lt;&gt;""),--ISNUMBER(SEARCH($J$4,'Final Calculation Sheet'!$I$7)))))</f>
        <v>1</v>
      </c>
      <c r="DP9">
        <f>IF($K$4="",1,IF($K$4="(blank)",--('Final Calculation Sheet'!$J$7=""),IF($K$4="(nonblank)",--('Final Calculation Sheet'!$J$7&lt;&gt;""),--ISNUMBER(SEARCH($K$4,'Final Calculation Sheet'!$J$7)))))</f>
        <v>1</v>
      </c>
      <c r="DQ9">
        <f>IF($L$4="",1,IF($L$4="(blank)",--('Final Calculation Sheet'!$K$7=""),IF($L$4="(nonblank)",--('Final Calculation Sheet'!$K$7&lt;&gt;""),--ISNUMBER(SEARCH($L$4,'Final Calculation Sheet'!$K$7)))))</f>
        <v>1</v>
      </c>
      <c r="DR9">
        <f>IF($M$4="",1,IF($M$4="(blank)",--('Final Calculation Sheet'!$L$7=""),IF($M$4="(nonblank)",--('Final Calculation Sheet'!$L$7&lt;&gt;""),--ISNUMBER(SEARCH($M$4,'Final Calculation Sheet'!$L$7)))))</f>
        <v>1</v>
      </c>
      <c r="DS9">
        <f>IF($N$4="",1,IF($N$4="(blank)",--('Final Calculation Sheet'!$M$7=""),IF($N$4="(nonblank)",--('Final Calculation Sheet'!$M$7&lt;&gt;""),--ISNUMBER(SEARCH($N$4,'Final Calculation Sheet'!$M$7)))))</f>
        <v>1</v>
      </c>
      <c r="DT9">
        <f>IF($O$4="",1,IF($O$4="(blank)",--('Final Calculation Sheet'!$N$7=""),IF($O$4="(nonblank)",--('Final Calculation Sheet'!$N$7&lt;&gt;""),--ISNUMBER(SEARCH($O$4,'Final Calculation Sheet'!$N$7)))))</f>
        <v>1</v>
      </c>
      <c r="DU9">
        <f>IF($P$4="",1,IF($P$4="(blank)",--('Final Calculation Sheet'!$O$7=""),IF($P$4="(nonblank)",--('Final Calculation Sheet'!$O$7&lt;&gt;""),--ISNUMBER(SEARCH($P$4,'Final Calculation Sheet'!$O$7)))))</f>
        <v>1</v>
      </c>
      <c r="DV9">
        <f>IF($Q$4="",1,IF($Q$4="(blank)",--('Final Calculation Sheet'!$P$7=""),IF($Q$4="(nonblank)",--('Final Calculation Sheet'!$P$7&lt;&gt;""),--ISNUMBER(SEARCH($Q$4,'Final Calculation Sheet'!$P$7)))))</f>
        <v>1</v>
      </c>
      <c r="DW9">
        <f>IF($R$4="",1,IF($R$4="(blank)",--('Final Calculation Sheet'!$Q$7=""),IF($R$4="(nonblank)",--('Final Calculation Sheet'!$Q$7&lt;&gt;""),--ISNUMBER(SEARCH($R$4,'Final Calculation Sheet'!$Q$7)))))</f>
        <v>1</v>
      </c>
      <c r="DX9">
        <f>IF($S$4="",1,IF($S$4="(blank)",--('Final Calculation Sheet'!$R$7=""),IF($S$4="(nonblank)",--('Final Calculation Sheet'!$R$7&lt;&gt;""),--ISNUMBER(SEARCH($S$4,'Final Calculation Sheet'!$R$7)))))</f>
        <v>1</v>
      </c>
      <c r="DY9">
        <f>IF($T$4="",1,IF($T$4="(blank)",--('Final Calculation Sheet'!$S$7=""),IF($T$4="(nonblank)",--('Final Calculation Sheet'!$S$7&lt;&gt;""),--ISNUMBER(SEARCH($T$4,'Final Calculation Sheet'!$S$7)))))</f>
        <v>1</v>
      </c>
      <c r="DZ9">
        <f>IF($U$4="",1,IF($U$4="(blank)",--('Final Calculation Sheet'!$T$7=""),IF($U$4="(nonblank)",--('Final Calculation Sheet'!$T$7&lt;&gt;""),--ISNUMBER(SEARCH($U$4,'Final Calculation Sheet'!$T$7)))))</f>
        <v>1</v>
      </c>
      <c r="EA9">
        <f>IF($V$4="",1,IF($V$4="(blank)",--('Final Calculation Sheet'!$U$7=""),IF($V$4="(nonblank)",--('Final Calculation Sheet'!$U$7&lt;&gt;""),--ISNUMBER(SEARCH($V$4,'Final Calculation Sheet'!$U$7)))))</f>
        <v>1</v>
      </c>
      <c r="EB9">
        <f>IF($W$4="",1,IF($W$4="(blank)",--('Final Calculation Sheet'!$V$7=""),IF($W$4="(nonblank)",--('Final Calculation Sheet'!$V$7&lt;&gt;""),--ISNUMBER(SEARCH($W$4,'Final Calculation Sheet'!$V$7)))))</f>
        <v>1</v>
      </c>
      <c r="EC9">
        <f>IF($X$4="",1,IF($X$4="(blank)",--('Final Calculation Sheet'!$W$7=""),IF($X$4="(nonblank)",--('Final Calculation Sheet'!$W$7&lt;&gt;""),--ISNUMBER(SEARCH($X$4,'Final Calculation Sheet'!$W$7)))))</f>
        <v>1</v>
      </c>
      <c r="ED9">
        <f>IF($Y$4="",1,IF($Y$4="(blank)",--('Final Calculation Sheet'!$X$7=""),IF($Y$4="(nonblank)",--('Final Calculation Sheet'!$X$7&lt;&gt;""),--ISNUMBER(SEARCH($Y$4,'Final Calculation Sheet'!$X$7)))))</f>
        <v>1</v>
      </c>
      <c r="EE9">
        <f>IF($Z$4="",1,IF($Z$4="(blank)",--('Final Calculation Sheet'!$Y$7=""),IF($Z$4="(nonblank)",--('Final Calculation Sheet'!$Y$7&lt;&gt;""),--ISNUMBER(SEARCH($Z$4,'Final Calculation Sheet'!$Y$7)))))</f>
        <v>1</v>
      </c>
      <c r="EF9">
        <f>IF($AA$4="",1,IF($AA$4="(blank)",--('Final Calculation Sheet'!$Z$7=""),IF($AA$4="(nonblank)",--('Final Calculation Sheet'!$Z$7&lt;&gt;""),--ISNUMBER(SEARCH($AA$4,'Final Calculation Sheet'!$Z$7)))))</f>
        <v>1</v>
      </c>
      <c r="EG9">
        <f>IF($AB$4="",1,IF($AB$4="(blank)",--('Final Calculation Sheet'!$AA$7=""),IF($AB$4="(nonblank)",--('Final Calculation Sheet'!$AA$7&lt;&gt;""),--ISNUMBER(SEARCH($AB$4,'Final Calculation Sheet'!$AA$7)))))</f>
        <v>1</v>
      </c>
      <c r="EH9">
        <f>IF($AC$4="",1,IF($AC$4="(blank)",--('Final Calculation Sheet'!$AB$7=""),IF($AC$4="(nonblank)",--('Final Calculation Sheet'!$AB$7&lt;&gt;""),--ISNUMBER(SEARCH($AC$4,'Final Calculation Sheet'!$AB$7)))))</f>
        <v>1</v>
      </c>
      <c r="EI9">
        <f>IF($AD$4="",1,IF($AD$4="(blank)",--('Final Calculation Sheet'!$AC$7=""),IF($AD$4="(nonblank)",--('Final Calculation Sheet'!$AC$7&lt;&gt;""),--ISNUMBER(SEARCH($AD$4,'Final Calculation Sheet'!$AC$7)))))</f>
        <v>1</v>
      </c>
      <c r="EJ9">
        <f>IF($AE$4="",1,IF($AE$4="(blank)",--('Final Calculation Sheet'!$AD$7=""),IF($AE$4="(nonblank)",--('Final Calculation Sheet'!$AD$7&lt;&gt;""),--ISNUMBER(SEARCH($AE$4,'Final Calculation Sheet'!$AD$7)))))</f>
        <v>1</v>
      </c>
      <c r="EK9">
        <f>IF($AF$4="",1,IF($AF$4="(blank)",--(IF('Final Calculation Sheet'!$AD$7&lt;=5,"SETTLED","OUTSTANDING")=""),IF($AF$4="(nonblank)",--(IF('Final Calculation Sheet'!$AD$7&lt;=5,"SETTLED","OUTSTANDING")&lt;&gt;""),--ISNUMBER(SEARCH($AF$4,IF('Final Calculation Sheet'!$AD$7&lt;=5,"SETTLED","OUTSTANDING"))))))</f>
        <v>1</v>
      </c>
      <c r="EL9">
        <f>IF($AG$4="",1,IF($AG$4="(blank)",--('Final Calculation Sheet'!$AF$7=""),IF($AG$4="(nonblank)",--('Final Calculation Sheet'!$AF$7&lt;&gt;""),--ISNUMBER(SEARCH($AG$4,'Final Calculation Sheet'!$AF$7)))))</f>
        <v>1</v>
      </c>
      <c r="EM9">
        <f>IF($AH$4="",1,IF($AH$4="(blank)",--('Final Calculation Sheet'!$AG$7=""),IF($AH$4="(nonblank)",--('Final Calculation Sheet'!$AG$7&lt;&gt;""),--ISNUMBER(SEARCH($AH$4,'Final Calculation Sheet'!$AG$7)))))</f>
        <v>1</v>
      </c>
      <c r="EN9">
        <f>IF($AI$4="",1,IF($AI$4="(blank)",--('Final Calculation Sheet'!$AH$7=""),IF($AI$4="(nonblank)",--('Final Calculation Sheet'!$AH$7&lt;&gt;""),--ISNUMBER(SEARCH($AI$4,'Final Calculation Sheet'!$AH$7)))))</f>
        <v>1</v>
      </c>
    </row>
    <row r="10" spans="1:144" hidden="1" outlineLevel="1" x14ac:dyDescent="0.3">
      <c r="A10" s="117" t="str">
        <f>IF($AL$10="","",4)</f>
        <v/>
      </c>
      <c r="B10" s="118" t="str">
        <f>IF($AL$10="","",IF(INDEX('Final Calculation Sheet'!$F$4:$F$40,$AL$10)="","",INDEX('Final Calculation Sheet'!$F$4:$F$40,$AL$10)))</f>
        <v/>
      </c>
      <c r="C10" s="118" t="str">
        <f>IF($AL$10="","",IF(INDEX('Final Calculation Sheet'!$G$4:$G$40,$AL$10)="","",INDEX('Final Calculation Sheet'!$G$4:$G$40,$AL$10)))</f>
        <v/>
      </c>
      <c r="D10" s="119" t="str">
        <f>IF($AL$10="","",IF(INDEX('Final Calculation Sheet'!$B$4:$B$40,$AL$10)="","",INDEX('Final Calculation Sheet'!$B$4:$B$40,$AL$10)))</f>
        <v/>
      </c>
      <c r="E10" s="119" t="str">
        <f>IF($AL$10="","",IF(INDEX('Final Calculation Sheet'!$D$4:$D$40,$AL$10)="","",INDEX('Final Calculation Sheet'!$D$4:$D$40,$AL$10)))</f>
        <v/>
      </c>
      <c r="F10" s="119" t="str">
        <f>IF($AL$10="","",IF(INDEX('Final Calculation Sheet'!$A$4:$A$40,$AL$10)="","",INDEX('Final Calculation Sheet'!$A$4:$A$40,$AL$10)))</f>
        <v/>
      </c>
      <c r="G10" s="119" t="str">
        <f>IF($AL$10="","",IF(INDEX('Final Calculation Sheet'!$E$4:$E$40,$AL$10)="","",INDEX('Final Calculation Sheet'!$E$4:$E$40,$AL$10)))</f>
        <v/>
      </c>
      <c r="H10" s="120" t="str">
        <f>IF($AL$10="","",IF(INDEX('Final Calculation Sheet'!$C$4:$C$40,$AL$10)="","",INDEX('Final Calculation Sheet'!$C$4:$C$40,$AL$10)))</f>
        <v/>
      </c>
      <c r="I10" s="120" t="str">
        <f>IF($AL$10="","",IF(INDEX('Final Calculation Sheet'!$H$4:$H$40,$AL$10)="","",INDEX('Final Calculation Sheet'!$H$4:$H$40,$AL$10)))</f>
        <v/>
      </c>
      <c r="J10" s="120" t="str">
        <f>IF($AL$10="","",IF(INDEX('Final Calculation Sheet'!$I$4:$I$40,$AL$10)="","",INDEX('Final Calculation Sheet'!$I$4:$I$40,$AL$10)))</f>
        <v/>
      </c>
      <c r="K10" s="120" t="str">
        <f>IF($AL$10="","",IF(INDEX('Final Calculation Sheet'!$J$4:$J$40,$AL$10)="","",INDEX('Final Calculation Sheet'!$J$4:$J$40,$AL$10)))</f>
        <v/>
      </c>
      <c r="L10" s="120" t="str">
        <f>IF($AL$10="","",IF(INDEX('Final Calculation Sheet'!$K$4:$K$40,$AL$10)="","",INDEX('Final Calculation Sheet'!$K$4:$K$40,$AL$10)))</f>
        <v/>
      </c>
      <c r="M10" s="120" t="str">
        <f>IF($AL$10="","",IF(INDEX('Final Calculation Sheet'!$L$4:$L$40,$AL$10)="","",INDEX('Final Calculation Sheet'!$L$4:$L$40,$AL$10)))</f>
        <v/>
      </c>
      <c r="N10" s="120" t="str">
        <f>IF($AL$10="","",IF(INDEX('Final Calculation Sheet'!$M$4:$M$40,$AL$10)="","",INDEX('Final Calculation Sheet'!$M$4:$M$40,$AL$10)))</f>
        <v/>
      </c>
      <c r="O10" s="121" t="str">
        <f>IF($AL$10="","",IF(INDEX('Final Calculation Sheet'!$N$4:$N$40,$AL$10)="","",INDEX('Final Calculation Sheet'!$N$4:$N$40,$AL$10)))</f>
        <v/>
      </c>
      <c r="P10" s="120" t="str">
        <f>IF($AL$10="","",IF(INDEX('Final Calculation Sheet'!$O$4:$O$40,$AL$10)="","",INDEX('Final Calculation Sheet'!$O$4:$O$40,$AL$10)))</f>
        <v/>
      </c>
      <c r="Q10" s="120" t="str">
        <f>IF($AL$10="","",IF(INDEX('Final Calculation Sheet'!$P$4:$P$40,$AL$10)="","",INDEX('Final Calculation Sheet'!$P$4:$P$40,$AL$10)))</f>
        <v/>
      </c>
      <c r="R10" s="122" t="str">
        <f>IF($AL$10="","",IF(INDEX('Final Calculation Sheet'!$Q$4:$Q$40,$AL$10)="","",INDEX('Final Calculation Sheet'!$Q$4:$Q$40,$AL$10)))</f>
        <v/>
      </c>
      <c r="S10" s="120" t="str">
        <f>IF($AL$10="","",IF(INDEX('Final Calculation Sheet'!$R$4:$R$40,$AL$10)="","",INDEX('Final Calculation Sheet'!$R$4:$R$40,$AL$10)))</f>
        <v/>
      </c>
      <c r="T10" s="120" t="str">
        <f>IF($AL$10="","",IF(INDEX('Final Calculation Sheet'!$S$4:$S$40,$AL$10)="","",INDEX('Final Calculation Sheet'!$S$4:$S$40,$AL$10)))</f>
        <v/>
      </c>
      <c r="U10" s="120" t="str">
        <f>IF($AL$10="","",IF(INDEX('Final Calculation Sheet'!$T$4:$T$40,$AL$10)="","",INDEX('Final Calculation Sheet'!$T$4:$T$40,$AL$10)))</f>
        <v/>
      </c>
      <c r="V10" s="123" t="str">
        <f>IF($AL$10="","",IF(INDEX('Final Calculation Sheet'!$U$4:$U$40,$AL$10)="","",INDEX('Final Calculation Sheet'!$U$4:$U$40,$AL$10)))</f>
        <v/>
      </c>
      <c r="W10" s="120" t="str">
        <f>IF($AL$10="","",IF(INDEX('Final Calculation Sheet'!$V$4:$V$40,$AL$10)="","",INDEX('Final Calculation Sheet'!$V$4:$V$40,$AL$10)))</f>
        <v/>
      </c>
      <c r="X10" s="120" t="str">
        <f>IF($AL$10="","",IF(INDEX('Final Calculation Sheet'!$W$4:$W$40,$AL$10)="","",INDEX('Final Calculation Sheet'!$W$4:$W$40,$AL$10)))</f>
        <v/>
      </c>
      <c r="Y10" s="120" t="str">
        <f>IF($AL$10="","",IF(INDEX('Final Calculation Sheet'!$X$4:$X$40,$AL$10)="","",INDEX('Final Calculation Sheet'!$X$4:$X$40,$AL$10)))</f>
        <v/>
      </c>
      <c r="Z10" s="120" t="str">
        <f>IF($AL$10="","",IF(INDEX('Final Calculation Sheet'!$Y$4:$Y$40,$AL$10)="","",INDEX('Final Calculation Sheet'!$Y$4:$Y$40,$AL$10)))</f>
        <v/>
      </c>
      <c r="AA10" s="120" t="str">
        <f>IF($AL$10="","",IF(INDEX('Final Calculation Sheet'!$Z$4:$Z$40,$AL$10)="","",INDEX('Final Calculation Sheet'!$Z$4:$Z$40,$AL$10)))</f>
        <v/>
      </c>
      <c r="AB10" s="120" t="str">
        <f>IF($AL$10="","",IF(INDEX('Final Calculation Sheet'!$AA$4:$AA$40,$AL$10)="","",INDEX('Final Calculation Sheet'!$AA$4:$AA$40,$AL$10)))</f>
        <v/>
      </c>
      <c r="AC10" s="120" t="str">
        <f>IF($AL$10="","",IF(INDEX('Final Calculation Sheet'!$AB$4:$AB$40,$AL$10)="","",INDEX('Final Calculation Sheet'!$AB$4:$AB$40,$AL$10)))</f>
        <v/>
      </c>
      <c r="AD10" s="120" t="str">
        <f>IF($AL$10="","",IF(INDEX('Final Calculation Sheet'!$AC$4:$AC$40,$AL$10)="","",INDEX('Final Calculation Sheet'!$AC$4:$AC$40,$AL$10)))</f>
        <v/>
      </c>
      <c r="AE10" s="120" t="str">
        <f>IF($AL$10="","",IF(INDEX('Final Calculation Sheet'!$AD$4:$AD$40,$AL$10)="","",INDEX('Final Calculation Sheet'!$AD$4:$AD$40,$AL$10)))</f>
        <v/>
      </c>
      <c r="AF10" s="125" t="str">
        <f>IF($AL$10="","",IF(INDEX('Final Calculation Sheet'!$AD$4:$AD$40,$AL$10)&lt;=5,"SETTLED","OUTSTANDING"))</f>
        <v/>
      </c>
      <c r="AG10" s="120" t="str">
        <f>IF($AL$10="","",IF(INDEX('Final Calculation Sheet'!$AF$4:$AF$40,$AL$10)="","",INDEX('Final Calculation Sheet'!$AF$4:$AF$40,$AL$10)))</f>
        <v/>
      </c>
      <c r="AH10" s="124" t="str">
        <f>IF($AL$10="","",IF(INDEX('Final Calculation Sheet'!$AG$4:$AG$40,$AL$10)="","",INDEX('Final Calculation Sheet'!$AG$4:$AG$40,$AL$10)))</f>
        <v/>
      </c>
      <c r="AI10" s="120" t="str">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v>1</v>
      </c>
      <c r="AK10">
        <f>IF(AJ10=1,COUNTIF(AJ$6:AJ10,1),"")</f>
        <v>5</v>
      </c>
      <c r="AL10" t="str">
        <f>IF(COUNTIF($B$4:$AI$4,"&lt;&gt;")=0,"",IFERROR(MATCH(4,$AK$6:$AK$42,0),""))</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 ca="1">CK9+IF(AND(Lists!$EJ$10&lt;&gt;"",ISNUMBER(SEARCH($AA$4,Lists!$EJ$10))),1,0)</f>
        <v>7</v>
      </c>
      <c r="CL10">
        <f ca="1">IF(ROW()-3&gt;MAX($CK$4:$CK$42),"",INDEX(Lists!$EJ$4:$EJ$42,MATCH(ROW()-3,$CK$4:$CK$42,0)))</f>
        <v>1044.3708000000001</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f>CS9+IF(AND(Lists!$FD$10&lt;&gt;"",ISNUMBER(SEARCH($AE$4,Lists!$FD$10))),1,0)</f>
        <v>7</v>
      </c>
      <c r="CT10">
        <f>IF(ROW()-3&gt;MAX($CS$4:$CS$42),"",INDEX(Lists!$FD$4:$FD$42,MATCH(ROW()-3,$CS$4:$CS$42,0)))</f>
        <v>0</v>
      </c>
      <c r="CU10" t="e">
        <f>CU9+IF(AND(Lists!$FI$10&lt;&gt;"",ISNUMBER(SEARCH($AG$4,Lists!$FI$10))),1,0)</f>
        <v>#N/A</v>
      </c>
      <c r="CV10" t="e">
        <f>IF(ROW()-3&gt;MAX($CU$4:$CU$42),"",INDEX(Lists!$FI$4:$FI$42,MATCH(ROW()-3,$CU$4:$CU$42,0)))</f>
        <v>#N/A</v>
      </c>
      <c r="CW10" t="e">
        <f>CW9+IF(AND(Lists!$FN$10&lt;&gt;"",ISNUMBER(SEARCH($AH$4,Lists!$FN$10))),1,0)</f>
        <v>#N/A</v>
      </c>
      <c r="CX10" t="e">
        <f>IF(ROW()-3&gt;MAX($CW$4:$CW$42),"",INDEX(Lists!$FN$4:$FN$42,MATCH(ROW()-3,$CW$4:$CW$42,0)))</f>
        <v>#N/A</v>
      </c>
      <c r="CY10" t="e">
        <f>CY9+IF(AND(Lists!$FS$10&lt;&gt;"",ISNUMBER(SEARCH($AI$4,Lists!$FS$10))),1,0)</f>
        <v>#N/A</v>
      </c>
      <c r="CZ10" t="e">
        <f>IF(ROW()-3&gt;MAX($CY$4:$CY$42),"",INDEX(Lists!$FS$4:$FS$42,MATCH(ROW()-3,$CY$4:$CY$42,0)))</f>
        <v>#N/A</v>
      </c>
      <c r="DA10">
        <f>DA9+IF(AND(Lists!$FX$10&lt;&gt;"",ISNUMBER(SEARCH($AF$4,Lists!$FX$10))),1,0)</f>
        <v>2</v>
      </c>
      <c r="DB10" t="str">
        <f>IF(ROW()-3&gt;MAX($DA$4:$DA$42),"",INDEX(Lists!$FX$4:$FX$42,MATCH(ROW()-3,$DA$4:$DA$42,0)))</f>
        <v/>
      </c>
      <c r="DG10">
        <f>IF($B$4="",1,IF($B$4="(blank)",--('Final Calculation Sheet'!$F$8=""),IF($B$4="(nonblank)",--('Final Calculation Sheet'!$F$8&lt;&gt;""),--ISNUMBER(SEARCH($B$4,'Final Calculation Sheet'!$F$8)))))</f>
        <v>1</v>
      </c>
      <c r="DH10">
        <f>IF($C$4="",1,IF($C$4="(blank)",--('Final Calculation Sheet'!$G$8=""),IF($C$4="(nonblank)",--('Final Calculation Sheet'!$G$8&lt;&gt;""),--ISNUMBER(SEARCH($C$4,'Final Calculation Sheet'!$G$8)))))</f>
        <v>1</v>
      </c>
      <c r="DI10">
        <f>IF($D$4="",1,IF($D$4="(blank)",--('Final Calculation Sheet'!$B$8=""),IF($D$4="(nonblank)",--('Final Calculation Sheet'!$B$8&lt;&gt;""),--ISNUMBER(SEARCH($D$4,'Final Calculation Sheet'!$B$8)))))</f>
        <v>1</v>
      </c>
      <c r="DJ10">
        <f>IF($E$4="",1,IF($E$4="(blank)",--('Final Calculation Sheet'!$D$8=""),IF($E$4="(nonblank)",--('Final Calculation Sheet'!$D$8&lt;&gt;""),--ISNUMBER(SEARCH($E$4,'Final Calculation Sheet'!$D$8)))))</f>
        <v>1</v>
      </c>
      <c r="DK10">
        <f>IF($F$4="",1,IF($F$4="(blank)",--('Final Calculation Sheet'!$A$8=""),IF($F$4="(nonblank)",--('Final Calculation Sheet'!$A$8&lt;&gt;""),--ISNUMBER(SEARCH($F$4,'Final Calculation Sheet'!$A$8)))))</f>
        <v>1</v>
      </c>
      <c r="DL10">
        <f>IF($G$4="",1,IF($G$4="(blank)",--('Final Calculation Sheet'!$E$8=""),IF($G$4="(nonblank)",--('Final Calculation Sheet'!$E$8&lt;&gt;""),--ISNUMBER(SEARCH($G$4,'Final Calculation Sheet'!$E$8)))))</f>
        <v>1</v>
      </c>
      <c r="DM10">
        <f>IF($H$4="",1,IF($H$4="(blank)",--('Final Calculation Sheet'!$C$8=""),IF($H$4="(nonblank)",--('Final Calculation Sheet'!$C$8&lt;&gt;""),--ISNUMBER(SEARCH($H$4,'Final Calculation Sheet'!$C$8)))))</f>
        <v>1</v>
      </c>
      <c r="DN10">
        <f>IF($I$4="",1,IF($I$4="(blank)",--('Final Calculation Sheet'!$H$8=""),IF($I$4="(nonblank)",--('Final Calculation Sheet'!$H$8&lt;&gt;""),--ISNUMBER(SEARCH($I$4,'Final Calculation Sheet'!$H$8)))))</f>
        <v>1</v>
      </c>
      <c r="DO10">
        <f>IF($J$4="",1,IF($J$4="(blank)",--('Final Calculation Sheet'!$I$8=""),IF($J$4="(nonblank)",--('Final Calculation Sheet'!$I$8&lt;&gt;""),--ISNUMBER(SEARCH($J$4,'Final Calculation Sheet'!$I$8)))))</f>
        <v>1</v>
      </c>
      <c r="DP10">
        <f>IF($K$4="",1,IF($K$4="(blank)",--('Final Calculation Sheet'!$J$8=""),IF($K$4="(nonblank)",--('Final Calculation Sheet'!$J$8&lt;&gt;""),--ISNUMBER(SEARCH($K$4,'Final Calculation Sheet'!$J$8)))))</f>
        <v>1</v>
      </c>
      <c r="DQ10">
        <f>IF($L$4="",1,IF($L$4="(blank)",--('Final Calculation Sheet'!$K$8=""),IF($L$4="(nonblank)",--('Final Calculation Sheet'!$K$8&lt;&gt;""),--ISNUMBER(SEARCH($L$4,'Final Calculation Sheet'!$K$8)))))</f>
        <v>1</v>
      </c>
      <c r="DR10">
        <f>IF($M$4="",1,IF($M$4="(blank)",--('Final Calculation Sheet'!$L$8=""),IF($M$4="(nonblank)",--('Final Calculation Sheet'!$L$8&lt;&gt;""),--ISNUMBER(SEARCH($M$4,'Final Calculation Sheet'!$L$8)))))</f>
        <v>1</v>
      </c>
      <c r="DS10">
        <f>IF($N$4="",1,IF($N$4="(blank)",--('Final Calculation Sheet'!$M$8=""),IF($N$4="(nonblank)",--('Final Calculation Sheet'!$M$8&lt;&gt;""),--ISNUMBER(SEARCH($N$4,'Final Calculation Sheet'!$M$8)))))</f>
        <v>1</v>
      </c>
      <c r="DT10">
        <f>IF($O$4="",1,IF($O$4="(blank)",--('Final Calculation Sheet'!$N$8=""),IF($O$4="(nonblank)",--('Final Calculation Sheet'!$N$8&lt;&gt;""),--ISNUMBER(SEARCH($O$4,'Final Calculation Sheet'!$N$8)))))</f>
        <v>1</v>
      </c>
      <c r="DU10">
        <f>IF($P$4="",1,IF($P$4="(blank)",--('Final Calculation Sheet'!$O$8=""),IF($P$4="(nonblank)",--('Final Calculation Sheet'!$O$8&lt;&gt;""),--ISNUMBER(SEARCH($P$4,'Final Calculation Sheet'!$O$8)))))</f>
        <v>1</v>
      </c>
      <c r="DV10">
        <f>IF($Q$4="",1,IF($Q$4="(blank)",--('Final Calculation Sheet'!$P$8=""),IF($Q$4="(nonblank)",--('Final Calculation Sheet'!$P$8&lt;&gt;""),--ISNUMBER(SEARCH($Q$4,'Final Calculation Sheet'!$P$8)))))</f>
        <v>1</v>
      </c>
      <c r="DW10">
        <f>IF($R$4="",1,IF($R$4="(blank)",--('Final Calculation Sheet'!$Q$8=""),IF($R$4="(nonblank)",--('Final Calculation Sheet'!$Q$8&lt;&gt;""),--ISNUMBER(SEARCH($R$4,'Final Calculation Sheet'!$Q$8)))))</f>
        <v>1</v>
      </c>
      <c r="DX10">
        <f>IF($S$4="",1,IF($S$4="(blank)",--('Final Calculation Sheet'!$R$8=""),IF($S$4="(nonblank)",--('Final Calculation Sheet'!$R$8&lt;&gt;""),--ISNUMBER(SEARCH($S$4,'Final Calculation Sheet'!$R$8)))))</f>
        <v>1</v>
      </c>
      <c r="DY10">
        <f>IF($T$4="",1,IF($T$4="(blank)",--('Final Calculation Sheet'!$S$8=""),IF($T$4="(nonblank)",--('Final Calculation Sheet'!$S$8&lt;&gt;""),--ISNUMBER(SEARCH($T$4,'Final Calculation Sheet'!$S$8)))))</f>
        <v>1</v>
      </c>
      <c r="DZ10">
        <f>IF($U$4="",1,IF($U$4="(blank)",--('Final Calculation Sheet'!$T$8=""),IF($U$4="(nonblank)",--('Final Calculation Sheet'!$T$8&lt;&gt;""),--ISNUMBER(SEARCH($U$4,'Final Calculation Sheet'!$T$8)))))</f>
        <v>1</v>
      </c>
      <c r="EA10">
        <f>IF($V$4="",1,IF($V$4="(blank)",--('Final Calculation Sheet'!$U$8=""),IF($V$4="(nonblank)",--('Final Calculation Sheet'!$U$8&lt;&gt;""),--ISNUMBER(SEARCH($V$4,'Final Calculation Sheet'!$U$8)))))</f>
        <v>1</v>
      </c>
      <c r="EB10">
        <f>IF($W$4="",1,IF($W$4="(blank)",--('Final Calculation Sheet'!$V$8=""),IF($W$4="(nonblank)",--('Final Calculation Sheet'!$V$8&lt;&gt;""),--ISNUMBER(SEARCH($W$4,'Final Calculation Sheet'!$V$8)))))</f>
        <v>1</v>
      </c>
      <c r="EC10">
        <f>IF($X$4="",1,IF($X$4="(blank)",--('Final Calculation Sheet'!$W$8=""),IF($X$4="(nonblank)",--('Final Calculation Sheet'!$W$8&lt;&gt;""),--ISNUMBER(SEARCH($X$4,'Final Calculation Sheet'!$W$8)))))</f>
        <v>1</v>
      </c>
      <c r="ED10">
        <f>IF($Y$4="",1,IF($Y$4="(blank)",--('Final Calculation Sheet'!$X$8=""),IF($Y$4="(nonblank)",--('Final Calculation Sheet'!$X$8&lt;&gt;""),--ISNUMBER(SEARCH($Y$4,'Final Calculation Sheet'!$X$8)))))</f>
        <v>1</v>
      </c>
      <c r="EE10">
        <f>IF($Z$4="",1,IF($Z$4="(blank)",--('Final Calculation Sheet'!$Y$8=""),IF($Z$4="(nonblank)",--('Final Calculation Sheet'!$Y$8&lt;&gt;""),--ISNUMBER(SEARCH($Z$4,'Final Calculation Sheet'!$Y$8)))))</f>
        <v>1</v>
      </c>
      <c r="EF10">
        <f>IF($AA$4="",1,IF($AA$4="(blank)",--('Final Calculation Sheet'!$Z$8=""),IF($AA$4="(nonblank)",--('Final Calculation Sheet'!$Z$8&lt;&gt;""),--ISNUMBER(SEARCH($AA$4,'Final Calculation Sheet'!$Z$8)))))</f>
        <v>1</v>
      </c>
      <c r="EG10">
        <f>IF($AB$4="",1,IF($AB$4="(blank)",--('Final Calculation Sheet'!$AA$8=""),IF($AB$4="(nonblank)",--('Final Calculation Sheet'!$AA$8&lt;&gt;""),--ISNUMBER(SEARCH($AB$4,'Final Calculation Sheet'!$AA$8)))))</f>
        <v>1</v>
      </c>
      <c r="EH10">
        <f>IF($AC$4="",1,IF($AC$4="(blank)",--('Final Calculation Sheet'!$AB$8=""),IF($AC$4="(nonblank)",--('Final Calculation Sheet'!$AB$8&lt;&gt;""),--ISNUMBER(SEARCH($AC$4,'Final Calculation Sheet'!$AB$8)))))</f>
        <v>1</v>
      </c>
      <c r="EI10">
        <f>IF($AD$4="",1,IF($AD$4="(blank)",--('Final Calculation Sheet'!$AC$8=""),IF($AD$4="(nonblank)",--('Final Calculation Sheet'!$AC$8&lt;&gt;""),--ISNUMBER(SEARCH($AD$4,'Final Calculation Sheet'!$AC$8)))))</f>
        <v>1</v>
      </c>
      <c r="EJ10">
        <f>IF($AE$4="",1,IF($AE$4="(blank)",--('Final Calculation Sheet'!$AD$8=""),IF($AE$4="(nonblank)",--('Final Calculation Sheet'!$AD$8&lt;&gt;""),--ISNUMBER(SEARCH($AE$4,'Final Calculation Sheet'!$AD$8)))))</f>
        <v>1</v>
      </c>
      <c r="EK10">
        <f>IF($AF$4="",1,IF($AF$4="(blank)",--(IF('Final Calculation Sheet'!$AD$8&lt;=5,"SETTLED","OUTSTANDING")=""),IF($AF$4="(nonblank)",--(IF('Final Calculation Sheet'!$AD$8&lt;=5,"SETTLED","OUTSTANDING")&lt;&gt;""),--ISNUMBER(SEARCH($AF$4,IF('Final Calculation Sheet'!$AD$8&lt;=5,"SETTLED","OUTSTANDING"))))))</f>
        <v>1</v>
      </c>
      <c r="EL10">
        <f>IF($AG$4="",1,IF($AG$4="(blank)",--('Final Calculation Sheet'!$AF$8=""),IF($AG$4="(nonblank)",--('Final Calculation Sheet'!$AF$8&lt;&gt;""),--ISNUMBER(SEARCH($AG$4,'Final Calculation Sheet'!$AF$8)))))</f>
        <v>1</v>
      </c>
      <c r="EM10">
        <f>IF($AH$4="",1,IF($AH$4="(blank)",--('Final Calculation Sheet'!$AG$8=""),IF($AH$4="(nonblank)",--('Final Calculation Sheet'!$AG$8&lt;&gt;""),--ISNUMBER(SEARCH($AH$4,'Final Calculation Sheet'!$AG$8)))))</f>
        <v>1</v>
      </c>
      <c r="EN10">
        <f>IF($AI$4="",1,IF($AI$4="(blank)",--('Final Calculation Sheet'!$AH$8=""),IF($AI$4="(nonblank)",--('Final Calculation Sheet'!$AH$8&lt;&gt;""),--ISNUMBER(SEARCH($AI$4,'Final Calculation Sheet'!$AH$8)))))</f>
        <v>1</v>
      </c>
    </row>
    <row r="11" spans="1:144" hidden="1" outlineLevel="1" x14ac:dyDescent="0.3">
      <c r="A11" s="107" t="str">
        <f>IF($AL$11="","",5)</f>
        <v/>
      </c>
      <c r="B11" s="108" t="str">
        <f>IF($AL$11="","",IF(INDEX('Final Calculation Sheet'!$F$4:$F$40,$AL$11)="","",INDEX('Final Calculation Sheet'!$F$4:$F$40,$AL$11)))</f>
        <v/>
      </c>
      <c r="C11" s="108" t="str">
        <f>IF($AL$11="","",IF(INDEX('Final Calculation Sheet'!$G$4:$G$40,$AL$11)="","",INDEX('Final Calculation Sheet'!$G$4:$G$40,$AL$11)))</f>
        <v/>
      </c>
      <c r="D11" s="110" t="str">
        <f>IF($AL$11="","",IF(INDEX('Final Calculation Sheet'!$B$4:$B$40,$AL$11)="","",INDEX('Final Calculation Sheet'!$B$4:$B$40,$AL$11)))</f>
        <v/>
      </c>
      <c r="E11" s="110" t="str">
        <f>IF($AL$11="","",IF(INDEX('Final Calculation Sheet'!$D$4:$D$40,$AL$11)="","",INDEX('Final Calculation Sheet'!$D$4:$D$40,$AL$11)))</f>
        <v/>
      </c>
      <c r="F11" s="110" t="str">
        <f>IF($AL$11="","",IF(INDEX('Final Calculation Sheet'!$A$4:$A$40,$AL$11)="","",INDEX('Final Calculation Sheet'!$A$4:$A$40,$AL$11)))</f>
        <v/>
      </c>
      <c r="G11" s="110" t="str">
        <f>IF($AL$11="","",IF(INDEX('Final Calculation Sheet'!$E$4:$E$40,$AL$11)="","",INDEX('Final Calculation Sheet'!$E$4:$E$40,$AL$11)))</f>
        <v/>
      </c>
      <c r="H11" s="111" t="str">
        <f>IF($AL$11="","",IF(INDEX('Final Calculation Sheet'!$C$4:$C$40,$AL$11)="","",INDEX('Final Calculation Sheet'!$C$4:$C$40,$AL$11)))</f>
        <v/>
      </c>
      <c r="I11" s="111" t="str">
        <f>IF($AL$11="","",IF(INDEX('Final Calculation Sheet'!$H$4:$H$40,$AL$11)="","",INDEX('Final Calculation Sheet'!$H$4:$H$40,$AL$11)))</f>
        <v/>
      </c>
      <c r="J11" s="111" t="str">
        <f>IF($AL$11="","",IF(INDEX('Final Calculation Sheet'!$I$4:$I$40,$AL$11)="","",INDEX('Final Calculation Sheet'!$I$4:$I$40,$AL$11)))</f>
        <v/>
      </c>
      <c r="K11" s="111" t="str">
        <f>IF($AL$11="","",IF(INDEX('Final Calculation Sheet'!$J$4:$J$40,$AL$11)="","",INDEX('Final Calculation Sheet'!$J$4:$J$40,$AL$11)))</f>
        <v/>
      </c>
      <c r="L11" s="111" t="str">
        <f>IF($AL$11="","",IF(INDEX('Final Calculation Sheet'!$K$4:$K$40,$AL$11)="","",INDEX('Final Calculation Sheet'!$K$4:$K$40,$AL$11)))</f>
        <v/>
      </c>
      <c r="M11" s="111" t="str">
        <f>IF($AL$11="","",IF(INDEX('Final Calculation Sheet'!$L$4:$L$40,$AL$11)="","",INDEX('Final Calculation Sheet'!$L$4:$L$40,$AL$11)))</f>
        <v/>
      </c>
      <c r="N11" s="111" t="str">
        <f>IF($AL$11="","",IF(INDEX('Final Calculation Sheet'!$M$4:$M$40,$AL$11)="","",INDEX('Final Calculation Sheet'!$M$4:$M$40,$AL$11)))</f>
        <v/>
      </c>
      <c r="O11" s="112" t="str">
        <f>IF($AL$11="","",IF(INDEX('Final Calculation Sheet'!$N$4:$N$40,$AL$11)="","",INDEX('Final Calculation Sheet'!$N$4:$N$40,$AL$11)))</f>
        <v/>
      </c>
      <c r="P11" s="111" t="str">
        <f>IF($AL$11="","",IF(INDEX('Final Calculation Sheet'!$O$4:$O$40,$AL$11)="","",INDEX('Final Calculation Sheet'!$O$4:$O$40,$AL$11)))</f>
        <v/>
      </c>
      <c r="Q11" s="111" t="str">
        <f>IF($AL$11="","",IF(INDEX('Final Calculation Sheet'!$P$4:$P$40,$AL$11)="","",INDEX('Final Calculation Sheet'!$P$4:$P$40,$AL$11)))</f>
        <v/>
      </c>
      <c r="R11" s="113" t="str">
        <f>IF($AL$11="","",IF(INDEX('Final Calculation Sheet'!$Q$4:$Q$40,$AL$11)="","",INDEX('Final Calculation Sheet'!$Q$4:$Q$40,$AL$11)))</f>
        <v/>
      </c>
      <c r="S11" s="111" t="str">
        <f>IF($AL$11="","",IF(INDEX('Final Calculation Sheet'!$R$4:$R$40,$AL$11)="","",INDEX('Final Calculation Sheet'!$R$4:$R$40,$AL$11)))</f>
        <v/>
      </c>
      <c r="T11" s="111" t="str">
        <f>IF($AL$11="","",IF(INDEX('Final Calculation Sheet'!$S$4:$S$40,$AL$11)="","",INDEX('Final Calculation Sheet'!$S$4:$S$40,$AL$11)))</f>
        <v/>
      </c>
      <c r="U11" s="111" t="str">
        <f>IF($AL$11="","",IF(INDEX('Final Calculation Sheet'!$T$4:$T$40,$AL$11)="","",INDEX('Final Calculation Sheet'!$T$4:$T$40,$AL$11)))</f>
        <v/>
      </c>
      <c r="V11" s="114" t="str">
        <f>IF($AL$11="","",IF(INDEX('Final Calculation Sheet'!$U$4:$U$40,$AL$11)="","",INDEX('Final Calculation Sheet'!$U$4:$U$40,$AL$11)))</f>
        <v/>
      </c>
      <c r="W11" s="111" t="str">
        <f>IF($AL$11="","",IF(INDEX('Final Calculation Sheet'!$V$4:$V$40,$AL$11)="","",INDEX('Final Calculation Sheet'!$V$4:$V$40,$AL$11)))</f>
        <v/>
      </c>
      <c r="X11" s="111" t="str">
        <f>IF($AL$11="","",IF(INDEX('Final Calculation Sheet'!$W$4:$W$40,$AL$11)="","",INDEX('Final Calculation Sheet'!$W$4:$W$40,$AL$11)))</f>
        <v/>
      </c>
      <c r="Y11" s="111" t="str">
        <f>IF($AL$11="","",IF(INDEX('Final Calculation Sheet'!$X$4:$X$40,$AL$11)="","",INDEX('Final Calculation Sheet'!$X$4:$X$40,$AL$11)))</f>
        <v/>
      </c>
      <c r="Z11" s="111" t="str">
        <f>IF($AL$11="","",IF(INDEX('Final Calculation Sheet'!$Y$4:$Y$40,$AL$11)="","",INDEX('Final Calculation Sheet'!$Y$4:$Y$40,$AL$11)))</f>
        <v/>
      </c>
      <c r="AA11" s="111" t="str">
        <f>IF($AL$11="","",IF(INDEX('Final Calculation Sheet'!$Z$4:$Z$40,$AL$11)="","",INDEX('Final Calculation Sheet'!$Z$4:$Z$40,$AL$11)))</f>
        <v/>
      </c>
      <c r="AB11" s="111" t="str">
        <f>IF($AL$11="","",IF(INDEX('Final Calculation Sheet'!$AA$4:$AA$40,$AL$11)="","",INDEX('Final Calculation Sheet'!$AA$4:$AA$40,$AL$11)))</f>
        <v/>
      </c>
      <c r="AC11" s="111" t="str">
        <f>IF($AL$11="","",IF(INDEX('Final Calculation Sheet'!$AB$4:$AB$40,$AL$11)="","",INDEX('Final Calculation Sheet'!$AB$4:$AB$40,$AL$11)))</f>
        <v/>
      </c>
      <c r="AD11" s="111" t="str">
        <f>IF($AL$11="","",IF(INDEX('Final Calculation Sheet'!$AC$4:$AC$40,$AL$11)="","",INDEX('Final Calculation Sheet'!$AC$4:$AC$40,$AL$11)))</f>
        <v/>
      </c>
      <c r="AE11" s="111" t="str">
        <f>IF($AL$11="","",IF(INDEX('Final Calculation Sheet'!$AD$4:$AD$40,$AL$11)="","",INDEX('Final Calculation Sheet'!$AD$4:$AD$40,$AL$11)))</f>
        <v/>
      </c>
      <c r="AF11" s="116" t="str">
        <f>IF($AL$11="","",IF(INDEX('Final Calculation Sheet'!$AD$4:$AD$40,$AL$11)&lt;=5,"SETTLED","OUTSTANDING"))</f>
        <v/>
      </c>
      <c r="AG11" s="111" t="str">
        <f>IF($AL$11="","",IF(INDEX('Final Calculation Sheet'!$AF$4:$AF$40,$AL$11)="","",INDEX('Final Calculation Sheet'!$AF$4:$AF$40,$AL$11)))</f>
        <v/>
      </c>
      <c r="AH11" s="115" t="str">
        <f>IF($AL$11="","",IF(INDEX('Final Calculation Sheet'!$AG$4:$AG$40,$AL$11)="","",INDEX('Final Calculation Sheet'!$AG$4:$AG$40,$AL$11)))</f>
        <v/>
      </c>
      <c r="AI11" s="111" t="str">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v>1</v>
      </c>
      <c r="AK11">
        <f>IF(AJ11=1,COUNTIF(AJ$6:AJ11,1),"")</f>
        <v>6</v>
      </c>
      <c r="AL11" t="str">
        <f>IF(COUNTIF($B$4:$AI$4,"&lt;&gt;")=0,"",IFERROR(MATCH(5,$AK$6:$AK$42,0),""))</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 ca="1">CK10+IF(AND(Lists!$EJ$11&lt;&gt;"",ISNUMBER(SEARCH($AA$4,Lists!$EJ$11))),1,0)</f>
        <v>8</v>
      </c>
      <c r="CL11">
        <f ca="1">IF(ROW()-3&gt;MAX($CK$4:$CK$42),"",INDEX(Lists!$EJ$4:$EJ$42,MATCH(ROW()-3,$CK$4:$CK$42,0)))</f>
        <v>1443.1871999999998</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f>CS10+IF(AND(Lists!$FD$11&lt;&gt;"",ISNUMBER(SEARCH($AE$4,Lists!$FD$11))),1,0)</f>
        <v>8</v>
      </c>
      <c r="CT11">
        <f>IF(ROW()-3&gt;MAX($CS$4:$CS$42),"",INDEX(Lists!$FD$4:$FD$42,MATCH(ROW()-3,$CS$4:$CS$42,0)))</f>
        <v>1</v>
      </c>
      <c r="CU11" t="e">
        <f>CU10+IF(AND(Lists!$FI$11&lt;&gt;"",ISNUMBER(SEARCH($AG$4,Lists!$FI$11))),1,0)</f>
        <v>#N/A</v>
      </c>
      <c r="CV11" t="e">
        <f>IF(ROW()-3&gt;MAX($CU$4:$CU$42),"",INDEX(Lists!$FI$4:$FI$42,MATCH(ROW()-3,$CU$4:$CU$42,0)))</f>
        <v>#N/A</v>
      </c>
      <c r="CW11" t="e">
        <f>CW10+IF(AND(Lists!$FN$11&lt;&gt;"",ISNUMBER(SEARCH($AH$4,Lists!$FN$11))),1,0)</f>
        <v>#N/A</v>
      </c>
      <c r="CX11" t="e">
        <f>IF(ROW()-3&gt;MAX($CW$4:$CW$42),"",INDEX(Lists!$FN$4:$FN$42,MATCH(ROW()-3,$CW$4:$CW$42,0)))</f>
        <v>#N/A</v>
      </c>
      <c r="CY11" t="e">
        <f>CY10+IF(AND(Lists!$FS$11&lt;&gt;"",ISNUMBER(SEARCH($AI$4,Lists!$FS$11))),1,0)</f>
        <v>#N/A</v>
      </c>
      <c r="CZ11" t="e">
        <f>IF(ROW()-3&gt;MAX($CY$4:$CY$42),"",INDEX(Lists!$FS$4:$FS$42,MATCH(ROW()-3,$CY$4:$CY$42,0)))</f>
        <v>#N/A</v>
      </c>
      <c r="DA11">
        <f>DA10+IF(AND(Lists!$FX$11&lt;&gt;"",ISNUMBER(SEARCH($AF$4,Lists!$FX$11))),1,0)</f>
        <v>2</v>
      </c>
      <c r="DB11" t="str">
        <f>IF(ROW()-3&gt;MAX($DA$4:$DA$42),"",INDEX(Lists!$FX$4:$FX$42,MATCH(ROW()-3,$DA$4:$DA$42,0)))</f>
        <v/>
      </c>
      <c r="DG11">
        <f>IF($B$4="",1,IF($B$4="(blank)",--('Final Calculation Sheet'!$F$9=""),IF($B$4="(nonblank)",--('Final Calculation Sheet'!$F$9&lt;&gt;""),--ISNUMBER(SEARCH($B$4,'Final Calculation Sheet'!$F$9)))))</f>
        <v>1</v>
      </c>
      <c r="DH11">
        <f>IF($C$4="",1,IF($C$4="(blank)",--('Final Calculation Sheet'!$G$9=""),IF($C$4="(nonblank)",--('Final Calculation Sheet'!$G$9&lt;&gt;""),--ISNUMBER(SEARCH($C$4,'Final Calculation Sheet'!$G$9)))))</f>
        <v>1</v>
      </c>
      <c r="DI11">
        <f>IF($D$4="",1,IF($D$4="(blank)",--('Final Calculation Sheet'!$B$9=""),IF($D$4="(nonblank)",--('Final Calculation Sheet'!$B$9&lt;&gt;""),--ISNUMBER(SEARCH($D$4,'Final Calculation Sheet'!$B$9)))))</f>
        <v>1</v>
      </c>
      <c r="DJ11">
        <f>IF($E$4="",1,IF($E$4="(blank)",--('Final Calculation Sheet'!$D$9=""),IF($E$4="(nonblank)",--('Final Calculation Sheet'!$D$9&lt;&gt;""),--ISNUMBER(SEARCH($E$4,'Final Calculation Sheet'!$D$9)))))</f>
        <v>1</v>
      </c>
      <c r="DK11">
        <f>IF($F$4="",1,IF($F$4="(blank)",--('Final Calculation Sheet'!$A$9=""),IF($F$4="(nonblank)",--('Final Calculation Sheet'!$A$9&lt;&gt;""),--ISNUMBER(SEARCH($F$4,'Final Calculation Sheet'!$A$9)))))</f>
        <v>1</v>
      </c>
      <c r="DL11">
        <f>IF($G$4="",1,IF($G$4="(blank)",--('Final Calculation Sheet'!$E$9=""),IF($G$4="(nonblank)",--('Final Calculation Sheet'!$E$9&lt;&gt;""),--ISNUMBER(SEARCH($G$4,'Final Calculation Sheet'!$E$9)))))</f>
        <v>1</v>
      </c>
      <c r="DM11">
        <f>IF($H$4="",1,IF($H$4="(blank)",--('Final Calculation Sheet'!$C$9=""),IF($H$4="(nonblank)",--('Final Calculation Sheet'!$C$9&lt;&gt;""),--ISNUMBER(SEARCH($H$4,'Final Calculation Sheet'!$C$9)))))</f>
        <v>1</v>
      </c>
      <c r="DN11">
        <f>IF($I$4="",1,IF($I$4="(blank)",--('Final Calculation Sheet'!$H$9=""),IF($I$4="(nonblank)",--('Final Calculation Sheet'!$H$9&lt;&gt;""),--ISNUMBER(SEARCH($I$4,'Final Calculation Sheet'!$H$9)))))</f>
        <v>1</v>
      </c>
      <c r="DO11">
        <f>IF($J$4="",1,IF($J$4="(blank)",--('Final Calculation Sheet'!$I$9=""),IF($J$4="(nonblank)",--('Final Calculation Sheet'!$I$9&lt;&gt;""),--ISNUMBER(SEARCH($J$4,'Final Calculation Sheet'!$I$9)))))</f>
        <v>1</v>
      </c>
      <c r="DP11">
        <f>IF($K$4="",1,IF($K$4="(blank)",--('Final Calculation Sheet'!$J$9=""),IF($K$4="(nonblank)",--('Final Calculation Sheet'!$J$9&lt;&gt;""),--ISNUMBER(SEARCH($K$4,'Final Calculation Sheet'!$J$9)))))</f>
        <v>1</v>
      </c>
      <c r="DQ11">
        <f>IF($L$4="",1,IF($L$4="(blank)",--('Final Calculation Sheet'!$K$9=""),IF($L$4="(nonblank)",--('Final Calculation Sheet'!$K$9&lt;&gt;""),--ISNUMBER(SEARCH($L$4,'Final Calculation Sheet'!$K$9)))))</f>
        <v>1</v>
      </c>
      <c r="DR11">
        <f>IF($M$4="",1,IF($M$4="(blank)",--('Final Calculation Sheet'!$L$9=""),IF($M$4="(nonblank)",--('Final Calculation Sheet'!$L$9&lt;&gt;""),--ISNUMBER(SEARCH($M$4,'Final Calculation Sheet'!$L$9)))))</f>
        <v>1</v>
      </c>
      <c r="DS11">
        <f>IF($N$4="",1,IF($N$4="(blank)",--('Final Calculation Sheet'!$M$9=""),IF($N$4="(nonblank)",--('Final Calculation Sheet'!$M$9&lt;&gt;""),--ISNUMBER(SEARCH($N$4,'Final Calculation Sheet'!$M$9)))))</f>
        <v>1</v>
      </c>
      <c r="DT11">
        <f>IF($O$4="",1,IF($O$4="(blank)",--('Final Calculation Sheet'!$N$9=""),IF($O$4="(nonblank)",--('Final Calculation Sheet'!$N$9&lt;&gt;""),--ISNUMBER(SEARCH($O$4,'Final Calculation Sheet'!$N$9)))))</f>
        <v>1</v>
      </c>
      <c r="DU11">
        <f>IF($P$4="",1,IF($P$4="(blank)",--('Final Calculation Sheet'!$O$9=""),IF($P$4="(nonblank)",--('Final Calculation Sheet'!$O$9&lt;&gt;""),--ISNUMBER(SEARCH($P$4,'Final Calculation Sheet'!$O$9)))))</f>
        <v>1</v>
      </c>
      <c r="DV11">
        <f>IF($Q$4="",1,IF($Q$4="(blank)",--('Final Calculation Sheet'!$P$9=""),IF($Q$4="(nonblank)",--('Final Calculation Sheet'!$P$9&lt;&gt;""),--ISNUMBER(SEARCH($Q$4,'Final Calculation Sheet'!$P$9)))))</f>
        <v>1</v>
      </c>
      <c r="DW11">
        <f>IF($R$4="",1,IF($R$4="(blank)",--('Final Calculation Sheet'!$Q$9=""),IF($R$4="(nonblank)",--('Final Calculation Sheet'!$Q$9&lt;&gt;""),--ISNUMBER(SEARCH($R$4,'Final Calculation Sheet'!$Q$9)))))</f>
        <v>1</v>
      </c>
      <c r="DX11">
        <f>IF($S$4="",1,IF($S$4="(blank)",--('Final Calculation Sheet'!$R$9=""),IF($S$4="(nonblank)",--('Final Calculation Sheet'!$R$9&lt;&gt;""),--ISNUMBER(SEARCH($S$4,'Final Calculation Sheet'!$R$9)))))</f>
        <v>1</v>
      </c>
      <c r="DY11">
        <f>IF($T$4="",1,IF($T$4="(blank)",--('Final Calculation Sheet'!$S$9=""),IF($T$4="(nonblank)",--('Final Calculation Sheet'!$S$9&lt;&gt;""),--ISNUMBER(SEARCH($T$4,'Final Calculation Sheet'!$S$9)))))</f>
        <v>1</v>
      </c>
      <c r="DZ11">
        <f>IF($U$4="",1,IF($U$4="(blank)",--('Final Calculation Sheet'!$T$9=""),IF($U$4="(nonblank)",--('Final Calculation Sheet'!$T$9&lt;&gt;""),--ISNUMBER(SEARCH($U$4,'Final Calculation Sheet'!$T$9)))))</f>
        <v>1</v>
      </c>
      <c r="EA11">
        <f>IF($V$4="",1,IF($V$4="(blank)",--('Final Calculation Sheet'!$U$9=""),IF($V$4="(nonblank)",--('Final Calculation Sheet'!$U$9&lt;&gt;""),--ISNUMBER(SEARCH($V$4,'Final Calculation Sheet'!$U$9)))))</f>
        <v>1</v>
      </c>
      <c r="EB11">
        <f>IF($W$4="",1,IF($W$4="(blank)",--('Final Calculation Sheet'!$V$9=""),IF($W$4="(nonblank)",--('Final Calculation Sheet'!$V$9&lt;&gt;""),--ISNUMBER(SEARCH($W$4,'Final Calculation Sheet'!$V$9)))))</f>
        <v>1</v>
      </c>
      <c r="EC11">
        <f>IF($X$4="",1,IF($X$4="(blank)",--('Final Calculation Sheet'!$W$9=""),IF($X$4="(nonblank)",--('Final Calculation Sheet'!$W$9&lt;&gt;""),--ISNUMBER(SEARCH($X$4,'Final Calculation Sheet'!$W$9)))))</f>
        <v>1</v>
      </c>
      <c r="ED11">
        <f>IF($Y$4="",1,IF($Y$4="(blank)",--('Final Calculation Sheet'!$X$9=""),IF($Y$4="(nonblank)",--('Final Calculation Sheet'!$X$9&lt;&gt;""),--ISNUMBER(SEARCH($Y$4,'Final Calculation Sheet'!$X$9)))))</f>
        <v>1</v>
      </c>
      <c r="EE11">
        <f>IF($Z$4="",1,IF($Z$4="(blank)",--('Final Calculation Sheet'!$Y$9=""),IF($Z$4="(nonblank)",--('Final Calculation Sheet'!$Y$9&lt;&gt;""),--ISNUMBER(SEARCH($Z$4,'Final Calculation Sheet'!$Y$9)))))</f>
        <v>1</v>
      </c>
      <c r="EF11">
        <f>IF($AA$4="",1,IF($AA$4="(blank)",--('Final Calculation Sheet'!$Z$9=""),IF($AA$4="(nonblank)",--('Final Calculation Sheet'!$Z$9&lt;&gt;""),--ISNUMBER(SEARCH($AA$4,'Final Calculation Sheet'!$Z$9)))))</f>
        <v>1</v>
      </c>
      <c r="EG11">
        <f>IF($AB$4="",1,IF($AB$4="(blank)",--('Final Calculation Sheet'!$AA$9=""),IF($AB$4="(nonblank)",--('Final Calculation Sheet'!$AA$9&lt;&gt;""),--ISNUMBER(SEARCH($AB$4,'Final Calculation Sheet'!$AA$9)))))</f>
        <v>1</v>
      </c>
      <c r="EH11">
        <f>IF($AC$4="",1,IF($AC$4="(blank)",--('Final Calculation Sheet'!$AB$9=""),IF($AC$4="(nonblank)",--('Final Calculation Sheet'!$AB$9&lt;&gt;""),--ISNUMBER(SEARCH($AC$4,'Final Calculation Sheet'!$AB$9)))))</f>
        <v>1</v>
      </c>
      <c r="EI11">
        <f>IF($AD$4="",1,IF($AD$4="(blank)",--('Final Calculation Sheet'!$AC$9=""),IF($AD$4="(nonblank)",--('Final Calculation Sheet'!$AC$9&lt;&gt;""),--ISNUMBER(SEARCH($AD$4,'Final Calculation Sheet'!$AC$9)))))</f>
        <v>1</v>
      </c>
      <c r="EJ11">
        <f>IF($AE$4="",1,IF($AE$4="(blank)",--('Final Calculation Sheet'!$AD$9=""),IF($AE$4="(nonblank)",--('Final Calculation Sheet'!$AD$9&lt;&gt;""),--ISNUMBER(SEARCH($AE$4,'Final Calculation Sheet'!$AD$9)))))</f>
        <v>1</v>
      </c>
      <c r="EK11">
        <f>IF($AF$4="",1,IF($AF$4="(blank)",--(IF('Final Calculation Sheet'!$AD$9&lt;=5,"SETTLED","OUTSTANDING")=""),IF($AF$4="(nonblank)",--(IF('Final Calculation Sheet'!$AD$9&lt;=5,"SETTLED","OUTSTANDING")&lt;&gt;""),--ISNUMBER(SEARCH($AF$4,IF('Final Calculation Sheet'!$AD$9&lt;=5,"SETTLED","OUTSTANDING"))))))</f>
        <v>1</v>
      </c>
      <c r="EL11">
        <f>IF($AG$4="",1,IF($AG$4="(blank)",--('Final Calculation Sheet'!$AF$9=""),IF($AG$4="(nonblank)",--('Final Calculation Sheet'!$AF$9&lt;&gt;""),--ISNUMBER(SEARCH($AG$4,'Final Calculation Sheet'!$AF$9)))))</f>
        <v>1</v>
      </c>
      <c r="EM11">
        <f>IF($AH$4="",1,IF($AH$4="(blank)",--('Final Calculation Sheet'!$AG$9=""),IF($AH$4="(nonblank)",--('Final Calculation Sheet'!$AG$9&lt;&gt;""),--ISNUMBER(SEARCH($AH$4,'Final Calculation Sheet'!$AG$9)))))</f>
        <v>1</v>
      </c>
      <c r="EN11">
        <f>IF($AI$4="",1,IF($AI$4="(blank)",--('Final Calculation Sheet'!$AH$9=""),IF($AI$4="(nonblank)",--('Final Calculation Sheet'!$AH$9&lt;&gt;""),--ISNUMBER(SEARCH($AI$4,'Final Calculation Sheet'!$AH$9)))))</f>
        <v>1</v>
      </c>
    </row>
    <row r="12" spans="1:144" hidden="1" outlineLevel="1" x14ac:dyDescent="0.3">
      <c r="A12" s="117" t="str">
        <f>IF($AL$12="","",6)</f>
        <v/>
      </c>
      <c r="B12" s="118" t="str">
        <f>IF($AL$12="","",IF(INDEX('Final Calculation Sheet'!$F$4:$F$40,$AL$12)="","",INDEX('Final Calculation Sheet'!$F$4:$F$40,$AL$12)))</f>
        <v/>
      </c>
      <c r="C12" s="118" t="str">
        <f>IF($AL$12="","",IF(INDEX('Final Calculation Sheet'!$G$4:$G$40,$AL$12)="","",INDEX('Final Calculation Sheet'!$G$4:$G$40,$AL$12)))</f>
        <v/>
      </c>
      <c r="D12" s="119" t="str">
        <f>IF($AL$12="","",IF(INDEX('Final Calculation Sheet'!$B$4:$B$40,$AL$12)="","",INDEX('Final Calculation Sheet'!$B$4:$B$40,$AL$12)))</f>
        <v/>
      </c>
      <c r="E12" s="119" t="str">
        <f>IF($AL$12="","",IF(INDEX('Final Calculation Sheet'!$D$4:$D$40,$AL$12)="","",INDEX('Final Calculation Sheet'!$D$4:$D$40,$AL$12)))</f>
        <v/>
      </c>
      <c r="F12" s="119" t="str">
        <f>IF($AL$12="","",IF(INDEX('Final Calculation Sheet'!$A$4:$A$40,$AL$12)="","",INDEX('Final Calculation Sheet'!$A$4:$A$40,$AL$12)))</f>
        <v/>
      </c>
      <c r="G12" s="119" t="str">
        <f>IF($AL$12="","",IF(INDEX('Final Calculation Sheet'!$E$4:$E$40,$AL$12)="","",INDEX('Final Calculation Sheet'!$E$4:$E$40,$AL$12)))</f>
        <v/>
      </c>
      <c r="H12" s="120" t="str">
        <f>IF($AL$12="","",IF(INDEX('Final Calculation Sheet'!$C$4:$C$40,$AL$12)="","",INDEX('Final Calculation Sheet'!$C$4:$C$40,$AL$12)))</f>
        <v/>
      </c>
      <c r="I12" s="120" t="str">
        <f>IF($AL$12="","",IF(INDEX('Final Calculation Sheet'!$H$4:$H$40,$AL$12)="","",INDEX('Final Calculation Sheet'!$H$4:$H$40,$AL$12)))</f>
        <v/>
      </c>
      <c r="J12" s="120" t="str">
        <f>IF($AL$12="","",IF(INDEX('Final Calculation Sheet'!$I$4:$I$40,$AL$12)="","",INDEX('Final Calculation Sheet'!$I$4:$I$40,$AL$12)))</f>
        <v/>
      </c>
      <c r="K12" s="120" t="str">
        <f>IF($AL$12="","",IF(INDEX('Final Calculation Sheet'!$J$4:$J$40,$AL$12)="","",INDEX('Final Calculation Sheet'!$J$4:$J$40,$AL$12)))</f>
        <v/>
      </c>
      <c r="L12" s="120" t="str">
        <f>IF($AL$12="","",IF(INDEX('Final Calculation Sheet'!$K$4:$K$40,$AL$12)="","",INDEX('Final Calculation Sheet'!$K$4:$K$40,$AL$12)))</f>
        <v/>
      </c>
      <c r="M12" s="120" t="str">
        <f>IF($AL$12="","",IF(INDEX('Final Calculation Sheet'!$L$4:$L$40,$AL$12)="","",INDEX('Final Calculation Sheet'!$L$4:$L$40,$AL$12)))</f>
        <v/>
      </c>
      <c r="N12" s="120" t="str">
        <f>IF($AL$12="","",IF(INDEX('Final Calculation Sheet'!$M$4:$M$40,$AL$12)="","",INDEX('Final Calculation Sheet'!$M$4:$M$40,$AL$12)))</f>
        <v/>
      </c>
      <c r="O12" s="121" t="str">
        <f>IF($AL$12="","",IF(INDEX('Final Calculation Sheet'!$N$4:$N$40,$AL$12)="","",INDEX('Final Calculation Sheet'!$N$4:$N$40,$AL$12)))</f>
        <v/>
      </c>
      <c r="P12" s="120" t="str">
        <f>IF($AL$12="","",IF(INDEX('Final Calculation Sheet'!$O$4:$O$40,$AL$12)="","",INDEX('Final Calculation Sheet'!$O$4:$O$40,$AL$12)))</f>
        <v/>
      </c>
      <c r="Q12" s="120" t="str">
        <f>IF($AL$12="","",IF(INDEX('Final Calculation Sheet'!$P$4:$P$40,$AL$12)="","",INDEX('Final Calculation Sheet'!$P$4:$P$40,$AL$12)))</f>
        <v/>
      </c>
      <c r="R12" s="122" t="str">
        <f>IF($AL$12="","",IF(INDEX('Final Calculation Sheet'!$Q$4:$Q$40,$AL$12)="","",INDEX('Final Calculation Sheet'!$Q$4:$Q$40,$AL$12)))</f>
        <v/>
      </c>
      <c r="S12" s="120" t="str">
        <f>IF($AL$12="","",IF(INDEX('Final Calculation Sheet'!$R$4:$R$40,$AL$12)="","",INDEX('Final Calculation Sheet'!$R$4:$R$40,$AL$12)))</f>
        <v/>
      </c>
      <c r="T12" s="120" t="str">
        <f>IF($AL$12="","",IF(INDEX('Final Calculation Sheet'!$S$4:$S$40,$AL$12)="","",INDEX('Final Calculation Sheet'!$S$4:$S$40,$AL$12)))</f>
        <v/>
      </c>
      <c r="U12" s="120" t="str">
        <f>IF($AL$12="","",IF(INDEX('Final Calculation Sheet'!$T$4:$T$40,$AL$12)="","",INDEX('Final Calculation Sheet'!$T$4:$T$40,$AL$12)))</f>
        <v/>
      </c>
      <c r="V12" s="123" t="str">
        <f>IF($AL$12="","",IF(INDEX('Final Calculation Sheet'!$U$4:$U$40,$AL$12)="","",INDEX('Final Calculation Sheet'!$U$4:$U$40,$AL$12)))</f>
        <v/>
      </c>
      <c r="W12" s="120" t="str">
        <f>IF($AL$12="","",IF(INDEX('Final Calculation Sheet'!$V$4:$V$40,$AL$12)="","",INDEX('Final Calculation Sheet'!$V$4:$V$40,$AL$12)))</f>
        <v/>
      </c>
      <c r="X12" s="120" t="str">
        <f>IF($AL$12="","",IF(INDEX('Final Calculation Sheet'!$W$4:$W$40,$AL$12)="","",INDEX('Final Calculation Sheet'!$W$4:$W$40,$AL$12)))</f>
        <v/>
      </c>
      <c r="Y12" s="120" t="str">
        <f>IF($AL$12="","",IF(INDEX('Final Calculation Sheet'!$X$4:$X$40,$AL$12)="","",INDEX('Final Calculation Sheet'!$X$4:$X$40,$AL$12)))</f>
        <v/>
      </c>
      <c r="Z12" s="120" t="str">
        <f>IF($AL$12="","",IF(INDEX('Final Calculation Sheet'!$Y$4:$Y$40,$AL$12)="","",INDEX('Final Calculation Sheet'!$Y$4:$Y$40,$AL$12)))</f>
        <v/>
      </c>
      <c r="AA12" s="120" t="str">
        <f>IF($AL$12="","",IF(INDEX('Final Calculation Sheet'!$Z$4:$Z$40,$AL$12)="","",INDEX('Final Calculation Sheet'!$Z$4:$Z$40,$AL$12)))</f>
        <v/>
      </c>
      <c r="AB12" s="120" t="str">
        <f>IF($AL$12="","",IF(INDEX('Final Calculation Sheet'!$AA$4:$AA$40,$AL$12)="","",INDEX('Final Calculation Sheet'!$AA$4:$AA$40,$AL$12)))</f>
        <v/>
      </c>
      <c r="AC12" s="120" t="str">
        <f>IF($AL$12="","",IF(INDEX('Final Calculation Sheet'!$AB$4:$AB$40,$AL$12)="","",INDEX('Final Calculation Sheet'!$AB$4:$AB$40,$AL$12)))</f>
        <v/>
      </c>
      <c r="AD12" s="120" t="str">
        <f>IF($AL$12="","",IF(INDEX('Final Calculation Sheet'!$AC$4:$AC$40,$AL$12)="","",INDEX('Final Calculation Sheet'!$AC$4:$AC$40,$AL$12)))</f>
        <v/>
      </c>
      <c r="AE12" s="120" t="str">
        <f>IF($AL$12="","",IF(INDEX('Final Calculation Sheet'!$AD$4:$AD$40,$AL$12)="","",INDEX('Final Calculation Sheet'!$AD$4:$AD$40,$AL$12)))</f>
        <v/>
      </c>
      <c r="AF12" s="125" t="str">
        <f>IF($AL$12="","",IF(INDEX('Final Calculation Sheet'!$AD$4:$AD$40,$AL$12)&lt;=5,"SETTLED","OUTSTANDING"))</f>
        <v/>
      </c>
      <c r="AG12" s="120" t="str">
        <f>IF($AL$12="","",IF(INDEX('Final Calculation Sheet'!$AF$4:$AF$40,$AL$12)="","",INDEX('Final Calculation Sheet'!$AF$4:$AF$40,$AL$12)))</f>
        <v/>
      </c>
      <c r="AH12" s="124" t="str">
        <f>IF($AL$12="","",IF(INDEX('Final Calculation Sheet'!$AG$4:$AG$40,$AL$12)="","",INDEX('Final Calculation Sheet'!$AG$4:$AG$40,$AL$12)))</f>
        <v/>
      </c>
      <c r="AI12" s="120" t="str">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v>1</v>
      </c>
      <c r="AK12">
        <f>IF(AJ12=1,COUNTIF(AJ$6:AJ12,1),"")</f>
        <v>7</v>
      </c>
      <c r="AL12" t="str">
        <f>IF(COUNTIF($B$4:$AI$4,"&lt;&gt;")=0,"",IFERROR(MATCH(6,$AK$6:$AK$42,0),""))</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 ca="1">CK11+IF(AND(Lists!$EJ$12&lt;&gt;"",ISNUMBER(SEARCH($AA$4,Lists!$EJ$12))),1,0)</f>
        <v>9</v>
      </c>
      <c r="CL12">
        <f ca="1">IF(ROW()-3&gt;MAX($CK$4:$CK$42),"",INDEX(Lists!$EJ$4:$EJ$42,MATCH(ROW()-3,$CK$4:$CK$42,0)))</f>
        <v>1770.1061999999999</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f>CS11+IF(AND(Lists!$FD$12&lt;&gt;"",ISNUMBER(SEARCH($AE$4,Lists!$FD$12))),1,0)</f>
        <v>9</v>
      </c>
      <c r="CT12">
        <f>IF(ROW()-3&gt;MAX($CS$4:$CS$42),"",INDEX(Lists!$FD$4:$FD$42,MATCH(ROW()-3,$CS$4:$CS$42,0)))</f>
        <v>50031</v>
      </c>
      <c r="CU12" t="e">
        <f>CU11+IF(AND(Lists!$FI$12&lt;&gt;"",ISNUMBER(SEARCH($AG$4,Lists!$FI$12))),1,0)</f>
        <v>#N/A</v>
      </c>
      <c r="CV12" t="e">
        <f>IF(ROW()-3&gt;MAX($CU$4:$CU$42),"",INDEX(Lists!$FI$4:$FI$42,MATCH(ROW()-3,$CU$4:$CU$42,0)))</f>
        <v>#N/A</v>
      </c>
      <c r="CW12" t="e">
        <f>CW11+IF(AND(Lists!$FN$12&lt;&gt;"",ISNUMBER(SEARCH($AH$4,Lists!$FN$12))),1,0)</f>
        <v>#N/A</v>
      </c>
      <c r="CX12" t="e">
        <f>IF(ROW()-3&gt;MAX($CW$4:$CW$42),"",INDEX(Lists!$FN$4:$FN$42,MATCH(ROW()-3,$CW$4:$CW$42,0)))</f>
        <v>#N/A</v>
      </c>
      <c r="CY12" t="e">
        <f>CY11+IF(AND(Lists!$FS$12&lt;&gt;"",ISNUMBER(SEARCH($AI$4,Lists!$FS$12))),1,0)</f>
        <v>#N/A</v>
      </c>
      <c r="CZ12" t="e">
        <f>IF(ROW()-3&gt;MAX($CY$4:$CY$42),"",INDEX(Lists!$FS$4:$FS$42,MATCH(ROW()-3,$CY$4:$CY$42,0)))</f>
        <v>#N/A</v>
      </c>
      <c r="DA12">
        <f>DA11+IF(AND(Lists!$FX$12&lt;&gt;"",ISNUMBER(SEARCH($AF$4,Lists!$FX$12))),1,0)</f>
        <v>2</v>
      </c>
      <c r="DB12" t="str">
        <f>IF(ROW()-3&gt;MAX($DA$4:$DA$42),"",INDEX(Lists!$FX$4:$FX$42,MATCH(ROW()-3,$DA$4:$DA$42,0)))</f>
        <v/>
      </c>
      <c r="DG12">
        <f>IF($B$4="",1,IF($B$4="(blank)",--('Final Calculation Sheet'!$F$10=""),IF($B$4="(nonblank)",--('Final Calculation Sheet'!$F$10&lt;&gt;""),--ISNUMBER(SEARCH($B$4,'Final Calculation Sheet'!$F$10)))))</f>
        <v>1</v>
      </c>
      <c r="DH12">
        <f>IF($C$4="",1,IF($C$4="(blank)",--('Final Calculation Sheet'!$G$10=""),IF($C$4="(nonblank)",--('Final Calculation Sheet'!$G$10&lt;&gt;""),--ISNUMBER(SEARCH($C$4,'Final Calculation Sheet'!$G$10)))))</f>
        <v>1</v>
      </c>
      <c r="DI12">
        <f>IF($D$4="",1,IF($D$4="(blank)",--('Final Calculation Sheet'!$B$10=""),IF($D$4="(nonblank)",--('Final Calculation Sheet'!$B$10&lt;&gt;""),--ISNUMBER(SEARCH($D$4,'Final Calculation Sheet'!$B$10)))))</f>
        <v>1</v>
      </c>
      <c r="DJ12">
        <f>IF($E$4="",1,IF($E$4="(blank)",--('Final Calculation Sheet'!$D$10=""),IF($E$4="(nonblank)",--('Final Calculation Sheet'!$D$10&lt;&gt;""),--ISNUMBER(SEARCH($E$4,'Final Calculation Sheet'!$D$10)))))</f>
        <v>1</v>
      </c>
      <c r="DK12">
        <f>IF($F$4="",1,IF($F$4="(blank)",--('Final Calculation Sheet'!$A$10=""),IF($F$4="(nonblank)",--('Final Calculation Sheet'!$A$10&lt;&gt;""),--ISNUMBER(SEARCH($F$4,'Final Calculation Sheet'!$A$10)))))</f>
        <v>1</v>
      </c>
      <c r="DL12">
        <f>IF($G$4="",1,IF($G$4="(blank)",--('Final Calculation Sheet'!$E$10=""),IF($G$4="(nonblank)",--('Final Calculation Sheet'!$E$10&lt;&gt;""),--ISNUMBER(SEARCH($G$4,'Final Calculation Sheet'!$E$10)))))</f>
        <v>1</v>
      </c>
      <c r="DM12">
        <f>IF($H$4="",1,IF($H$4="(blank)",--('Final Calculation Sheet'!$C$10=""),IF($H$4="(nonblank)",--('Final Calculation Sheet'!$C$10&lt;&gt;""),--ISNUMBER(SEARCH($H$4,'Final Calculation Sheet'!$C$10)))))</f>
        <v>1</v>
      </c>
      <c r="DN12">
        <f>IF($I$4="",1,IF($I$4="(blank)",--('Final Calculation Sheet'!$H$10=""),IF($I$4="(nonblank)",--('Final Calculation Sheet'!$H$10&lt;&gt;""),--ISNUMBER(SEARCH($I$4,'Final Calculation Sheet'!$H$10)))))</f>
        <v>1</v>
      </c>
      <c r="DO12">
        <f>IF($J$4="",1,IF($J$4="(blank)",--('Final Calculation Sheet'!$I$10=""),IF($J$4="(nonblank)",--('Final Calculation Sheet'!$I$10&lt;&gt;""),--ISNUMBER(SEARCH($J$4,'Final Calculation Sheet'!$I$10)))))</f>
        <v>1</v>
      </c>
      <c r="DP12">
        <f>IF($K$4="",1,IF($K$4="(blank)",--('Final Calculation Sheet'!$J$10=""),IF($K$4="(nonblank)",--('Final Calculation Sheet'!$J$10&lt;&gt;""),--ISNUMBER(SEARCH($K$4,'Final Calculation Sheet'!$J$10)))))</f>
        <v>1</v>
      </c>
      <c r="DQ12">
        <f>IF($L$4="",1,IF($L$4="(blank)",--('Final Calculation Sheet'!$K$10=""),IF($L$4="(nonblank)",--('Final Calculation Sheet'!$K$10&lt;&gt;""),--ISNUMBER(SEARCH($L$4,'Final Calculation Sheet'!$K$10)))))</f>
        <v>1</v>
      </c>
      <c r="DR12">
        <f>IF($M$4="",1,IF($M$4="(blank)",--('Final Calculation Sheet'!$L$10=""),IF($M$4="(nonblank)",--('Final Calculation Sheet'!$L$10&lt;&gt;""),--ISNUMBER(SEARCH($M$4,'Final Calculation Sheet'!$L$10)))))</f>
        <v>1</v>
      </c>
      <c r="DS12">
        <f>IF($N$4="",1,IF($N$4="(blank)",--('Final Calculation Sheet'!$M$10=""),IF($N$4="(nonblank)",--('Final Calculation Sheet'!$M$10&lt;&gt;""),--ISNUMBER(SEARCH($N$4,'Final Calculation Sheet'!$M$10)))))</f>
        <v>1</v>
      </c>
      <c r="DT12">
        <f>IF($O$4="",1,IF($O$4="(blank)",--('Final Calculation Sheet'!$N$10=""),IF($O$4="(nonblank)",--('Final Calculation Sheet'!$N$10&lt;&gt;""),--ISNUMBER(SEARCH($O$4,'Final Calculation Sheet'!$N$10)))))</f>
        <v>1</v>
      </c>
      <c r="DU12">
        <f>IF($P$4="",1,IF($P$4="(blank)",--('Final Calculation Sheet'!$O$10=""),IF($P$4="(nonblank)",--('Final Calculation Sheet'!$O$10&lt;&gt;""),--ISNUMBER(SEARCH($P$4,'Final Calculation Sheet'!$O$10)))))</f>
        <v>1</v>
      </c>
      <c r="DV12">
        <f>IF($Q$4="",1,IF($Q$4="(blank)",--('Final Calculation Sheet'!$P$10=""),IF($Q$4="(nonblank)",--('Final Calculation Sheet'!$P$10&lt;&gt;""),--ISNUMBER(SEARCH($Q$4,'Final Calculation Sheet'!$P$10)))))</f>
        <v>1</v>
      </c>
      <c r="DW12">
        <f>IF($R$4="",1,IF($R$4="(blank)",--('Final Calculation Sheet'!$Q$10=""),IF($R$4="(nonblank)",--('Final Calculation Sheet'!$Q$10&lt;&gt;""),--ISNUMBER(SEARCH($R$4,'Final Calculation Sheet'!$Q$10)))))</f>
        <v>1</v>
      </c>
      <c r="DX12">
        <f>IF($S$4="",1,IF($S$4="(blank)",--('Final Calculation Sheet'!$R$10=""),IF($S$4="(nonblank)",--('Final Calculation Sheet'!$R$10&lt;&gt;""),--ISNUMBER(SEARCH($S$4,'Final Calculation Sheet'!$R$10)))))</f>
        <v>1</v>
      </c>
      <c r="DY12">
        <f>IF($T$4="",1,IF($T$4="(blank)",--('Final Calculation Sheet'!$S$10=""),IF($T$4="(nonblank)",--('Final Calculation Sheet'!$S$10&lt;&gt;""),--ISNUMBER(SEARCH($T$4,'Final Calculation Sheet'!$S$10)))))</f>
        <v>1</v>
      </c>
      <c r="DZ12">
        <f>IF($U$4="",1,IF($U$4="(blank)",--('Final Calculation Sheet'!$T$10=""),IF($U$4="(nonblank)",--('Final Calculation Sheet'!$T$10&lt;&gt;""),--ISNUMBER(SEARCH($U$4,'Final Calculation Sheet'!$T$10)))))</f>
        <v>1</v>
      </c>
      <c r="EA12">
        <f>IF($V$4="",1,IF($V$4="(blank)",--('Final Calculation Sheet'!$U$10=""),IF($V$4="(nonblank)",--('Final Calculation Sheet'!$U$10&lt;&gt;""),--ISNUMBER(SEARCH($V$4,'Final Calculation Sheet'!$U$10)))))</f>
        <v>1</v>
      </c>
      <c r="EB12">
        <f>IF($W$4="",1,IF($W$4="(blank)",--('Final Calculation Sheet'!$V$10=""),IF($W$4="(nonblank)",--('Final Calculation Sheet'!$V$10&lt;&gt;""),--ISNUMBER(SEARCH($W$4,'Final Calculation Sheet'!$V$10)))))</f>
        <v>1</v>
      </c>
      <c r="EC12">
        <f>IF($X$4="",1,IF($X$4="(blank)",--('Final Calculation Sheet'!$W$10=""),IF($X$4="(nonblank)",--('Final Calculation Sheet'!$W$10&lt;&gt;""),--ISNUMBER(SEARCH($X$4,'Final Calculation Sheet'!$W$10)))))</f>
        <v>1</v>
      </c>
      <c r="ED12">
        <f>IF($Y$4="",1,IF($Y$4="(blank)",--('Final Calculation Sheet'!$X$10=""),IF($Y$4="(nonblank)",--('Final Calculation Sheet'!$X$10&lt;&gt;""),--ISNUMBER(SEARCH($Y$4,'Final Calculation Sheet'!$X$10)))))</f>
        <v>1</v>
      </c>
      <c r="EE12">
        <f>IF($Z$4="",1,IF($Z$4="(blank)",--('Final Calculation Sheet'!$Y$10=""),IF($Z$4="(nonblank)",--('Final Calculation Sheet'!$Y$10&lt;&gt;""),--ISNUMBER(SEARCH($Z$4,'Final Calculation Sheet'!$Y$10)))))</f>
        <v>1</v>
      </c>
      <c r="EF12">
        <f>IF($AA$4="",1,IF($AA$4="(blank)",--('Final Calculation Sheet'!$Z$10=""),IF($AA$4="(nonblank)",--('Final Calculation Sheet'!$Z$10&lt;&gt;""),--ISNUMBER(SEARCH($AA$4,'Final Calculation Sheet'!$Z$10)))))</f>
        <v>1</v>
      </c>
      <c r="EG12">
        <f>IF($AB$4="",1,IF($AB$4="(blank)",--('Final Calculation Sheet'!$AA$10=""),IF($AB$4="(nonblank)",--('Final Calculation Sheet'!$AA$10&lt;&gt;""),--ISNUMBER(SEARCH($AB$4,'Final Calculation Sheet'!$AA$10)))))</f>
        <v>1</v>
      </c>
      <c r="EH12">
        <f>IF($AC$4="",1,IF($AC$4="(blank)",--('Final Calculation Sheet'!$AB$10=""),IF($AC$4="(nonblank)",--('Final Calculation Sheet'!$AB$10&lt;&gt;""),--ISNUMBER(SEARCH($AC$4,'Final Calculation Sheet'!$AB$10)))))</f>
        <v>1</v>
      </c>
      <c r="EI12">
        <f>IF($AD$4="",1,IF($AD$4="(blank)",--('Final Calculation Sheet'!$AC$10=""),IF($AD$4="(nonblank)",--('Final Calculation Sheet'!$AC$10&lt;&gt;""),--ISNUMBER(SEARCH($AD$4,'Final Calculation Sheet'!$AC$10)))))</f>
        <v>1</v>
      </c>
      <c r="EJ12">
        <f>IF($AE$4="",1,IF($AE$4="(blank)",--('Final Calculation Sheet'!$AD$10=""),IF($AE$4="(nonblank)",--('Final Calculation Sheet'!$AD$10&lt;&gt;""),--ISNUMBER(SEARCH($AE$4,'Final Calculation Sheet'!$AD$10)))))</f>
        <v>1</v>
      </c>
      <c r="EK12">
        <f>IF($AF$4="",1,IF($AF$4="(blank)",--(IF('Final Calculation Sheet'!$AD$10&lt;=5,"SETTLED","OUTSTANDING")=""),IF($AF$4="(nonblank)",--(IF('Final Calculation Sheet'!$AD$10&lt;=5,"SETTLED","OUTSTANDING")&lt;&gt;""),--ISNUMBER(SEARCH($AF$4,IF('Final Calculation Sheet'!$AD$10&lt;=5,"SETTLED","OUTSTANDING"))))))</f>
        <v>1</v>
      </c>
      <c r="EL12">
        <f>IF($AG$4="",1,IF($AG$4="(blank)",--('Final Calculation Sheet'!$AF$10=""),IF($AG$4="(nonblank)",--('Final Calculation Sheet'!$AF$10&lt;&gt;""),--ISNUMBER(SEARCH($AG$4,'Final Calculation Sheet'!$AF$10)))))</f>
        <v>1</v>
      </c>
      <c r="EM12">
        <f>IF($AH$4="",1,IF($AH$4="(blank)",--('Final Calculation Sheet'!$AG$10=""),IF($AH$4="(nonblank)",--('Final Calculation Sheet'!$AG$10&lt;&gt;""),--ISNUMBER(SEARCH($AH$4,'Final Calculation Sheet'!$AG$10)))))</f>
        <v>1</v>
      </c>
      <c r="EN12">
        <f>IF($AI$4="",1,IF($AI$4="(blank)",--('Final Calculation Sheet'!$AH$10=""),IF($AI$4="(nonblank)",--('Final Calculation Sheet'!$AH$10&lt;&gt;""),--ISNUMBER(SEARCH($AI$4,'Final Calculation Sheet'!$AH$10)))))</f>
        <v>1</v>
      </c>
    </row>
    <row r="13" spans="1:144" hidden="1" outlineLevel="1" x14ac:dyDescent="0.3">
      <c r="A13" s="107" t="str">
        <f>IF($AL$13="","",7)</f>
        <v/>
      </c>
      <c r="B13" s="108" t="str">
        <f>IF($AL$13="","",IF(INDEX('Final Calculation Sheet'!$F$4:$F$40,$AL$13)="","",INDEX('Final Calculation Sheet'!$F$4:$F$40,$AL$13)))</f>
        <v/>
      </c>
      <c r="C13" s="108" t="str">
        <f>IF($AL$13="","",IF(INDEX('Final Calculation Sheet'!$G$4:$G$40,$AL$13)="","",INDEX('Final Calculation Sheet'!$G$4:$G$40,$AL$13)))</f>
        <v/>
      </c>
      <c r="D13" s="110" t="str">
        <f>IF($AL$13="","",IF(INDEX('Final Calculation Sheet'!$B$4:$B$40,$AL$13)="","",INDEX('Final Calculation Sheet'!$B$4:$B$40,$AL$13)))</f>
        <v/>
      </c>
      <c r="E13" s="110" t="str">
        <f>IF($AL$13="","",IF(INDEX('Final Calculation Sheet'!$D$4:$D$40,$AL$13)="","",INDEX('Final Calculation Sheet'!$D$4:$D$40,$AL$13)))</f>
        <v/>
      </c>
      <c r="F13" s="110" t="str">
        <f>IF($AL$13="","",IF(INDEX('Final Calculation Sheet'!$A$4:$A$40,$AL$13)="","",INDEX('Final Calculation Sheet'!$A$4:$A$40,$AL$13)))</f>
        <v/>
      </c>
      <c r="G13" s="110" t="str">
        <f>IF($AL$13="","",IF(INDEX('Final Calculation Sheet'!$E$4:$E$40,$AL$13)="","",INDEX('Final Calculation Sheet'!$E$4:$E$40,$AL$13)))</f>
        <v/>
      </c>
      <c r="H13" s="111" t="str">
        <f>IF($AL$13="","",IF(INDEX('Final Calculation Sheet'!$C$4:$C$40,$AL$13)="","",INDEX('Final Calculation Sheet'!$C$4:$C$40,$AL$13)))</f>
        <v/>
      </c>
      <c r="I13" s="111" t="str">
        <f>IF($AL$13="","",IF(INDEX('Final Calculation Sheet'!$H$4:$H$40,$AL$13)="","",INDEX('Final Calculation Sheet'!$H$4:$H$40,$AL$13)))</f>
        <v/>
      </c>
      <c r="J13" s="111" t="str">
        <f>IF($AL$13="","",IF(INDEX('Final Calculation Sheet'!$I$4:$I$40,$AL$13)="","",INDEX('Final Calculation Sheet'!$I$4:$I$40,$AL$13)))</f>
        <v/>
      </c>
      <c r="K13" s="111" t="str">
        <f>IF($AL$13="","",IF(INDEX('Final Calculation Sheet'!$J$4:$J$40,$AL$13)="","",INDEX('Final Calculation Sheet'!$J$4:$J$40,$AL$13)))</f>
        <v/>
      </c>
      <c r="L13" s="111" t="str">
        <f>IF($AL$13="","",IF(INDEX('Final Calculation Sheet'!$K$4:$K$40,$AL$13)="","",INDEX('Final Calculation Sheet'!$K$4:$K$40,$AL$13)))</f>
        <v/>
      </c>
      <c r="M13" s="111" t="str">
        <f>IF($AL$13="","",IF(INDEX('Final Calculation Sheet'!$L$4:$L$40,$AL$13)="","",INDEX('Final Calculation Sheet'!$L$4:$L$40,$AL$13)))</f>
        <v/>
      </c>
      <c r="N13" s="111" t="str">
        <f>IF($AL$13="","",IF(INDEX('Final Calculation Sheet'!$M$4:$M$40,$AL$13)="","",INDEX('Final Calculation Sheet'!$M$4:$M$40,$AL$13)))</f>
        <v/>
      </c>
      <c r="O13" s="112" t="str">
        <f>IF($AL$13="","",IF(INDEX('Final Calculation Sheet'!$N$4:$N$40,$AL$13)="","",INDEX('Final Calculation Sheet'!$N$4:$N$40,$AL$13)))</f>
        <v/>
      </c>
      <c r="P13" s="111" t="str">
        <f>IF($AL$13="","",IF(INDEX('Final Calculation Sheet'!$O$4:$O$40,$AL$13)="","",INDEX('Final Calculation Sheet'!$O$4:$O$40,$AL$13)))</f>
        <v/>
      </c>
      <c r="Q13" s="111" t="str">
        <f>IF($AL$13="","",IF(INDEX('Final Calculation Sheet'!$P$4:$P$40,$AL$13)="","",INDEX('Final Calculation Sheet'!$P$4:$P$40,$AL$13)))</f>
        <v/>
      </c>
      <c r="R13" s="113" t="str">
        <f>IF($AL$13="","",IF(INDEX('Final Calculation Sheet'!$Q$4:$Q$40,$AL$13)="","",INDEX('Final Calculation Sheet'!$Q$4:$Q$40,$AL$13)))</f>
        <v/>
      </c>
      <c r="S13" s="111" t="str">
        <f>IF($AL$13="","",IF(INDEX('Final Calculation Sheet'!$R$4:$R$40,$AL$13)="","",INDEX('Final Calculation Sheet'!$R$4:$R$40,$AL$13)))</f>
        <v/>
      </c>
      <c r="T13" s="111" t="str">
        <f>IF($AL$13="","",IF(INDEX('Final Calculation Sheet'!$S$4:$S$40,$AL$13)="","",INDEX('Final Calculation Sheet'!$S$4:$S$40,$AL$13)))</f>
        <v/>
      </c>
      <c r="U13" s="111" t="str">
        <f>IF($AL$13="","",IF(INDEX('Final Calculation Sheet'!$T$4:$T$40,$AL$13)="","",INDEX('Final Calculation Sheet'!$T$4:$T$40,$AL$13)))</f>
        <v/>
      </c>
      <c r="V13" s="114" t="str">
        <f>IF($AL$13="","",IF(INDEX('Final Calculation Sheet'!$U$4:$U$40,$AL$13)="","",INDEX('Final Calculation Sheet'!$U$4:$U$40,$AL$13)))</f>
        <v/>
      </c>
      <c r="W13" s="111" t="str">
        <f>IF($AL$13="","",IF(INDEX('Final Calculation Sheet'!$V$4:$V$40,$AL$13)="","",INDEX('Final Calculation Sheet'!$V$4:$V$40,$AL$13)))</f>
        <v/>
      </c>
      <c r="X13" s="111" t="str">
        <f>IF($AL$13="","",IF(INDEX('Final Calculation Sheet'!$W$4:$W$40,$AL$13)="","",INDEX('Final Calculation Sheet'!$W$4:$W$40,$AL$13)))</f>
        <v/>
      </c>
      <c r="Y13" s="111" t="str">
        <f>IF($AL$13="","",IF(INDEX('Final Calculation Sheet'!$X$4:$X$40,$AL$13)="","",INDEX('Final Calculation Sheet'!$X$4:$X$40,$AL$13)))</f>
        <v/>
      </c>
      <c r="Z13" s="111" t="str">
        <f>IF($AL$13="","",IF(INDEX('Final Calculation Sheet'!$Y$4:$Y$40,$AL$13)="","",INDEX('Final Calculation Sheet'!$Y$4:$Y$40,$AL$13)))</f>
        <v/>
      </c>
      <c r="AA13" s="111" t="str">
        <f>IF($AL$13="","",IF(INDEX('Final Calculation Sheet'!$Z$4:$Z$40,$AL$13)="","",INDEX('Final Calculation Sheet'!$Z$4:$Z$40,$AL$13)))</f>
        <v/>
      </c>
      <c r="AB13" s="111" t="str">
        <f>IF($AL$13="","",IF(INDEX('Final Calculation Sheet'!$AA$4:$AA$40,$AL$13)="","",INDEX('Final Calculation Sheet'!$AA$4:$AA$40,$AL$13)))</f>
        <v/>
      </c>
      <c r="AC13" s="111" t="str">
        <f>IF($AL$13="","",IF(INDEX('Final Calculation Sheet'!$AB$4:$AB$40,$AL$13)="","",INDEX('Final Calculation Sheet'!$AB$4:$AB$40,$AL$13)))</f>
        <v/>
      </c>
      <c r="AD13" s="111" t="str">
        <f>IF($AL$13="","",IF(INDEX('Final Calculation Sheet'!$AC$4:$AC$40,$AL$13)="","",INDEX('Final Calculation Sheet'!$AC$4:$AC$40,$AL$13)))</f>
        <v/>
      </c>
      <c r="AE13" s="111" t="str">
        <f>IF($AL$13="","",IF(INDEX('Final Calculation Sheet'!$AD$4:$AD$40,$AL$13)="","",INDEX('Final Calculation Sheet'!$AD$4:$AD$40,$AL$13)))</f>
        <v/>
      </c>
      <c r="AF13" s="116" t="str">
        <f>IF($AL$13="","",IF(INDEX('Final Calculation Sheet'!$AD$4:$AD$40,$AL$13)&lt;=5,"SETTLED","OUTSTANDING"))</f>
        <v/>
      </c>
      <c r="AG13" s="111" t="str">
        <f>IF($AL$13="","",IF(INDEX('Final Calculation Sheet'!$AF$4:$AF$40,$AL$13)="","",INDEX('Final Calculation Sheet'!$AF$4:$AF$40,$AL$13)))</f>
        <v/>
      </c>
      <c r="AH13" s="115" t="str">
        <f>IF($AL$13="","",IF(INDEX('Final Calculation Sheet'!$AG$4:$AG$40,$AL$13)="","",INDEX('Final Calculation Sheet'!$AG$4:$AG$40,$AL$13)))</f>
        <v/>
      </c>
      <c r="AI13" s="111" t="str">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v>1</v>
      </c>
      <c r="AK13">
        <f>IF(AJ13=1,COUNTIF(AJ$6:AJ13,1),"")</f>
        <v>8</v>
      </c>
      <c r="AL13" t="str">
        <f>IF(COUNTIF($B$4:$AI$4,"&lt;&gt;")=0,"",IFERROR(MATCH(7,$AK$6:$AK$42,0),""))</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 ca="1">CK12+IF(AND(Lists!$EJ$13&lt;&gt;"",ISNUMBER(SEARCH($AA$4,Lists!$EJ$13))),1,0)</f>
        <v>10</v>
      </c>
      <c r="CL13">
        <f ca="1">IF(ROW()-3&gt;MAX($CK$4:$CK$42),"",INDEX(Lists!$EJ$4:$EJ$42,MATCH(ROW()-3,$CK$4:$CK$42,0)))</f>
        <v>1911.6</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f>CS12+IF(AND(Lists!$FD$13&lt;&gt;"",ISNUMBER(SEARCH($AE$4,Lists!$FD$13))),1,0)</f>
        <v>10</v>
      </c>
      <c r="CT13">
        <f>IF(ROW()-3&gt;MAX($CS$4:$CS$42),"",INDEX(Lists!$FD$4:$FD$42,MATCH(ROW()-3,$CS$4:$CS$42,0)))</f>
        <v>250160</v>
      </c>
      <c r="CU13" t="e">
        <f>CU12+IF(AND(Lists!$FI$13&lt;&gt;"",ISNUMBER(SEARCH($AG$4,Lists!$FI$13))),1,0)</f>
        <v>#N/A</v>
      </c>
      <c r="CV13" t="e">
        <f>IF(ROW()-3&gt;MAX($CU$4:$CU$42),"",INDEX(Lists!$FI$4:$FI$42,MATCH(ROW()-3,$CU$4:$CU$42,0)))</f>
        <v>#N/A</v>
      </c>
      <c r="CW13" t="e">
        <f>CW12+IF(AND(Lists!$FN$13&lt;&gt;"",ISNUMBER(SEARCH($AH$4,Lists!$FN$13))),1,0)</f>
        <v>#N/A</v>
      </c>
      <c r="CX13" t="e">
        <f>IF(ROW()-3&gt;MAX($CW$4:$CW$42),"",INDEX(Lists!$FN$4:$FN$42,MATCH(ROW()-3,$CW$4:$CW$42,0)))</f>
        <v>#N/A</v>
      </c>
      <c r="CY13" t="e">
        <f>CY12+IF(AND(Lists!$FS$13&lt;&gt;"",ISNUMBER(SEARCH($AI$4,Lists!$FS$13))),1,0)</f>
        <v>#N/A</v>
      </c>
      <c r="CZ13" t="e">
        <f>IF(ROW()-3&gt;MAX($CY$4:$CY$42),"",INDEX(Lists!$FS$4:$FS$42,MATCH(ROW()-3,$CY$4:$CY$42,0)))</f>
        <v>#N/A</v>
      </c>
      <c r="DA13">
        <f>DA12+IF(AND(Lists!$FX$13&lt;&gt;"",ISNUMBER(SEARCH($AF$4,Lists!$FX$13))),1,0)</f>
        <v>2</v>
      </c>
      <c r="DB13" t="str">
        <f>IF(ROW()-3&gt;MAX($DA$4:$DA$42),"",INDEX(Lists!$FX$4:$FX$42,MATCH(ROW()-3,$DA$4:$DA$42,0)))</f>
        <v/>
      </c>
      <c r="DG13">
        <f>IF($B$4="",1,IF($B$4="(blank)",--('Final Calculation Sheet'!$F$11=""),IF($B$4="(nonblank)",--('Final Calculation Sheet'!$F$11&lt;&gt;""),--ISNUMBER(SEARCH($B$4,'Final Calculation Sheet'!$F$11)))))</f>
        <v>1</v>
      </c>
      <c r="DH13">
        <f>IF($C$4="",1,IF($C$4="(blank)",--('Final Calculation Sheet'!$G$11=""),IF($C$4="(nonblank)",--('Final Calculation Sheet'!$G$11&lt;&gt;""),--ISNUMBER(SEARCH($C$4,'Final Calculation Sheet'!$G$11)))))</f>
        <v>1</v>
      </c>
      <c r="DI13">
        <f>IF($D$4="",1,IF($D$4="(blank)",--('Final Calculation Sheet'!$B$11=""),IF($D$4="(nonblank)",--('Final Calculation Sheet'!$B$11&lt;&gt;""),--ISNUMBER(SEARCH($D$4,'Final Calculation Sheet'!$B$11)))))</f>
        <v>1</v>
      </c>
      <c r="DJ13">
        <f>IF($E$4="",1,IF($E$4="(blank)",--('Final Calculation Sheet'!$D$11=""),IF($E$4="(nonblank)",--('Final Calculation Sheet'!$D$11&lt;&gt;""),--ISNUMBER(SEARCH($E$4,'Final Calculation Sheet'!$D$11)))))</f>
        <v>1</v>
      </c>
      <c r="DK13">
        <f>IF($F$4="",1,IF($F$4="(blank)",--('Final Calculation Sheet'!$A$11=""),IF($F$4="(nonblank)",--('Final Calculation Sheet'!$A$11&lt;&gt;""),--ISNUMBER(SEARCH($F$4,'Final Calculation Sheet'!$A$11)))))</f>
        <v>1</v>
      </c>
      <c r="DL13">
        <f>IF($G$4="",1,IF($G$4="(blank)",--('Final Calculation Sheet'!$E$11=""),IF($G$4="(nonblank)",--('Final Calculation Sheet'!$E$11&lt;&gt;""),--ISNUMBER(SEARCH($G$4,'Final Calculation Sheet'!$E$11)))))</f>
        <v>1</v>
      </c>
      <c r="DM13">
        <f>IF($H$4="",1,IF($H$4="(blank)",--('Final Calculation Sheet'!$C$11=""),IF($H$4="(nonblank)",--('Final Calculation Sheet'!$C$11&lt;&gt;""),--ISNUMBER(SEARCH($H$4,'Final Calculation Sheet'!$C$11)))))</f>
        <v>1</v>
      </c>
      <c r="DN13">
        <f>IF($I$4="",1,IF($I$4="(blank)",--('Final Calculation Sheet'!$H$11=""),IF($I$4="(nonblank)",--('Final Calculation Sheet'!$H$11&lt;&gt;""),--ISNUMBER(SEARCH($I$4,'Final Calculation Sheet'!$H$11)))))</f>
        <v>1</v>
      </c>
      <c r="DO13">
        <f>IF($J$4="",1,IF($J$4="(blank)",--('Final Calculation Sheet'!$I$11=""),IF($J$4="(nonblank)",--('Final Calculation Sheet'!$I$11&lt;&gt;""),--ISNUMBER(SEARCH($J$4,'Final Calculation Sheet'!$I$11)))))</f>
        <v>1</v>
      </c>
      <c r="DP13">
        <f>IF($K$4="",1,IF($K$4="(blank)",--('Final Calculation Sheet'!$J$11=""),IF($K$4="(nonblank)",--('Final Calculation Sheet'!$J$11&lt;&gt;""),--ISNUMBER(SEARCH($K$4,'Final Calculation Sheet'!$J$11)))))</f>
        <v>1</v>
      </c>
      <c r="DQ13">
        <f>IF($L$4="",1,IF($L$4="(blank)",--('Final Calculation Sheet'!$K$11=""),IF($L$4="(nonblank)",--('Final Calculation Sheet'!$K$11&lt;&gt;""),--ISNUMBER(SEARCH($L$4,'Final Calculation Sheet'!$K$11)))))</f>
        <v>1</v>
      </c>
      <c r="DR13">
        <f>IF($M$4="",1,IF($M$4="(blank)",--('Final Calculation Sheet'!$L$11=""),IF($M$4="(nonblank)",--('Final Calculation Sheet'!$L$11&lt;&gt;""),--ISNUMBER(SEARCH($M$4,'Final Calculation Sheet'!$L$11)))))</f>
        <v>1</v>
      </c>
      <c r="DS13">
        <f>IF($N$4="",1,IF($N$4="(blank)",--('Final Calculation Sheet'!$M$11=""),IF($N$4="(nonblank)",--('Final Calculation Sheet'!$M$11&lt;&gt;""),--ISNUMBER(SEARCH($N$4,'Final Calculation Sheet'!$M$11)))))</f>
        <v>1</v>
      </c>
      <c r="DT13">
        <f>IF($O$4="",1,IF($O$4="(blank)",--('Final Calculation Sheet'!$N$11=""),IF($O$4="(nonblank)",--('Final Calculation Sheet'!$N$11&lt;&gt;""),--ISNUMBER(SEARCH($O$4,'Final Calculation Sheet'!$N$11)))))</f>
        <v>1</v>
      </c>
      <c r="DU13">
        <f>IF($P$4="",1,IF($P$4="(blank)",--('Final Calculation Sheet'!$O$11=""),IF($P$4="(nonblank)",--('Final Calculation Sheet'!$O$11&lt;&gt;""),--ISNUMBER(SEARCH($P$4,'Final Calculation Sheet'!$O$11)))))</f>
        <v>1</v>
      </c>
      <c r="DV13">
        <f>IF($Q$4="",1,IF($Q$4="(blank)",--('Final Calculation Sheet'!$P$11=""),IF($Q$4="(nonblank)",--('Final Calculation Sheet'!$P$11&lt;&gt;""),--ISNUMBER(SEARCH($Q$4,'Final Calculation Sheet'!$P$11)))))</f>
        <v>1</v>
      </c>
      <c r="DW13">
        <f>IF($R$4="",1,IF($R$4="(blank)",--('Final Calculation Sheet'!$Q$11=""),IF($R$4="(nonblank)",--('Final Calculation Sheet'!$Q$11&lt;&gt;""),--ISNUMBER(SEARCH($R$4,'Final Calculation Sheet'!$Q$11)))))</f>
        <v>1</v>
      </c>
      <c r="DX13">
        <f>IF($S$4="",1,IF($S$4="(blank)",--('Final Calculation Sheet'!$R$11=""),IF($S$4="(nonblank)",--('Final Calculation Sheet'!$R$11&lt;&gt;""),--ISNUMBER(SEARCH($S$4,'Final Calculation Sheet'!$R$11)))))</f>
        <v>1</v>
      </c>
      <c r="DY13">
        <f>IF($T$4="",1,IF($T$4="(blank)",--('Final Calculation Sheet'!$S$11=""),IF($T$4="(nonblank)",--('Final Calculation Sheet'!$S$11&lt;&gt;""),--ISNUMBER(SEARCH($T$4,'Final Calculation Sheet'!$S$11)))))</f>
        <v>1</v>
      </c>
      <c r="DZ13">
        <f>IF($U$4="",1,IF($U$4="(blank)",--('Final Calculation Sheet'!$T$11=""),IF($U$4="(nonblank)",--('Final Calculation Sheet'!$T$11&lt;&gt;""),--ISNUMBER(SEARCH($U$4,'Final Calculation Sheet'!$T$11)))))</f>
        <v>1</v>
      </c>
      <c r="EA13">
        <f>IF($V$4="",1,IF($V$4="(blank)",--('Final Calculation Sheet'!$U$11=""),IF($V$4="(nonblank)",--('Final Calculation Sheet'!$U$11&lt;&gt;""),--ISNUMBER(SEARCH($V$4,'Final Calculation Sheet'!$U$11)))))</f>
        <v>1</v>
      </c>
      <c r="EB13">
        <f>IF($W$4="",1,IF($W$4="(blank)",--('Final Calculation Sheet'!$V$11=""),IF($W$4="(nonblank)",--('Final Calculation Sheet'!$V$11&lt;&gt;""),--ISNUMBER(SEARCH($W$4,'Final Calculation Sheet'!$V$11)))))</f>
        <v>1</v>
      </c>
      <c r="EC13">
        <f>IF($X$4="",1,IF($X$4="(blank)",--('Final Calculation Sheet'!$W$11=""),IF($X$4="(nonblank)",--('Final Calculation Sheet'!$W$11&lt;&gt;""),--ISNUMBER(SEARCH($X$4,'Final Calculation Sheet'!$W$11)))))</f>
        <v>1</v>
      </c>
      <c r="ED13">
        <f>IF($Y$4="",1,IF($Y$4="(blank)",--('Final Calculation Sheet'!$X$11=""),IF($Y$4="(nonblank)",--('Final Calculation Sheet'!$X$11&lt;&gt;""),--ISNUMBER(SEARCH($Y$4,'Final Calculation Sheet'!$X$11)))))</f>
        <v>1</v>
      </c>
      <c r="EE13">
        <f>IF($Z$4="",1,IF($Z$4="(blank)",--('Final Calculation Sheet'!$Y$11=""),IF($Z$4="(nonblank)",--('Final Calculation Sheet'!$Y$11&lt;&gt;""),--ISNUMBER(SEARCH($Z$4,'Final Calculation Sheet'!$Y$11)))))</f>
        <v>1</v>
      </c>
      <c r="EF13">
        <f>IF($AA$4="",1,IF($AA$4="(blank)",--('Final Calculation Sheet'!$Z$11=""),IF($AA$4="(nonblank)",--('Final Calculation Sheet'!$Z$11&lt;&gt;""),--ISNUMBER(SEARCH($AA$4,'Final Calculation Sheet'!$Z$11)))))</f>
        <v>1</v>
      </c>
      <c r="EG13">
        <f>IF($AB$4="",1,IF($AB$4="(blank)",--('Final Calculation Sheet'!$AA$11=""),IF($AB$4="(nonblank)",--('Final Calculation Sheet'!$AA$11&lt;&gt;""),--ISNUMBER(SEARCH($AB$4,'Final Calculation Sheet'!$AA$11)))))</f>
        <v>1</v>
      </c>
      <c r="EH13">
        <f>IF($AC$4="",1,IF($AC$4="(blank)",--('Final Calculation Sheet'!$AB$11=""),IF($AC$4="(nonblank)",--('Final Calculation Sheet'!$AB$11&lt;&gt;""),--ISNUMBER(SEARCH($AC$4,'Final Calculation Sheet'!$AB$11)))))</f>
        <v>1</v>
      </c>
      <c r="EI13">
        <f>IF($AD$4="",1,IF($AD$4="(blank)",--('Final Calculation Sheet'!$AC$11=""),IF($AD$4="(nonblank)",--('Final Calculation Sheet'!$AC$11&lt;&gt;""),--ISNUMBER(SEARCH($AD$4,'Final Calculation Sheet'!$AC$11)))))</f>
        <v>1</v>
      </c>
      <c r="EJ13">
        <f>IF($AE$4="",1,IF($AE$4="(blank)",--('Final Calculation Sheet'!$AD$11=""),IF($AE$4="(nonblank)",--('Final Calculation Sheet'!$AD$11&lt;&gt;""),--ISNUMBER(SEARCH($AE$4,'Final Calculation Sheet'!$AD$11)))))</f>
        <v>1</v>
      </c>
      <c r="EK13">
        <f>IF($AF$4="",1,IF($AF$4="(blank)",--(IF('Final Calculation Sheet'!$AD$11&lt;=5,"SETTLED","OUTSTANDING")=""),IF($AF$4="(nonblank)",--(IF('Final Calculation Sheet'!$AD$11&lt;=5,"SETTLED","OUTSTANDING")&lt;&gt;""),--ISNUMBER(SEARCH($AF$4,IF('Final Calculation Sheet'!$AD$11&lt;=5,"SETTLED","OUTSTANDING"))))))</f>
        <v>1</v>
      </c>
      <c r="EL13">
        <f>IF($AG$4="",1,IF($AG$4="(blank)",--('Final Calculation Sheet'!$AF$11=""),IF($AG$4="(nonblank)",--('Final Calculation Sheet'!$AF$11&lt;&gt;""),--ISNUMBER(SEARCH($AG$4,'Final Calculation Sheet'!$AF$11)))))</f>
        <v>1</v>
      </c>
      <c r="EM13">
        <f>IF($AH$4="",1,IF($AH$4="(blank)",--('Final Calculation Sheet'!$AG$11=""),IF($AH$4="(nonblank)",--('Final Calculation Sheet'!$AG$11&lt;&gt;""),--ISNUMBER(SEARCH($AH$4,'Final Calculation Sheet'!$AG$11)))))</f>
        <v>1</v>
      </c>
      <c r="EN13">
        <f>IF($AI$4="",1,IF($AI$4="(blank)",--('Final Calculation Sheet'!$AH$11=""),IF($AI$4="(nonblank)",--('Final Calculation Sheet'!$AH$11&lt;&gt;""),--ISNUMBER(SEARCH($AI$4,'Final Calculation Sheet'!$AH$11)))))</f>
        <v>1</v>
      </c>
    </row>
    <row r="14" spans="1:144" hidden="1" outlineLevel="1" x14ac:dyDescent="0.3">
      <c r="A14" s="117" t="str">
        <f>IF($AL$14="","",8)</f>
        <v/>
      </c>
      <c r="B14" s="118" t="str">
        <f>IF($AL$14="","",IF(INDEX('Final Calculation Sheet'!$F$4:$F$40,$AL$14)="","",INDEX('Final Calculation Sheet'!$F$4:$F$40,$AL$14)))</f>
        <v/>
      </c>
      <c r="C14" s="118" t="str">
        <f>IF($AL$14="","",IF(INDEX('Final Calculation Sheet'!$G$4:$G$40,$AL$14)="","",INDEX('Final Calculation Sheet'!$G$4:$G$40,$AL$14)))</f>
        <v/>
      </c>
      <c r="D14" s="119" t="str">
        <f>IF($AL$14="","",IF(INDEX('Final Calculation Sheet'!$B$4:$B$40,$AL$14)="","",INDEX('Final Calculation Sheet'!$B$4:$B$40,$AL$14)))</f>
        <v/>
      </c>
      <c r="E14" s="119" t="str">
        <f>IF($AL$14="","",IF(INDEX('Final Calculation Sheet'!$D$4:$D$40,$AL$14)="","",INDEX('Final Calculation Sheet'!$D$4:$D$40,$AL$14)))</f>
        <v/>
      </c>
      <c r="F14" s="119" t="str">
        <f>IF($AL$14="","",IF(INDEX('Final Calculation Sheet'!$A$4:$A$40,$AL$14)="","",INDEX('Final Calculation Sheet'!$A$4:$A$40,$AL$14)))</f>
        <v/>
      </c>
      <c r="G14" s="119" t="str">
        <f>IF($AL$14="","",IF(INDEX('Final Calculation Sheet'!$E$4:$E$40,$AL$14)="","",INDEX('Final Calculation Sheet'!$E$4:$E$40,$AL$14)))</f>
        <v/>
      </c>
      <c r="H14" s="120" t="str">
        <f>IF($AL$14="","",IF(INDEX('Final Calculation Sheet'!$C$4:$C$40,$AL$14)="","",INDEX('Final Calculation Sheet'!$C$4:$C$40,$AL$14)))</f>
        <v/>
      </c>
      <c r="I14" s="120" t="str">
        <f>IF($AL$14="","",IF(INDEX('Final Calculation Sheet'!$H$4:$H$40,$AL$14)="","",INDEX('Final Calculation Sheet'!$H$4:$H$40,$AL$14)))</f>
        <v/>
      </c>
      <c r="J14" s="120" t="str">
        <f>IF($AL$14="","",IF(INDEX('Final Calculation Sheet'!$I$4:$I$40,$AL$14)="","",INDEX('Final Calculation Sheet'!$I$4:$I$40,$AL$14)))</f>
        <v/>
      </c>
      <c r="K14" s="120" t="str">
        <f>IF($AL$14="","",IF(INDEX('Final Calculation Sheet'!$J$4:$J$40,$AL$14)="","",INDEX('Final Calculation Sheet'!$J$4:$J$40,$AL$14)))</f>
        <v/>
      </c>
      <c r="L14" s="120" t="str">
        <f>IF($AL$14="","",IF(INDEX('Final Calculation Sheet'!$K$4:$K$40,$AL$14)="","",INDEX('Final Calculation Sheet'!$K$4:$K$40,$AL$14)))</f>
        <v/>
      </c>
      <c r="M14" s="120" t="str">
        <f>IF($AL$14="","",IF(INDEX('Final Calculation Sheet'!$L$4:$L$40,$AL$14)="","",INDEX('Final Calculation Sheet'!$L$4:$L$40,$AL$14)))</f>
        <v/>
      </c>
      <c r="N14" s="120" t="str">
        <f>IF($AL$14="","",IF(INDEX('Final Calculation Sheet'!$M$4:$M$40,$AL$14)="","",INDEX('Final Calculation Sheet'!$M$4:$M$40,$AL$14)))</f>
        <v/>
      </c>
      <c r="O14" s="121" t="str">
        <f>IF($AL$14="","",IF(INDEX('Final Calculation Sheet'!$N$4:$N$40,$AL$14)="","",INDEX('Final Calculation Sheet'!$N$4:$N$40,$AL$14)))</f>
        <v/>
      </c>
      <c r="P14" s="120" t="str">
        <f>IF($AL$14="","",IF(INDEX('Final Calculation Sheet'!$O$4:$O$40,$AL$14)="","",INDEX('Final Calculation Sheet'!$O$4:$O$40,$AL$14)))</f>
        <v/>
      </c>
      <c r="Q14" s="120" t="str">
        <f>IF($AL$14="","",IF(INDEX('Final Calculation Sheet'!$P$4:$P$40,$AL$14)="","",INDEX('Final Calculation Sheet'!$P$4:$P$40,$AL$14)))</f>
        <v/>
      </c>
      <c r="R14" s="122" t="str">
        <f>IF($AL$14="","",IF(INDEX('Final Calculation Sheet'!$Q$4:$Q$40,$AL$14)="","",INDEX('Final Calculation Sheet'!$Q$4:$Q$40,$AL$14)))</f>
        <v/>
      </c>
      <c r="S14" s="120" t="str">
        <f>IF($AL$14="","",IF(INDEX('Final Calculation Sheet'!$R$4:$R$40,$AL$14)="","",INDEX('Final Calculation Sheet'!$R$4:$R$40,$AL$14)))</f>
        <v/>
      </c>
      <c r="T14" s="120" t="str">
        <f>IF($AL$14="","",IF(INDEX('Final Calculation Sheet'!$S$4:$S$40,$AL$14)="","",INDEX('Final Calculation Sheet'!$S$4:$S$40,$AL$14)))</f>
        <v/>
      </c>
      <c r="U14" s="120" t="str">
        <f>IF($AL$14="","",IF(INDEX('Final Calculation Sheet'!$T$4:$T$40,$AL$14)="","",INDEX('Final Calculation Sheet'!$T$4:$T$40,$AL$14)))</f>
        <v/>
      </c>
      <c r="V14" s="123" t="str">
        <f>IF($AL$14="","",IF(INDEX('Final Calculation Sheet'!$U$4:$U$40,$AL$14)="","",INDEX('Final Calculation Sheet'!$U$4:$U$40,$AL$14)))</f>
        <v/>
      </c>
      <c r="W14" s="120" t="str">
        <f>IF($AL$14="","",IF(INDEX('Final Calculation Sheet'!$V$4:$V$40,$AL$14)="","",INDEX('Final Calculation Sheet'!$V$4:$V$40,$AL$14)))</f>
        <v/>
      </c>
      <c r="X14" s="120" t="str">
        <f>IF($AL$14="","",IF(INDEX('Final Calculation Sheet'!$W$4:$W$40,$AL$14)="","",INDEX('Final Calculation Sheet'!$W$4:$W$40,$AL$14)))</f>
        <v/>
      </c>
      <c r="Y14" s="120" t="str">
        <f>IF($AL$14="","",IF(INDEX('Final Calculation Sheet'!$X$4:$X$40,$AL$14)="","",INDEX('Final Calculation Sheet'!$X$4:$X$40,$AL$14)))</f>
        <v/>
      </c>
      <c r="Z14" s="120" t="str">
        <f>IF($AL$14="","",IF(INDEX('Final Calculation Sheet'!$Y$4:$Y$40,$AL$14)="","",INDEX('Final Calculation Sheet'!$Y$4:$Y$40,$AL$14)))</f>
        <v/>
      </c>
      <c r="AA14" s="120" t="str">
        <f>IF($AL$14="","",IF(INDEX('Final Calculation Sheet'!$Z$4:$Z$40,$AL$14)="","",INDEX('Final Calculation Sheet'!$Z$4:$Z$40,$AL$14)))</f>
        <v/>
      </c>
      <c r="AB14" s="120" t="str">
        <f>IF($AL$14="","",IF(INDEX('Final Calculation Sheet'!$AA$4:$AA$40,$AL$14)="","",INDEX('Final Calculation Sheet'!$AA$4:$AA$40,$AL$14)))</f>
        <v/>
      </c>
      <c r="AC14" s="120" t="str">
        <f>IF($AL$14="","",IF(INDEX('Final Calculation Sheet'!$AB$4:$AB$40,$AL$14)="","",INDEX('Final Calculation Sheet'!$AB$4:$AB$40,$AL$14)))</f>
        <v/>
      </c>
      <c r="AD14" s="120" t="str">
        <f>IF($AL$14="","",IF(INDEX('Final Calculation Sheet'!$AC$4:$AC$40,$AL$14)="","",INDEX('Final Calculation Sheet'!$AC$4:$AC$40,$AL$14)))</f>
        <v/>
      </c>
      <c r="AE14" s="120" t="str">
        <f>IF($AL$14="","",IF(INDEX('Final Calculation Sheet'!$AD$4:$AD$40,$AL$14)="","",INDEX('Final Calculation Sheet'!$AD$4:$AD$40,$AL$14)))</f>
        <v/>
      </c>
      <c r="AF14" s="125" t="str">
        <f>IF($AL$14="","",IF(INDEX('Final Calculation Sheet'!$AD$4:$AD$40,$AL$14)&lt;=5,"SETTLED","OUTSTANDING"))</f>
        <v/>
      </c>
      <c r="AG14" s="120" t="str">
        <f>IF($AL$14="","",IF(INDEX('Final Calculation Sheet'!$AF$4:$AF$40,$AL$14)="","",INDEX('Final Calculation Sheet'!$AF$4:$AF$40,$AL$14)))</f>
        <v/>
      </c>
      <c r="AH14" s="124" t="str">
        <f>IF($AL$14="","",IF(INDEX('Final Calculation Sheet'!$AG$4:$AG$40,$AL$14)="","",INDEX('Final Calculation Sheet'!$AG$4:$AG$40,$AL$14)))</f>
        <v/>
      </c>
      <c r="AI14" s="120" t="str">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v>1</v>
      </c>
      <c r="AK14">
        <f>IF(AJ14=1,COUNTIF(AJ$6:AJ14,1),"")</f>
        <v>9</v>
      </c>
      <c r="AL14" t="str">
        <f>IF(COUNTIF($B$4:$AI$4,"&lt;&gt;")=0,"",IFERROR(MATCH(8,$AK$6:$AK$42,0),""))</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 ca="1">CK13+IF(AND(Lists!$EJ$14&lt;&gt;"",ISNUMBER(SEARCH($AA$4,Lists!$EJ$14))),1,0)</f>
        <v>11</v>
      </c>
      <c r="CL14">
        <f ca="1">IF(ROW()-3&gt;MAX($CK$4:$CK$42),"",INDEX(Lists!$EJ$4:$EJ$42,MATCH(ROW()-3,$CK$4:$CK$42,0)))</f>
        <v>2230.1999999999998</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f>CS13+IF(AND(Lists!$FD$14&lt;&gt;"",ISNUMBER(SEARCH($AE$4,Lists!$FD$14))),1,0)</f>
        <v>11</v>
      </c>
      <c r="CT14">
        <f>IF(ROW()-3&gt;MAX($CS$4:$CS$42),"",INDEX(Lists!$FD$4:$FD$42,MATCH(ROW()-3,$CS$4:$CS$42,0)))</f>
        <v>498031</v>
      </c>
      <c r="CU14" t="e">
        <f>CU13+IF(AND(Lists!$FI$14&lt;&gt;"",ISNUMBER(SEARCH($AG$4,Lists!$FI$14))),1,0)</f>
        <v>#N/A</v>
      </c>
      <c r="CV14" t="e">
        <f>IF(ROW()-3&gt;MAX($CU$4:$CU$42),"",INDEX(Lists!$FI$4:$FI$42,MATCH(ROW()-3,$CU$4:$CU$42,0)))</f>
        <v>#N/A</v>
      </c>
      <c r="CW14" t="e">
        <f>CW13+IF(AND(Lists!$FN$14&lt;&gt;"",ISNUMBER(SEARCH($AH$4,Lists!$FN$14))),1,0)</f>
        <v>#N/A</v>
      </c>
      <c r="CX14" t="e">
        <f>IF(ROW()-3&gt;MAX($CW$4:$CW$42),"",INDEX(Lists!$FN$4:$FN$42,MATCH(ROW()-3,$CW$4:$CW$42,0)))</f>
        <v>#N/A</v>
      </c>
      <c r="CY14" t="e">
        <f>CY13+IF(AND(Lists!$FS$14&lt;&gt;"",ISNUMBER(SEARCH($AI$4,Lists!$FS$14))),1,0)</f>
        <v>#N/A</v>
      </c>
      <c r="CZ14" t="e">
        <f>IF(ROW()-3&gt;MAX($CY$4:$CY$42),"",INDEX(Lists!$FS$4:$FS$42,MATCH(ROW()-3,$CY$4:$CY$42,0)))</f>
        <v>#N/A</v>
      </c>
      <c r="DA14">
        <f>DA13+IF(AND(Lists!$FX$14&lt;&gt;"",ISNUMBER(SEARCH($AF$4,Lists!$FX$14))),1,0)</f>
        <v>2</v>
      </c>
      <c r="DB14" t="str">
        <f>IF(ROW()-3&gt;MAX($DA$4:$DA$42),"",INDEX(Lists!$FX$4:$FX$42,MATCH(ROW()-3,$DA$4:$DA$42,0)))</f>
        <v/>
      </c>
      <c r="DG14">
        <f>IF($B$4="",1,IF($B$4="(blank)",--('Final Calculation Sheet'!$F$12=""),IF($B$4="(nonblank)",--('Final Calculation Sheet'!$F$12&lt;&gt;""),--ISNUMBER(SEARCH($B$4,'Final Calculation Sheet'!$F$12)))))</f>
        <v>1</v>
      </c>
      <c r="DH14">
        <f>IF($C$4="",1,IF($C$4="(blank)",--('Final Calculation Sheet'!$G$12=""),IF($C$4="(nonblank)",--('Final Calculation Sheet'!$G$12&lt;&gt;""),--ISNUMBER(SEARCH($C$4,'Final Calculation Sheet'!$G$12)))))</f>
        <v>1</v>
      </c>
      <c r="DI14">
        <f>IF($D$4="",1,IF($D$4="(blank)",--('Final Calculation Sheet'!$B$12=""),IF($D$4="(nonblank)",--('Final Calculation Sheet'!$B$12&lt;&gt;""),--ISNUMBER(SEARCH($D$4,'Final Calculation Sheet'!$B$12)))))</f>
        <v>1</v>
      </c>
      <c r="DJ14">
        <f>IF($E$4="",1,IF($E$4="(blank)",--('Final Calculation Sheet'!$D$12=""),IF($E$4="(nonblank)",--('Final Calculation Sheet'!$D$12&lt;&gt;""),--ISNUMBER(SEARCH($E$4,'Final Calculation Sheet'!$D$12)))))</f>
        <v>1</v>
      </c>
      <c r="DK14">
        <f>IF($F$4="",1,IF($F$4="(blank)",--('Final Calculation Sheet'!$A$12=""),IF($F$4="(nonblank)",--('Final Calculation Sheet'!$A$12&lt;&gt;""),--ISNUMBER(SEARCH($F$4,'Final Calculation Sheet'!$A$12)))))</f>
        <v>1</v>
      </c>
      <c r="DL14">
        <f>IF($G$4="",1,IF($G$4="(blank)",--('Final Calculation Sheet'!$E$12=""),IF($G$4="(nonblank)",--('Final Calculation Sheet'!$E$12&lt;&gt;""),--ISNUMBER(SEARCH($G$4,'Final Calculation Sheet'!$E$12)))))</f>
        <v>1</v>
      </c>
      <c r="DM14">
        <f>IF($H$4="",1,IF($H$4="(blank)",--('Final Calculation Sheet'!$C$12=""),IF($H$4="(nonblank)",--('Final Calculation Sheet'!$C$12&lt;&gt;""),--ISNUMBER(SEARCH($H$4,'Final Calculation Sheet'!$C$12)))))</f>
        <v>1</v>
      </c>
      <c r="DN14">
        <f>IF($I$4="",1,IF($I$4="(blank)",--('Final Calculation Sheet'!$H$12=""),IF($I$4="(nonblank)",--('Final Calculation Sheet'!$H$12&lt;&gt;""),--ISNUMBER(SEARCH($I$4,'Final Calculation Sheet'!$H$12)))))</f>
        <v>1</v>
      </c>
      <c r="DO14">
        <f>IF($J$4="",1,IF($J$4="(blank)",--('Final Calculation Sheet'!$I$12=""),IF($J$4="(nonblank)",--('Final Calculation Sheet'!$I$12&lt;&gt;""),--ISNUMBER(SEARCH($J$4,'Final Calculation Sheet'!$I$12)))))</f>
        <v>1</v>
      </c>
      <c r="DP14">
        <f>IF($K$4="",1,IF($K$4="(blank)",--('Final Calculation Sheet'!$J$12=""),IF($K$4="(nonblank)",--('Final Calculation Sheet'!$J$12&lt;&gt;""),--ISNUMBER(SEARCH($K$4,'Final Calculation Sheet'!$J$12)))))</f>
        <v>1</v>
      </c>
      <c r="DQ14">
        <f>IF($L$4="",1,IF($L$4="(blank)",--('Final Calculation Sheet'!$K$12=""),IF($L$4="(nonblank)",--('Final Calculation Sheet'!$K$12&lt;&gt;""),--ISNUMBER(SEARCH($L$4,'Final Calculation Sheet'!$K$12)))))</f>
        <v>1</v>
      </c>
      <c r="DR14">
        <f>IF($M$4="",1,IF($M$4="(blank)",--('Final Calculation Sheet'!$L$12=""),IF($M$4="(nonblank)",--('Final Calculation Sheet'!$L$12&lt;&gt;""),--ISNUMBER(SEARCH($M$4,'Final Calculation Sheet'!$L$12)))))</f>
        <v>1</v>
      </c>
      <c r="DS14">
        <f>IF($N$4="",1,IF($N$4="(blank)",--('Final Calculation Sheet'!$M$12=""),IF($N$4="(nonblank)",--('Final Calculation Sheet'!$M$12&lt;&gt;""),--ISNUMBER(SEARCH($N$4,'Final Calculation Sheet'!$M$12)))))</f>
        <v>1</v>
      </c>
      <c r="DT14">
        <f>IF($O$4="",1,IF($O$4="(blank)",--('Final Calculation Sheet'!$N$12=""),IF($O$4="(nonblank)",--('Final Calculation Sheet'!$N$12&lt;&gt;""),--ISNUMBER(SEARCH($O$4,'Final Calculation Sheet'!$N$12)))))</f>
        <v>1</v>
      </c>
      <c r="DU14">
        <f>IF($P$4="",1,IF($P$4="(blank)",--('Final Calculation Sheet'!$O$12=""),IF($P$4="(nonblank)",--('Final Calculation Sheet'!$O$12&lt;&gt;""),--ISNUMBER(SEARCH($P$4,'Final Calculation Sheet'!$O$12)))))</f>
        <v>1</v>
      </c>
      <c r="DV14">
        <f>IF($Q$4="",1,IF($Q$4="(blank)",--('Final Calculation Sheet'!$P$12=""),IF($Q$4="(nonblank)",--('Final Calculation Sheet'!$P$12&lt;&gt;""),--ISNUMBER(SEARCH($Q$4,'Final Calculation Sheet'!$P$12)))))</f>
        <v>1</v>
      </c>
      <c r="DW14">
        <f>IF($R$4="",1,IF($R$4="(blank)",--('Final Calculation Sheet'!$Q$12=""),IF($R$4="(nonblank)",--('Final Calculation Sheet'!$Q$12&lt;&gt;""),--ISNUMBER(SEARCH($R$4,'Final Calculation Sheet'!$Q$12)))))</f>
        <v>1</v>
      </c>
      <c r="DX14">
        <f>IF($S$4="",1,IF($S$4="(blank)",--('Final Calculation Sheet'!$R$12=""),IF($S$4="(nonblank)",--('Final Calculation Sheet'!$R$12&lt;&gt;""),--ISNUMBER(SEARCH($S$4,'Final Calculation Sheet'!$R$12)))))</f>
        <v>1</v>
      </c>
      <c r="DY14">
        <f>IF($T$4="",1,IF($T$4="(blank)",--('Final Calculation Sheet'!$S$12=""),IF($T$4="(nonblank)",--('Final Calculation Sheet'!$S$12&lt;&gt;""),--ISNUMBER(SEARCH($T$4,'Final Calculation Sheet'!$S$12)))))</f>
        <v>1</v>
      </c>
      <c r="DZ14">
        <f>IF($U$4="",1,IF($U$4="(blank)",--('Final Calculation Sheet'!$T$12=""),IF($U$4="(nonblank)",--('Final Calculation Sheet'!$T$12&lt;&gt;""),--ISNUMBER(SEARCH($U$4,'Final Calculation Sheet'!$T$12)))))</f>
        <v>1</v>
      </c>
      <c r="EA14">
        <f>IF($V$4="",1,IF($V$4="(blank)",--('Final Calculation Sheet'!$U$12=""),IF($V$4="(nonblank)",--('Final Calculation Sheet'!$U$12&lt;&gt;""),--ISNUMBER(SEARCH($V$4,'Final Calculation Sheet'!$U$12)))))</f>
        <v>1</v>
      </c>
      <c r="EB14">
        <f>IF($W$4="",1,IF($W$4="(blank)",--('Final Calculation Sheet'!$V$12=""),IF($W$4="(nonblank)",--('Final Calculation Sheet'!$V$12&lt;&gt;""),--ISNUMBER(SEARCH($W$4,'Final Calculation Sheet'!$V$12)))))</f>
        <v>1</v>
      </c>
      <c r="EC14">
        <f>IF($X$4="",1,IF($X$4="(blank)",--('Final Calculation Sheet'!$W$12=""),IF($X$4="(nonblank)",--('Final Calculation Sheet'!$W$12&lt;&gt;""),--ISNUMBER(SEARCH($X$4,'Final Calculation Sheet'!$W$12)))))</f>
        <v>1</v>
      </c>
      <c r="ED14">
        <f>IF($Y$4="",1,IF($Y$4="(blank)",--('Final Calculation Sheet'!$X$12=""),IF($Y$4="(nonblank)",--('Final Calculation Sheet'!$X$12&lt;&gt;""),--ISNUMBER(SEARCH($Y$4,'Final Calculation Sheet'!$X$12)))))</f>
        <v>1</v>
      </c>
      <c r="EE14">
        <f>IF($Z$4="",1,IF($Z$4="(blank)",--('Final Calculation Sheet'!$Y$12=""),IF($Z$4="(nonblank)",--('Final Calculation Sheet'!$Y$12&lt;&gt;""),--ISNUMBER(SEARCH($Z$4,'Final Calculation Sheet'!$Y$12)))))</f>
        <v>1</v>
      </c>
      <c r="EF14">
        <f>IF($AA$4="",1,IF($AA$4="(blank)",--('Final Calculation Sheet'!$Z$12=""),IF($AA$4="(nonblank)",--('Final Calculation Sheet'!$Z$12&lt;&gt;""),--ISNUMBER(SEARCH($AA$4,'Final Calculation Sheet'!$Z$12)))))</f>
        <v>1</v>
      </c>
      <c r="EG14">
        <f>IF($AB$4="",1,IF($AB$4="(blank)",--('Final Calculation Sheet'!$AA$12=""),IF($AB$4="(nonblank)",--('Final Calculation Sheet'!$AA$12&lt;&gt;""),--ISNUMBER(SEARCH($AB$4,'Final Calculation Sheet'!$AA$12)))))</f>
        <v>1</v>
      </c>
      <c r="EH14">
        <f>IF($AC$4="",1,IF($AC$4="(blank)",--('Final Calculation Sheet'!$AB$12=""),IF($AC$4="(nonblank)",--('Final Calculation Sheet'!$AB$12&lt;&gt;""),--ISNUMBER(SEARCH($AC$4,'Final Calculation Sheet'!$AB$12)))))</f>
        <v>1</v>
      </c>
      <c r="EI14">
        <f>IF($AD$4="",1,IF($AD$4="(blank)",--('Final Calculation Sheet'!$AC$12=""),IF($AD$4="(nonblank)",--('Final Calculation Sheet'!$AC$12&lt;&gt;""),--ISNUMBER(SEARCH($AD$4,'Final Calculation Sheet'!$AC$12)))))</f>
        <v>1</v>
      </c>
      <c r="EJ14">
        <f>IF($AE$4="",1,IF($AE$4="(blank)",--('Final Calculation Sheet'!$AD$12=""),IF($AE$4="(nonblank)",--('Final Calculation Sheet'!$AD$12&lt;&gt;""),--ISNUMBER(SEARCH($AE$4,'Final Calculation Sheet'!$AD$12)))))</f>
        <v>1</v>
      </c>
      <c r="EK14">
        <f>IF($AF$4="",1,IF($AF$4="(blank)",--(IF('Final Calculation Sheet'!$AD$12&lt;=5,"SETTLED","OUTSTANDING")=""),IF($AF$4="(nonblank)",--(IF('Final Calculation Sheet'!$AD$12&lt;=5,"SETTLED","OUTSTANDING")&lt;&gt;""),--ISNUMBER(SEARCH($AF$4,IF('Final Calculation Sheet'!$AD$12&lt;=5,"SETTLED","OUTSTANDING"))))))</f>
        <v>1</v>
      </c>
      <c r="EL14">
        <f>IF($AG$4="",1,IF($AG$4="(blank)",--('Final Calculation Sheet'!$AF$12=""),IF($AG$4="(nonblank)",--('Final Calculation Sheet'!$AF$12&lt;&gt;""),--ISNUMBER(SEARCH($AG$4,'Final Calculation Sheet'!$AF$12)))))</f>
        <v>1</v>
      </c>
      <c r="EM14">
        <f>IF($AH$4="",1,IF($AH$4="(blank)",--('Final Calculation Sheet'!$AG$12=""),IF($AH$4="(nonblank)",--('Final Calculation Sheet'!$AG$12&lt;&gt;""),--ISNUMBER(SEARCH($AH$4,'Final Calculation Sheet'!$AG$12)))))</f>
        <v>1</v>
      </c>
      <c r="EN14">
        <f>IF($AI$4="",1,IF($AI$4="(blank)",--('Final Calculation Sheet'!$AH$12=""),IF($AI$4="(nonblank)",--('Final Calculation Sheet'!$AH$12&lt;&gt;""),--ISNUMBER(SEARCH($AI$4,'Final Calculation Sheet'!$AH$12)))))</f>
        <v>1</v>
      </c>
    </row>
    <row r="15" spans="1:144" hidden="1" outlineLevel="1" x14ac:dyDescent="0.3">
      <c r="A15" s="107" t="str">
        <f>IF($AL$15="","",9)</f>
        <v/>
      </c>
      <c r="B15" s="108" t="str">
        <f>IF($AL$15="","",IF(INDEX('Final Calculation Sheet'!$F$4:$F$40,$AL$15)="","",INDEX('Final Calculation Sheet'!$F$4:$F$40,$AL$15)))</f>
        <v/>
      </c>
      <c r="C15" s="108" t="str">
        <f>IF($AL$15="","",IF(INDEX('Final Calculation Sheet'!$G$4:$G$40,$AL$15)="","",INDEX('Final Calculation Sheet'!$G$4:$G$40,$AL$15)))</f>
        <v/>
      </c>
      <c r="D15" s="110" t="str">
        <f>IF($AL$15="","",IF(INDEX('Final Calculation Sheet'!$B$4:$B$40,$AL$15)="","",INDEX('Final Calculation Sheet'!$B$4:$B$40,$AL$15)))</f>
        <v/>
      </c>
      <c r="E15" s="110" t="str">
        <f>IF($AL$15="","",IF(INDEX('Final Calculation Sheet'!$D$4:$D$40,$AL$15)="","",INDEX('Final Calculation Sheet'!$D$4:$D$40,$AL$15)))</f>
        <v/>
      </c>
      <c r="F15" s="110" t="str">
        <f>IF($AL$15="","",IF(INDEX('Final Calculation Sheet'!$A$4:$A$40,$AL$15)="","",INDEX('Final Calculation Sheet'!$A$4:$A$40,$AL$15)))</f>
        <v/>
      </c>
      <c r="G15" s="110" t="str">
        <f>IF($AL$15="","",IF(INDEX('Final Calculation Sheet'!$E$4:$E$40,$AL$15)="","",INDEX('Final Calculation Sheet'!$E$4:$E$40,$AL$15)))</f>
        <v/>
      </c>
      <c r="H15" s="111" t="str">
        <f>IF($AL$15="","",IF(INDEX('Final Calculation Sheet'!$C$4:$C$40,$AL$15)="","",INDEX('Final Calculation Sheet'!$C$4:$C$40,$AL$15)))</f>
        <v/>
      </c>
      <c r="I15" s="111" t="str">
        <f>IF($AL$15="","",IF(INDEX('Final Calculation Sheet'!$H$4:$H$40,$AL$15)="","",INDEX('Final Calculation Sheet'!$H$4:$H$40,$AL$15)))</f>
        <v/>
      </c>
      <c r="J15" s="111" t="str">
        <f>IF($AL$15="","",IF(INDEX('Final Calculation Sheet'!$I$4:$I$40,$AL$15)="","",INDEX('Final Calculation Sheet'!$I$4:$I$40,$AL$15)))</f>
        <v/>
      </c>
      <c r="K15" s="111" t="str">
        <f>IF($AL$15="","",IF(INDEX('Final Calculation Sheet'!$J$4:$J$40,$AL$15)="","",INDEX('Final Calculation Sheet'!$J$4:$J$40,$AL$15)))</f>
        <v/>
      </c>
      <c r="L15" s="111" t="str">
        <f>IF($AL$15="","",IF(INDEX('Final Calculation Sheet'!$K$4:$K$40,$AL$15)="","",INDEX('Final Calculation Sheet'!$K$4:$K$40,$AL$15)))</f>
        <v/>
      </c>
      <c r="M15" s="111" t="str">
        <f>IF($AL$15="","",IF(INDEX('Final Calculation Sheet'!$L$4:$L$40,$AL$15)="","",INDEX('Final Calculation Sheet'!$L$4:$L$40,$AL$15)))</f>
        <v/>
      </c>
      <c r="N15" s="111" t="str">
        <f>IF($AL$15="","",IF(INDEX('Final Calculation Sheet'!$M$4:$M$40,$AL$15)="","",INDEX('Final Calculation Sheet'!$M$4:$M$40,$AL$15)))</f>
        <v/>
      </c>
      <c r="O15" s="112" t="str">
        <f>IF($AL$15="","",IF(INDEX('Final Calculation Sheet'!$N$4:$N$40,$AL$15)="","",INDEX('Final Calculation Sheet'!$N$4:$N$40,$AL$15)))</f>
        <v/>
      </c>
      <c r="P15" s="111" t="str">
        <f>IF($AL$15="","",IF(INDEX('Final Calculation Sheet'!$O$4:$O$40,$AL$15)="","",INDEX('Final Calculation Sheet'!$O$4:$O$40,$AL$15)))</f>
        <v/>
      </c>
      <c r="Q15" s="111" t="str">
        <f>IF($AL$15="","",IF(INDEX('Final Calculation Sheet'!$P$4:$P$40,$AL$15)="","",INDEX('Final Calculation Sheet'!$P$4:$P$40,$AL$15)))</f>
        <v/>
      </c>
      <c r="R15" s="113" t="str">
        <f>IF($AL$15="","",IF(INDEX('Final Calculation Sheet'!$Q$4:$Q$40,$AL$15)="","",INDEX('Final Calculation Sheet'!$Q$4:$Q$40,$AL$15)))</f>
        <v/>
      </c>
      <c r="S15" s="111" t="str">
        <f>IF($AL$15="","",IF(INDEX('Final Calculation Sheet'!$R$4:$R$40,$AL$15)="","",INDEX('Final Calculation Sheet'!$R$4:$R$40,$AL$15)))</f>
        <v/>
      </c>
      <c r="T15" s="111" t="str">
        <f>IF($AL$15="","",IF(INDEX('Final Calculation Sheet'!$S$4:$S$40,$AL$15)="","",INDEX('Final Calculation Sheet'!$S$4:$S$40,$AL$15)))</f>
        <v/>
      </c>
      <c r="U15" s="111" t="str">
        <f>IF($AL$15="","",IF(INDEX('Final Calculation Sheet'!$T$4:$T$40,$AL$15)="","",INDEX('Final Calculation Sheet'!$T$4:$T$40,$AL$15)))</f>
        <v/>
      </c>
      <c r="V15" s="114" t="str">
        <f>IF($AL$15="","",IF(INDEX('Final Calculation Sheet'!$U$4:$U$40,$AL$15)="","",INDEX('Final Calculation Sheet'!$U$4:$U$40,$AL$15)))</f>
        <v/>
      </c>
      <c r="W15" s="111" t="str">
        <f>IF($AL$15="","",IF(INDEX('Final Calculation Sheet'!$V$4:$V$40,$AL$15)="","",INDEX('Final Calculation Sheet'!$V$4:$V$40,$AL$15)))</f>
        <v/>
      </c>
      <c r="X15" s="111" t="str">
        <f>IF($AL$15="","",IF(INDEX('Final Calculation Sheet'!$W$4:$W$40,$AL$15)="","",INDEX('Final Calculation Sheet'!$W$4:$W$40,$AL$15)))</f>
        <v/>
      </c>
      <c r="Y15" s="111" t="str">
        <f>IF($AL$15="","",IF(INDEX('Final Calculation Sheet'!$X$4:$X$40,$AL$15)="","",INDEX('Final Calculation Sheet'!$X$4:$X$40,$AL$15)))</f>
        <v/>
      </c>
      <c r="Z15" s="111" t="str">
        <f>IF($AL$15="","",IF(INDEX('Final Calculation Sheet'!$Y$4:$Y$40,$AL$15)="","",INDEX('Final Calculation Sheet'!$Y$4:$Y$40,$AL$15)))</f>
        <v/>
      </c>
      <c r="AA15" s="111" t="str">
        <f>IF($AL$15="","",IF(INDEX('Final Calculation Sheet'!$Z$4:$Z$40,$AL$15)="","",INDEX('Final Calculation Sheet'!$Z$4:$Z$40,$AL$15)))</f>
        <v/>
      </c>
      <c r="AB15" s="111" t="str">
        <f>IF($AL$15="","",IF(INDEX('Final Calculation Sheet'!$AA$4:$AA$40,$AL$15)="","",INDEX('Final Calculation Sheet'!$AA$4:$AA$40,$AL$15)))</f>
        <v/>
      </c>
      <c r="AC15" s="111" t="str">
        <f>IF($AL$15="","",IF(INDEX('Final Calculation Sheet'!$AB$4:$AB$40,$AL$15)="","",INDEX('Final Calculation Sheet'!$AB$4:$AB$40,$AL$15)))</f>
        <v/>
      </c>
      <c r="AD15" s="111" t="str">
        <f>IF($AL$15="","",IF(INDEX('Final Calculation Sheet'!$AC$4:$AC$40,$AL$15)="","",INDEX('Final Calculation Sheet'!$AC$4:$AC$40,$AL$15)))</f>
        <v/>
      </c>
      <c r="AE15" s="111" t="str">
        <f>IF($AL$15="","",IF(INDEX('Final Calculation Sheet'!$AD$4:$AD$40,$AL$15)="","",INDEX('Final Calculation Sheet'!$AD$4:$AD$40,$AL$15)))</f>
        <v/>
      </c>
      <c r="AF15" s="116" t="str">
        <f>IF($AL$15="","",IF(INDEX('Final Calculation Sheet'!$AD$4:$AD$40,$AL$15)&lt;=5,"SETTLED","OUTSTANDING"))</f>
        <v/>
      </c>
      <c r="AG15" s="111" t="str">
        <f>IF($AL$15="","",IF(INDEX('Final Calculation Sheet'!$AF$4:$AF$40,$AL$15)="","",INDEX('Final Calculation Sheet'!$AF$4:$AF$40,$AL$15)))</f>
        <v/>
      </c>
      <c r="AH15" s="115" t="str">
        <f>IF($AL$15="","",IF(INDEX('Final Calculation Sheet'!$AG$4:$AG$40,$AL$15)="","",INDEX('Final Calculation Sheet'!$AG$4:$AG$40,$AL$15)))</f>
        <v/>
      </c>
      <c r="AI15" s="111" t="str">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v>1</v>
      </c>
      <c r="AK15">
        <f>IF(AJ15=1,COUNTIF(AJ$6:AJ15,1),"")</f>
        <v>10</v>
      </c>
      <c r="AL15" t="str">
        <f>IF(COUNTIF($B$4:$AI$4,"&lt;&gt;")=0,"",IFERROR(MATCH(9,$AK$6:$AK$42,0),""))</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 ca="1">CK14+IF(AND(Lists!$EJ$15&lt;&gt;"",ISNUMBER(SEARCH($AA$4,Lists!$EJ$15))),1,0)</f>
        <v>12</v>
      </c>
      <c r="CL15">
        <f ca="1">IF(ROW()-3&gt;MAX($CK$4:$CK$42),"",INDEX(Lists!$EJ$4:$EJ$42,MATCH(ROW()-3,$CK$4:$CK$42,0)))</f>
        <v>2301.2478000000001</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f>CS14+IF(AND(Lists!$FD$15&lt;&gt;"",ISNUMBER(SEARCH($AE$4,Lists!$FD$15))),1,0)</f>
        <v>11</v>
      </c>
      <c r="CT15" t="str">
        <f>IF(ROW()-3&gt;MAX($CS$4:$CS$42),"",INDEX(Lists!$FD$4:$FD$42,MATCH(ROW()-3,$CS$4:$CS$42,0)))</f>
        <v>(blank)</v>
      </c>
      <c r="CU15" t="e">
        <f>CU14+IF(AND(Lists!$FI$15&lt;&gt;"",ISNUMBER(SEARCH($AG$4,Lists!$FI$15))),1,0)</f>
        <v>#N/A</v>
      </c>
      <c r="CV15" t="e">
        <f>IF(ROW()-3&gt;MAX($CU$4:$CU$42),"",INDEX(Lists!$FI$4:$FI$42,MATCH(ROW()-3,$CU$4:$CU$42,0)))</f>
        <v>#N/A</v>
      </c>
      <c r="CW15" t="e">
        <f>CW14+IF(AND(Lists!$FN$15&lt;&gt;"",ISNUMBER(SEARCH($AH$4,Lists!$FN$15))),1,0)</f>
        <v>#N/A</v>
      </c>
      <c r="CX15" t="e">
        <f>IF(ROW()-3&gt;MAX($CW$4:$CW$42),"",INDEX(Lists!$FN$4:$FN$42,MATCH(ROW()-3,$CW$4:$CW$42,0)))</f>
        <v>#N/A</v>
      </c>
      <c r="CY15" t="e">
        <f>CY14+IF(AND(Lists!$FS$15&lt;&gt;"",ISNUMBER(SEARCH($AI$4,Lists!$FS$15))),1,0)</f>
        <v>#N/A</v>
      </c>
      <c r="CZ15" t="e">
        <f>IF(ROW()-3&gt;MAX($CY$4:$CY$42),"",INDEX(Lists!$FS$4:$FS$42,MATCH(ROW()-3,$CY$4:$CY$42,0)))</f>
        <v>#N/A</v>
      </c>
      <c r="DA15">
        <f>DA14+IF(AND(Lists!$FX$15&lt;&gt;"",ISNUMBER(SEARCH($AF$4,Lists!$FX$15))),1,0)</f>
        <v>2</v>
      </c>
      <c r="DB15" t="str">
        <f>IF(ROW()-3&gt;MAX($DA$4:$DA$42),"",INDEX(Lists!$FX$4:$FX$42,MATCH(ROW()-3,$DA$4:$DA$42,0)))</f>
        <v/>
      </c>
      <c r="DG15">
        <f>IF($B$4="",1,IF($B$4="(blank)",--('Final Calculation Sheet'!$F$13=""),IF($B$4="(nonblank)",--('Final Calculation Sheet'!$F$13&lt;&gt;""),--ISNUMBER(SEARCH($B$4,'Final Calculation Sheet'!$F$13)))))</f>
        <v>1</v>
      </c>
      <c r="DH15">
        <f>IF($C$4="",1,IF($C$4="(blank)",--('Final Calculation Sheet'!$G$13=""),IF($C$4="(nonblank)",--('Final Calculation Sheet'!$G$13&lt;&gt;""),--ISNUMBER(SEARCH($C$4,'Final Calculation Sheet'!$G$13)))))</f>
        <v>1</v>
      </c>
      <c r="DI15">
        <f>IF($D$4="",1,IF($D$4="(blank)",--('Final Calculation Sheet'!$B$13=""),IF($D$4="(nonblank)",--('Final Calculation Sheet'!$B$13&lt;&gt;""),--ISNUMBER(SEARCH($D$4,'Final Calculation Sheet'!$B$13)))))</f>
        <v>1</v>
      </c>
      <c r="DJ15">
        <f>IF($E$4="",1,IF($E$4="(blank)",--('Final Calculation Sheet'!$D$13=""),IF($E$4="(nonblank)",--('Final Calculation Sheet'!$D$13&lt;&gt;""),--ISNUMBER(SEARCH($E$4,'Final Calculation Sheet'!$D$13)))))</f>
        <v>1</v>
      </c>
      <c r="DK15">
        <f>IF($F$4="",1,IF($F$4="(blank)",--('Final Calculation Sheet'!$A$13=""),IF($F$4="(nonblank)",--('Final Calculation Sheet'!$A$13&lt;&gt;""),--ISNUMBER(SEARCH($F$4,'Final Calculation Sheet'!$A$13)))))</f>
        <v>1</v>
      </c>
      <c r="DL15">
        <f>IF($G$4="",1,IF($G$4="(blank)",--('Final Calculation Sheet'!$E$13=""),IF($G$4="(nonblank)",--('Final Calculation Sheet'!$E$13&lt;&gt;""),--ISNUMBER(SEARCH($G$4,'Final Calculation Sheet'!$E$13)))))</f>
        <v>1</v>
      </c>
      <c r="DM15">
        <f>IF($H$4="",1,IF($H$4="(blank)",--('Final Calculation Sheet'!$C$13=""),IF($H$4="(nonblank)",--('Final Calculation Sheet'!$C$13&lt;&gt;""),--ISNUMBER(SEARCH($H$4,'Final Calculation Sheet'!$C$13)))))</f>
        <v>1</v>
      </c>
      <c r="DN15">
        <f>IF($I$4="",1,IF($I$4="(blank)",--('Final Calculation Sheet'!$H$13=""),IF($I$4="(nonblank)",--('Final Calculation Sheet'!$H$13&lt;&gt;""),--ISNUMBER(SEARCH($I$4,'Final Calculation Sheet'!$H$13)))))</f>
        <v>1</v>
      </c>
      <c r="DO15">
        <f>IF($J$4="",1,IF($J$4="(blank)",--('Final Calculation Sheet'!$I$13=""),IF($J$4="(nonblank)",--('Final Calculation Sheet'!$I$13&lt;&gt;""),--ISNUMBER(SEARCH($J$4,'Final Calculation Sheet'!$I$13)))))</f>
        <v>1</v>
      </c>
      <c r="DP15">
        <f>IF($K$4="",1,IF($K$4="(blank)",--('Final Calculation Sheet'!$J$13=""),IF($K$4="(nonblank)",--('Final Calculation Sheet'!$J$13&lt;&gt;""),--ISNUMBER(SEARCH($K$4,'Final Calculation Sheet'!$J$13)))))</f>
        <v>1</v>
      </c>
      <c r="DQ15">
        <f>IF($L$4="",1,IF($L$4="(blank)",--('Final Calculation Sheet'!$K$13=""),IF($L$4="(nonblank)",--('Final Calculation Sheet'!$K$13&lt;&gt;""),--ISNUMBER(SEARCH($L$4,'Final Calculation Sheet'!$K$13)))))</f>
        <v>1</v>
      </c>
      <c r="DR15">
        <f>IF($M$4="",1,IF($M$4="(blank)",--('Final Calculation Sheet'!$L$13=""),IF($M$4="(nonblank)",--('Final Calculation Sheet'!$L$13&lt;&gt;""),--ISNUMBER(SEARCH($M$4,'Final Calculation Sheet'!$L$13)))))</f>
        <v>1</v>
      </c>
      <c r="DS15">
        <f>IF($N$4="",1,IF($N$4="(blank)",--('Final Calculation Sheet'!$M$13=""),IF($N$4="(nonblank)",--('Final Calculation Sheet'!$M$13&lt;&gt;""),--ISNUMBER(SEARCH($N$4,'Final Calculation Sheet'!$M$13)))))</f>
        <v>1</v>
      </c>
      <c r="DT15">
        <f>IF($O$4="",1,IF($O$4="(blank)",--('Final Calculation Sheet'!$N$13=""),IF($O$4="(nonblank)",--('Final Calculation Sheet'!$N$13&lt;&gt;""),--ISNUMBER(SEARCH($O$4,'Final Calculation Sheet'!$N$13)))))</f>
        <v>1</v>
      </c>
      <c r="DU15">
        <f>IF($P$4="",1,IF($P$4="(blank)",--('Final Calculation Sheet'!$O$13=""),IF($P$4="(nonblank)",--('Final Calculation Sheet'!$O$13&lt;&gt;""),--ISNUMBER(SEARCH($P$4,'Final Calculation Sheet'!$O$13)))))</f>
        <v>1</v>
      </c>
      <c r="DV15">
        <f>IF($Q$4="",1,IF($Q$4="(blank)",--('Final Calculation Sheet'!$P$13=""),IF($Q$4="(nonblank)",--('Final Calculation Sheet'!$P$13&lt;&gt;""),--ISNUMBER(SEARCH($Q$4,'Final Calculation Sheet'!$P$13)))))</f>
        <v>1</v>
      </c>
      <c r="DW15">
        <f>IF($R$4="",1,IF($R$4="(blank)",--('Final Calculation Sheet'!$Q$13=""),IF($R$4="(nonblank)",--('Final Calculation Sheet'!$Q$13&lt;&gt;""),--ISNUMBER(SEARCH($R$4,'Final Calculation Sheet'!$Q$13)))))</f>
        <v>1</v>
      </c>
      <c r="DX15">
        <f>IF($S$4="",1,IF($S$4="(blank)",--('Final Calculation Sheet'!$R$13=""),IF($S$4="(nonblank)",--('Final Calculation Sheet'!$R$13&lt;&gt;""),--ISNUMBER(SEARCH($S$4,'Final Calculation Sheet'!$R$13)))))</f>
        <v>1</v>
      </c>
      <c r="DY15">
        <f>IF($T$4="",1,IF($T$4="(blank)",--('Final Calculation Sheet'!$S$13=""),IF($T$4="(nonblank)",--('Final Calculation Sheet'!$S$13&lt;&gt;""),--ISNUMBER(SEARCH($T$4,'Final Calculation Sheet'!$S$13)))))</f>
        <v>1</v>
      </c>
      <c r="DZ15">
        <f>IF($U$4="",1,IF($U$4="(blank)",--('Final Calculation Sheet'!$T$13=""),IF($U$4="(nonblank)",--('Final Calculation Sheet'!$T$13&lt;&gt;""),--ISNUMBER(SEARCH($U$4,'Final Calculation Sheet'!$T$13)))))</f>
        <v>1</v>
      </c>
      <c r="EA15">
        <f>IF($V$4="",1,IF($V$4="(blank)",--('Final Calculation Sheet'!$U$13=""),IF($V$4="(nonblank)",--('Final Calculation Sheet'!$U$13&lt;&gt;""),--ISNUMBER(SEARCH($V$4,'Final Calculation Sheet'!$U$13)))))</f>
        <v>1</v>
      </c>
      <c r="EB15">
        <f>IF($W$4="",1,IF($W$4="(blank)",--('Final Calculation Sheet'!$V$13=""),IF($W$4="(nonblank)",--('Final Calculation Sheet'!$V$13&lt;&gt;""),--ISNUMBER(SEARCH($W$4,'Final Calculation Sheet'!$V$13)))))</f>
        <v>1</v>
      </c>
      <c r="EC15">
        <f>IF($X$4="",1,IF($X$4="(blank)",--('Final Calculation Sheet'!$W$13=""),IF($X$4="(nonblank)",--('Final Calculation Sheet'!$W$13&lt;&gt;""),--ISNUMBER(SEARCH($X$4,'Final Calculation Sheet'!$W$13)))))</f>
        <v>1</v>
      </c>
      <c r="ED15">
        <f>IF($Y$4="",1,IF($Y$4="(blank)",--('Final Calculation Sheet'!$X$13=""),IF($Y$4="(nonblank)",--('Final Calculation Sheet'!$X$13&lt;&gt;""),--ISNUMBER(SEARCH($Y$4,'Final Calculation Sheet'!$X$13)))))</f>
        <v>1</v>
      </c>
      <c r="EE15">
        <f>IF($Z$4="",1,IF($Z$4="(blank)",--('Final Calculation Sheet'!$Y$13=""),IF($Z$4="(nonblank)",--('Final Calculation Sheet'!$Y$13&lt;&gt;""),--ISNUMBER(SEARCH($Z$4,'Final Calculation Sheet'!$Y$13)))))</f>
        <v>1</v>
      </c>
      <c r="EF15">
        <f>IF($AA$4="",1,IF($AA$4="(blank)",--('Final Calculation Sheet'!$Z$13=""),IF($AA$4="(nonblank)",--('Final Calculation Sheet'!$Z$13&lt;&gt;""),--ISNUMBER(SEARCH($AA$4,'Final Calculation Sheet'!$Z$13)))))</f>
        <v>1</v>
      </c>
      <c r="EG15">
        <f>IF($AB$4="",1,IF($AB$4="(blank)",--('Final Calculation Sheet'!$AA$13=""),IF($AB$4="(nonblank)",--('Final Calculation Sheet'!$AA$13&lt;&gt;""),--ISNUMBER(SEARCH($AB$4,'Final Calculation Sheet'!$AA$13)))))</f>
        <v>1</v>
      </c>
      <c r="EH15">
        <f>IF($AC$4="",1,IF($AC$4="(blank)",--('Final Calculation Sheet'!$AB$13=""),IF($AC$4="(nonblank)",--('Final Calculation Sheet'!$AB$13&lt;&gt;""),--ISNUMBER(SEARCH($AC$4,'Final Calculation Sheet'!$AB$13)))))</f>
        <v>1</v>
      </c>
      <c r="EI15">
        <f>IF($AD$4="",1,IF($AD$4="(blank)",--('Final Calculation Sheet'!$AC$13=""),IF($AD$4="(nonblank)",--('Final Calculation Sheet'!$AC$13&lt;&gt;""),--ISNUMBER(SEARCH($AD$4,'Final Calculation Sheet'!$AC$13)))))</f>
        <v>1</v>
      </c>
      <c r="EJ15">
        <f>IF($AE$4="",1,IF($AE$4="(blank)",--('Final Calculation Sheet'!$AD$13=""),IF($AE$4="(nonblank)",--('Final Calculation Sheet'!$AD$13&lt;&gt;""),--ISNUMBER(SEARCH($AE$4,'Final Calculation Sheet'!$AD$13)))))</f>
        <v>1</v>
      </c>
      <c r="EK15">
        <f>IF($AF$4="",1,IF($AF$4="(blank)",--(IF('Final Calculation Sheet'!$AD$13&lt;=5,"SETTLED","OUTSTANDING")=""),IF($AF$4="(nonblank)",--(IF('Final Calculation Sheet'!$AD$13&lt;=5,"SETTLED","OUTSTANDING")&lt;&gt;""),--ISNUMBER(SEARCH($AF$4,IF('Final Calculation Sheet'!$AD$13&lt;=5,"SETTLED","OUTSTANDING"))))))</f>
        <v>1</v>
      </c>
      <c r="EL15">
        <f>IF($AG$4="",1,IF($AG$4="(blank)",--('Final Calculation Sheet'!$AF$13=""),IF($AG$4="(nonblank)",--('Final Calculation Sheet'!$AF$13&lt;&gt;""),--ISNUMBER(SEARCH($AG$4,'Final Calculation Sheet'!$AF$13)))))</f>
        <v>1</v>
      </c>
      <c r="EM15">
        <f>IF($AH$4="",1,IF($AH$4="(blank)",--('Final Calculation Sheet'!$AG$13=""),IF($AH$4="(nonblank)",--('Final Calculation Sheet'!$AG$13&lt;&gt;""),--ISNUMBER(SEARCH($AH$4,'Final Calculation Sheet'!$AG$13)))))</f>
        <v>1</v>
      </c>
      <c r="EN15">
        <f>IF($AI$4="",1,IF($AI$4="(blank)",--('Final Calculation Sheet'!$AH$13=""),IF($AI$4="(nonblank)",--('Final Calculation Sheet'!$AH$13&lt;&gt;""),--ISNUMBER(SEARCH($AI$4,'Final Calculation Sheet'!$AH$13)))))</f>
        <v>1</v>
      </c>
    </row>
    <row r="16" spans="1:144" hidden="1" outlineLevel="1" x14ac:dyDescent="0.3">
      <c r="A16" s="117" t="str">
        <f>IF($AL$16="","",10)</f>
        <v/>
      </c>
      <c r="B16" s="118" t="str">
        <f>IF($AL$16="","",IF(INDEX('Final Calculation Sheet'!$F$4:$F$40,$AL$16)="","",INDEX('Final Calculation Sheet'!$F$4:$F$40,$AL$16)))</f>
        <v/>
      </c>
      <c r="C16" s="118" t="str">
        <f>IF($AL$16="","",IF(INDEX('Final Calculation Sheet'!$G$4:$G$40,$AL$16)="","",INDEX('Final Calculation Sheet'!$G$4:$G$40,$AL$16)))</f>
        <v/>
      </c>
      <c r="D16" s="119" t="str">
        <f>IF($AL$16="","",IF(INDEX('Final Calculation Sheet'!$B$4:$B$40,$AL$16)="","",INDEX('Final Calculation Sheet'!$B$4:$B$40,$AL$16)))</f>
        <v/>
      </c>
      <c r="E16" s="119" t="str">
        <f>IF($AL$16="","",IF(INDEX('Final Calculation Sheet'!$D$4:$D$40,$AL$16)="","",INDEX('Final Calculation Sheet'!$D$4:$D$40,$AL$16)))</f>
        <v/>
      </c>
      <c r="F16" s="119" t="str">
        <f>IF($AL$16="","",IF(INDEX('Final Calculation Sheet'!$A$4:$A$40,$AL$16)="","",INDEX('Final Calculation Sheet'!$A$4:$A$40,$AL$16)))</f>
        <v/>
      </c>
      <c r="G16" s="119" t="str">
        <f>IF($AL$16="","",IF(INDEX('Final Calculation Sheet'!$E$4:$E$40,$AL$16)="","",INDEX('Final Calculation Sheet'!$E$4:$E$40,$AL$16)))</f>
        <v/>
      </c>
      <c r="H16" s="120" t="str">
        <f>IF($AL$16="","",IF(INDEX('Final Calculation Sheet'!$C$4:$C$40,$AL$16)="","",INDEX('Final Calculation Sheet'!$C$4:$C$40,$AL$16)))</f>
        <v/>
      </c>
      <c r="I16" s="120" t="str">
        <f>IF($AL$16="","",IF(INDEX('Final Calculation Sheet'!$H$4:$H$40,$AL$16)="","",INDEX('Final Calculation Sheet'!$H$4:$H$40,$AL$16)))</f>
        <v/>
      </c>
      <c r="J16" s="120" t="str">
        <f>IF($AL$16="","",IF(INDEX('Final Calculation Sheet'!$I$4:$I$40,$AL$16)="","",INDEX('Final Calculation Sheet'!$I$4:$I$40,$AL$16)))</f>
        <v/>
      </c>
      <c r="K16" s="120" t="str">
        <f>IF($AL$16="","",IF(INDEX('Final Calculation Sheet'!$J$4:$J$40,$AL$16)="","",INDEX('Final Calculation Sheet'!$J$4:$J$40,$AL$16)))</f>
        <v/>
      </c>
      <c r="L16" s="120" t="str">
        <f>IF($AL$16="","",IF(INDEX('Final Calculation Sheet'!$K$4:$K$40,$AL$16)="","",INDEX('Final Calculation Sheet'!$K$4:$K$40,$AL$16)))</f>
        <v/>
      </c>
      <c r="M16" s="120" t="str">
        <f>IF($AL$16="","",IF(INDEX('Final Calculation Sheet'!$L$4:$L$40,$AL$16)="","",INDEX('Final Calculation Sheet'!$L$4:$L$40,$AL$16)))</f>
        <v/>
      </c>
      <c r="N16" s="120" t="str">
        <f>IF($AL$16="","",IF(INDEX('Final Calculation Sheet'!$M$4:$M$40,$AL$16)="","",INDEX('Final Calculation Sheet'!$M$4:$M$40,$AL$16)))</f>
        <v/>
      </c>
      <c r="O16" s="121" t="str">
        <f>IF($AL$16="","",IF(INDEX('Final Calculation Sheet'!$N$4:$N$40,$AL$16)="","",INDEX('Final Calculation Sheet'!$N$4:$N$40,$AL$16)))</f>
        <v/>
      </c>
      <c r="P16" s="120" t="str">
        <f>IF($AL$16="","",IF(INDEX('Final Calculation Sheet'!$O$4:$O$40,$AL$16)="","",INDEX('Final Calculation Sheet'!$O$4:$O$40,$AL$16)))</f>
        <v/>
      </c>
      <c r="Q16" s="120" t="str">
        <f>IF($AL$16="","",IF(INDEX('Final Calculation Sheet'!$P$4:$P$40,$AL$16)="","",INDEX('Final Calculation Sheet'!$P$4:$P$40,$AL$16)))</f>
        <v/>
      </c>
      <c r="R16" s="122" t="str">
        <f>IF($AL$16="","",IF(INDEX('Final Calculation Sheet'!$Q$4:$Q$40,$AL$16)="","",INDEX('Final Calculation Sheet'!$Q$4:$Q$40,$AL$16)))</f>
        <v/>
      </c>
      <c r="S16" s="120" t="str">
        <f>IF($AL$16="","",IF(INDEX('Final Calculation Sheet'!$R$4:$R$40,$AL$16)="","",INDEX('Final Calculation Sheet'!$R$4:$R$40,$AL$16)))</f>
        <v/>
      </c>
      <c r="T16" s="120" t="str">
        <f>IF($AL$16="","",IF(INDEX('Final Calculation Sheet'!$S$4:$S$40,$AL$16)="","",INDEX('Final Calculation Sheet'!$S$4:$S$40,$AL$16)))</f>
        <v/>
      </c>
      <c r="U16" s="120" t="str">
        <f>IF($AL$16="","",IF(INDEX('Final Calculation Sheet'!$T$4:$T$40,$AL$16)="","",INDEX('Final Calculation Sheet'!$T$4:$T$40,$AL$16)))</f>
        <v/>
      </c>
      <c r="V16" s="123" t="str">
        <f>IF($AL$16="","",IF(INDEX('Final Calculation Sheet'!$U$4:$U$40,$AL$16)="","",INDEX('Final Calculation Sheet'!$U$4:$U$40,$AL$16)))</f>
        <v/>
      </c>
      <c r="W16" s="120" t="str">
        <f>IF($AL$16="","",IF(INDEX('Final Calculation Sheet'!$V$4:$V$40,$AL$16)="","",INDEX('Final Calculation Sheet'!$V$4:$V$40,$AL$16)))</f>
        <v/>
      </c>
      <c r="X16" s="120" t="str">
        <f>IF($AL$16="","",IF(INDEX('Final Calculation Sheet'!$W$4:$W$40,$AL$16)="","",INDEX('Final Calculation Sheet'!$W$4:$W$40,$AL$16)))</f>
        <v/>
      </c>
      <c r="Y16" s="120" t="str">
        <f>IF($AL$16="","",IF(INDEX('Final Calculation Sheet'!$X$4:$X$40,$AL$16)="","",INDEX('Final Calculation Sheet'!$X$4:$X$40,$AL$16)))</f>
        <v/>
      </c>
      <c r="Z16" s="120" t="str">
        <f>IF($AL$16="","",IF(INDEX('Final Calculation Sheet'!$Y$4:$Y$40,$AL$16)="","",INDEX('Final Calculation Sheet'!$Y$4:$Y$40,$AL$16)))</f>
        <v/>
      </c>
      <c r="AA16" s="120" t="str">
        <f>IF($AL$16="","",IF(INDEX('Final Calculation Sheet'!$Z$4:$Z$40,$AL$16)="","",INDEX('Final Calculation Sheet'!$Z$4:$Z$40,$AL$16)))</f>
        <v/>
      </c>
      <c r="AB16" s="120" t="str">
        <f>IF($AL$16="","",IF(INDEX('Final Calculation Sheet'!$AA$4:$AA$40,$AL$16)="","",INDEX('Final Calculation Sheet'!$AA$4:$AA$40,$AL$16)))</f>
        <v/>
      </c>
      <c r="AC16" s="120" t="str">
        <f>IF($AL$16="","",IF(INDEX('Final Calculation Sheet'!$AB$4:$AB$40,$AL$16)="","",INDEX('Final Calculation Sheet'!$AB$4:$AB$40,$AL$16)))</f>
        <v/>
      </c>
      <c r="AD16" s="120" t="str">
        <f>IF($AL$16="","",IF(INDEX('Final Calculation Sheet'!$AC$4:$AC$40,$AL$16)="","",INDEX('Final Calculation Sheet'!$AC$4:$AC$40,$AL$16)))</f>
        <v/>
      </c>
      <c r="AE16" s="120" t="str">
        <f>IF($AL$16="","",IF(INDEX('Final Calculation Sheet'!$AD$4:$AD$40,$AL$16)="","",INDEX('Final Calculation Sheet'!$AD$4:$AD$40,$AL$16)))</f>
        <v/>
      </c>
      <c r="AF16" s="125" t="str">
        <f>IF($AL$16="","",IF(INDEX('Final Calculation Sheet'!$AD$4:$AD$40,$AL$16)&lt;=5,"SETTLED","OUTSTANDING"))</f>
        <v/>
      </c>
      <c r="AG16" s="120" t="str">
        <f>IF($AL$16="","",IF(INDEX('Final Calculation Sheet'!$AF$4:$AF$40,$AL$16)="","",INDEX('Final Calculation Sheet'!$AF$4:$AF$40,$AL$16)))</f>
        <v/>
      </c>
      <c r="AH16" s="124" t="str">
        <f>IF($AL$16="","",IF(INDEX('Final Calculation Sheet'!$AG$4:$AG$40,$AL$16)="","",INDEX('Final Calculation Sheet'!$AG$4:$AG$40,$AL$16)))</f>
        <v/>
      </c>
      <c r="AI16" s="120" t="str">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v>1</v>
      </c>
      <c r="AK16">
        <f>IF(AJ16=1,COUNTIF(AJ$6:AJ16,1),"")</f>
        <v>11</v>
      </c>
      <c r="AL16" t="str">
        <f>IF(COUNTIF($B$4:$AI$4,"&lt;&gt;")=0,"",IFERROR(MATCH(10,$AK$6:$AK$42,0),""))</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 ca="1">CK15+IF(AND(Lists!$EJ$16&lt;&gt;"",ISNUMBER(SEARCH($AA$4,Lists!$EJ$16))),1,0)</f>
        <v>13</v>
      </c>
      <c r="CL16">
        <f ca="1">IF(ROW()-3&gt;MAX($CK$4:$CK$42),"",INDEX(Lists!$EJ$4:$EJ$42,MATCH(ROW()-3,$CK$4:$CK$42,0)))</f>
        <v>2478.2123999999999</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f>CS15+IF(AND(Lists!$FD$16&lt;&gt;"",ISNUMBER(SEARCH($AE$4,Lists!$FD$16))),1,0)</f>
        <v>11</v>
      </c>
      <c r="CT16" t="str">
        <f>IF(ROW()-3&gt;MAX($CS$4:$CS$42),"",INDEX(Lists!$FD$4:$FD$42,MATCH(ROW()-3,$CS$4:$CS$42,0)))</f>
        <v>(nonblank)</v>
      </c>
      <c r="CU16" t="e">
        <f>CU15+IF(AND(Lists!$FI$16&lt;&gt;"",ISNUMBER(SEARCH($AG$4,Lists!$FI$16))),1,0)</f>
        <v>#N/A</v>
      </c>
      <c r="CV16" t="e">
        <f>IF(ROW()-3&gt;MAX($CU$4:$CU$42),"",INDEX(Lists!$FI$4:$FI$42,MATCH(ROW()-3,$CU$4:$CU$42,0)))</f>
        <v>#N/A</v>
      </c>
      <c r="CW16" t="e">
        <f>CW15+IF(AND(Lists!$FN$16&lt;&gt;"",ISNUMBER(SEARCH($AH$4,Lists!$FN$16))),1,0)</f>
        <v>#N/A</v>
      </c>
      <c r="CX16" t="e">
        <f>IF(ROW()-3&gt;MAX($CW$4:$CW$42),"",INDEX(Lists!$FN$4:$FN$42,MATCH(ROW()-3,$CW$4:$CW$42,0)))</f>
        <v>#N/A</v>
      </c>
      <c r="CY16" t="e">
        <f>CY15+IF(AND(Lists!$FS$16&lt;&gt;"",ISNUMBER(SEARCH($AI$4,Lists!$FS$16))),1,0)</f>
        <v>#N/A</v>
      </c>
      <c r="CZ16" t="e">
        <f>IF(ROW()-3&gt;MAX($CY$4:$CY$42),"",INDEX(Lists!$FS$4:$FS$42,MATCH(ROW()-3,$CY$4:$CY$42,0)))</f>
        <v>#N/A</v>
      </c>
      <c r="DA16">
        <f>DA15+IF(AND(Lists!$FX$16&lt;&gt;"",ISNUMBER(SEARCH($AF$4,Lists!$FX$16))),1,0)</f>
        <v>2</v>
      </c>
      <c r="DB16" t="str">
        <f>IF(ROW()-3&gt;MAX($DA$4:$DA$42),"",INDEX(Lists!$FX$4:$FX$42,MATCH(ROW()-3,$DA$4:$DA$42,0)))</f>
        <v/>
      </c>
      <c r="DG16">
        <f>IF($B$4="",1,IF($B$4="(blank)",--('Final Calculation Sheet'!$F$14=""),IF($B$4="(nonblank)",--('Final Calculation Sheet'!$F$14&lt;&gt;""),--ISNUMBER(SEARCH($B$4,'Final Calculation Sheet'!$F$14)))))</f>
        <v>1</v>
      </c>
      <c r="DH16">
        <f>IF($C$4="",1,IF($C$4="(blank)",--('Final Calculation Sheet'!$G$14=""),IF($C$4="(nonblank)",--('Final Calculation Sheet'!$G$14&lt;&gt;""),--ISNUMBER(SEARCH($C$4,'Final Calculation Sheet'!$G$14)))))</f>
        <v>1</v>
      </c>
      <c r="DI16">
        <f>IF($D$4="",1,IF($D$4="(blank)",--('Final Calculation Sheet'!$B$14=""),IF($D$4="(nonblank)",--('Final Calculation Sheet'!$B$14&lt;&gt;""),--ISNUMBER(SEARCH($D$4,'Final Calculation Sheet'!$B$14)))))</f>
        <v>1</v>
      </c>
      <c r="DJ16">
        <f>IF($E$4="",1,IF($E$4="(blank)",--('Final Calculation Sheet'!$D$14=""),IF($E$4="(nonblank)",--('Final Calculation Sheet'!$D$14&lt;&gt;""),--ISNUMBER(SEARCH($E$4,'Final Calculation Sheet'!$D$14)))))</f>
        <v>1</v>
      </c>
      <c r="DK16">
        <f>IF($F$4="",1,IF($F$4="(blank)",--('Final Calculation Sheet'!$A$14=""),IF($F$4="(nonblank)",--('Final Calculation Sheet'!$A$14&lt;&gt;""),--ISNUMBER(SEARCH($F$4,'Final Calculation Sheet'!$A$14)))))</f>
        <v>1</v>
      </c>
      <c r="DL16">
        <f>IF($G$4="",1,IF($G$4="(blank)",--('Final Calculation Sheet'!$E$14=""),IF($G$4="(nonblank)",--('Final Calculation Sheet'!$E$14&lt;&gt;""),--ISNUMBER(SEARCH($G$4,'Final Calculation Sheet'!$E$14)))))</f>
        <v>1</v>
      </c>
      <c r="DM16">
        <f>IF($H$4="",1,IF($H$4="(blank)",--('Final Calculation Sheet'!$C$14=""),IF($H$4="(nonblank)",--('Final Calculation Sheet'!$C$14&lt;&gt;""),--ISNUMBER(SEARCH($H$4,'Final Calculation Sheet'!$C$14)))))</f>
        <v>1</v>
      </c>
      <c r="DN16">
        <f>IF($I$4="",1,IF($I$4="(blank)",--('Final Calculation Sheet'!$H$14=""),IF($I$4="(nonblank)",--('Final Calculation Sheet'!$H$14&lt;&gt;""),--ISNUMBER(SEARCH($I$4,'Final Calculation Sheet'!$H$14)))))</f>
        <v>1</v>
      </c>
      <c r="DO16">
        <f>IF($J$4="",1,IF($J$4="(blank)",--('Final Calculation Sheet'!$I$14=""),IF($J$4="(nonblank)",--('Final Calculation Sheet'!$I$14&lt;&gt;""),--ISNUMBER(SEARCH($J$4,'Final Calculation Sheet'!$I$14)))))</f>
        <v>1</v>
      </c>
      <c r="DP16">
        <f>IF($K$4="",1,IF($K$4="(blank)",--('Final Calculation Sheet'!$J$14=""),IF($K$4="(nonblank)",--('Final Calculation Sheet'!$J$14&lt;&gt;""),--ISNUMBER(SEARCH($K$4,'Final Calculation Sheet'!$J$14)))))</f>
        <v>1</v>
      </c>
      <c r="DQ16">
        <f>IF($L$4="",1,IF($L$4="(blank)",--('Final Calculation Sheet'!$K$14=""),IF($L$4="(nonblank)",--('Final Calculation Sheet'!$K$14&lt;&gt;""),--ISNUMBER(SEARCH($L$4,'Final Calculation Sheet'!$K$14)))))</f>
        <v>1</v>
      </c>
      <c r="DR16">
        <f>IF($M$4="",1,IF($M$4="(blank)",--('Final Calculation Sheet'!$L$14=""),IF($M$4="(nonblank)",--('Final Calculation Sheet'!$L$14&lt;&gt;""),--ISNUMBER(SEARCH($M$4,'Final Calculation Sheet'!$L$14)))))</f>
        <v>1</v>
      </c>
      <c r="DS16">
        <f>IF($N$4="",1,IF($N$4="(blank)",--('Final Calculation Sheet'!$M$14=""),IF($N$4="(nonblank)",--('Final Calculation Sheet'!$M$14&lt;&gt;""),--ISNUMBER(SEARCH($N$4,'Final Calculation Sheet'!$M$14)))))</f>
        <v>1</v>
      </c>
      <c r="DT16">
        <f>IF($O$4="",1,IF($O$4="(blank)",--('Final Calculation Sheet'!$N$14=""),IF($O$4="(nonblank)",--('Final Calculation Sheet'!$N$14&lt;&gt;""),--ISNUMBER(SEARCH($O$4,'Final Calculation Sheet'!$N$14)))))</f>
        <v>1</v>
      </c>
      <c r="DU16">
        <f>IF($P$4="",1,IF($P$4="(blank)",--('Final Calculation Sheet'!$O$14=""),IF($P$4="(nonblank)",--('Final Calculation Sheet'!$O$14&lt;&gt;""),--ISNUMBER(SEARCH($P$4,'Final Calculation Sheet'!$O$14)))))</f>
        <v>1</v>
      </c>
      <c r="DV16">
        <f>IF($Q$4="",1,IF($Q$4="(blank)",--('Final Calculation Sheet'!$P$14=""),IF($Q$4="(nonblank)",--('Final Calculation Sheet'!$P$14&lt;&gt;""),--ISNUMBER(SEARCH($Q$4,'Final Calculation Sheet'!$P$14)))))</f>
        <v>1</v>
      </c>
      <c r="DW16">
        <f>IF($R$4="",1,IF($R$4="(blank)",--('Final Calculation Sheet'!$Q$14=""),IF($R$4="(nonblank)",--('Final Calculation Sheet'!$Q$14&lt;&gt;""),--ISNUMBER(SEARCH($R$4,'Final Calculation Sheet'!$Q$14)))))</f>
        <v>1</v>
      </c>
      <c r="DX16">
        <f>IF($S$4="",1,IF($S$4="(blank)",--('Final Calculation Sheet'!$R$14=""),IF($S$4="(nonblank)",--('Final Calculation Sheet'!$R$14&lt;&gt;""),--ISNUMBER(SEARCH($S$4,'Final Calculation Sheet'!$R$14)))))</f>
        <v>1</v>
      </c>
      <c r="DY16">
        <f>IF($T$4="",1,IF($T$4="(blank)",--('Final Calculation Sheet'!$S$14=""),IF($T$4="(nonblank)",--('Final Calculation Sheet'!$S$14&lt;&gt;""),--ISNUMBER(SEARCH($T$4,'Final Calculation Sheet'!$S$14)))))</f>
        <v>1</v>
      </c>
      <c r="DZ16">
        <f>IF($U$4="",1,IF($U$4="(blank)",--('Final Calculation Sheet'!$T$14=""),IF($U$4="(nonblank)",--('Final Calculation Sheet'!$T$14&lt;&gt;""),--ISNUMBER(SEARCH($U$4,'Final Calculation Sheet'!$T$14)))))</f>
        <v>1</v>
      </c>
      <c r="EA16">
        <f>IF($V$4="",1,IF($V$4="(blank)",--('Final Calculation Sheet'!$U$14=""),IF($V$4="(nonblank)",--('Final Calculation Sheet'!$U$14&lt;&gt;""),--ISNUMBER(SEARCH($V$4,'Final Calculation Sheet'!$U$14)))))</f>
        <v>1</v>
      </c>
      <c r="EB16">
        <f>IF($W$4="",1,IF($W$4="(blank)",--('Final Calculation Sheet'!$V$14=""),IF($W$4="(nonblank)",--('Final Calculation Sheet'!$V$14&lt;&gt;""),--ISNUMBER(SEARCH($W$4,'Final Calculation Sheet'!$V$14)))))</f>
        <v>1</v>
      </c>
      <c r="EC16">
        <f>IF($X$4="",1,IF($X$4="(blank)",--('Final Calculation Sheet'!$W$14=""),IF($X$4="(nonblank)",--('Final Calculation Sheet'!$W$14&lt;&gt;""),--ISNUMBER(SEARCH($X$4,'Final Calculation Sheet'!$W$14)))))</f>
        <v>1</v>
      </c>
      <c r="ED16">
        <f>IF($Y$4="",1,IF($Y$4="(blank)",--('Final Calculation Sheet'!$X$14=""),IF($Y$4="(nonblank)",--('Final Calculation Sheet'!$X$14&lt;&gt;""),--ISNUMBER(SEARCH($Y$4,'Final Calculation Sheet'!$X$14)))))</f>
        <v>1</v>
      </c>
      <c r="EE16">
        <f>IF($Z$4="",1,IF($Z$4="(blank)",--('Final Calculation Sheet'!$Y$14=""),IF($Z$4="(nonblank)",--('Final Calculation Sheet'!$Y$14&lt;&gt;""),--ISNUMBER(SEARCH($Z$4,'Final Calculation Sheet'!$Y$14)))))</f>
        <v>1</v>
      </c>
      <c r="EF16">
        <f>IF($AA$4="",1,IF($AA$4="(blank)",--('Final Calculation Sheet'!$Z$14=""),IF($AA$4="(nonblank)",--('Final Calculation Sheet'!$Z$14&lt;&gt;""),--ISNUMBER(SEARCH($AA$4,'Final Calculation Sheet'!$Z$14)))))</f>
        <v>1</v>
      </c>
      <c r="EG16">
        <f>IF($AB$4="",1,IF($AB$4="(blank)",--('Final Calculation Sheet'!$AA$14=""),IF($AB$4="(nonblank)",--('Final Calculation Sheet'!$AA$14&lt;&gt;""),--ISNUMBER(SEARCH($AB$4,'Final Calculation Sheet'!$AA$14)))))</f>
        <v>1</v>
      </c>
      <c r="EH16">
        <f>IF($AC$4="",1,IF($AC$4="(blank)",--('Final Calculation Sheet'!$AB$14=""),IF($AC$4="(nonblank)",--('Final Calculation Sheet'!$AB$14&lt;&gt;""),--ISNUMBER(SEARCH($AC$4,'Final Calculation Sheet'!$AB$14)))))</f>
        <v>1</v>
      </c>
      <c r="EI16">
        <f>IF($AD$4="",1,IF($AD$4="(blank)",--('Final Calculation Sheet'!$AC$14=""),IF($AD$4="(nonblank)",--('Final Calculation Sheet'!$AC$14&lt;&gt;""),--ISNUMBER(SEARCH($AD$4,'Final Calculation Sheet'!$AC$14)))))</f>
        <v>1</v>
      </c>
      <c r="EJ16">
        <f>IF($AE$4="",1,IF($AE$4="(blank)",--('Final Calculation Sheet'!$AD$14=""),IF($AE$4="(nonblank)",--('Final Calculation Sheet'!$AD$14&lt;&gt;""),--ISNUMBER(SEARCH($AE$4,'Final Calculation Sheet'!$AD$14)))))</f>
        <v>1</v>
      </c>
      <c r="EK16">
        <f>IF($AF$4="",1,IF($AF$4="(blank)",--(IF('Final Calculation Sheet'!$AD$14&lt;=5,"SETTLED","OUTSTANDING")=""),IF($AF$4="(nonblank)",--(IF('Final Calculation Sheet'!$AD$14&lt;=5,"SETTLED","OUTSTANDING")&lt;&gt;""),--ISNUMBER(SEARCH($AF$4,IF('Final Calculation Sheet'!$AD$14&lt;=5,"SETTLED","OUTSTANDING"))))))</f>
        <v>1</v>
      </c>
      <c r="EL16">
        <f>IF($AG$4="",1,IF($AG$4="(blank)",--('Final Calculation Sheet'!$AF$14=""),IF($AG$4="(nonblank)",--('Final Calculation Sheet'!$AF$14&lt;&gt;""),--ISNUMBER(SEARCH($AG$4,'Final Calculation Sheet'!$AF$14)))))</f>
        <v>1</v>
      </c>
      <c r="EM16">
        <f>IF($AH$4="",1,IF($AH$4="(blank)",--('Final Calculation Sheet'!$AG$14=""),IF($AH$4="(nonblank)",--('Final Calculation Sheet'!$AG$14&lt;&gt;""),--ISNUMBER(SEARCH($AH$4,'Final Calculation Sheet'!$AG$14)))))</f>
        <v>1</v>
      </c>
      <c r="EN16">
        <f>IF($AI$4="",1,IF($AI$4="(blank)",--('Final Calculation Sheet'!$AH$14=""),IF($AI$4="(nonblank)",--('Final Calculation Sheet'!$AH$14&lt;&gt;""),--ISNUMBER(SEARCH($AI$4,'Final Calculation Sheet'!$AH$14)))))</f>
        <v>1</v>
      </c>
    </row>
    <row r="17" spans="1:144" hidden="1" outlineLevel="1" x14ac:dyDescent="0.3">
      <c r="A17" s="107" t="str">
        <f>IF($AL$17="","",11)</f>
        <v/>
      </c>
      <c r="B17" s="108" t="str">
        <f>IF($AL$17="","",IF(INDEX('Final Calculation Sheet'!$F$4:$F$40,$AL$17)="","",INDEX('Final Calculation Sheet'!$F$4:$F$40,$AL$17)))</f>
        <v/>
      </c>
      <c r="C17" s="108" t="str">
        <f>IF($AL$17="","",IF(INDEX('Final Calculation Sheet'!$G$4:$G$40,$AL$17)="","",INDEX('Final Calculation Sheet'!$G$4:$G$40,$AL$17)))</f>
        <v/>
      </c>
      <c r="D17" s="110" t="str">
        <f>IF($AL$17="","",IF(INDEX('Final Calculation Sheet'!$B$4:$B$40,$AL$17)="","",INDEX('Final Calculation Sheet'!$B$4:$B$40,$AL$17)))</f>
        <v/>
      </c>
      <c r="E17" s="110" t="str">
        <f>IF($AL$17="","",IF(INDEX('Final Calculation Sheet'!$D$4:$D$40,$AL$17)="","",INDEX('Final Calculation Sheet'!$D$4:$D$40,$AL$17)))</f>
        <v/>
      </c>
      <c r="F17" s="110" t="str">
        <f>IF($AL$17="","",IF(INDEX('Final Calculation Sheet'!$A$4:$A$40,$AL$17)="","",INDEX('Final Calculation Sheet'!$A$4:$A$40,$AL$17)))</f>
        <v/>
      </c>
      <c r="G17" s="110" t="str">
        <f>IF($AL$17="","",IF(INDEX('Final Calculation Sheet'!$E$4:$E$40,$AL$17)="","",INDEX('Final Calculation Sheet'!$E$4:$E$40,$AL$17)))</f>
        <v/>
      </c>
      <c r="H17" s="111" t="str">
        <f>IF($AL$17="","",IF(INDEX('Final Calculation Sheet'!$C$4:$C$40,$AL$17)="","",INDEX('Final Calculation Sheet'!$C$4:$C$40,$AL$17)))</f>
        <v/>
      </c>
      <c r="I17" s="111" t="str">
        <f>IF($AL$17="","",IF(INDEX('Final Calculation Sheet'!$H$4:$H$40,$AL$17)="","",INDEX('Final Calculation Sheet'!$H$4:$H$40,$AL$17)))</f>
        <v/>
      </c>
      <c r="J17" s="111" t="str">
        <f>IF($AL$17="","",IF(INDEX('Final Calculation Sheet'!$I$4:$I$40,$AL$17)="","",INDEX('Final Calculation Sheet'!$I$4:$I$40,$AL$17)))</f>
        <v/>
      </c>
      <c r="K17" s="111" t="str">
        <f>IF($AL$17="","",IF(INDEX('Final Calculation Sheet'!$J$4:$J$40,$AL$17)="","",INDEX('Final Calculation Sheet'!$J$4:$J$40,$AL$17)))</f>
        <v/>
      </c>
      <c r="L17" s="111" t="str">
        <f>IF($AL$17="","",IF(INDEX('Final Calculation Sheet'!$K$4:$K$40,$AL$17)="","",INDEX('Final Calculation Sheet'!$K$4:$K$40,$AL$17)))</f>
        <v/>
      </c>
      <c r="M17" s="111" t="str">
        <f>IF($AL$17="","",IF(INDEX('Final Calculation Sheet'!$L$4:$L$40,$AL$17)="","",INDEX('Final Calculation Sheet'!$L$4:$L$40,$AL$17)))</f>
        <v/>
      </c>
      <c r="N17" s="111" t="str">
        <f>IF($AL$17="","",IF(INDEX('Final Calculation Sheet'!$M$4:$M$40,$AL$17)="","",INDEX('Final Calculation Sheet'!$M$4:$M$40,$AL$17)))</f>
        <v/>
      </c>
      <c r="O17" s="112" t="str">
        <f>IF($AL$17="","",IF(INDEX('Final Calculation Sheet'!$N$4:$N$40,$AL$17)="","",INDEX('Final Calculation Sheet'!$N$4:$N$40,$AL$17)))</f>
        <v/>
      </c>
      <c r="P17" s="111" t="str">
        <f>IF($AL$17="","",IF(INDEX('Final Calculation Sheet'!$O$4:$O$40,$AL$17)="","",INDEX('Final Calculation Sheet'!$O$4:$O$40,$AL$17)))</f>
        <v/>
      </c>
      <c r="Q17" s="111" t="str">
        <f>IF($AL$17="","",IF(INDEX('Final Calculation Sheet'!$P$4:$P$40,$AL$17)="","",INDEX('Final Calculation Sheet'!$P$4:$P$40,$AL$17)))</f>
        <v/>
      </c>
      <c r="R17" s="113" t="str">
        <f>IF($AL$17="","",IF(INDEX('Final Calculation Sheet'!$Q$4:$Q$40,$AL$17)="","",INDEX('Final Calculation Sheet'!$Q$4:$Q$40,$AL$17)))</f>
        <v/>
      </c>
      <c r="S17" s="111" t="str">
        <f>IF($AL$17="","",IF(INDEX('Final Calculation Sheet'!$R$4:$R$40,$AL$17)="","",INDEX('Final Calculation Sheet'!$R$4:$R$40,$AL$17)))</f>
        <v/>
      </c>
      <c r="T17" s="111" t="str">
        <f>IF($AL$17="","",IF(INDEX('Final Calculation Sheet'!$S$4:$S$40,$AL$17)="","",INDEX('Final Calculation Sheet'!$S$4:$S$40,$AL$17)))</f>
        <v/>
      </c>
      <c r="U17" s="111" t="str">
        <f>IF($AL$17="","",IF(INDEX('Final Calculation Sheet'!$T$4:$T$40,$AL$17)="","",INDEX('Final Calculation Sheet'!$T$4:$T$40,$AL$17)))</f>
        <v/>
      </c>
      <c r="V17" s="114" t="str">
        <f>IF($AL$17="","",IF(INDEX('Final Calculation Sheet'!$U$4:$U$40,$AL$17)="","",INDEX('Final Calculation Sheet'!$U$4:$U$40,$AL$17)))</f>
        <v/>
      </c>
      <c r="W17" s="111" t="str">
        <f>IF($AL$17="","",IF(INDEX('Final Calculation Sheet'!$V$4:$V$40,$AL$17)="","",INDEX('Final Calculation Sheet'!$V$4:$V$40,$AL$17)))</f>
        <v/>
      </c>
      <c r="X17" s="111" t="str">
        <f>IF($AL$17="","",IF(INDEX('Final Calculation Sheet'!$W$4:$W$40,$AL$17)="","",INDEX('Final Calculation Sheet'!$W$4:$W$40,$AL$17)))</f>
        <v/>
      </c>
      <c r="Y17" s="111" t="str">
        <f>IF($AL$17="","",IF(INDEX('Final Calculation Sheet'!$X$4:$X$40,$AL$17)="","",INDEX('Final Calculation Sheet'!$X$4:$X$40,$AL$17)))</f>
        <v/>
      </c>
      <c r="Z17" s="111" t="str">
        <f>IF($AL$17="","",IF(INDEX('Final Calculation Sheet'!$Y$4:$Y$40,$AL$17)="","",INDEX('Final Calculation Sheet'!$Y$4:$Y$40,$AL$17)))</f>
        <v/>
      </c>
      <c r="AA17" s="111" t="str">
        <f>IF($AL$17="","",IF(INDEX('Final Calculation Sheet'!$Z$4:$Z$40,$AL$17)="","",INDEX('Final Calculation Sheet'!$Z$4:$Z$40,$AL$17)))</f>
        <v/>
      </c>
      <c r="AB17" s="111" t="str">
        <f>IF($AL$17="","",IF(INDEX('Final Calculation Sheet'!$AA$4:$AA$40,$AL$17)="","",INDEX('Final Calculation Sheet'!$AA$4:$AA$40,$AL$17)))</f>
        <v/>
      </c>
      <c r="AC17" s="111" t="str">
        <f>IF($AL$17="","",IF(INDEX('Final Calculation Sheet'!$AB$4:$AB$40,$AL$17)="","",INDEX('Final Calculation Sheet'!$AB$4:$AB$40,$AL$17)))</f>
        <v/>
      </c>
      <c r="AD17" s="111" t="str">
        <f>IF($AL$17="","",IF(INDEX('Final Calculation Sheet'!$AC$4:$AC$40,$AL$17)="","",INDEX('Final Calculation Sheet'!$AC$4:$AC$40,$AL$17)))</f>
        <v/>
      </c>
      <c r="AE17" s="111" t="str">
        <f>IF($AL$17="","",IF(INDEX('Final Calculation Sheet'!$AD$4:$AD$40,$AL$17)="","",INDEX('Final Calculation Sheet'!$AD$4:$AD$40,$AL$17)))</f>
        <v/>
      </c>
      <c r="AF17" s="116" t="str">
        <f>IF($AL$17="","",IF(INDEX('Final Calculation Sheet'!$AD$4:$AD$40,$AL$17)&lt;=5,"SETTLED","OUTSTANDING"))</f>
        <v/>
      </c>
      <c r="AG17" s="111" t="str">
        <f>IF($AL$17="","",IF(INDEX('Final Calculation Sheet'!$AF$4:$AF$40,$AL$17)="","",INDEX('Final Calculation Sheet'!$AF$4:$AF$40,$AL$17)))</f>
        <v/>
      </c>
      <c r="AH17" s="115" t="str">
        <f>IF($AL$17="","",IF(INDEX('Final Calculation Sheet'!$AG$4:$AG$40,$AL$17)="","",INDEX('Final Calculation Sheet'!$AG$4:$AG$40,$AL$17)))</f>
        <v/>
      </c>
      <c r="AI17" s="111" t="str">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v>1</v>
      </c>
      <c r="AK17">
        <f>IF(AJ17=1,COUNTIF(AJ$6:AJ17,1),"")</f>
        <v>12</v>
      </c>
      <c r="AL17" t="str">
        <f>IF(COUNTIF($B$4:$AI$4,"&lt;&gt;")=0,"",IFERROR(MATCH(11,$AK$6:$AK$42,0),""))</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 ca="1">CK16+IF(AND(Lists!$EJ$17&lt;&gt;"",ISNUMBER(SEARCH($AA$4,Lists!$EJ$17))),1,0)</f>
        <v>14</v>
      </c>
      <c r="CL17">
        <f ca="1">IF(ROW()-3&gt;MAX($CK$4:$CK$42),"",INDEX(Lists!$EJ$4:$EJ$42,MATCH(ROW()-3,$CK$4:$CK$42,0)))</f>
        <v>2513.3999999999996</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f>CS16+IF(AND(Lists!$FD$17&lt;&gt;"",ISNUMBER(SEARCH($AE$4,Lists!$FD$17))),1,0)</f>
        <v>11</v>
      </c>
      <c r="CT17" t="str">
        <f>IF(ROW()-3&gt;MAX($CS$4:$CS$42),"",INDEX(Lists!$FD$4:$FD$42,MATCH(ROW()-3,$CS$4:$CS$42,0)))</f>
        <v/>
      </c>
      <c r="CU17" t="e">
        <f>CU16+IF(AND(Lists!$FI$17&lt;&gt;"",ISNUMBER(SEARCH($AG$4,Lists!$FI$17))),1,0)</f>
        <v>#N/A</v>
      </c>
      <c r="CV17" t="e">
        <f>IF(ROW()-3&gt;MAX($CU$4:$CU$42),"",INDEX(Lists!$FI$4:$FI$42,MATCH(ROW()-3,$CU$4:$CU$42,0)))</f>
        <v>#N/A</v>
      </c>
      <c r="CW17" t="e">
        <f>CW16+IF(AND(Lists!$FN$17&lt;&gt;"",ISNUMBER(SEARCH($AH$4,Lists!$FN$17))),1,0)</f>
        <v>#N/A</v>
      </c>
      <c r="CX17" t="e">
        <f>IF(ROW()-3&gt;MAX($CW$4:$CW$42),"",INDEX(Lists!$FN$4:$FN$42,MATCH(ROW()-3,$CW$4:$CW$42,0)))</f>
        <v>#N/A</v>
      </c>
      <c r="CY17" t="e">
        <f>CY16+IF(AND(Lists!$FS$17&lt;&gt;"",ISNUMBER(SEARCH($AI$4,Lists!$FS$17))),1,0)</f>
        <v>#N/A</v>
      </c>
      <c r="CZ17" t="e">
        <f>IF(ROW()-3&gt;MAX($CY$4:$CY$42),"",INDEX(Lists!$FS$4:$FS$42,MATCH(ROW()-3,$CY$4:$CY$42,0)))</f>
        <v>#N/A</v>
      </c>
      <c r="DA17">
        <f>DA16+IF(AND(Lists!$FX$17&lt;&gt;"",ISNUMBER(SEARCH($AF$4,Lists!$FX$17))),1,0)</f>
        <v>2</v>
      </c>
      <c r="DB17" t="str">
        <f>IF(ROW()-3&gt;MAX($DA$4:$DA$42),"",INDEX(Lists!$FX$4:$FX$42,MATCH(ROW()-3,$DA$4:$DA$42,0)))</f>
        <v/>
      </c>
      <c r="DG17">
        <f>IF($B$4="",1,IF($B$4="(blank)",--('Final Calculation Sheet'!$F$15=""),IF($B$4="(nonblank)",--('Final Calculation Sheet'!$F$15&lt;&gt;""),--ISNUMBER(SEARCH($B$4,'Final Calculation Sheet'!$F$15)))))</f>
        <v>1</v>
      </c>
      <c r="DH17">
        <f>IF($C$4="",1,IF($C$4="(blank)",--('Final Calculation Sheet'!$G$15=""),IF($C$4="(nonblank)",--('Final Calculation Sheet'!$G$15&lt;&gt;""),--ISNUMBER(SEARCH($C$4,'Final Calculation Sheet'!$G$15)))))</f>
        <v>1</v>
      </c>
      <c r="DI17">
        <f>IF($D$4="",1,IF($D$4="(blank)",--('Final Calculation Sheet'!$B$15=""),IF($D$4="(nonblank)",--('Final Calculation Sheet'!$B$15&lt;&gt;""),--ISNUMBER(SEARCH($D$4,'Final Calculation Sheet'!$B$15)))))</f>
        <v>1</v>
      </c>
      <c r="DJ17">
        <f>IF($E$4="",1,IF($E$4="(blank)",--('Final Calculation Sheet'!$D$15=""),IF($E$4="(nonblank)",--('Final Calculation Sheet'!$D$15&lt;&gt;""),--ISNUMBER(SEARCH($E$4,'Final Calculation Sheet'!$D$15)))))</f>
        <v>1</v>
      </c>
      <c r="DK17">
        <f>IF($F$4="",1,IF($F$4="(blank)",--('Final Calculation Sheet'!$A$15=""),IF($F$4="(nonblank)",--('Final Calculation Sheet'!$A$15&lt;&gt;""),--ISNUMBER(SEARCH($F$4,'Final Calculation Sheet'!$A$15)))))</f>
        <v>1</v>
      </c>
      <c r="DL17">
        <f>IF($G$4="",1,IF($G$4="(blank)",--('Final Calculation Sheet'!$E$15=""),IF($G$4="(nonblank)",--('Final Calculation Sheet'!$E$15&lt;&gt;""),--ISNUMBER(SEARCH($G$4,'Final Calculation Sheet'!$E$15)))))</f>
        <v>1</v>
      </c>
      <c r="DM17">
        <f>IF($H$4="",1,IF($H$4="(blank)",--('Final Calculation Sheet'!$C$15=""),IF($H$4="(nonblank)",--('Final Calculation Sheet'!$C$15&lt;&gt;""),--ISNUMBER(SEARCH($H$4,'Final Calculation Sheet'!$C$15)))))</f>
        <v>1</v>
      </c>
      <c r="DN17">
        <f>IF($I$4="",1,IF($I$4="(blank)",--('Final Calculation Sheet'!$H$15=""),IF($I$4="(nonblank)",--('Final Calculation Sheet'!$H$15&lt;&gt;""),--ISNUMBER(SEARCH($I$4,'Final Calculation Sheet'!$H$15)))))</f>
        <v>1</v>
      </c>
      <c r="DO17">
        <f>IF($J$4="",1,IF($J$4="(blank)",--('Final Calculation Sheet'!$I$15=""),IF($J$4="(nonblank)",--('Final Calculation Sheet'!$I$15&lt;&gt;""),--ISNUMBER(SEARCH($J$4,'Final Calculation Sheet'!$I$15)))))</f>
        <v>1</v>
      </c>
      <c r="DP17">
        <f>IF($K$4="",1,IF($K$4="(blank)",--('Final Calculation Sheet'!$J$15=""),IF($K$4="(nonblank)",--('Final Calculation Sheet'!$J$15&lt;&gt;""),--ISNUMBER(SEARCH($K$4,'Final Calculation Sheet'!$J$15)))))</f>
        <v>1</v>
      </c>
      <c r="DQ17">
        <f>IF($L$4="",1,IF($L$4="(blank)",--('Final Calculation Sheet'!$K$15=""),IF($L$4="(nonblank)",--('Final Calculation Sheet'!$K$15&lt;&gt;""),--ISNUMBER(SEARCH($L$4,'Final Calculation Sheet'!$K$15)))))</f>
        <v>1</v>
      </c>
      <c r="DR17">
        <f>IF($M$4="",1,IF($M$4="(blank)",--('Final Calculation Sheet'!$L$15=""),IF($M$4="(nonblank)",--('Final Calculation Sheet'!$L$15&lt;&gt;""),--ISNUMBER(SEARCH($M$4,'Final Calculation Sheet'!$L$15)))))</f>
        <v>1</v>
      </c>
      <c r="DS17">
        <f>IF($N$4="",1,IF($N$4="(blank)",--('Final Calculation Sheet'!$M$15=""),IF($N$4="(nonblank)",--('Final Calculation Sheet'!$M$15&lt;&gt;""),--ISNUMBER(SEARCH($N$4,'Final Calculation Sheet'!$M$15)))))</f>
        <v>1</v>
      </c>
      <c r="DT17">
        <f>IF($O$4="",1,IF($O$4="(blank)",--('Final Calculation Sheet'!$N$15=""),IF($O$4="(nonblank)",--('Final Calculation Sheet'!$N$15&lt;&gt;""),--ISNUMBER(SEARCH($O$4,'Final Calculation Sheet'!$N$15)))))</f>
        <v>1</v>
      </c>
      <c r="DU17">
        <f>IF($P$4="",1,IF($P$4="(blank)",--('Final Calculation Sheet'!$O$15=""),IF($P$4="(nonblank)",--('Final Calculation Sheet'!$O$15&lt;&gt;""),--ISNUMBER(SEARCH($P$4,'Final Calculation Sheet'!$O$15)))))</f>
        <v>1</v>
      </c>
      <c r="DV17">
        <f>IF($Q$4="",1,IF($Q$4="(blank)",--('Final Calculation Sheet'!$P$15=""),IF($Q$4="(nonblank)",--('Final Calculation Sheet'!$P$15&lt;&gt;""),--ISNUMBER(SEARCH($Q$4,'Final Calculation Sheet'!$P$15)))))</f>
        <v>1</v>
      </c>
      <c r="DW17">
        <f>IF($R$4="",1,IF($R$4="(blank)",--('Final Calculation Sheet'!$Q$15=""),IF($R$4="(nonblank)",--('Final Calculation Sheet'!$Q$15&lt;&gt;""),--ISNUMBER(SEARCH($R$4,'Final Calculation Sheet'!$Q$15)))))</f>
        <v>1</v>
      </c>
      <c r="DX17">
        <f>IF($S$4="",1,IF($S$4="(blank)",--('Final Calculation Sheet'!$R$15=""),IF($S$4="(nonblank)",--('Final Calculation Sheet'!$R$15&lt;&gt;""),--ISNUMBER(SEARCH($S$4,'Final Calculation Sheet'!$R$15)))))</f>
        <v>1</v>
      </c>
      <c r="DY17">
        <f>IF($T$4="",1,IF($T$4="(blank)",--('Final Calculation Sheet'!$S$15=""),IF($T$4="(nonblank)",--('Final Calculation Sheet'!$S$15&lt;&gt;""),--ISNUMBER(SEARCH($T$4,'Final Calculation Sheet'!$S$15)))))</f>
        <v>1</v>
      </c>
      <c r="DZ17">
        <f>IF($U$4="",1,IF($U$4="(blank)",--('Final Calculation Sheet'!$T$15=""),IF($U$4="(nonblank)",--('Final Calculation Sheet'!$T$15&lt;&gt;""),--ISNUMBER(SEARCH($U$4,'Final Calculation Sheet'!$T$15)))))</f>
        <v>1</v>
      </c>
      <c r="EA17">
        <f>IF($V$4="",1,IF($V$4="(blank)",--('Final Calculation Sheet'!$U$15=""),IF($V$4="(nonblank)",--('Final Calculation Sheet'!$U$15&lt;&gt;""),--ISNUMBER(SEARCH($V$4,'Final Calculation Sheet'!$U$15)))))</f>
        <v>1</v>
      </c>
      <c r="EB17">
        <f>IF($W$4="",1,IF($W$4="(blank)",--('Final Calculation Sheet'!$V$15=""),IF($W$4="(nonblank)",--('Final Calculation Sheet'!$V$15&lt;&gt;""),--ISNUMBER(SEARCH($W$4,'Final Calculation Sheet'!$V$15)))))</f>
        <v>1</v>
      </c>
      <c r="EC17">
        <f>IF($X$4="",1,IF($X$4="(blank)",--('Final Calculation Sheet'!$W$15=""),IF($X$4="(nonblank)",--('Final Calculation Sheet'!$W$15&lt;&gt;""),--ISNUMBER(SEARCH($X$4,'Final Calculation Sheet'!$W$15)))))</f>
        <v>1</v>
      </c>
      <c r="ED17">
        <f>IF($Y$4="",1,IF($Y$4="(blank)",--('Final Calculation Sheet'!$X$15=""),IF($Y$4="(nonblank)",--('Final Calculation Sheet'!$X$15&lt;&gt;""),--ISNUMBER(SEARCH($Y$4,'Final Calculation Sheet'!$X$15)))))</f>
        <v>1</v>
      </c>
      <c r="EE17">
        <f>IF($Z$4="",1,IF($Z$4="(blank)",--('Final Calculation Sheet'!$Y$15=""),IF($Z$4="(nonblank)",--('Final Calculation Sheet'!$Y$15&lt;&gt;""),--ISNUMBER(SEARCH($Z$4,'Final Calculation Sheet'!$Y$15)))))</f>
        <v>1</v>
      </c>
      <c r="EF17">
        <f>IF($AA$4="",1,IF($AA$4="(blank)",--('Final Calculation Sheet'!$Z$15=""),IF($AA$4="(nonblank)",--('Final Calculation Sheet'!$Z$15&lt;&gt;""),--ISNUMBER(SEARCH($AA$4,'Final Calculation Sheet'!$Z$15)))))</f>
        <v>1</v>
      </c>
      <c r="EG17">
        <f>IF($AB$4="",1,IF($AB$4="(blank)",--('Final Calculation Sheet'!$AA$15=""),IF($AB$4="(nonblank)",--('Final Calculation Sheet'!$AA$15&lt;&gt;""),--ISNUMBER(SEARCH($AB$4,'Final Calculation Sheet'!$AA$15)))))</f>
        <v>1</v>
      </c>
      <c r="EH17">
        <f>IF($AC$4="",1,IF($AC$4="(blank)",--('Final Calculation Sheet'!$AB$15=""),IF($AC$4="(nonblank)",--('Final Calculation Sheet'!$AB$15&lt;&gt;""),--ISNUMBER(SEARCH($AC$4,'Final Calculation Sheet'!$AB$15)))))</f>
        <v>1</v>
      </c>
      <c r="EI17">
        <f>IF($AD$4="",1,IF($AD$4="(blank)",--('Final Calculation Sheet'!$AC$15=""),IF($AD$4="(nonblank)",--('Final Calculation Sheet'!$AC$15&lt;&gt;""),--ISNUMBER(SEARCH($AD$4,'Final Calculation Sheet'!$AC$15)))))</f>
        <v>1</v>
      </c>
      <c r="EJ17">
        <f>IF($AE$4="",1,IF($AE$4="(blank)",--('Final Calculation Sheet'!$AD$15=""),IF($AE$4="(nonblank)",--('Final Calculation Sheet'!$AD$15&lt;&gt;""),--ISNUMBER(SEARCH($AE$4,'Final Calculation Sheet'!$AD$15)))))</f>
        <v>1</v>
      </c>
      <c r="EK17">
        <f>IF($AF$4="",1,IF($AF$4="(blank)",--(IF('Final Calculation Sheet'!$AD$15&lt;=5,"SETTLED","OUTSTANDING")=""),IF($AF$4="(nonblank)",--(IF('Final Calculation Sheet'!$AD$15&lt;=5,"SETTLED","OUTSTANDING")&lt;&gt;""),--ISNUMBER(SEARCH($AF$4,IF('Final Calculation Sheet'!$AD$15&lt;=5,"SETTLED","OUTSTANDING"))))))</f>
        <v>1</v>
      </c>
      <c r="EL17">
        <f>IF($AG$4="",1,IF($AG$4="(blank)",--('Final Calculation Sheet'!$AF$15=""),IF($AG$4="(nonblank)",--('Final Calculation Sheet'!$AF$15&lt;&gt;""),--ISNUMBER(SEARCH($AG$4,'Final Calculation Sheet'!$AF$15)))))</f>
        <v>1</v>
      </c>
      <c r="EM17">
        <f>IF($AH$4="",1,IF($AH$4="(blank)",--('Final Calculation Sheet'!$AG$15=""),IF($AH$4="(nonblank)",--('Final Calculation Sheet'!$AG$15&lt;&gt;""),--ISNUMBER(SEARCH($AH$4,'Final Calculation Sheet'!$AG$15)))))</f>
        <v>1</v>
      </c>
      <c r="EN17">
        <f>IF($AI$4="",1,IF($AI$4="(blank)",--('Final Calculation Sheet'!$AH$15=""),IF($AI$4="(nonblank)",--('Final Calculation Sheet'!$AH$15&lt;&gt;""),--ISNUMBER(SEARCH($AI$4,'Final Calculation Sheet'!$AH$15)))))</f>
        <v>1</v>
      </c>
    </row>
    <row r="18" spans="1:144" hidden="1" outlineLevel="1" x14ac:dyDescent="0.3">
      <c r="A18" s="117" t="str">
        <f>IF($AL$18="","",12)</f>
        <v/>
      </c>
      <c r="B18" s="118" t="str">
        <f>IF($AL$18="","",IF(INDEX('Final Calculation Sheet'!$F$4:$F$40,$AL$18)="","",INDEX('Final Calculation Sheet'!$F$4:$F$40,$AL$18)))</f>
        <v/>
      </c>
      <c r="C18" s="118" t="str">
        <f>IF($AL$18="","",IF(INDEX('Final Calculation Sheet'!$G$4:$G$40,$AL$18)="","",INDEX('Final Calculation Sheet'!$G$4:$G$40,$AL$18)))</f>
        <v/>
      </c>
      <c r="D18" s="119" t="str">
        <f>IF($AL$18="","",IF(INDEX('Final Calculation Sheet'!$B$4:$B$40,$AL$18)="","",INDEX('Final Calculation Sheet'!$B$4:$B$40,$AL$18)))</f>
        <v/>
      </c>
      <c r="E18" s="119" t="str">
        <f>IF($AL$18="","",IF(INDEX('Final Calculation Sheet'!$D$4:$D$40,$AL$18)="","",INDEX('Final Calculation Sheet'!$D$4:$D$40,$AL$18)))</f>
        <v/>
      </c>
      <c r="F18" s="119" t="str">
        <f>IF($AL$18="","",IF(INDEX('Final Calculation Sheet'!$A$4:$A$40,$AL$18)="","",INDEX('Final Calculation Sheet'!$A$4:$A$40,$AL$18)))</f>
        <v/>
      </c>
      <c r="G18" s="119" t="str">
        <f>IF($AL$18="","",IF(INDEX('Final Calculation Sheet'!$E$4:$E$40,$AL$18)="","",INDEX('Final Calculation Sheet'!$E$4:$E$40,$AL$18)))</f>
        <v/>
      </c>
      <c r="H18" s="120" t="str">
        <f>IF($AL$18="","",IF(INDEX('Final Calculation Sheet'!$C$4:$C$40,$AL$18)="","",INDEX('Final Calculation Sheet'!$C$4:$C$40,$AL$18)))</f>
        <v/>
      </c>
      <c r="I18" s="120" t="str">
        <f>IF($AL$18="","",IF(INDEX('Final Calculation Sheet'!$H$4:$H$40,$AL$18)="","",INDEX('Final Calculation Sheet'!$H$4:$H$40,$AL$18)))</f>
        <v/>
      </c>
      <c r="J18" s="120" t="str">
        <f>IF($AL$18="","",IF(INDEX('Final Calculation Sheet'!$I$4:$I$40,$AL$18)="","",INDEX('Final Calculation Sheet'!$I$4:$I$40,$AL$18)))</f>
        <v/>
      </c>
      <c r="K18" s="120" t="str">
        <f>IF($AL$18="","",IF(INDEX('Final Calculation Sheet'!$J$4:$J$40,$AL$18)="","",INDEX('Final Calculation Sheet'!$J$4:$J$40,$AL$18)))</f>
        <v/>
      </c>
      <c r="L18" s="120" t="str">
        <f>IF($AL$18="","",IF(INDEX('Final Calculation Sheet'!$K$4:$K$40,$AL$18)="","",INDEX('Final Calculation Sheet'!$K$4:$K$40,$AL$18)))</f>
        <v/>
      </c>
      <c r="M18" s="120" t="str">
        <f>IF($AL$18="","",IF(INDEX('Final Calculation Sheet'!$L$4:$L$40,$AL$18)="","",INDEX('Final Calculation Sheet'!$L$4:$L$40,$AL$18)))</f>
        <v/>
      </c>
      <c r="N18" s="120" t="str">
        <f>IF($AL$18="","",IF(INDEX('Final Calculation Sheet'!$M$4:$M$40,$AL$18)="","",INDEX('Final Calculation Sheet'!$M$4:$M$40,$AL$18)))</f>
        <v/>
      </c>
      <c r="O18" s="121" t="str">
        <f>IF($AL$18="","",IF(INDEX('Final Calculation Sheet'!$N$4:$N$40,$AL$18)="","",INDEX('Final Calculation Sheet'!$N$4:$N$40,$AL$18)))</f>
        <v/>
      </c>
      <c r="P18" s="120" t="str">
        <f>IF($AL$18="","",IF(INDEX('Final Calculation Sheet'!$O$4:$O$40,$AL$18)="","",INDEX('Final Calculation Sheet'!$O$4:$O$40,$AL$18)))</f>
        <v/>
      </c>
      <c r="Q18" s="120" t="str">
        <f>IF($AL$18="","",IF(INDEX('Final Calculation Sheet'!$P$4:$P$40,$AL$18)="","",INDEX('Final Calculation Sheet'!$P$4:$P$40,$AL$18)))</f>
        <v/>
      </c>
      <c r="R18" s="122" t="str">
        <f>IF($AL$18="","",IF(INDEX('Final Calculation Sheet'!$Q$4:$Q$40,$AL$18)="","",INDEX('Final Calculation Sheet'!$Q$4:$Q$40,$AL$18)))</f>
        <v/>
      </c>
      <c r="S18" s="120" t="str">
        <f>IF($AL$18="","",IF(INDEX('Final Calculation Sheet'!$R$4:$R$40,$AL$18)="","",INDEX('Final Calculation Sheet'!$R$4:$R$40,$AL$18)))</f>
        <v/>
      </c>
      <c r="T18" s="120" t="str">
        <f>IF($AL$18="","",IF(INDEX('Final Calculation Sheet'!$S$4:$S$40,$AL$18)="","",INDEX('Final Calculation Sheet'!$S$4:$S$40,$AL$18)))</f>
        <v/>
      </c>
      <c r="U18" s="120" t="str">
        <f>IF($AL$18="","",IF(INDEX('Final Calculation Sheet'!$T$4:$T$40,$AL$18)="","",INDEX('Final Calculation Sheet'!$T$4:$T$40,$AL$18)))</f>
        <v/>
      </c>
      <c r="V18" s="123" t="str">
        <f>IF($AL$18="","",IF(INDEX('Final Calculation Sheet'!$U$4:$U$40,$AL$18)="","",INDEX('Final Calculation Sheet'!$U$4:$U$40,$AL$18)))</f>
        <v/>
      </c>
      <c r="W18" s="120" t="str">
        <f>IF($AL$18="","",IF(INDEX('Final Calculation Sheet'!$V$4:$V$40,$AL$18)="","",INDEX('Final Calculation Sheet'!$V$4:$V$40,$AL$18)))</f>
        <v/>
      </c>
      <c r="X18" s="120" t="str">
        <f>IF($AL$18="","",IF(INDEX('Final Calculation Sheet'!$W$4:$W$40,$AL$18)="","",INDEX('Final Calculation Sheet'!$W$4:$W$40,$AL$18)))</f>
        <v/>
      </c>
      <c r="Y18" s="120" t="str">
        <f>IF($AL$18="","",IF(INDEX('Final Calculation Sheet'!$X$4:$X$40,$AL$18)="","",INDEX('Final Calculation Sheet'!$X$4:$X$40,$AL$18)))</f>
        <v/>
      </c>
      <c r="Z18" s="120" t="str">
        <f>IF($AL$18="","",IF(INDEX('Final Calculation Sheet'!$Y$4:$Y$40,$AL$18)="","",INDEX('Final Calculation Sheet'!$Y$4:$Y$40,$AL$18)))</f>
        <v/>
      </c>
      <c r="AA18" s="120" t="str">
        <f>IF($AL$18="","",IF(INDEX('Final Calculation Sheet'!$Z$4:$Z$40,$AL$18)="","",INDEX('Final Calculation Sheet'!$Z$4:$Z$40,$AL$18)))</f>
        <v/>
      </c>
      <c r="AB18" s="120" t="str">
        <f>IF($AL$18="","",IF(INDEX('Final Calculation Sheet'!$AA$4:$AA$40,$AL$18)="","",INDEX('Final Calculation Sheet'!$AA$4:$AA$40,$AL$18)))</f>
        <v/>
      </c>
      <c r="AC18" s="120" t="str">
        <f>IF($AL$18="","",IF(INDEX('Final Calculation Sheet'!$AB$4:$AB$40,$AL$18)="","",INDEX('Final Calculation Sheet'!$AB$4:$AB$40,$AL$18)))</f>
        <v/>
      </c>
      <c r="AD18" s="120" t="str">
        <f>IF($AL$18="","",IF(INDEX('Final Calculation Sheet'!$AC$4:$AC$40,$AL$18)="","",INDEX('Final Calculation Sheet'!$AC$4:$AC$40,$AL$18)))</f>
        <v/>
      </c>
      <c r="AE18" s="120" t="str">
        <f>IF($AL$18="","",IF(INDEX('Final Calculation Sheet'!$AD$4:$AD$40,$AL$18)="","",INDEX('Final Calculation Sheet'!$AD$4:$AD$40,$AL$18)))</f>
        <v/>
      </c>
      <c r="AF18" s="125" t="str">
        <f>IF($AL$18="","",IF(INDEX('Final Calculation Sheet'!$AD$4:$AD$40,$AL$18)&lt;=5,"SETTLED","OUTSTANDING"))</f>
        <v/>
      </c>
      <c r="AG18" s="120" t="str">
        <f>IF($AL$18="","",IF(INDEX('Final Calculation Sheet'!$AF$4:$AF$40,$AL$18)="","",INDEX('Final Calculation Sheet'!$AF$4:$AF$40,$AL$18)))</f>
        <v/>
      </c>
      <c r="AH18" s="124" t="str">
        <f>IF($AL$18="","",IF(INDEX('Final Calculation Sheet'!$AG$4:$AG$40,$AL$18)="","",INDEX('Final Calculation Sheet'!$AG$4:$AG$40,$AL$18)))</f>
        <v/>
      </c>
      <c r="AI18" s="120" t="str">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v>1</v>
      </c>
      <c r="AK18">
        <f>IF(AJ18=1,COUNTIF(AJ$6:AJ18,1),"")</f>
        <v>13</v>
      </c>
      <c r="AL18" t="str">
        <f>IF(COUNTIF($B$4:$AI$4,"&lt;&gt;")=0,"",IFERROR(MATCH(12,$AK$6:$AK$42,0),""))</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 ca="1">CK17+IF(AND(Lists!$EJ$18&lt;&gt;"",ISNUMBER(SEARCH($AA$4,Lists!$EJ$18))),1,0)</f>
        <v>15</v>
      </c>
      <c r="CL18">
        <f ca="1">IF(ROW()-3&gt;MAX($CK$4:$CK$42),"",INDEX(Lists!$EJ$4:$EJ$42,MATCH(ROW()-3,$CK$4:$CK$42,0)))</f>
        <v>2655.1062000000002</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f>CS17+IF(AND(Lists!$FD$18&lt;&gt;"",ISNUMBER(SEARCH($AE$4,Lists!$FD$18))),1,0)</f>
        <v>11</v>
      </c>
      <c r="CT18" t="str">
        <f>IF(ROW()-3&gt;MAX($CS$4:$CS$42),"",INDEX(Lists!$FD$4:$FD$42,MATCH(ROW()-3,$CS$4:$CS$42,0)))</f>
        <v/>
      </c>
      <c r="CU18" t="e">
        <f>CU17+IF(AND(Lists!$FI$18&lt;&gt;"",ISNUMBER(SEARCH($AG$4,Lists!$FI$18))),1,0)</f>
        <v>#N/A</v>
      </c>
      <c r="CV18" t="e">
        <f>IF(ROW()-3&gt;MAX($CU$4:$CU$42),"",INDEX(Lists!$FI$4:$FI$42,MATCH(ROW()-3,$CU$4:$CU$42,0)))</f>
        <v>#N/A</v>
      </c>
      <c r="CW18" t="e">
        <f>CW17+IF(AND(Lists!$FN$18&lt;&gt;"",ISNUMBER(SEARCH($AH$4,Lists!$FN$18))),1,0)</f>
        <v>#N/A</v>
      </c>
      <c r="CX18" t="e">
        <f>IF(ROW()-3&gt;MAX($CW$4:$CW$42),"",INDEX(Lists!$FN$4:$FN$42,MATCH(ROW()-3,$CW$4:$CW$42,0)))</f>
        <v>#N/A</v>
      </c>
      <c r="CY18" t="e">
        <f>CY17+IF(AND(Lists!$FS$18&lt;&gt;"",ISNUMBER(SEARCH($AI$4,Lists!$FS$18))),1,0)</f>
        <v>#N/A</v>
      </c>
      <c r="CZ18" t="e">
        <f>IF(ROW()-3&gt;MAX($CY$4:$CY$42),"",INDEX(Lists!$FS$4:$FS$42,MATCH(ROW()-3,$CY$4:$CY$42,0)))</f>
        <v>#N/A</v>
      </c>
      <c r="DA18">
        <f>DA17+IF(AND(Lists!$FX$18&lt;&gt;"",ISNUMBER(SEARCH($AF$4,Lists!$FX$18))),1,0)</f>
        <v>2</v>
      </c>
      <c r="DB18" t="str">
        <f>IF(ROW()-3&gt;MAX($DA$4:$DA$42),"",INDEX(Lists!$FX$4:$FX$42,MATCH(ROW()-3,$DA$4:$DA$42,0)))</f>
        <v/>
      </c>
      <c r="DG18">
        <f>IF($B$4="",1,IF($B$4="(blank)",--('Final Calculation Sheet'!$F$16=""),IF($B$4="(nonblank)",--('Final Calculation Sheet'!$F$16&lt;&gt;""),--ISNUMBER(SEARCH($B$4,'Final Calculation Sheet'!$F$16)))))</f>
        <v>1</v>
      </c>
      <c r="DH18">
        <f>IF($C$4="",1,IF($C$4="(blank)",--('Final Calculation Sheet'!$G$16=""),IF($C$4="(nonblank)",--('Final Calculation Sheet'!$G$16&lt;&gt;""),--ISNUMBER(SEARCH($C$4,'Final Calculation Sheet'!$G$16)))))</f>
        <v>1</v>
      </c>
      <c r="DI18">
        <f>IF($D$4="",1,IF($D$4="(blank)",--('Final Calculation Sheet'!$B$16=""),IF($D$4="(nonblank)",--('Final Calculation Sheet'!$B$16&lt;&gt;""),--ISNUMBER(SEARCH($D$4,'Final Calculation Sheet'!$B$16)))))</f>
        <v>1</v>
      </c>
      <c r="DJ18">
        <f>IF($E$4="",1,IF($E$4="(blank)",--('Final Calculation Sheet'!$D$16=""),IF($E$4="(nonblank)",--('Final Calculation Sheet'!$D$16&lt;&gt;""),--ISNUMBER(SEARCH($E$4,'Final Calculation Sheet'!$D$16)))))</f>
        <v>1</v>
      </c>
      <c r="DK18">
        <f>IF($F$4="",1,IF($F$4="(blank)",--('Final Calculation Sheet'!$A$16=""),IF($F$4="(nonblank)",--('Final Calculation Sheet'!$A$16&lt;&gt;""),--ISNUMBER(SEARCH($F$4,'Final Calculation Sheet'!$A$16)))))</f>
        <v>1</v>
      </c>
      <c r="DL18">
        <f>IF($G$4="",1,IF($G$4="(blank)",--('Final Calculation Sheet'!$E$16=""),IF($G$4="(nonblank)",--('Final Calculation Sheet'!$E$16&lt;&gt;""),--ISNUMBER(SEARCH($G$4,'Final Calculation Sheet'!$E$16)))))</f>
        <v>1</v>
      </c>
      <c r="DM18">
        <f>IF($H$4="",1,IF($H$4="(blank)",--('Final Calculation Sheet'!$C$16=""),IF($H$4="(nonblank)",--('Final Calculation Sheet'!$C$16&lt;&gt;""),--ISNUMBER(SEARCH($H$4,'Final Calculation Sheet'!$C$16)))))</f>
        <v>1</v>
      </c>
      <c r="DN18">
        <f>IF($I$4="",1,IF($I$4="(blank)",--('Final Calculation Sheet'!$H$16=""),IF($I$4="(nonblank)",--('Final Calculation Sheet'!$H$16&lt;&gt;""),--ISNUMBER(SEARCH($I$4,'Final Calculation Sheet'!$H$16)))))</f>
        <v>1</v>
      </c>
      <c r="DO18">
        <f>IF($J$4="",1,IF($J$4="(blank)",--('Final Calculation Sheet'!$I$16=""),IF($J$4="(nonblank)",--('Final Calculation Sheet'!$I$16&lt;&gt;""),--ISNUMBER(SEARCH($J$4,'Final Calculation Sheet'!$I$16)))))</f>
        <v>1</v>
      </c>
      <c r="DP18">
        <f>IF($K$4="",1,IF($K$4="(blank)",--('Final Calculation Sheet'!$J$16=""),IF($K$4="(nonblank)",--('Final Calculation Sheet'!$J$16&lt;&gt;""),--ISNUMBER(SEARCH($K$4,'Final Calculation Sheet'!$J$16)))))</f>
        <v>1</v>
      </c>
      <c r="DQ18">
        <f>IF($L$4="",1,IF($L$4="(blank)",--('Final Calculation Sheet'!$K$16=""),IF($L$4="(nonblank)",--('Final Calculation Sheet'!$K$16&lt;&gt;""),--ISNUMBER(SEARCH($L$4,'Final Calculation Sheet'!$K$16)))))</f>
        <v>1</v>
      </c>
      <c r="DR18">
        <f>IF($M$4="",1,IF($M$4="(blank)",--('Final Calculation Sheet'!$L$16=""),IF($M$4="(nonblank)",--('Final Calculation Sheet'!$L$16&lt;&gt;""),--ISNUMBER(SEARCH($M$4,'Final Calculation Sheet'!$L$16)))))</f>
        <v>1</v>
      </c>
      <c r="DS18">
        <f>IF($N$4="",1,IF($N$4="(blank)",--('Final Calculation Sheet'!$M$16=""),IF($N$4="(nonblank)",--('Final Calculation Sheet'!$M$16&lt;&gt;""),--ISNUMBER(SEARCH($N$4,'Final Calculation Sheet'!$M$16)))))</f>
        <v>1</v>
      </c>
      <c r="DT18">
        <f>IF($O$4="",1,IF($O$4="(blank)",--('Final Calculation Sheet'!$N$16=""),IF($O$4="(nonblank)",--('Final Calculation Sheet'!$N$16&lt;&gt;""),--ISNUMBER(SEARCH($O$4,'Final Calculation Sheet'!$N$16)))))</f>
        <v>1</v>
      </c>
      <c r="DU18">
        <f>IF($P$4="",1,IF($P$4="(blank)",--('Final Calculation Sheet'!$O$16=""),IF($P$4="(nonblank)",--('Final Calculation Sheet'!$O$16&lt;&gt;""),--ISNUMBER(SEARCH($P$4,'Final Calculation Sheet'!$O$16)))))</f>
        <v>1</v>
      </c>
      <c r="DV18">
        <f>IF($Q$4="",1,IF($Q$4="(blank)",--('Final Calculation Sheet'!$P$16=""),IF($Q$4="(nonblank)",--('Final Calculation Sheet'!$P$16&lt;&gt;""),--ISNUMBER(SEARCH($Q$4,'Final Calculation Sheet'!$P$16)))))</f>
        <v>1</v>
      </c>
      <c r="DW18">
        <f>IF($R$4="",1,IF($R$4="(blank)",--('Final Calculation Sheet'!$Q$16=""),IF($R$4="(nonblank)",--('Final Calculation Sheet'!$Q$16&lt;&gt;""),--ISNUMBER(SEARCH($R$4,'Final Calculation Sheet'!$Q$16)))))</f>
        <v>1</v>
      </c>
      <c r="DX18">
        <f>IF($S$4="",1,IF($S$4="(blank)",--('Final Calculation Sheet'!$R$16=""),IF($S$4="(nonblank)",--('Final Calculation Sheet'!$R$16&lt;&gt;""),--ISNUMBER(SEARCH($S$4,'Final Calculation Sheet'!$R$16)))))</f>
        <v>1</v>
      </c>
      <c r="DY18">
        <f>IF($T$4="",1,IF($T$4="(blank)",--('Final Calculation Sheet'!$S$16=""),IF($T$4="(nonblank)",--('Final Calculation Sheet'!$S$16&lt;&gt;""),--ISNUMBER(SEARCH($T$4,'Final Calculation Sheet'!$S$16)))))</f>
        <v>1</v>
      </c>
      <c r="DZ18">
        <f>IF($U$4="",1,IF($U$4="(blank)",--('Final Calculation Sheet'!$T$16=""),IF($U$4="(nonblank)",--('Final Calculation Sheet'!$T$16&lt;&gt;""),--ISNUMBER(SEARCH($U$4,'Final Calculation Sheet'!$T$16)))))</f>
        <v>1</v>
      </c>
      <c r="EA18">
        <f>IF($V$4="",1,IF($V$4="(blank)",--('Final Calculation Sheet'!$U$16=""),IF($V$4="(nonblank)",--('Final Calculation Sheet'!$U$16&lt;&gt;""),--ISNUMBER(SEARCH($V$4,'Final Calculation Sheet'!$U$16)))))</f>
        <v>1</v>
      </c>
      <c r="EB18">
        <f>IF($W$4="",1,IF($W$4="(blank)",--('Final Calculation Sheet'!$V$16=""),IF($W$4="(nonblank)",--('Final Calculation Sheet'!$V$16&lt;&gt;""),--ISNUMBER(SEARCH($W$4,'Final Calculation Sheet'!$V$16)))))</f>
        <v>1</v>
      </c>
      <c r="EC18">
        <f>IF($X$4="",1,IF($X$4="(blank)",--('Final Calculation Sheet'!$W$16=""),IF($X$4="(nonblank)",--('Final Calculation Sheet'!$W$16&lt;&gt;""),--ISNUMBER(SEARCH($X$4,'Final Calculation Sheet'!$W$16)))))</f>
        <v>1</v>
      </c>
      <c r="ED18">
        <f>IF($Y$4="",1,IF($Y$4="(blank)",--('Final Calculation Sheet'!$X$16=""),IF($Y$4="(nonblank)",--('Final Calculation Sheet'!$X$16&lt;&gt;""),--ISNUMBER(SEARCH($Y$4,'Final Calculation Sheet'!$X$16)))))</f>
        <v>1</v>
      </c>
      <c r="EE18">
        <f>IF($Z$4="",1,IF($Z$4="(blank)",--('Final Calculation Sheet'!$Y$16=""),IF($Z$4="(nonblank)",--('Final Calculation Sheet'!$Y$16&lt;&gt;""),--ISNUMBER(SEARCH($Z$4,'Final Calculation Sheet'!$Y$16)))))</f>
        <v>1</v>
      </c>
      <c r="EF18">
        <f>IF($AA$4="",1,IF($AA$4="(blank)",--('Final Calculation Sheet'!$Z$16=""),IF($AA$4="(nonblank)",--('Final Calculation Sheet'!$Z$16&lt;&gt;""),--ISNUMBER(SEARCH($AA$4,'Final Calculation Sheet'!$Z$16)))))</f>
        <v>1</v>
      </c>
      <c r="EG18">
        <f>IF($AB$4="",1,IF($AB$4="(blank)",--('Final Calculation Sheet'!$AA$16=""),IF($AB$4="(nonblank)",--('Final Calculation Sheet'!$AA$16&lt;&gt;""),--ISNUMBER(SEARCH($AB$4,'Final Calculation Sheet'!$AA$16)))))</f>
        <v>1</v>
      </c>
      <c r="EH18">
        <f>IF($AC$4="",1,IF($AC$4="(blank)",--('Final Calculation Sheet'!$AB$16=""),IF($AC$4="(nonblank)",--('Final Calculation Sheet'!$AB$16&lt;&gt;""),--ISNUMBER(SEARCH($AC$4,'Final Calculation Sheet'!$AB$16)))))</f>
        <v>1</v>
      </c>
      <c r="EI18">
        <f>IF($AD$4="",1,IF($AD$4="(blank)",--('Final Calculation Sheet'!$AC$16=""),IF($AD$4="(nonblank)",--('Final Calculation Sheet'!$AC$16&lt;&gt;""),--ISNUMBER(SEARCH($AD$4,'Final Calculation Sheet'!$AC$16)))))</f>
        <v>1</v>
      </c>
      <c r="EJ18">
        <f>IF($AE$4="",1,IF($AE$4="(blank)",--('Final Calculation Sheet'!$AD$16=""),IF($AE$4="(nonblank)",--('Final Calculation Sheet'!$AD$16&lt;&gt;""),--ISNUMBER(SEARCH($AE$4,'Final Calculation Sheet'!$AD$16)))))</f>
        <v>1</v>
      </c>
      <c r="EK18">
        <f>IF($AF$4="",1,IF($AF$4="(blank)",--(IF('Final Calculation Sheet'!$AD$16&lt;=5,"SETTLED","OUTSTANDING")=""),IF($AF$4="(nonblank)",--(IF('Final Calculation Sheet'!$AD$16&lt;=5,"SETTLED","OUTSTANDING")&lt;&gt;""),--ISNUMBER(SEARCH($AF$4,IF('Final Calculation Sheet'!$AD$16&lt;=5,"SETTLED","OUTSTANDING"))))))</f>
        <v>1</v>
      </c>
      <c r="EL18">
        <f>IF($AG$4="",1,IF($AG$4="(blank)",--('Final Calculation Sheet'!$AF$16=""),IF($AG$4="(nonblank)",--('Final Calculation Sheet'!$AF$16&lt;&gt;""),--ISNUMBER(SEARCH($AG$4,'Final Calculation Sheet'!$AF$16)))))</f>
        <v>1</v>
      </c>
      <c r="EM18">
        <f>IF($AH$4="",1,IF($AH$4="(blank)",--('Final Calculation Sheet'!$AG$16=""),IF($AH$4="(nonblank)",--('Final Calculation Sheet'!$AG$16&lt;&gt;""),--ISNUMBER(SEARCH($AH$4,'Final Calculation Sheet'!$AG$16)))))</f>
        <v>1</v>
      </c>
      <c r="EN18">
        <f>IF($AI$4="",1,IF($AI$4="(blank)",--('Final Calculation Sheet'!$AH$16=""),IF($AI$4="(nonblank)",--('Final Calculation Sheet'!$AH$16&lt;&gt;""),--ISNUMBER(SEARCH($AI$4,'Final Calculation Sheet'!$AH$16)))))</f>
        <v>1</v>
      </c>
    </row>
    <row r="19" spans="1:144" hidden="1" outlineLevel="1" x14ac:dyDescent="0.3">
      <c r="A19" s="107" t="str">
        <f>IF($AL$19="","",13)</f>
        <v/>
      </c>
      <c r="B19" s="108" t="str">
        <f>IF($AL$19="","",IF(INDEX('Final Calculation Sheet'!$F$4:$F$40,$AL$19)="","",INDEX('Final Calculation Sheet'!$F$4:$F$40,$AL$19)))</f>
        <v/>
      </c>
      <c r="C19" s="108" t="str">
        <f>IF($AL$19="","",IF(INDEX('Final Calculation Sheet'!$G$4:$G$40,$AL$19)="","",INDEX('Final Calculation Sheet'!$G$4:$G$40,$AL$19)))</f>
        <v/>
      </c>
      <c r="D19" s="110" t="str">
        <f>IF($AL$19="","",IF(INDEX('Final Calculation Sheet'!$B$4:$B$40,$AL$19)="","",INDEX('Final Calculation Sheet'!$B$4:$B$40,$AL$19)))</f>
        <v/>
      </c>
      <c r="E19" s="110" t="str">
        <f>IF($AL$19="","",IF(INDEX('Final Calculation Sheet'!$D$4:$D$40,$AL$19)="","",INDEX('Final Calculation Sheet'!$D$4:$D$40,$AL$19)))</f>
        <v/>
      </c>
      <c r="F19" s="110" t="str">
        <f>IF($AL$19="","",IF(INDEX('Final Calculation Sheet'!$A$4:$A$40,$AL$19)="","",INDEX('Final Calculation Sheet'!$A$4:$A$40,$AL$19)))</f>
        <v/>
      </c>
      <c r="G19" s="110" t="str">
        <f>IF($AL$19="","",IF(INDEX('Final Calculation Sheet'!$E$4:$E$40,$AL$19)="","",INDEX('Final Calculation Sheet'!$E$4:$E$40,$AL$19)))</f>
        <v/>
      </c>
      <c r="H19" s="111" t="str">
        <f>IF($AL$19="","",IF(INDEX('Final Calculation Sheet'!$C$4:$C$40,$AL$19)="","",INDEX('Final Calculation Sheet'!$C$4:$C$40,$AL$19)))</f>
        <v/>
      </c>
      <c r="I19" s="111" t="str">
        <f>IF($AL$19="","",IF(INDEX('Final Calculation Sheet'!$H$4:$H$40,$AL$19)="","",INDEX('Final Calculation Sheet'!$H$4:$H$40,$AL$19)))</f>
        <v/>
      </c>
      <c r="J19" s="111" t="str">
        <f>IF($AL$19="","",IF(INDEX('Final Calculation Sheet'!$I$4:$I$40,$AL$19)="","",INDEX('Final Calculation Sheet'!$I$4:$I$40,$AL$19)))</f>
        <v/>
      </c>
      <c r="K19" s="111" t="str">
        <f>IF($AL$19="","",IF(INDEX('Final Calculation Sheet'!$J$4:$J$40,$AL$19)="","",INDEX('Final Calculation Sheet'!$J$4:$J$40,$AL$19)))</f>
        <v/>
      </c>
      <c r="L19" s="111" t="str">
        <f>IF($AL$19="","",IF(INDEX('Final Calculation Sheet'!$K$4:$K$40,$AL$19)="","",INDEX('Final Calculation Sheet'!$K$4:$K$40,$AL$19)))</f>
        <v/>
      </c>
      <c r="M19" s="111" t="str">
        <f>IF($AL$19="","",IF(INDEX('Final Calculation Sheet'!$L$4:$L$40,$AL$19)="","",INDEX('Final Calculation Sheet'!$L$4:$L$40,$AL$19)))</f>
        <v/>
      </c>
      <c r="N19" s="111" t="str">
        <f>IF($AL$19="","",IF(INDEX('Final Calculation Sheet'!$M$4:$M$40,$AL$19)="","",INDEX('Final Calculation Sheet'!$M$4:$M$40,$AL$19)))</f>
        <v/>
      </c>
      <c r="O19" s="112" t="str">
        <f>IF($AL$19="","",IF(INDEX('Final Calculation Sheet'!$N$4:$N$40,$AL$19)="","",INDEX('Final Calculation Sheet'!$N$4:$N$40,$AL$19)))</f>
        <v/>
      </c>
      <c r="P19" s="111" t="str">
        <f>IF($AL$19="","",IF(INDEX('Final Calculation Sheet'!$O$4:$O$40,$AL$19)="","",INDEX('Final Calculation Sheet'!$O$4:$O$40,$AL$19)))</f>
        <v/>
      </c>
      <c r="Q19" s="111" t="str">
        <f>IF($AL$19="","",IF(INDEX('Final Calculation Sheet'!$P$4:$P$40,$AL$19)="","",INDEX('Final Calculation Sheet'!$P$4:$P$40,$AL$19)))</f>
        <v/>
      </c>
      <c r="R19" s="113" t="str">
        <f>IF($AL$19="","",IF(INDEX('Final Calculation Sheet'!$Q$4:$Q$40,$AL$19)="","",INDEX('Final Calculation Sheet'!$Q$4:$Q$40,$AL$19)))</f>
        <v/>
      </c>
      <c r="S19" s="111" t="str">
        <f>IF($AL$19="","",IF(INDEX('Final Calculation Sheet'!$R$4:$R$40,$AL$19)="","",INDEX('Final Calculation Sheet'!$R$4:$R$40,$AL$19)))</f>
        <v/>
      </c>
      <c r="T19" s="111" t="str">
        <f>IF($AL$19="","",IF(INDEX('Final Calculation Sheet'!$S$4:$S$40,$AL$19)="","",INDEX('Final Calculation Sheet'!$S$4:$S$40,$AL$19)))</f>
        <v/>
      </c>
      <c r="U19" s="111" t="str">
        <f>IF($AL$19="","",IF(INDEX('Final Calculation Sheet'!$T$4:$T$40,$AL$19)="","",INDEX('Final Calculation Sheet'!$T$4:$T$40,$AL$19)))</f>
        <v/>
      </c>
      <c r="V19" s="114" t="str">
        <f>IF($AL$19="","",IF(INDEX('Final Calculation Sheet'!$U$4:$U$40,$AL$19)="","",INDEX('Final Calculation Sheet'!$U$4:$U$40,$AL$19)))</f>
        <v/>
      </c>
      <c r="W19" s="111" t="str">
        <f>IF($AL$19="","",IF(INDEX('Final Calculation Sheet'!$V$4:$V$40,$AL$19)="","",INDEX('Final Calculation Sheet'!$V$4:$V$40,$AL$19)))</f>
        <v/>
      </c>
      <c r="X19" s="111" t="str">
        <f>IF($AL$19="","",IF(INDEX('Final Calculation Sheet'!$W$4:$W$40,$AL$19)="","",INDEX('Final Calculation Sheet'!$W$4:$W$40,$AL$19)))</f>
        <v/>
      </c>
      <c r="Y19" s="111" t="str">
        <f>IF($AL$19="","",IF(INDEX('Final Calculation Sheet'!$X$4:$X$40,$AL$19)="","",INDEX('Final Calculation Sheet'!$X$4:$X$40,$AL$19)))</f>
        <v/>
      </c>
      <c r="Z19" s="111" t="str">
        <f>IF($AL$19="","",IF(INDEX('Final Calculation Sheet'!$Y$4:$Y$40,$AL$19)="","",INDEX('Final Calculation Sheet'!$Y$4:$Y$40,$AL$19)))</f>
        <v/>
      </c>
      <c r="AA19" s="111" t="str">
        <f>IF($AL$19="","",IF(INDEX('Final Calculation Sheet'!$Z$4:$Z$40,$AL$19)="","",INDEX('Final Calculation Sheet'!$Z$4:$Z$40,$AL$19)))</f>
        <v/>
      </c>
      <c r="AB19" s="111" t="str">
        <f>IF($AL$19="","",IF(INDEX('Final Calculation Sheet'!$AA$4:$AA$40,$AL$19)="","",INDEX('Final Calculation Sheet'!$AA$4:$AA$40,$AL$19)))</f>
        <v/>
      </c>
      <c r="AC19" s="111" t="str">
        <f>IF($AL$19="","",IF(INDEX('Final Calculation Sheet'!$AB$4:$AB$40,$AL$19)="","",INDEX('Final Calculation Sheet'!$AB$4:$AB$40,$AL$19)))</f>
        <v/>
      </c>
      <c r="AD19" s="111" t="str">
        <f>IF($AL$19="","",IF(INDEX('Final Calculation Sheet'!$AC$4:$AC$40,$AL$19)="","",INDEX('Final Calculation Sheet'!$AC$4:$AC$40,$AL$19)))</f>
        <v/>
      </c>
      <c r="AE19" s="111" t="str">
        <f>IF($AL$19="","",IF(INDEX('Final Calculation Sheet'!$AD$4:$AD$40,$AL$19)="","",INDEX('Final Calculation Sheet'!$AD$4:$AD$40,$AL$19)))</f>
        <v/>
      </c>
      <c r="AF19" s="116" t="str">
        <f>IF($AL$19="","",IF(INDEX('Final Calculation Sheet'!$AD$4:$AD$40,$AL$19)&lt;=5,"SETTLED","OUTSTANDING"))</f>
        <v/>
      </c>
      <c r="AG19" s="111" t="str">
        <f>IF($AL$19="","",IF(INDEX('Final Calculation Sheet'!$AF$4:$AF$40,$AL$19)="","",INDEX('Final Calculation Sheet'!$AF$4:$AF$40,$AL$19)))</f>
        <v/>
      </c>
      <c r="AH19" s="115" t="str">
        <f>IF($AL$19="","",IF(INDEX('Final Calculation Sheet'!$AG$4:$AG$40,$AL$19)="","",INDEX('Final Calculation Sheet'!$AG$4:$AG$40,$AL$19)))</f>
        <v/>
      </c>
      <c r="AI19" s="111" t="str">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v>1</v>
      </c>
      <c r="AK19">
        <f>IF(AJ19=1,COUNTIF(AJ$6:AJ19,1),"")</f>
        <v>14</v>
      </c>
      <c r="AL19" t="str">
        <f>IF(COUNTIF($B$4:$AI$4,"&lt;&gt;")=0,"",IFERROR(MATCH(13,$AK$6:$AK$42,0),""))</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 ca="1">CK18+IF(AND(Lists!$EJ$19&lt;&gt;"",ISNUMBER(SEARCH($AA$4,Lists!$EJ$19))),1,0)</f>
        <v>16</v>
      </c>
      <c r="CL19">
        <f ca="1">IF(ROW()-3&gt;MAX($CK$4:$CK$42),"",INDEX(Lists!$EJ$4:$EJ$42,MATCH(ROW()-3,$CK$4:$CK$42,0)))</f>
        <v>2832.2123999999999</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f>CS18+IF(AND(Lists!$FD$19&lt;&gt;"",ISNUMBER(SEARCH($AE$4,Lists!$FD$19))),1,0)</f>
        <v>11</v>
      </c>
      <c r="CT19" t="str">
        <f>IF(ROW()-3&gt;MAX($CS$4:$CS$42),"",INDEX(Lists!$FD$4:$FD$42,MATCH(ROW()-3,$CS$4:$CS$42,0)))</f>
        <v/>
      </c>
      <c r="CU19" t="e">
        <f>CU18+IF(AND(Lists!$FI$19&lt;&gt;"",ISNUMBER(SEARCH($AG$4,Lists!$FI$19))),1,0)</f>
        <v>#N/A</v>
      </c>
      <c r="CV19" t="e">
        <f>IF(ROW()-3&gt;MAX($CU$4:$CU$42),"",INDEX(Lists!$FI$4:$FI$42,MATCH(ROW()-3,$CU$4:$CU$42,0)))</f>
        <v>#N/A</v>
      </c>
      <c r="CW19" t="e">
        <f>CW18+IF(AND(Lists!$FN$19&lt;&gt;"",ISNUMBER(SEARCH($AH$4,Lists!$FN$19))),1,0)</f>
        <v>#N/A</v>
      </c>
      <c r="CX19" t="e">
        <f>IF(ROW()-3&gt;MAX($CW$4:$CW$42),"",INDEX(Lists!$FN$4:$FN$42,MATCH(ROW()-3,$CW$4:$CW$42,0)))</f>
        <v>#N/A</v>
      </c>
      <c r="CY19" t="e">
        <f>CY18+IF(AND(Lists!$FS$19&lt;&gt;"",ISNUMBER(SEARCH($AI$4,Lists!$FS$19))),1,0)</f>
        <v>#N/A</v>
      </c>
      <c r="CZ19" t="e">
        <f>IF(ROW()-3&gt;MAX($CY$4:$CY$42),"",INDEX(Lists!$FS$4:$FS$42,MATCH(ROW()-3,$CY$4:$CY$42,0)))</f>
        <v>#N/A</v>
      </c>
      <c r="DA19">
        <f>DA18+IF(AND(Lists!$FX$19&lt;&gt;"",ISNUMBER(SEARCH($AF$4,Lists!$FX$19))),1,0)</f>
        <v>2</v>
      </c>
      <c r="DB19" t="str">
        <f>IF(ROW()-3&gt;MAX($DA$4:$DA$42),"",INDEX(Lists!$FX$4:$FX$42,MATCH(ROW()-3,$DA$4:$DA$42,0)))</f>
        <v/>
      </c>
      <c r="DG19">
        <f>IF($B$4="",1,IF($B$4="(blank)",--('Final Calculation Sheet'!$F$17=""),IF($B$4="(nonblank)",--('Final Calculation Sheet'!$F$17&lt;&gt;""),--ISNUMBER(SEARCH($B$4,'Final Calculation Sheet'!$F$17)))))</f>
        <v>1</v>
      </c>
      <c r="DH19">
        <f>IF($C$4="",1,IF($C$4="(blank)",--('Final Calculation Sheet'!$G$17=""),IF($C$4="(nonblank)",--('Final Calculation Sheet'!$G$17&lt;&gt;""),--ISNUMBER(SEARCH($C$4,'Final Calculation Sheet'!$G$17)))))</f>
        <v>1</v>
      </c>
      <c r="DI19">
        <f>IF($D$4="",1,IF($D$4="(blank)",--('Final Calculation Sheet'!$B$17=""),IF($D$4="(nonblank)",--('Final Calculation Sheet'!$B$17&lt;&gt;""),--ISNUMBER(SEARCH($D$4,'Final Calculation Sheet'!$B$17)))))</f>
        <v>1</v>
      </c>
      <c r="DJ19">
        <f>IF($E$4="",1,IF($E$4="(blank)",--('Final Calculation Sheet'!$D$17=""),IF($E$4="(nonblank)",--('Final Calculation Sheet'!$D$17&lt;&gt;""),--ISNUMBER(SEARCH($E$4,'Final Calculation Sheet'!$D$17)))))</f>
        <v>1</v>
      </c>
      <c r="DK19">
        <f>IF($F$4="",1,IF($F$4="(blank)",--('Final Calculation Sheet'!$A$17=""),IF($F$4="(nonblank)",--('Final Calculation Sheet'!$A$17&lt;&gt;""),--ISNUMBER(SEARCH($F$4,'Final Calculation Sheet'!$A$17)))))</f>
        <v>1</v>
      </c>
      <c r="DL19">
        <f>IF($G$4="",1,IF($G$4="(blank)",--('Final Calculation Sheet'!$E$17=""),IF($G$4="(nonblank)",--('Final Calculation Sheet'!$E$17&lt;&gt;""),--ISNUMBER(SEARCH($G$4,'Final Calculation Sheet'!$E$17)))))</f>
        <v>1</v>
      </c>
      <c r="DM19">
        <f>IF($H$4="",1,IF($H$4="(blank)",--('Final Calculation Sheet'!$C$17=""),IF($H$4="(nonblank)",--('Final Calculation Sheet'!$C$17&lt;&gt;""),--ISNUMBER(SEARCH($H$4,'Final Calculation Sheet'!$C$17)))))</f>
        <v>1</v>
      </c>
      <c r="DN19">
        <f>IF($I$4="",1,IF($I$4="(blank)",--('Final Calculation Sheet'!$H$17=""),IF($I$4="(nonblank)",--('Final Calculation Sheet'!$H$17&lt;&gt;""),--ISNUMBER(SEARCH($I$4,'Final Calculation Sheet'!$H$17)))))</f>
        <v>1</v>
      </c>
      <c r="DO19">
        <f>IF($J$4="",1,IF($J$4="(blank)",--('Final Calculation Sheet'!$I$17=""),IF($J$4="(nonblank)",--('Final Calculation Sheet'!$I$17&lt;&gt;""),--ISNUMBER(SEARCH($J$4,'Final Calculation Sheet'!$I$17)))))</f>
        <v>1</v>
      </c>
      <c r="DP19">
        <f>IF($K$4="",1,IF($K$4="(blank)",--('Final Calculation Sheet'!$J$17=""),IF($K$4="(nonblank)",--('Final Calculation Sheet'!$J$17&lt;&gt;""),--ISNUMBER(SEARCH($K$4,'Final Calculation Sheet'!$J$17)))))</f>
        <v>1</v>
      </c>
      <c r="DQ19">
        <f>IF($L$4="",1,IF($L$4="(blank)",--('Final Calculation Sheet'!$K$17=""),IF($L$4="(nonblank)",--('Final Calculation Sheet'!$K$17&lt;&gt;""),--ISNUMBER(SEARCH($L$4,'Final Calculation Sheet'!$K$17)))))</f>
        <v>1</v>
      </c>
      <c r="DR19">
        <f>IF($M$4="",1,IF($M$4="(blank)",--('Final Calculation Sheet'!$L$17=""),IF($M$4="(nonblank)",--('Final Calculation Sheet'!$L$17&lt;&gt;""),--ISNUMBER(SEARCH($M$4,'Final Calculation Sheet'!$L$17)))))</f>
        <v>1</v>
      </c>
      <c r="DS19">
        <f>IF($N$4="",1,IF($N$4="(blank)",--('Final Calculation Sheet'!$M$17=""),IF($N$4="(nonblank)",--('Final Calculation Sheet'!$M$17&lt;&gt;""),--ISNUMBER(SEARCH($N$4,'Final Calculation Sheet'!$M$17)))))</f>
        <v>1</v>
      </c>
      <c r="DT19">
        <f>IF($O$4="",1,IF($O$4="(blank)",--('Final Calculation Sheet'!$N$17=""),IF($O$4="(nonblank)",--('Final Calculation Sheet'!$N$17&lt;&gt;""),--ISNUMBER(SEARCH($O$4,'Final Calculation Sheet'!$N$17)))))</f>
        <v>1</v>
      </c>
      <c r="DU19">
        <f>IF($P$4="",1,IF($P$4="(blank)",--('Final Calculation Sheet'!$O$17=""),IF($P$4="(nonblank)",--('Final Calculation Sheet'!$O$17&lt;&gt;""),--ISNUMBER(SEARCH($P$4,'Final Calculation Sheet'!$O$17)))))</f>
        <v>1</v>
      </c>
      <c r="DV19">
        <f>IF($Q$4="",1,IF($Q$4="(blank)",--('Final Calculation Sheet'!$P$17=""),IF($Q$4="(nonblank)",--('Final Calculation Sheet'!$P$17&lt;&gt;""),--ISNUMBER(SEARCH($Q$4,'Final Calculation Sheet'!$P$17)))))</f>
        <v>1</v>
      </c>
      <c r="DW19">
        <f>IF($R$4="",1,IF($R$4="(blank)",--('Final Calculation Sheet'!$Q$17=""),IF($R$4="(nonblank)",--('Final Calculation Sheet'!$Q$17&lt;&gt;""),--ISNUMBER(SEARCH($R$4,'Final Calculation Sheet'!$Q$17)))))</f>
        <v>1</v>
      </c>
      <c r="DX19">
        <f>IF($S$4="",1,IF($S$4="(blank)",--('Final Calculation Sheet'!$R$17=""),IF($S$4="(nonblank)",--('Final Calculation Sheet'!$R$17&lt;&gt;""),--ISNUMBER(SEARCH($S$4,'Final Calculation Sheet'!$R$17)))))</f>
        <v>1</v>
      </c>
      <c r="DY19">
        <f>IF($T$4="",1,IF($T$4="(blank)",--('Final Calculation Sheet'!$S$17=""),IF($T$4="(nonblank)",--('Final Calculation Sheet'!$S$17&lt;&gt;""),--ISNUMBER(SEARCH($T$4,'Final Calculation Sheet'!$S$17)))))</f>
        <v>1</v>
      </c>
      <c r="DZ19">
        <f>IF($U$4="",1,IF($U$4="(blank)",--('Final Calculation Sheet'!$T$17=""),IF($U$4="(nonblank)",--('Final Calculation Sheet'!$T$17&lt;&gt;""),--ISNUMBER(SEARCH($U$4,'Final Calculation Sheet'!$T$17)))))</f>
        <v>1</v>
      </c>
      <c r="EA19">
        <f>IF($V$4="",1,IF($V$4="(blank)",--('Final Calculation Sheet'!$U$17=""),IF($V$4="(nonblank)",--('Final Calculation Sheet'!$U$17&lt;&gt;""),--ISNUMBER(SEARCH($V$4,'Final Calculation Sheet'!$U$17)))))</f>
        <v>1</v>
      </c>
      <c r="EB19">
        <f>IF($W$4="",1,IF($W$4="(blank)",--('Final Calculation Sheet'!$V$17=""),IF($W$4="(nonblank)",--('Final Calculation Sheet'!$V$17&lt;&gt;""),--ISNUMBER(SEARCH($W$4,'Final Calculation Sheet'!$V$17)))))</f>
        <v>1</v>
      </c>
      <c r="EC19">
        <f>IF($X$4="",1,IF($X$4="(blank)",--('Final Calculation Sheet'!$W$17=""),IF($X$4="(nonblank)",--('Final Calculation Sheet'!$W$17&lt;&gt;""),--ISNUMBER(SEARCH($X$4,'Final Calculation Sheet'!$W$17)))))</f>
        <v>1</v>
      </c>
      <c r="ED19">
        <f>IF($Y$4="",1,IF($Y$4="(blank)",--('Final Calculation Sheet'!$X$17=""),IF($Y$4="(nonblank)",--('Final Calculation Sheet'!$X$17&lt;&gt;""),--ISNUMBER(SEARCH($Y$4,'Final Calculation Sheet'!$X$17)))))</f>
        <v>1</v>
      </c>
      <c r="EE19">
        <f>IF($Z$4="",1,IF($Z$4="(blank)",--('Final Calculation Sheet'!$Y$17=""),IF($Z$4="(nonblank)",--('Final Calculation Sheet'!$Y$17&lt;&gt;""),--ISNUMBER(SEARCH($Z$4,'Final Calculation Sheet'!$Y$17)))))</f>
        <v>1</v>
      </c>
      <c r="EF19">
        <f>IF($AA$4="",1,IF($AA$4="(blank)",--('Final Calculation Sheet'!$Z$17=""),IF($AA$4="(nonblank)",--('Final Calculation Sheet'!$Z$17&lt;&gt;""),--ISNUMBER(SEARCH($AA$4,'Final Calculation Sheet'!$Z$17)))))</f>
        <v>1</v>
      </c>
      <c r="EG19">
        <f>IF($AB$4="",1,IF($AB$4="(blank)",--('Final Calculation Sheet'!$AA$17=""),IF($AB$4="(nonblank)",--('Final Calculation Sheet'!$AA$17&lt;&gt;""),--ISNUMBER(SEARCH($AB$4,'Final Calculation Sheet'!$AA$17)))))</f>
        <v>1</v>
      </c>
      <c r="EH19">
        <f>IF($AC$4="",1,IF($AC$4="(blank)",--('Final Calculation Sheet'!$AB$17=""),IF($AC$4="(nonblank)",--('Final Calculation Sheet'!$AB$17&lt;&gt;""),--ISNUMBER(SEARCH($AC$4,'Final Calculation Sheet'!$AB$17)))))</f>
        <v>1</v>
      </c>
      <c r="EI19">
        <f>IF($AD$4="",1,IF($AD$4="(blank)",--('Final Calculation Sheet'!$AC$17=""),IF($AD$4="(nonblank)",--('Final Calculation Sheet'!$AC$17&lt;&gt;""),--ISNUMBER(SEARCH($AD$4,'Final Calculation Sheet'!$AC$17)))))</f>
        <v>1</v>
      </c>
      <c r="EJ19">
        <f>IF($AE$4="",1,IF($AE$4="(blank)",--('Final Calculation Sheet'!$AD$17=""),IF($AE$4="(nonblank)",--('Final Calculation Sheet'!$AD$17&lt;&gt;""),--ISNUMBER(SEARCH($AE$4,'Final Calculation Sheet'!$AD$17)))))</f>
        <v>1</v>
      </c>
      <c r="EK19">
        <f>IF($AF$4="",1,IF($AF$4="(blank)",--(IF('Final Calculation Sheet'!$AD$17&lt;=5,"SETTLED","OUTSTANDING")=""),IF($AF$4="(nonblank)",--(IF('Final Calculation Sheet'!$AD$17&lt;=5,"SETTLED","OUTSTANDING")&lt;&gt;""),--ISNUMBER(SEARCH($AF$4,IF('Final Calculation Sheet'!$AD$17&lt;=5,"SETTLED","OUTSTANDING"))))))</f>
        <v>1</v>
      </c>
      <c r="EL19">
        <f>IF($AG$4="",1,IF($AG$4="(blank)",--('Final Calculation Sheet'!$AF$17=""),IF($AG$4="(nonblank)",--('Final Calculation Sheet'!$AF$17&lt;&gt;""),--ISNUMBER(SEARCH($AG$4,'Final Calculation Sheet'!$AF$17)))))</f>
        <v>1</v>
      </c>
      <c r="EM19">
        <f>IF($AH$4="",1,IF($AH$4="(blank)",--('Final Calculation Sheet'!$AG$17=""),IF($AH$4="(nonblank)",--('Final Calculation Sheet'!$AG$17&lt;&gt;""),--ISNUMBER(SEARCH($AH$4,'Final Calculation Sheet'!$AG$17)))))</f>
        <v>1</v>
      </c>
      <c r="EN19">
        <f>IF($AI$4="",1,IF($AI$4="(blank)",--('Final Calculation Sheet'!$AH$17=""),IF($AI$4="(nonblank)",--('Final Calculation Sheet'!$AH$17&lt;&gt;""),--ISNUMBER(SEARCH($AI$4,'Final Calculation Sheet'!$AH$17)))))</f>
        <v>1</v>
      </c>
    </row>
    <row r="20" spans="1:144" hidden="1" outlineLevel="1" x14ac:dyDescent="0.3">
      <c r="A20" s="117" t="str">
        <f>IF($AL$20="","",14)</f>
        <v/>
      </c>
      <c r="B20" s="118" t="str">
        <f>IF($AL$20="","",IF(INDEX('Final Calculation Sheet'!$F$4:$F$40,$AL$20)="","",INDEX('Final Calculation Sheet'!$F$4:$F$40,$AL$20)))</f>
        <v/>
      </c>
      <c r="C20" s="118" t="str">
        <f>IF($AL$20="","",IF(INDEX('Final Calculation Sheet'!$G$4:$G$40,$AL$20)="","",INDEX('Final Calculation Sheet'!$G$4:$G$40,$AL$20)))</f>
        <v/>
      </c>
      <c r="D20" s="119" t="str">
        <f>IF($AL$20="","",IF(INDEX('Final Calculation Sheet'!$B$4:$B$40,$AL$20)="","",INDEX('Final Calculation Sheet'!$B$4:$B$40,$AL$20)))</f>
        <v/>
      </c>
      <c r="E20" s="119" t="str">
        <f>IF($AL$20="","",IF(INDEX('Final Calculation Sheet'!$D$4:$D$40,$AL$20)="","",INDEX('Final Calculation Sheet'!$D$4:$D$40,$AL$20)))</f>
        <v/>
      </c>
      <c r="F20" s="119" t="str">
        <f>IF($AL$20="","",IF(INDEX('Final Calculation Sheet'!$A$4:$A$40,$AL$20)="","",INDEX('Final Calculation Sheet'!$A$4:$A$40,$AL$20)))</f>
        <v/>
      </c>
      <c r="G20" s="119" t="str">
        <f>IF($AL$20="","",IF(INDEX('Final Calculation Sheet'!$E$4:$E$40,$AL$20)="","",INDEX('Final Calculation Sheet'!$E$4:$E$40,$AL$20)))</f>
        <v/>
      </c>
      <c r="H20" s="120" t="str">
        <f>IF($AL$20="","",IF(INDEX('Final Calculation Sheet'!$C$4:$C$40,$AL$20)="","",INDEX('Final Calculation Sheet'!$C$4:$C$40,$AL$20)))</f>
        <v/>
      </c>
      <c r="I20" s="120" t="str">
        <f>IF($AL$20="","",IF(INDEX('Final Calculation Sheet'!$H$4:$H$40,$AL$20)="","",INDEX('Final Calculation Sheet'!$H$4:$H$40,$AL$20)))</f>
        <v/>
      </c>
      <c r="J20" s="120" t="str">
        <f>IF($AL$20="","",IF(INDEX('Final Calculation Sheet'!$I$4:$I$40,$AL$20)="","",INDEX('Final Calculation Sheet'!$I$4:$I$40,$AL$20)))</f>
        <v/>
      </c>
      <c r="K20" s="120" t="str">
        <f>IF($AL$20="","",IF(INDEX('Final Calculation Sheet'!$J$4:$J$40,$AL$20)="","",INDEX('Final Calculation Sheet'!$J$4:$J$40,$AL$20)))</f>
        <v/>
      </c>
      <c r="L20" s="120" t="str">
        <f>IF($AL$20="","",IF(INDEX('Final Calculation Sheet'!$K$4:$K$40,$AL$20)="","",INDEX('Final Calculation Sheet'!$K$4:$K$40,$AL$20)))</f>
        <v/>
      </c>
      <c r="M20" s="120" t="str">
        <f>IF($AL$20="","",IF(INDEX('Final Calculation Sheet'!$L$4:$L$40,$AL$20)="","",INDEX('Final Calculation Sheet'!$L$4:$L$40,$AL$20)))</f>
        <v/>
      </c>
      <c r="N20" s="120" t="str">
        <f>IF($AL$20="","",IF(INDEX('Final Calculation Sheet'!$M$4:$M$40,$AL$20)="","",INDEX('Final Calculation Sheet'!$M$4:$M$40,$AL$20)))</f>
        <v/>
      </c>
      <c r="O20" s="121" t="str">
        <f>IF($AL$20="","",IF(INDEX('Final Calculation Sheet'!$N$4:$N$40,$AL$20)="","",INDEX('Final Calculation Sheet'!$N$4:$N$40,$AL$20)))</f>
        <v/>
      </c>
      <c r="P20" s="120" t="str">
        <f>IF($AL$20="","",IF(INDEX('Final Calculation Sheet'!$O$4:$O$40,$AL$20)="","",INDEX('Final Calculation Sheet'!$O$4:$O$40,$AL$20)))</f>
        <v/>
      </c>
      <c r="Q20" s="120" t="str">
        <f>IF($AL$20="","",IF(INDEX('Final Calculation Sheet'!$P$4:$P$40,$AL$20)="","",INDEX('Final Calculation Sheet'!$P$4:$P$40,$AL$20)))</f>
        <v/>
      </c>
      <c r="R20" s="122" t="str">
        <f>IF($AL$20="","",IF(INDEX('Final Calculation Sheet'!$Q$4:$Q$40,$AL$20)="","",INDEX('Final Calculation Sheet'!$Q$4:$Q$40,$AL$20)))</f>
        <v/>
      </c>
      <c r="S20" s="120" t="str">
        <f>IF($AL$20="","",IF(INDEX('Final Calculation Sheet'!$R$4:$R$40,$AL$20)="","",INDEX('Final Calculation Sheet'!$R$4:$R$40,$AL$20)))</f>
        <v/>
      </c>
      <c r="T20" s="120" t="str">
        <f>IF($AL$20="","",IF(INDEX('Final Calculation Sheet'!$S$4:$S$40,$AL$20)="","",INDEX('Final Calculation Sheet'!$S$4:$S$40,$AL$20)))</f>
        <v/>
      </c>
      <c r="U20" s="120" t="str">
        <f>IF($AL$20="","",IF(INDEX('Final Calculation Sheet'!$T$4:$T$40,$AL$20)="","",INDEX('Final Calculation Sheet'!$T$4:$T$40,$AL$20)))</f>
        <v/>
      </c>
      <c r="V20" s="123" t="str">
        <f>IF($AL$20="","",IF(INDEX('Final Calculation Sheet'!$U$4:$U$40,$AL$20)="","",INDEX('Final Calculation Sheet'!$U$4:$U$40,$AL$20)))</f>
        <v/>
      </c>
      <c r="W20" s="120" t="str">
        <f>IF($AL$20="","",IF(INDEX('Final Calculation Sheet'!$V$4:$V$40,$AL$20)="","",INDEX('Final Calculation Sheet'!$V$4:$V$40,$AL$20)))</f>
        <v/>
      </c>
      <c r="X20" s="120" t="str">
        <f>IF($AL$20="","",IF(INDEX('Final Calculation Sheet'!$W$4:$W$40,$AL$20)="","",INDEX('Final Calculation Sheet'!$W$4:$W$40,$AL$20)))</f>
        <v/>
      </c>
      <c r="Y20" s="120" t="str">
        <f>IF($AL$20="","",IF(INDEX('Final Calculation Sheet'!$X$4:$X$40,$AL$20)="","",INDEX('Final Calculation Sheet'!$X$4:$X$40,$AL$20)))</f>
        <v/>
      </c>
      <c r="Z20" s="120" t="str">
        <f>IF($AL$20="","",IF(INDEX('Final Calculation Sheet'!$Y$4:$Y$40,$AL$20)="","",INDEX('Final Calculation Sheet'!$Y$4:$Y$40,$AL$20)))</f>
        <v/>
      </c>
      <c r="AA20" s="120" t="str">
        <f>IF($AL$20="","",IF(INDEX('Final Calculation Sheet'!$Z$4:$Z$40,$AL$20)="","",INDEX('Final Calculation Sheet'!$Z$4:$Z$40,$AL$20)))</f>
        <v/>
      </c>
      <c r="AB20" s="120" t="str">
        <f>IF($AL$20="","",IF(INDEX('Final Calculation Sheet'!$AA$4:$AA$40,$AL$20)="","",INDEX('Final Calculation Sheet'!$AA$4:$AA$40,$AL$20)))</f>
        <v/>
      </c>
      <c r="AC20" s="120" t="str">
        <f>IF($AL$20="","",IF(INDEX('Final Calculation Sheet'!$AB$4:$AB$40,$AL$20)="","",INDEX('Final Calculation Sheet'!$AB$4:$AB$40,$AL$20)))</f>
        <v/>
      </c>
      <c r="AD20" s="120" t="str">
        <f>IF($AL$20="","",IF(INDEX('Final Calculation Sheet'!$AC$4:$AC$40,$AL$20)="","",INDEX('Final Calculation Sheet'!$AC$4:$AC$40,$AL$20)))</f>
        <v/>
      </c>
      <c r="AE20" s="120" t="str">
        <f>IF($AL$20="","",IF(INDEX('Final Calculation Sheet'!$AD$4:$AD$40,$AL$20)="","",INDEX('Final Calculation Sheet'!$AD$4:$AD$40,$AL$20)))</f>
        <v/>
      </c>
      <c r="AF20" s="125" t="str">
        <f>IF($AL$20="","",IF(INDEX('Final Calculation Sheet'!$AD$4:$AD$40,$AL$20)&lt;=5,"SETTLED","OUTSTANDING"))</f>
        <v/>
      </c>
      <c r="AG20" s="120" t="str">
        <f>IF($AL$20="","",IF(INDEX('Final Calculation Sheet'!$AF$4:$AF$40,$AL$20)="","",INDEX('Final Calculation Sheet'!$AF$4:$AF$40,$AL$20)))</f>
        <v/>
      </c>
      <c r="AH20" s="124" t="str">
        <f>IF($AL$20="","",IF(INDEX('Final Calculation Sheet'!$AG$4:$AG$40,$AL$20)="","",INDEX('Final Calculation Sheet'!$AG$4:$AG$40,$AL$20)))</f>
        <v/>
      </c>
      <c r="AI20" s="120" t="str">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v>1</v>
      </c>
      <c r="AK20">
        <f>IF(AJ20=1,COUNTIF(AJ$6:AJ20,1),"")</f>
        <v>15</v>
      </c>
      <c r="AL20" t="str">
        <f>IF(COUNTIF($B$4:$AI$4,"&lt;&gt;")=0,"",IFERROR(MATCH(14,$AK$6:$AK$42,0),""))</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 ca="1">CK19+IF(AND(Lists!$EJ$20&lt;&gt;"",ISNUMBER(SEARCH($AA$4,Lists!$EJ$20))),1,0)</f>
        <v>17</v>
      </c>
      <c r="CL20">
        <f ca="1">IF(ROW()-3&gt;MAX($CK$4:$CK$42),"",INDEX(Lists!$EJ$4:$EJ$42,MATCH(ROW()-3,$CK$4:$CK$42,0)))</f>
        <v>3032.0099999999998</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f>CS19+IF(AND(Lists!$FD$20&lt;&gt;"",ISNUMBER(SEARCH($AE$4,Lists!$FD$20))),1,0)</f>
        <v>11</v>
      </c>
      <c r="CT20" t="str">
        <f>IF(ROW()-3&gt;MAX($CS$4:$CS$42),"",INDEX(Lists!$FD$4:$FD$42,MATCH(ROW()-3,$CS$4:$CS$42,0)))</f>
        <v/>
      </c>
      <c r="CU20" t="e">
        <f>CU19+IF(AND(Lists!$FI$20&lt;&gt;"",ISNUMBER(SEARCH($AG$4,Lists!$FI$20))),1,0)</f>
        <v>#N/A</v>
      </c>
      <c r="CV20" t="e">
        <f>IF(ROW()-3&gt;MAX($CU$4:$CU$42),"",INDEX(Lists!$FI$4:$FI$42,MATCH(ROW()-3,$CU$4:$CU$42,0)))</f>
        <v>#N/A</v>
      </c>
      <c r="CW20" t="e">
        <f>CW19+IF(AND(Lists!$FN$20&lt;&gt;"",ISNUMBER(SEARCH($AH$4,Lists!$FN$20))),1,0)</f>
        <v>#N/A</v>
      </c>
      <c r="CX20" t="e">
        <f>IF(ROW()-3&gt;MAX($CW$4:$CW$42),"",INDEX(Lists!$FN$4:$FN$42,MATCH(ROW()-3,$CW$4:$CW$42,0)))</f>
        <v>#N/A</v>
      </c>
      <c r="CY20" t="e">
        <f>CY19+IF(AND(Lists!$FS$20&lt;&gt;"",ISNUMBER(SEARCH($AI$4,Lists!$FS$20))),1,0)</f>
        <v>#N/A</v>
      </c>
      <c r="CZ20" t="e">
        <f>IF(ROW()-3&gt;MAX($CY$4:$CY$42),"",INDEX(Lists!$FS$4:$FS$42,MATCH(ROW()-3,$CY$4:$CY$42,0)))</f>
        <v>#N/A</v>
      </c>
      <c r="DA20">
        <f>DA19+IF(AND(Lists!$FX$20&lt;&gt;"",ISNUMBER(SEARCH($AF$4,Lists!$FX$20))),1,0)</f>
        <v>2</v>
      </c>
      <c r="DB20" t="str">
        <f>IF(ROW()-3&gt;MAX($DA$4:$DA$42),"",INDEX(Lists!$FX$4:$FX$42,MATCH(ROW()-3,$DA$4:$DA$42,0)))</f>
        <v/>
      </c>
      <c r="DG20">
        <f>IF($B$4="",1,IF($B$4="(blank)",--('Final Calculation Sheet'!$F$18=""),IF($B$4="(nonblank)",--('Final Calculation Sheet'!$F$18&lt;&gt;""),--ISNUMBER(SEARCH($B$4,'Final Calculation Sheet'!$F$18)))))</f>
        <v>1</v>
      </c>
      <c r="DH20">
        <f>IF($C$4="",1,IF($C$4="(blank)",--('Final Calculation Sheet'!$G$18=""),IF($C$4="(nonblank)",--('Final Calculation Sheet'!$G$18&lt;&gt;""),--ISNUMBER(SEARCH($C$4,'Final Calculation Sheet'!$G$18)))))</f>
        <v>1</v>
      </c>
      <c r="DI20">
        <f>IF($D$4="",1,IF($D$4="(blank)",--('Final Calculation Sheet'!$B$18=""),IF($D$4="(nonblank)",--('Final Calculation Sheet'!$B$18&lt;&gt;""),--ISNUMBER(SEARCH($D$4,'Final Calculation Sheet'!$B$18)))))</f>
        <v>1</v>
      </c>
      <c r="DJ20">
        <f>IF($E$4="",1,IF($E$4="(blank)",--('Final Calculation Sheet'!$D$18=""),IF($E$4="(nonblank)",--('Final Calculation Sheet'!$D$18&lt;&gt;""),--ISNUMBER(SEARCH($E$4,'Final Calculation Sheet'!$D$18)))))</f>
        <v>1</v>
      </c>
      <c r="DK20">
        <f>IF($F$4="",1,IF($F$4="(blank)",--('Final Calculation Sheet'!$A$18=""),IF($F$4="(nonblank)",--('Final Calculation Sheet'!$A$18&lt;&gt;""),--ISNUMBER(SEARCH($F$4,'Final Calculation Sheet'!$A$18)))))</f>
        <v>1</v>
      </c>
      <c r="DL20">
        <f>IF($G$4="",1,IF($G$4="(blank)",--('Final Calculation Sheet'!$E$18=""),IF($G$4="(nonblank)",--('Final Calculation Sheet'!$E$18&lt;&gt;""),--ISNUMBER(SEARCH($G$4,'Final Calculation Sheet'!$E$18)))))</f>
        <v>1</v>
      </c>
      <c r="DM20">
        <f>IF($H$4="",1,IF($H$4="(blank)",--('Final Calculation Sheet'!$C$18=""),IF($H$4="(nonblank)",--('Final Calculation Sheet'!$C$18&lt;&gt;""),--ISNUMBER(SEARCH($H$4,'Final Calculation Sheet'!$C$18)))))</f>
        <v>1</v>
      </c>
      <c r="DN20">
        <f>IF($I$4="",1,IF($I$4="(blank)",--('Final Calculation Sheet'!$H$18=""),IF($I$4="(nonblank)",--('Final Calculation Sheet'!$H$18&lt;&gt;""),--ISNUMBER(SEARCH($I$4,'Final Calculation Sheet'!$H$18)))))</f>
        <v>1</v>
      </c>
      <c r="DO20">
        <f>IF($J$4="",1,IF($J$4="(blank)",--('Final Calculation Sheet'!$I$18=""),IF($J$4="(nonblank)",--('Final Calculation Sheet'!$I$18&lt;&gt;""),--ISNUMBER(SEARCH($J$4,'Final Calculation Sheet'!$I$18)))))</f>
        <v>1</v>
      </c>
      <c r="DP20">
        <f>IF($K$4="",1,IF($K$4="(blank)",--('Final Calculation Sheet'!$J$18=""),IF($K$4="(nonblank)",--('Final Calculation Sheet'!$J$18&lt;&gt;""),--ISNUMBER(SEARCH($K$4,'Final Calculation Sheet'!$J$18)))))</f>
        <v>1</v>
      </c>
      <c r="DQ20">
        <f>IF($L$4="",1,IF($L$4="(blank)",--('Final Calculation Sheet'!$K$18=""),IF($L$4="(nonblank)",--('Final Calculation Sheet'!$K$18&lt;&gt;""),--ISNUMBER(SEARCH($L$4,'Final Calculation Sheet'!$K$18)))))</f>
        <v>1</v>
      </c>
      <c r="DR20">
        <f>IF($M$4="",1,IF($M$4="(blank)",--('Final Calculation Sheet'!$L$18=""),IF($M$4="(nonblank)",--('Final Calculation Sheet'!$L$18&lt;&gt;""),--ISNUMBER(SEARCH($M$4,'Final Calculation Sheet'!$L$18)))))</f>
        <v>1</v>
      </c>
      <c r="DS20">
        <f>IF($N$4="",1,IF($N$4="(blank)",--('Final Calculation Sheet'!$M$18=""),IF($N$4="(nonblank)",--('Final Calculation Sheet'!$M$18&lt;&gt;""),--ISNUMBER(SEARCH($N$4,'Final Calculation Sheet'!$M$18)))))</f>
        <v>1</v>
      </c>
      <c r="DT20">
        <f>IF($O$4="",1,IF($O$4="(blank)",--('Final Calculation Sheet'!$N$18=""),IF($O$4="(nonblank)",--('Final Calculation Sheet'!$N$18&lt;&gt;""),--ISNUMBER(SEARCH($O$4,'Final Calculation Sheet'!$N$18)))))</f>
        <v>1</v>
      </c>
      <c r="DU20">
        <f>IF($P$4="",1,IF($P$4="(blank)",--('Final Calculation Sheet'!$O$18=""),IF($P$4="(nonblank)",--('Final Calculation Sheet'!$O$18&lt;&gt;""),--ISNUMBER(SEARCH($P$4,'Final Calculation Sheet'!$O$18)))))</f>
        <v>1</v>
      </c>
      <c r="DV20">
        <f>IF($Q$4="",1,IF($Q$4="(blank)",--('Final Calculation Sheet'!$P$18=""),IF($Q$4="(nonblank)",--('Final Calculation Sheet'!$P$18&lt;&gt;""),--ISNUMBER(SEARCH($Q$4,'Final Calculation Sheet'!$P$18)))))</f>
        <v>1</v>
      </c>
      <c r="DW20">
        <f>IF($R$4="",1,IF($R$4="(blank)",--('Final Calculation Sheet'!$Q$18=""),IF($R$4="(nonblank)",--('Final Calculation Sheet'!$Q$18&lt;&gt;""),--ISNUMBER(SEARCH($R$4,'Final Calculation Sheet'!$Q$18)))))</f>
        <v>1</v>
      </c>
      <c r="DX20">
        <f>IF($S$4="",1,IF($S$4="(blank)",--('Final Calculation Sheet'!$R$18=""),IF($S$4="(nonblank)",--('Final Calculation Sheet'!$R$18&lt;&gt;""),--ISNUMBER(SEARCH($S$4,'Final Calculation Sheet'!$R$18)))))</f>
        <v>1</v>
      </c>
      <c r="DY20">
        <f>IF($T$4="",1,IF($T$4="(blank)",--('Final Calculation Sheet'!$S$18=""),IF($T$4="(nonblank)",--('Final Calculation Sheet'!$S$18&lt;&gt;""),--ISNUMBER(SEARCH($T$4,'Final Calculation Sheet'!$S$18)))))</f>
        <v>1</v>
      </c>
      <c r="DZ20">
        <f>IF($U$4="",1,IF($U$4="(blank)",--('Final Calculation Sheet'!$T$18=""),IF($U$4="(nonblank)",--('Final Calculation Sheet'!$T$18&lt;&gt;""),--ISNUMBER(SEARCH($U$4,'Final Calculation Sheet'!$T$18)))))</f>
        <v>1</v>
      </c>
      <c r="EA20">
        <f>IF($V$4="",1,IF($V$4="(blank)",--('Final Calculation Sheet'!$U$18=""),IF($V$4="(nonblank)",--('Final Calculation Sheet'!$U$18&lt;&gt;""),--ISNUMBER(SEARCH($V$4,'Final Calculation Sheet'!$U$18)))))</f>
        <v>1</v>
      </c>
      <c r="EB20">
        <f>IF($W$4="",1,IF($W$4="(blank)",--('Final Calculation Sheet'!$V$18=""),IF($W$4="(nonblank)",--('Final Calculation Sheet'!$V$18&lt;&gt;""),--ISNUMBER(SEARCH($W$4,'Final Calculation Sheet'!$V$18)))))</f>
        <v>1</v>
      </c>
      <c r="EC20">
        <f>IF($X$4="",1,IF($X$4="(blank)",--('Final Calculation Sheet'!$W$18=""),IF($X$4="(nonblank)",--('Final Calculation Sheet'!$W$18&lt;&gt;""),--ISNUMBER(SEARCH($X$4,'Final Calculation Sheet'!$W$18)))))</f>
        <v>1</v>
      </c>
      <c r="ED20">
        <f>IF($Y$4="",1,IF($Y$4="(blank)",--('Final Calculation Sheet'!$X$18=""),IF($Y$4="(nonblank)",--('Final Calculation Sheet'!$X$18&lt;&gt;""),--ISNUMBER(SEARCH($Y$4,'Final Calculation Sheet'!$X$18)))))</f>
        <v>1</v>
      </c>
      <c r="EE20">
        <f>IF($Z$4="",1,IF($Z$4="(blank)",--('Final Calculation Sheet'!$Y$18=""),IF($Z$4="(nonblank)",--('Final Calculation Sheet'!$Y$18&lt;&gt;""),--ISNUMBER(SEARCH($Z$4,'Final Calculation Sheet'!$Y$18)))))</f>
        <v>1</v>
      </c>
      <c r="EF20">
        <f>IF($AA$4="",1,IF($AA$4="(blank)",--('Final Calculation Sheet'!$Z$18=""),IF($AA$4="(nonblank)",--('Final Calculation Sheet'!$Z$18&lt;&gt;""),--ISNUMBER(SEARCH($AA$4,'Final Calculation Sheet'!$Z$18)))))</f>
        <v>1</v>
      </c>
      <c r="EG20">
        <f>IF($AB$4="",1,IF($AB$4="(blank)",--('Final Calculation Sheet'!$AA$18=""),IF($AB$4="(nonblank)",--('Final Calculation Sheet'!$AA$18&lt;&gt;""),--ISNUMBER(SEARCH($AB$4,'Final Calculation Sheet'!$AA$18)))))</f>
        <v>1</v>
      </c>
      <c r="EH20">
        <f>IF($AC$4="",1,IF($AC$4="(blank)",--('Final Calculation Sheet'!$AB$18=""),IF($AC$4="(nonblank)",--('Final Calculation Sheet'!$AB$18&lt;&gt;""),--ISNUMBER(SEARCH($AC$4,'Final Calculation Sheet'!$AB$18)))))</f>
        <v>1</v>
      </c>
      <c r="EI20">
        <f>IF($AD$4="",1,IF($AD$4="(blank)",--('Final Calculation Sheet'!$AC$18=""),IF($AD$4="(nonblank)",--('Final Calculation Sheet'!$AC$18&lt;&gt;""),--ISNUMBER(SEARCH($AD$4,'Final Calculation Sheet'!$AC$18)))))</f>
        <v>1</v>
      </c>
      <c r="EJ20">
        <f>IF($AE$4="",1,IF($AE$4="(blank)",--('Final Calculation Sheet'!$AD$18=""),IF($AE$4="(nonblank)",--('Final Calculation Sheet'!$AD$18&lt;&gt;""),--ISNUMBER(SEARCH($AE$4,'Final Calculation Sheet'!$AD$18)))))</f>
        <v>1</v>
      </c>
      <c r="EK20">
        <f>IF($AF$4="",1,IF($AF$4="(blank)",--(IF('Final Calculation Sheet'!$AD$18&lt;=5,"SETTLED","OUTSTANDING")=""),IF($AF$4="(nonblank)",--(IF('Final Calculation Sheet'!$AD$18&lt;=5,"SETTLED","OUTSTANDING")&lt;&gt;""),--ISNUMBER(SEARCH($AF$4,IF('Final Calculation Sheet'!$AD$18&lt;=5,"SETTLED","OUTSTANDING"))))))</f>
        <v>1</v>
      </c>
      <c r="EL20">
        <f>IF($AG$4="",1,IF($AG$4="(blank)",--('Final Calculation Sheet'!$AF$18=""),IF($AG$4="(nonblank)",--('Final Calculation Sheet'!$AF$18&lt;&gt;""),--ISNUMBER(SEARCH($AG$4,'Final Calculation Sheet'!$AF$18)))))</f>
        <v>1</v>
      </c>
      <c r="EM20">
        <f>IF($AH$4="",1,IF($AH$4="(blank)",--('Final Calculation Sheet'!$AG$18=""),IF($AH$4="(nonblank)",--('Final Calculation Sheet'!$AG$18&lt;&gt;""),--ISNUMBER(SEARCH($AH$4,'Final Calculation Sheet'!$AG$18)))))</f>
        <v>1</v>
      </c>
      <c r="EN20">
        <f>IF($AI$4="",1,IF($AI$4="(blank)",--('Final Calculation Sheet'!$AH$18=""),IF($AI$4="(nonblank)",--('Final Calculation Sheet'!$AH$18&lt;&gt;""),--ISNUMBER(SEARCH($AI$4,'Final Calculation Sheet'!$AH$18)))))</f>
        <v>1</v>
      </c>
    </row>
    <row r="21" spans="1:144" hidden="1" outlineLevel="1" x14ac:dyDescent="0.3">
      <c r="A21" s="107" t="str">
        <f>IF($AL$21="","",15)</f>
        <v/>
      </c>
      <c r="B21" s="108" t="str">
        <f>IF($AL$21="","",IF(INDEX('Final Calculation Sheet'!$F$4:$F$40,$AL$21)="","",INDEX('Final Calculation Sheet'!$F$4:$F$40,$AL$21)))</f>
        <v/>
      </c>
      <c r="C21" s="108" t="str">
        <f>IF($AL$21="","",IF(INDEX('Final Calculation Sheet'!$G$4:$G$40,$AL$21)="","",INDEX('Final Calculation Sheet'!$G$4:$G$40,$AL$21)))</f>
        <v/>
      </c>
      <c r="D21" s="110" t="str">
        <f>IF($AL$21="","",IF(INDEX('Final Calculation Sheet'!$B$4:$B$40,$AL$21)="","",INDEX('Final Calculation Sheet'!$B$4:$B$40,$AL$21)))</f>
        <v/>
      </c>
      <c r="E21" s="110" t="str">
        <f>IF($AL$21="","",IF(INDEX('Final Calculation Sheet'!$D$4:$D$40,$AL$21)="","",INDEX('Final Calculation Sheet'!$D$4:$D$40,$AL$21)))</f>
        <v/>
      </c>
      <c r="F21" s="110" t="str">
        <f>IF($AL$21="","",IF(INDEX('Final Calculation Sheet'!$A$4:$A$40,$AL$21)="","",INDEX('Final Calculation Sheet'!$A$4:$A$40,$AL$21)))</f>
        <v/>
      </c>
      <c r="G21" s="110" t="str">
        <f>IF($AL$21="","",IF(INDEX('Final Calculation Sheet'!$E$4:$E$40,$AL$21)="","",INDEX('Final Calculation Sheet'!$E$4:$E$40,$AL$21)))</f>
        <v/>
      </c>
      <c r="H21" s="111" t="str">
        <f>IF($AL$21="","",IF(INDEX('Final Calculation Sheet'!$C$4:$C$40,$AL$21)="","",INDEX('Final Calculation Sheet'!$C$4:$C$40,$AL$21)))</f>
        <v/>
      </c>
      <c r="I21" s="111" t="str">
        <f>IF($AL$21="","",IF(INDEX('Final Calculation Sheet'!$H$4:$H$40,$AL$21)="","",INDEX('Final Calculation Sheet'!$H$4:$H$40,$AL$21)))</f>
        <v/>
      </c>
      <c r="J21" s="111" t="str">
        <f>IF($AL$21="","",IF(INDEX('Final Calculation Sheet'!$I$4:$I$40,$AL$21)="","",INDEX('Final Calculation Sheet'!$I$4:$I$40,$AL$21)))</f>
        <v/>
      </c>
      <c r="K21" s="111" t="str">
        <f>IF($AL$21="","",IF(INDEX('Final Calculation Sheet'!$J$4:$J$40,$AL$21)="","",INDEX('Final Calculation Sheet'!$J$4:$J$40,$AL$21)))</f>
        <v/>
      </c>
      <c r="L21" s="111" t="str">
        <f>IF($AL$21="","",IF(INDEX('Final Calculation Sheet'!$K$4:$K$40,$AL$21)="","",INDEX('Final Calculation Sheet'!$K$4:$K$40,$AL$21)))</f>
        <v/>
      </c>
      <c r="M21" s="111" t="str">
        <f>IF($AL$21="","",IF(INDEX('Final Calculation Sheet'!$L$4:$L$40,$AL$21)="","",INDEX('Final Calculation Sheet'!$L$4:$L$40,$AL$21)))</f>
        <v/>
      </c>
      <c r="N21" s="111" t="str">
        <f>IF($AL$21="","",IF(INDEX('Final Calculation Sheet'!$M$4:$M$40,$AL$21)="","",INDEX('Final Calculation Sheet'!$M$4:$M$40,$AL$21)))</f>
        <v/>
      </c>
      <c r="O21" s="112" t="str">
        <f>IF($AL$21="","",IF(INDEX('Final Calculation Sheet'!$N$4:$N$40,$AL$21)="","",INDEX('Final Calculation Sheet'!$N$4:$N$40,$AL$21)))</f>
        <v/>
      </c>
      <c r="P21" s="111" t="str">
        <f>IF($AL$21="","",IF(INDEX('Final Calculation Sheet'!$O$4:$O$40,$AL$21)="","",INDEX('Final Calculation Sheet'!$O$4:$O$40,$AL$21)))</f>
        <v/>
      </c>
      <c r="Q21" s="111" t="str">
        <f>IF($AL$21="","",IF(INDEX('Final Calculation Sheet'!$P$4:$P$40,$AL$21)="","",INDEX('Final Calculation Sheet'!$P$4:$P$40,$AL$21)))</f>
        <v/>
      </c>
      <c r="R21" s="113" t="str">
        <f>IF($AL$21="","",IF(INDEX('Final Calculation Sheet'!$Q$4:$Q$40,$AL$21)="","",INDEX('Final Calculation Sheet'!$Q$4:$Q$40,$AL$21)))</f>
        <v/>
      </c>
      <c r="S21" s="111" t="str">
        <f>IF($AL$21="","",IF(INDEX('Final Calculation Sheet'!$R$4:$R$40,$AL$21)="","",INDEX('Final Calculation Sheet'!$R$4:$R$40,$AL$21)))</f>
        <v/>
      </c>
      <c r="T21" s="111" t="str">
        <f>IF($AL$21="","",IF(INDEX('Final Calculation Sheet'!$S$4:$S$40,$AL$21)="","",INDEX('Final Calculation Sheet'!$S$4:$S$40,$AL$21)))</f>
        <v/>
      </c>
      <c r="U21" s="111" t="str">
        <f>IF($AL$21="","",IF(INDEX('Final Calculation Sheet'!$T$4:$T$40,$AL$21)="","",INDEX('Final Calculation Sheet'!$T$4:$T$40,$AL$21)))</f>
        <v/>
      </c>
      <c r="V21" s="114" t="str">
        <f>IF($AL$21="","",IF(INDEX('Final Calculation Sheet'!$U$4:$U$40,$AL$21)="","",INDEX('Final Calculation Sheet'!$U$4:$U$40,$AL$21)))</f>
        <v/>
      </c>
      <c r="W21" s="111" t="str">
        <f>IF($AL$21="","",IF(INDEX('Final Calculation Sheet'!$V$4:$V$40,$AL$21)="","",INDEX('Final Calculation Sheet'!$V$4:$V$40,$AL$21)))</f>
        <v/>
      </c>
      <c r="X21" s="111" t="str">
        <f>IF($AL$21="","",IF(INDEX('Final Calculation Sheet'!$W$4:$W$40,$AL$21)="","",INDEX('Final Calculation Sheet'!$W$4:$W$40,$AL$21)))</f>
        <v/>
      </c>
      <c r="Y21" s="111" t="str">
        <f>IF($AL$21="","",IF(INDEX('Final Calculation Sheet'!$X$4:$X$40,$AL$21)="","",INDEX('Final Calculation Sheet'!$X$4:$X$40,$AL$21)))</f>
        <v/>
      </c>
      <c r="Z21" s="111" t="str">
        <f>IF($AL$21="","",IF(INDEX('Final Calculation Sheet'!$Y$4:$Y$40,$AL$21)="","",INDEX('Final Calculation Sheet'!$Y$4:$Y$40,$AL$21)))</f>
        <v/>
      </c>
      <c r="AA21" s="111" t="str">
        <f>IF($AL$21="","",IF(INDEX('Final Calculation Sheet'!$Z$4:$Z$40,$AL$21)="","",INDEX('Final Calculation Sheet'!$Z$4:$Z$40,$AL$21)))</f>
        <v/>
      </c>
      <c r="AB21" s="111" t="str">
        <f>IF($AL$21="","",IF(INDEX('Final Calculation Sheet'!$AA$4:$AA$40,$AL$21)="","",INDEX('Final Calculation Sheet'!$AA$4:$AA$40,$AL$21)))</f>
        <v/>
      </c>
      <c r="AC21" s="111" t="str">
        <f>IF($AL$21="","",IF(INDEX('Final Calculation Sheet'!$AB$4:$AB$40,$AL$21)="","",INDEX('Final Calculation Sheet'!$AB$4:$AB$40,$AL$21)))</f>
        <v/>
      </c>
      <c r="AD21" s="111" t="str">
        <f>IF($AL$21="","",IF(INDEX('Final Calculation Sheet'!$AC$4:$AC$40,$AL$21)="","",INDEX('Final Calculation Sheet'!$AC$4:$AC$40,$AL$21)))</f>
        <v/>
      </c>
      <c r="AE21" s="111" t="str">
        <f>IF($AL$21="","",IF(INDEX('Final Calculation Sheet'!$AD$4:$AD$40,$AL$21)="","",INDEX('Final Calculation Sheet'!$AD$4:$AD$40,$AL$21)))</f>
        <v/>
      </c>
      <c r="AF21" s="116" t="str">
        <f>IF($AL$21="","",IF(INDEX('Final Calculation Sheet'!$AD$4:$AD$40,$AL$21)&lt;=5,"SETTLED","OUTSTANDING"))</f>
        <v/>
      </c>
      <c r="AG21" s="111" t="str">
        <f>IF($AL$21="","",IF(INDEX('Final Calculation Sheet'!$AF$4:$AF$40,$AL$21)="","",INDEX('Final Calculation Sheet'!$AF$4:$AF$40,$AL$21)))</f>
        <v/>
      </c>
      <c r="AH21" s="115" t="str">
        <f>IF($AL$21="","",IF(INDEX('Final Calculation Sheet'!$AG$4:$AG$40,$AL$21)="","",INDEX('Final Calculation Sheet'!$AG$4:$AG$40,$AL$21)))</f>
        <v/>
      </c>
      <c r="AI21" s="111" t="str">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v>1</v>
      </c>
      <c r="AK21">
        <f>IF(AJ21=1,COUNTIF(AJ$6:AJ21,1),"")</f>
        <v>16</v>
      </c>
      <c r="AL21" t="str">
        <f>IF(COUNTIF($B$4:$AI$4,"&lt;&gt;")=0,"",IFERROR(MATCH(15,$AK$6:$AK$42,0),""))</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 ca="1">CK20+IF(AND(Lists!$EJ$21&lt;&gt;"",ISNUMBER(SEARCH($AA$4,Lists!$EJ$21))),1,0)</f>
        <v>18</v>
      </c>
      <c r="CL21">
        <f ca="1">IF(ROW()-3&gt;MAX($CK$4:$CK$42),"",INDEX(Lists!$EJ$4:$EJ$42,MATCH(ROW()-3,$CK$4:$CK$42,0)))</f>
        <v>4805.5499999999993</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f>CS20+IF(AND(Lists!$FD$21&lt;&gt;"",ISNUMBER(SEARCH($AE$4,Lists!$FD$21))),1,0)</f>
        <v>11</v>
      </c>
      <c r="CT21" t="str">
        <f>IF(ROW()-3&gt;MAX($CS$4:$CS$42),"",INDEX(Lists!$FD$4:$FD$42,MATCH(ROW()-3,$CS$4:$CS$42,0)))</f>
        <v/>
      </c>
      <c r="CU21" t="e">
        <f>CU20+IF(AND(Lists!$FI$21&lt;&gt;"",ISNUMBER(SEARCH($AG$4,Lists!$FI$21))),1,0)</f>
        <v>#N/A</v>
      </c>
      <c r="CV21" t="e">
        <f>IF(ROW()-3&gt;MAX($CU$4:$CU$42),"",INDEX(Lists!$FI$4:$FI$42,MATCH(ROW()-3,$CU$4:$CU$42,0)))</f>
        <v>#N/A</v>
      </c>
      <c r="CW21" t="e">
        <f>CW20+IF(AND(Lists!$FN$21&lt;&gt;"",ISNUMBER(SEARCH($AH$4,Lists!$FN$21))),1,0)</f>
        <v>#N/A</v>
      </c>
      <c r="CX21" t="e">
        <f>IF(ROW()-3&gt;MAX($CW$4:$CW$42),"",INDEX(Lists!$FN$4:$FN$42,MATCH(ROW()-3,$CW$4:$CW$42,0)))</f>
        <v>#N/A</v>
      </c>
      <c r="CY21" t="e">
        <f>CY20+IF(AND(Lists!$FS$21&lt;&gt;"",ISNUMBER(SEARCH($AI$4,Lists!$FS$21))),1,0)</f>
        <v>#N/A</v>
      </c>
      <c r="CZ21" t="e">
        <f>IF(ROW()-3&gt;MAX($CY$4:$CY$42),"",INDEX(Lists!$FS$4:$FS$42,MATCH(ROW()-3,$CY$4:$CY$42,0)))</f>
        <v>#N/A</v>
      </c>
      <c r="DA21">
        <f>DA20+IF(AND(Lists!$FX$21&lt;&gt;"",ISNUMBER(SEARCH($AF$4,Lists!$FX$21))),1,0)</f>
        <v>2</v>
      </c>
      <c r="DB21" t="str">
        <f>IF(ROW()-3&gt;MAX($DA$4:$DA$42),"",INDEX(Lists!$FX$4:$FX$42,MATCH(ROW()-3,$DA$4:$DA$42,0)))</f>
        <v/>
      </c>
      <c r="DG21">
        <f>IF($B$4="",1,IF($B$4="(blank)",--('Final Calculation Sheet'!$F$19=""),IF($B$4="(nonblank)",--('Final Calculation Sheet'!$F$19&lt;&gt;""),--ISNUMBER(SEARCH($B$4,'Final Calculation Sheet'!$F$19)))))</f>
        <v>1</v>
      </c>
      <c r="DH21">
        <f>IF($C$4="",1,IF($C$4="(blank)",--('Final Calculation Sheet'!$G$19=""),IF($C$4="(nonblank)",--('Final Calculation Sheet'!$G$19&lt;&gt;""),--ISNUMBER(SEARCH($C$4,'Final Calculation Sheet'!$G$19)))))</f>
        <v>1</v>
      </c>
      <c r="DI21">
        <f>IF($D$4="",1,IF($D$4="(blank)",--('Final Calculation Sheet'!$B$19=""),IF($D$4="(nonblank)",--('Final Calculation Sheet'!$B$19&lt;&gt;""),--ISNUMBER(SEARCH($D$4,'Final Calculation Sheet'!$B$19)))))</f>
        <v>1</v>
      </c>
      <c r="DJ21">
        <f>IF($E$4="",1,IF($E$4="(blank)",--('Final Calculation Sheet'!$D$19=""),IF($E$4="(nonblank)",--('Final Calculation Sheet'!$D$19&lt;&gt;""),--ISNUMBER(SEARCH($E$4,'Final Calculation Sheet'!$D$19)))))</f>
        <v>1</v>
      </c>
      <c r="DK21">
        <f>IF($F$4="",1,IF($F$4="(blank)",--('Final Calculation Sheet'!$A$19=""),IF($F$4="(nonblank)",--('Final Calculation Sheet'!$A$19&lt;&gt;""),--ISNUMBER(SEARCH($F$4,'Final Calculation Sheet'!$A$19)))))</f>
        <v>1</v>
      </c>
      <c r="DL21">
        <f>IF($G$4="",1,IF($G$4="(blank)",--('Final Calculation Sheet'!$E$19=""),IF($G$4="(nonblank)",--('Final Calculation Sheet'!$E$19&lt;&gt;""),--ISNUMBER(SEARCH($G$4,'Final Calculation Sheet'!$E$19)))))</f>
        <v>1</v>
      </c>
      <c r="DM21">
        <f>IF($H$4="",1,IF($H$4="(blank)",--('Final Calculation Sheet'!$C$19=""),IF($H$4="(nonblank)",--('Final Calculation Sheet'!$C$19&lt;&gt;""),--ISNUMBER(SEARCH($H$4,'Final Calculation Sheet'!$C$19)))))</f>
        <v>1</v>
      </c>
      <c r="DN21">
        <f>IF($I$4="",1,IF($I$4="(blank)",--('Final Calculation Sheet'!$H$19=""),IF($I$4="(nonblank)",--('Final Calculation Sheet'!$H$19&lt;&gt;""),--ISNUMBER(SEARCH($I$4,'Final Calculation Sheet'!$H$19)))))</f>
        <v>1</v>
      </c>
      <c r="DO21">
        <f>IF($J$4="",1,IF($J$4="(blank)",--('Final Calculation Sheet'!$I$19=""),IF($J$4="(nonblank)",--('Final Calculation Sheet'!$I$19&lt;&gt;""),--ISNUMBER(SEARCH($J$4,'Final Calculation Sheet'!$I$19)))))</f>
        <v>1</v>
      </c>
      <c r="DP21">
        <f>IF($K$4="",1,IF($K$4="(blank)",--('Final Calculation Sheet'!$J$19=""),IF($K$4="(nonblank)",--('Final Calculation Sheet'!$J$19&lt;&gt;""),--ISNUMBER(SEARCH($K$4,'Final Calculation Sheet'!$J$19)))))</f>
        <v>1</v>
      </c>
      <c r="DQ21">
        <f>IF($L$4="",1,IF($L$4="(blank)",--('Final Calculation Sheet'!$K$19=""),IF($L$4="(nonblank)",--('Final Calculation Sheet'!$K$19&lt;&gt;""),--ISNUMBER(SEARCH($L$4,'Final Calculation Sheet'!$K$19)))))</f>
        <v>1</v>
      </c>
      <c r="DR21">
        <f>IF($M$4="",1,IF($M$4="(blank)",--('Final Calculation Sheet'!$L$19=""),IF($M$4="(nonblank)",--('Final Calculation Sheet'!$L$19&lt;&gt;""),--ISNUMBER(SEARCH($M$4,'Final Calculation Sheet'!$L$19)))))</f>
        <v>1</v>
      </c>
      <c r="DS21">
        <f>IF($N$4="",1,IF($N$4="(blank)",--('Final Calculation Sheet'!$M$19=""),IF($N$4="(nonblank)",--('Final Calculation Sheet'!$M$19&lt;&gt;""),--ISNUMBER(SEARCH($N$4,'Final Calculation Sheet'!$M$19)))))</f>
        <v>1</v>
      </c>
      <c r="DT21">
        <f>IF($O$4="",1,IF($O$4="(blank)",--('Final Calculation Sheet'!$N$19=""),IF($O$4="(nonblank)",--('Final Calculation Sheet'!$N$19&lt;&gt;""),--ISNUMBER(SEARCH($O$4,'Final Calculation Sheet'!$N$19)))))</f>
        <v>1</v>
      </c>
      <c r="DU21">
        <f>IF($P$4="",1,IF($P$4="(blank)",--('Final Calculation Sheet'!$O$19=""),IF($P$4="(nonblank)",--('Final Calculation Sheet'!$O$19&lt;&gt;""),--ISNUMBER(SEARCH($P$4,'Final Calculation Sheet'!$O$19)))))</f>
        <v>1</v>
      </c>
      <c r="DV21">
        <f>IF($Q$4="",1,IF($Q$4="(blank)",--('Final Calculation Sheet'!$P$19=""),IF($Q$4="(nonblank)",--('Final Calculation Sheet'!$P$19&lt;&gt;""),--ISNUMBER(SEARCH($Q$4,'Final Calculation Sheet'!$P$19)))))</f>
        <v>1</v>
      </c>
      <c r="DW21">
        <f>IF($R$4="",1,IF($R$4="(blank)",--('Final Calculation Sheet'!$Q$19=""),IF($R$4="(nonblank)",--('Final Calculation Sheet'!$Q$19&lt;&gt;""),--ISNUMBER(SEARCH($R$4,'Final Calculation Sheet'!$Q$19)))))</f>
        <v>1</v>
      </c>
      <c r="DX21">
        <f>IF($S$4="",1,IF($S$4="(blank)",--('Final Calculation Sheet'!$R$19=""),IF($S$4="(nonblank)",--('Final Calculation Sheet'!$R$19&lt;&gt;""),--ISNUMBER(SEARCH($S$4,'Final Calculation Sheet'!$R$19)))))</f>
        <v>1</v>
      </c>
      <c r="DY21">
        <f>IF($T$4="",1,IF($T$4="(blank)",--('Final Calculation Sheet'!$S$19=""),IF($T$4="(nonblank)",--('Final Calculation Sheet'!$S$19&lt;&gt;""),--ISNUMBER(SEARCH($T$4,'Final Calculation Sheet'!$S$19)))))</f>
        <v>1</v>
      </c>
      <c r="DZ21">
        <f>IF($U$4="",1,IF($U$4="(blank)",--('Final Calculation Sheet'!$T$19=""),IF($U$4="(nonblank)",--('Final Calculation Sheet'!$T$19&lt;&gt;""),--ISNUMBER(SEARCH($U$4,'Final Calculation Sheet'!$T$19)))))</f>
        <v>1</v>
      </c>
      <c r="EA21">
        <f>IF($V$4="",1,IF($V$4="(blank)",--('Final Calculation Sheet'!$U$19=""),IF($V$4="(nonblank)",--('Final Calculation Sheet'!$U$19&lt;&gt;""),--ISNUMBER(SEARCH($V$4,'Final Calculation Sheet'!$U$19)))))</f>
        <v>1</v>
      </c>
      <c r="EB21">
        <f>IF($W$4="",1,IF($W$4="(blank)",--('Final Calculation Sheet'!$V$19=""),IF($W$4="(nonblank)",--('Final Calculation Sheet'!$V$19&lt;&gt;""),--ISNUMBER(SEARCH($W$4,'Final Calculation Sheet'!$V$19)))))</f>
        <v>1</v>
      </c>
      <c r="EC21">
        <f>IF($X$4="",1,IF($X$4="(blank)",--('Final Calculation Sheet'!$W$19=""),IF($X$4="(nonblank)",--('Final Calculation Sheet'!$W$19&lt;&gt;""),--ISNUMBER(SEARCH($X$4,'Final Calculation Sheet'!$W$19)))))</f>
        <v>1</v>
      </c>
      <c r="ED21">
        <f>IF($Y$4="",1,IF($Y$4="(blank)",--('Final Calculation Sheet'!$X$19=""),IF($Y$4="(nonblank)",--('Final Calculation Sheet'!$X$19&lt;&gt;""),--ISNUMBER(SEARCH($Y$4,'Final Calculation Sheet'!$X$19)))))</f>
        <v>1</v>
      </c>
      <c r="EE21">
        <f>IF($Z$4="",1,IF($Z$4="(blank)",--('Final Calculation Sheet'!$Y$19=""),IF($Z$4="(nonblank)",--('Final Calculation Sheet'!$Y$19&lt;&gt;""),--ISNUMBER(SEARCH($Z$4,'Final Calculation Sheet'!$Y$19)))))</f>
        <v>1</v>
      </c>
      <c r="EF21">
        <f>IF($AA$4="",1,IF($AA$4="(blank)",--('Final Calculation Sheet'!$Z$19=""),IF($AA$4="(nonblank)",--('Final Calculation Sheet'!$Z$19&lt;&gt;""),--ISNUMBER(SEARCH($AA$4,'Final Calculation Sheet'!$Z$19)))))</f>
        <v>1</v>
      </c>
      <c r="EG21">
        <f>IF($AB$4="",1,IF($AB$4="(blank)",--('Final Calculation Sheet'!$AA$19=""),IF($AB$4="(nonblank)",--('Final Calculation Sheet'!$AA$19&lt;&gt;""),--ISNUMBER(SEARCH($AB$4,'Final Calculation Sheet'!$AA$19)))))</f>
        <v>1</v>
      </c>
      <c r="EH21">
        <f>IF($AC$4="",1,IF($AC$4="(blank)",--('Final Calculation Sheet'!$AB$19=""),IF($AC$4="(nonblank)",--('Final Calculation Sheet'!$AB$19&lt;&gt;""),--ISNUMBER(SEARCH($AC$4,'Final Calculation Sheet'!$AB$19)))))</f>
        <v>1</v>
      </c>
      <c r="EI21">
        <f>IF($AD$4="",1,IF($AD$4="(blank)",--('Final Calculation Sheet'!$AC$19=""),IF($AD$4="(nonblank)",--('Final Calculation Sheet'!$AC$19&lt;&gt;""),--ISNUMBER(SEARCH($AD$4,'Final Calculation Sheet'!$AC$19)))))</f>
        <v>1</v>
      </c>
      <c r="EJ21">
        <f>IF($AE$4="",1,IF($AE$4="(blank)",--('Final Calculation Sheet'!$AD$19=""),IF($AE$4="(nonblank)",--('Final Calculation Sheet'!$AD$19&lt;&gt;""),--ISNUMBER(SEARCH($AE$4,'Final Calculation Sheet'!$AD$19)))))</f>
        <v>1</v>
      </c>
      <c r="EK21">
        <f>IF($AF$4="",1,IF($AF$4="(blank)",--(IF('Final Calculation Sheet'!$AD$19&lt;=5,"SETTLED","OUTSTANDING")=""),IF($AF$4="(nonblank)",--(IF('Final Calculation Sheet'!$AD$19&lt;=5,"SETTLED","OUTSTANDING")&lt;&gt;""),--ISNUMBER(SEARCH($AF$4,IF('Final Calculation Sheet'!$AD$19&lt;=5,"SETTLED","OUTSTANDING"))))))</f>
        <v>1</v>
      </c>
      <c r="EL21">
        <f>IF($AG$4="",1,IF($AG$4="(blank)",--('Final Calculation Sheet'!$AF$19=""),IF($AG$4="(nonblank)",--('Final Calculation Sheet'!$AF$19&lt;&gt;""),--ISNUMBER(SEARCH($AG$4,'Final Calculation Sheet'!$AF$19)))))</f>
        <v>1</v>
      </c>
      <c r="EM21">
        <f>IF($AH$4="",1,IF($AH$4="(blank)",--('Final Calculation Sheet'!$AG$19=""),IF($AH$4="(nonblank)",--('Final Calculation Sheet'!$AG$19&lt;&gt;""),--ISNUMBER(SEARCH($AH$4,'Final Calculation Sheet'!$AG$19)))))</f>
        <v>1</v>
      </c>
      <c r="EN21">
        <f>IF($AI$4="",1,IF($AI$4="(blank)",--('Final Calculation Sheet'!$AH$19=""),IF($AI$4="(nonblank)",--('Final Calculation Sheet'!$AH$19&lt;&gt;""),--ISNUMBER(SEARCH($AI$4,'Final Calculation Sheet'!$AH$19)))))</f>
        <v>1</v>
      </c>
    </row>
    <row r="22" spans="1:144" hidden="1" outlineLevel="1" x14ac:dyDescent="0.3">
      <c r="A22" s="117" t="str">
        <f>IF($AL$22="","",16)</f>
        <v/>
      </c>
      <c r="B22" s="118" t="str">
        <f>IF($AL$22="","",IF(INDEX('Final Calculation Sheet'!$F$4:$F$40,$AL$22)="","",INDEX('Final Calculation Sheet'!$F$4:$F$40,$AL$22)))</f>
        <v/>
      </c>
      <c r="C22" s="118" t="str">
        <f>IF($AL$22="","",IF(INDEX('Final Calculation Sheet'!$G$4:$G$40,$AL$22)="","",INDEX('Final Calculation Sheet'!$G$4:$G$40,$AL$22)))</f>
        <v/>
      </c>
      <c r="D22" s="119" t="str">
        <f>IF($AL$22="","",IF(INDEX('Final Calculation Sheet'!$B$4:$B$40,$AL$22)="","",INDEX('Final Calculation Sheet'!$B$4:$B$40,$AL$22)))</f>
        <v/>
      </c>
      <c r="E22" s="119" t="str">
        <f>IF($AL$22="","",IF(INDEX('Final Calculation Sheet'!$D$4:$D$40,$AL$22)="","",INDEX('Final Calculation Sheet'!$D$4:$D$40,$AL$22)))</f>
        <v/>
      </c>
      <c r="F22" s="119" t="str">
        <f>IF($AL$22="","",IF(INDEX('Final Calculation Sheet'!$A$4:$A$40,$AL$22)="","",INDEX('Final Calculation Sheet'!$A$4:$A$40,$AL$22)))</f>
        <v/>
      </c>
      <c r="G22" s="119" t="str">
        <f>IF($AL$22="","",IF(INDEX('Final Calculation Sheet'!$E$4:$E$40,$AL$22)="","",INDEX('Final Calculation Sheet'!$E$4:$E$40,$AL$22)))</f>
        <v/>
      </c>
      <c r="H22" s="120" t="str">
        <f>IF($AL$22="","",IF(INDEX('Final Calculation Sheet'!$C$4:$C$40,$AL$22)="","",INDEX('Final Calculation Sheet'!$C$4:$C$40,$AL$22)))</f>
        <v/>
      </c>
      <c r="I22" s="120" t="str">
        <f>IF($AL$22="","",IF(INDEX('Final Calculation Sheet'!$H$4:$H$40,$AL$22)="","",INDEX('Final Calculation Sheet'!$H$4:$H$40,$AL$22)))</f>
        <v/>
      </c>
      <c r="J22" s="120" t="str">
        <f>IF($AL$22="","",IF(INDEX('Final Calculation Sheet'!$I$4:$I$40,$AL$22)="","",INDEX('Final Calculation Sheet'!$I$4:$I$40,$AL$22)))</f>
        <v/>
      </c>
      <c r="K22" s="120" t="str">
        <f>IF($AL$22="","",IF(INDEX('Final Calculation Sheet'!$J$4:$J$40,$AL$22)="","",INDEX('Final Calculation Sheet'!$J$4:$J$40,$AL$22)))</f>
        <v/>
      </c>
      <c r="L22" s="120" t="str">
        <f>IF($AL$22="","",IF(INDEX('Final Calculation Sheet'!$K$4:$K$40,$AL$22)="","",INDEX('Final Calculation Sheet'!$K$4:$K$40,$AL$22)))</f>
        <v/>
      </c>
      <c r="M22" s="120" t="str">
        <f>IF($AL$22="","",IF(INDEX('Final Calculation Sheet'!$L$4:$L$40,$AL$22)="","",INDEX('Final Calculation Sheet'!$L$4:$L$40,$AL$22)))</f>
        <v/>
      </c>
      <c r="N22" s="120" t="str">
        <f>IF($AL$22="","",IF(INDEX('Final Calculation Sheet'!$M$4:$M$40,$AL$22)="","",INDEX('Final Calculation Sheet'!$M$4:$M$40,$AL$22)))</f>
        <v/>
      </c>
      <c r="O22" s="121" t="str">
        <f>IF($AL$22="","",IF(INDEX('Final Calculation Sheet'!$N$4:$N$40,$AL$22)="","",INDEX('Final Calculation Sheet'!$N$4:$N$40,$AL$22)))</f>
        <v/>
      </c>
      <c r="P22" s="120" t="str">
        <f>IF($AL$22="","",IF(INDEX('Final Calculation Sheet'!$O$4:$O$40,$AL$22)="","",INDEX('Final Calculation Sheet'!$O$4:$O$40,$AL$22)))</f>
        <v/>
      </c>
      <c r="Q22" s="120" t="str">
        <f>IF($AL$22="","",IF(INDEX('Final Calculation Sheet'!$P$4:$P$40,$AL$22)="","",INDEX('Final Calculation Sheet'!$P$4:$P$40,$AL$22)))</f>
        <v/>
      </c>
      <c r="R22" s="122" t="str">
        <f>IF($AL$22="","",IF(INDEX('Final Calculation Sheet'!$Q$4:$Q$40,$AL$22)="","",INDEX('Final Calculation Sheet'!$Q$4:$Q$40,$AL$22)))</f>
        <v/>
      </c>
      <c r="S22" s="120" t="str">
        <f>IF($AL$22="","",IF(INDEX('Final Calculation Sheet'!$R$4:$R$40,$AL$22)="","",INDEX('Final Calculation Sheet'!$R$4:$R$40,$AL$22)))</f>
        <v/>
      </c>
      <c r="T22" s="120" t="str">
        <f>IF($AL$22="","",IF(INDEX('Final Calculation Sheet'!$S$4:$S$40,$AL$22)="","",INDEX('Final Calculation Sheet'!$S$4:$S$40,$AL$22)))</f>
        <v/>
      </c>
      <c r="U22" s="120" t="str">
        <f>IF($AL$22="","",IF(INDEX('Final Calculation Sheet'!$T$4:$T$40,$AL$22)="","",INDEX('Final Calculation Sheet'!$T$4:$T$40,$AL$22)))</f>
        <v/>
      </c>
      <c r="V22" s="123" t="str">
        <f>IF($AL$22="","",IF(INDEX('Final Calculation Sheet'!$U$4:$U$40,$AL$22)="","",INDEX('Final Calculation Sheet'!$U$4:$U$40,$AL$22)))</f>
        <v/>
      </c>
      <c r="W22" s="120" t="str">
        <f>IF($AL$22="","",IF(INDEX('Final Calculation Sheet'!$V$4:$V$40,$AL$22)="","",INDEX('Final Calculation Sheet'!$V$4:$V$40,$AL$22)))</f>
        <v/>
      </c>
      <c r="X22" s="120" t="str">
        <f>IF($AL$22="","",IF(INDEX('Final Calculation Sheet'!$W$4:$W$40,$AL$22)="","",INDEX('Final Calculation Sheet'!$W$4:$W$40,$AL$22)))</f>
        <v/>
      </c>
      <c r="Y22" s="120" t="str">
        <f>IF($AL$22="","",IF(INDEX('Final Calculation Sheet'!$X$4:$X$40,$AL$22)="","",INDEX('Final Calculation Sheet'!$X$4:$X$40,$AL$22)))</f>
        <v/>
      </c>
      <c r="Z22" s="120" t="str">
        <f>IF($AL$22="","",IF(INDEX('Final Calculation Sheet'!$Y$4:$Y$40,$AL$22)="","",INDEX('Final Calculation Sheet'!$Y$4:$Y$40,$AL$22)))</f>
        <v/>
      </c>
      <c r="AA22" s="120" t="str">
        <f>IF($AL$22="","",IF(INDEX('Final Calculation Sheet'!$Z$4:$Z$40,$AL$22)="","",INDEX('Final Calculation Sheet'!$Z$4:$Z$40,$AL$22)))</f>
        <v/>
      </c>
      <c r="AB22" s="120" t="str">
        <f>IF($AL$22="","",IF(INDEX('Final Calculation Sheet'!$AA$4:$AA$40,$AL$22)="","",INDEX('Final Calculation Sheet'!$AA$4:$AA$40,$AL$22)))</f>
        <v/>
      </c>
      <c r="AC22" s="120" t="str">
        <f>IF($AL$22="","",IF(INDEX('Final Calculation Sheet'!$AB$4:$AB$40,$AL$22)="","",INDEX('Final Calculation Sheet'!$AB$4:$AB$40,$AL$22)))</f>
        <v/>
      </c>
      <c r="AD22" s="120" t="str">
        <f>IF($AL$22="","",IF(INDEX('Final Calculation Sheet'!$AC$4:$AC$40,$AL$22)="","",INDEX('Final Calculation Sheet'!$AC$4:$AC$40,$AL$22)))</f>
        <v/>
      </c>
      <c r="AE22" s="120" t="str">
        <f>IF($AL$22="","",IF(INDEX('Final Calculation Sheet'!$AD$4:$AD$40,$AL$22)="","",INDEX('Final Calculation Sheet'!$AD$4:$AD$40,$AL$22)))</f>
        <v/>
      </c>
      <c r="AF22" s="125" t="str">
        <f>IF($AL$22="","",IF(INDEX('Final Calculation Sheet'!$AD$4:$AD$40,$AL$22)&lt;=5,"SETTLED","OUTSTANDING"))</f>
        <v/>
      </c>
      <c r="AG22" s="120" t="str">
        <f>IF($AL$22="","",IF(INDEX('Final Calculation Sheet'!$AF$4:$AF$40,$AL$22)="","",INDEX('Final Calculation Sheet'!$AF$4:$AF$40,$AL$22)))</f>
        <v/>
      </c>
      <c r="AH22" s="124" t="str">
        <f>IF($AL$22="","",IF(INDEX('Final Calculation Sheet'!$AG$4:$AG$40,$AL$22)="","",INDEX('Final Calculation Sheet'!$AG$4:$AG$40,$AL$22)))</f>
        <v/>
      </c>
      <c r="AI22" s="120" t="str">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v>1</v>
      </c>
      <c r="AK22">
        <f>IF(AJ22=1,COUNTIF(AJ$6:AJ22,1),"")</f>
        <v>17</v>
      </c>
      <c r="AL22" t="str">
        <f>IF(COUNTIF($B$4:$AI$4,"&lt;&gt;")=0,"",IFERROR(MATCH(16,$AK$6:$AK$42,0),""))</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 ca="1">CK21+IF(AND(Lists!$EJ$22&lt;&gt;"",ISNUMBER(SEARCH($AA$4,Lists!$EJ$22))),1,0)</f>
        <v>19</v>
      </c>
      <c r="CL22">
        <f ca="1">IF(ROW()-3&gt;MAX($CK$4:$CK$42),"",INDEX(Lists!$EJ$4:$EJ$42,MATCH(ROW()-3,$CK$4:$CK$42,0)))</f>
        <v>5543.6399999999994</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f>CS21+IF(AND(Lists!$FD$22&lt;&gt;"",ISNUMBER(SEARCH($AE$4,Lists!$FD$22))),1,0)</f>
        <v>11</v>
      </c>
      <c r="CT22" t="str">
        <f>IF(ROW()-3&gt;MAX($CS$4:$CS$42),"",INDEX(Lists!$FD$4:$FD$42,MATCH(ROW()-3,$CS$4:$CS$42,0)))</f>
        <v/>
      </c>
      <c r="CU22" t="e">
        <f>CU21+IF(AND(Lists!$FI$22&lt;&gt;"",ISNUMBER(SEARCH($AG$4,Lists!$FI$22))),1,0)</f>
        <v>#N/A</v>
      </c>
      <c r="CV22" t="e">
        <f>IF(ROW()-3&gt;MAX($CU$4:$CU$42),"",INDEX(Lists!$FI$4:$FI$42,MATCH(ROW()-3,$CU$4:$CU$42,0)))</f>
        <v>#N/A</v>
      </c>
      <c r="CW22" t="e">
        <f>CW21+IF(AND(Lists!$FN$22&lt;&gt;"",ISNUMBER(SEARCH($AH$4,Lists!$FN$22))),1,0)</f>
        <v>#N/A</v>
      </c>
      <c r="CX22" t="e">
        <f>IF(ROW()-3&gt;MAX($CW$4:$CW$42),"",INDEX(Lists!$FN$4:$FN$42,MATCH(ROW()-3,$CW$4:$CW$42,0)))</f>
        <v>#N/A</v>
      </c>
      <c r="CY22" t="e">
        <f>CY21+IF(AND(Lists!$FS$22&lt;&gt;"",ISNUMBER(SEARCH($AI$4,Lists!$FS$22))),1,0)</f>
        <v>#N/A</v>
      </c>
      <c r="CZ22" t="e">
        <f>IF(ROW()-3&gt;MAX($CY$4:$CY$42),"",INDEX(Lists!$FS$4:$FS$42,MATCH(ROW()-3,$CY$4:$CY$42,0)))</f>
        <v>#N/A</v>
      </c>
      <c r="DA22">
        <f>DA21+IF(AND(Lists!$FX$22&lt;&gt;"",ISNUMBER(SEARCH($AF$4,Lists!$FX$22))),1,0)</f>
        <v>2</v>
      </c>
      <c r="DB22" t="str">
        <f>IF(ROW()-3&gt;MAX($DA$4:$DA$42),"",INDEX(Lists!$FX$4:$FX$42,MATCH(ROW()-3,$DA$4:$DA$42,0)))</f>
        <v/>
      </c>
      <c r="DG22">
        <f>IF($B$4="",1,IF($B$4="(blank)",--('Final Calculation Sheet'!$F$20=""),IF($B$4="(nonblank)",--('Final Calculation Sheet'!$F$20&lt;&gt;""),--ISNUMBER(SEARCH($B$4,'Final Calculation Sheet'!$F$20)))))</f>
        <v>1</v>
      </c>
      <c r="DH22">
        <f>IF($C$4="",1,IF($C$4="(blank)",--('Final Calculation Sheet'!$G$20=""),IF($C$4="(nonblank)",--('Final Calculation Sheet'!$G$20&lt;&gt;""),--ISNUMBER(SEARCH($C$4,'Final Calculation Sheet'!$G$20)))))</f>
        <v>1</v>
      </c>
      <c r="DI22">
        <f>IF($D$4="",1,IF($D$4="(blank)",--('Final Calculation Sheet'!$B$20=""),IF($D$4="(nonblank)",--('Final Calculation Sheet'!$B$20&lt;&gt;""),--ISNUMBER(SEARCH($D$4,'Final Calculation Sheet'!$B$20)))))</f>
        <v>1</v>
      </c>
      <c r="DJ22">
        <f>IF($E$4="",1,IF($E$4="(blank)",--('Final Calculation Sheet'!$D$20=""),IF($E$4="(nonblank)",--('Final Calculation Sheet'!$D$20&lt;&gt;""),--ISNUMBER(SEARCH($E$4,'Final Calculation Sheet'!$D$20)))))</f>
        <v>1</v>
      </c>
      <c r="DK22">
        <f>IF($F$4="",1,IF($F$4="(blank)",--('Final Calculation Sheet'!$A$20=""),IF($F$4="(nonblank)",--('Final Calculation Sheet'!$A$20&lt;&gt;""),--ISNUMBER(SEARCH($F$4,'Final Calculation Sheet'!$A$20)))))</f>
        <v>1</v>
      </c>
      <c r="DL22">
        <f>IF($G$4="",1,IF($G$4="(blank)",--('Final Calculation Sheet'!$E$20=""),IF($G$4="(nonblank)",--('Final Calculation Sheet'!$E$20&lt;&gt;""),--ISNUMBER(SEARCH($G$4,'Final Calculation Sheet'!$E$20)))))</f>
        <v>1</v>
      </c>
      <c r="DM22">
        <f>IF($H$4="",1,IF($H$4="(blank)",--('Final Calculation Sheet'!$C$20=""),IF($H$4="(nonblank)",--('Final Calculation Sheet'!$C$20&lt;&gt;""),--ISNUMBER(SEARCH($H$4,'Final Calculation Sheet'!$C$20)))))</f>
        <v>1</v>
      </c>
      <c r="DN22">
        <f>IF($I$4="",1,IF($I$4="(blank)",--('Final Calculation Sheet'!$H$20=""),IF($I$4="(nonblank)",--('Final Calculation Sheet'!$H$20&lt;&gt;""),--ISNUMBER(SEARCH($I$4,'Final Calculation Sheet'!$H$20)))))</f>
        <v>1</v>
      </c>
      <c r="DO22">
        <f>IF($J$4="",1,IF($J$4="(blank)",--('Final Calculation Sheet'!$I$20=""),IF($J$4="(nonblank)",--('Final Calculation Sheet'!$I$20&lt;&gt;""),--ISNUMBER(SEARCH($J$4,'Final Calculation Sheet'!$I$20)))))</f>
        <v>1</v>
      </c>
      <c r="DP22">
        <f>IF($K$4="",1,IF($K$4="(blank)",--('Final Calculation Sheet'!$J$20=""),IF($K$4="(nonblank)",--('Final Calculation Sheet'!$J$20&lt;&gt;""),--ISNUMBER(SEARCH($K$4,'Final Calculation Sheet'!$J$20)))))</f>
        <v>1</v>
      </c>
      <c r="DQ22">
        <f>IF($L$4="",1,IF($L$4="(blank)",--('Final Calculation Sheet'!$K$20=""),IF($L$4="(nonblank)",--('Final Calculation Sheet'!$K$20&lt;&gt;""),--ISNUMBER(SEARCH($L$4,'Final Calculation Sheet'!$K$20)))))</f>
        <v>1</v>
      </c>
      <c r="DR22">
        <f>IF($M$4="",1,IF($M$4="(blank)",--('Final Calculation Sheet'!$L$20=""),IF($M$4="(nonblank)",--('Final Calculation Sheet'!$L$20&lt;&gt;""),--ISNUMBER(SEARCH($M$4,'Final Calculation Sheet'!$L$20)))))</f>
        <v>1</v>
      </c>
      <c r="DS22">
        <f>IF($N$4="",1,IF($N$4="(blank)",--('Final Calculation Sheet'!$M$20=""),IF($N$4="(nonblank)",--('Final Calculation Sheet'!$M$20&lt;&gt;""),--ISNUMBER(SEARCH($N$4,'Final Calculation Sheet'!$M$20)))))</f>
        <v>1</v>
      </c>
      <c r="DT22">
        <f>IF($O$4="",1,IF($O$4="(blank)",--('Final Calculation Sheet'!$N$20=""),IF($O$4="(nonblank)",--('Final Calculation Sheet'!$N$20&lt;&gt;""),--ISNUMBER(SEARCH($O$4,'Final Calculation Sheet'!$N$20)))))</f>
        <v>1</v>
      </c>
      <c r="DU22">
        <f>IF($P$4="",1,IF($P$4="(blank)",--('Final Calculation Sheet'!$O$20=""),IF($P$4="(nonblank)",--('Final Calculation Sheet'!$O$20&lt;&gt;""),--ISNUMBER(SEARCH($P$4,'Final Calculation Sheet'!$O$20)))))</f>
        <v>1</v>
      </c>
      <c r="DV22">
        <f>IF($Q$4="",1,IF($Q$4="(blank)",--('Final Calculation Sheet'!$P$20=""),IF($Q$4="(nonblank)",--('Final Calculation Sheet'!$P$20&lt;&gt;""),--ISNUMBER(SEARCH($Q$4,'Final Calculation Sheet'!$P$20)))))</f>
        <v>1</v>
      </c>
      <c r="DW22">
        <f>IF($R$4="",1,IF($R$4="(blank)",--('Final Calculation Sheet'!$Q$20=""),IF($R$4="(nonblank)",--('Final Calculation Sheet'!$Q$20&lt;&gt;""),--ISNUMBER(SEARCH($R$4,'Final Calculation Sheet'!$Q$20)))))</f>
        <v>1</v>
      </c>
      <c r="DX22">
        <f>IF($S$4="",1,IF($S$4="(blank)",--('Final Calculation Sheet'!$R$20=""),IF($S$4="(nonblank)",--('Final Calculation Sheet'!$R$20&lt;&gt;""),--ISNUMBER(SEARCH($S$4,'Final Calculation Sheet'!$R$20)))))</f>
        <v>1</v>
      </c>
      <c r="DY22">
        <f>IF($T$4="",1,IF($T$4="(blank)",--('Final Calculation Sheet'!$S$20=""),IF($T$4="(nonblank)",--('Final Calculation Sheet'!$S$20&lt;&gt;""),--ISNUMBER(SEARCH($T$4,'Final Calculation Sheet'!$S$20)))))</f>
        <v>1</v>
      </c>
      <c r="DZ22">
        <f>IF($U$4="",1,IF($U$4="(blank)",--('Final Calculation Sheet'!$T$20=""),IF($U$4="(nonblank)",--('Final Calculation Sheet'!$T$20&lt;&gt;""),--ISNUMBER(SEARCH($U$4,'Final Calculation Sheet'!$T$20)))))</f>
        <v>1</v>
      </c>
      <c r="EA22">
        <f>IF($V$4="",1,IF($V$4="(blank)",--('Final Calculation Sheet'!$U$20=""),IF($V$4="(nonblank)",--('Final Calculation Sheet'!$U$20&lt;&gt;""),--ISNUMBER(SEARCH($V$4,'Final Calculation Sheet'!$U$20)))))</f>
        <v>1</v>
      </c>
      <c r="EB22">
        <f>IF($W$4="",1,IF($W$4="(blank)",--('Final Calculation Sheet'!$V$20=""),IF($W$4="(nonblank)",--('Final Calculation Sheet'!$V$20&lt;&gt;""),--ISNUMBER(SEARCH($W$4,'Final Calculation Sheet'!$V$20)))))</f>
        <v>1</v>
      </c>
      <c r="EC22">
        <f>IF($X$4="",1,IF($X$4="(blank)",--('Final Calculation Sheet'!$W$20=""),IF($X$4="(nonblank)",--('Final Calculation Sheet'!$W$20&lt;&gt;""),--ISNUMBER(SEARCH($X$4,'Final Calculation Sheet'!$W$20)))))</f>
        <v>1</v>
      </c>
      <c r="ED22">
        <f>IF($Y$4="",1,IF($Y$4="(blank)",--('Final Calculation Sheet'!$X$20=""),IF($Y$4="(nonblank)",--('Final Calculation Sheet'!$X$20&lt;&gt;""),--ISNUMBER(SEARCH($Y$4,'Final Calculation Sheet'!$X$20)))))</f>
        <v>1</v>
      </c>
      <c r="EE22">
        <f>IF($Z$4="",1,IF($Z$4="(blank)",--('Final Calculation Sheet'!$Y$20=""),IF($Z$4="(nonblank)",--('Final Calculation Sheet'!$Y$20&lt;&gt;""),--ISNUMBER(SEARCH($Z$4,'Final Calculation Sheet'!$Y$20)))))</f>
        <v>1</v>
      </c>
      <c r="EF22">
        <f>IF($AA$4="",1,IF($AA$4="(blank)",--('Final Calculation Sheet'!$Z$20=""),IF($AA$4="(nonblank)",--('Final Calculation Sheet'!$Z$20&lt;&gt;""),--ISNUMBER(SEARCH($AA$4,'Final Calculation Sheet'!$Z$20)))))</f>
        <v>1</v>
      </c>
      <c r="EG22">
        <f>IF($AB$4="",1,IF($AB$4="(blank)",--('Final Calculation Sheet'!$AA$20=""),IF($AB$4="(nonblank)",--('Final Calculation Sheet'!$AA$20&lt;&gt;""),--ISNUMBER(SEARCH($AB$4,'Final Calculation Sheet'!$AA$20)))))</f>
        <v>1</v>
      </c>
      <c r="EH22">
        <f>IF($AC$4="",1,IF($AC$4="(blank)",--('Final Calculation Sheet'!$AB$20=""),IF($AC$4="(nonblank)",--('Final Calculation Sheet'!$AB$20&lt;&gt;""),--ISNUMBER(SEARCH($AC$4,'Final Calculation Sheet'!$AB$20)))))</f>
        <v>1</v>
      </c>
      <c r="EI22">
        <f>IF($AD$4="",1,IF($AD$4="(blank)",--('Final Calculation Sheet'!$AC$20=""),IF($AD$4="(nonblank)",--('Final Calculation Sheet'!$AC$20&lt;&gt;""),--ISNUMBER(SEARCH($AD$4,'Final Calculation Sheet'!$AC$20)))))</f>
        <v>1</v>
      </c>
      <c r="EJ22">
        <f>IF($AE$4="",1,IF($AE$4="(blank)",--('Final Calculation Sheet'!$AD$20=""),IF($AE$4="(nonblank)",--('Final Calculation Sheet'!$AD$20&lt;&gt;""),--ISNUMBER(SEARCH($AE$4,'Final Calculation Sheet'!$AD$20)))))</f>
        <v>1</v>
      </c>
      <c r="EK22">
        <f>IF($AF$4="",1,IF($AF$4="(blank)",--(IF('Final Calculation Sheet'!$AD$20&lt;=5,"SETTLED","OUTSTANDING")=""),IF($AF$4="(nonblank)",--(IF('Final Calculation Sheet'!$AD$20&lt;=5,"SETTLED","OUTSTANDING")&lt;&gt;""),--ISNUMBER(SEARCH($AF$4,IF('Final Calculation Sheet'!$AD$20&lt;=5,"SETTLED","OUTSTANDING"))))))</f>
        <v>1</v>
      </c>
      <c r="EL22">
        <f>IF($AG$4="",1,IF($AG$4="(blank)",--('Final Calculation Sheet'!$AF$20=""),IF($AG$4="(nonblank)",--('Final Calculation Sheet'!$AF$20&lt;&gt;""),--ISNUMBER(SEARCH($AG$4,'Final Calculation Sheet'!$AF$20)))))</f>
        <v>1</v>
      </c>
      <c r="EM22">
        <f>IF($AH$4="",1,IF($AH$4="(blank)",--('Final Calculation Sheet'!$AG$20=""),IF($AH$4="(nonblank)",--('Final Calculation Sheet'!$AG$20&lt;&gt;""),--ISNUMBER(SEARCH($AH$4,'Final Calculation Sheet'!$AG$20)))))</f>
        <v>1</v>
      </c>
      <c r="EN22">
        <f>IF($AI$4="",1,IF($AI$4="(blank)",--('Final Calculation Sheet'!$AH$20=""),IF($AI$4="(nonblank)",--('Final Calculation Sheet'!$AH$20&lt;&gt;""),--ISNUMBER(SEARCH($AI$4,'Final Calculation Sheet'!$AH$20)))))</f>
        <v>1</v>
      </c>
    </row>
    <row r="23" spans="1:144" hidden="1" outlineLevel="1" x14ac:dyDescent="0.3">
      <c r="A23" s="107" t="str">
        <f>IF($AL$23="","",17)</f>
        <v/>
      </c>
      <c r="B23" s="108" t="str">
        <f>IF($AL$23="","",IF(INDEX('Final Calculation Sheet'!$F$4:$F$40,$AL$23)="","",INDEX('Final Calculation Sheet'!$F$4:$F$40,$AL$23)))</f>
        <v/>
      </c>
      <c r="C23" s="108" t="str">
        <f>IF($AL$23="","",IF(INDEX('Final Calculation Sheet'!$G$4:$G$40,$AL$23)="","",INDEX('Final Calculation Sheet'!$G$4:$G$40,$AL$23)))</f>
        <v/>
      </c>
      <c r="D23" s="110" t="str">
        <f>IF($AL$23="","",IF(INDEX('Final Calculation Sheet'!$B$4:$B$40,$AL$23)="","",INDEX('Final Calculation Sheet'!$B$4:$B$40,$AL$23)))</f>
        <v/>
      </c>
      <c r="E23" s="110" t="str">
        <f>IF($AL$23="","",IF(INDEX('Final Calculation Sheet'!$D$4:$D$40,$AL$23)="","",INDEX('Final Calculation Sheet'!$D$4:$D$40,$AL$23)))</f>
        <v/>
      </c>
      <c r="F23" s="110" t="str">
        <f>IF($AL$23="","",IF(INDEX('Final Calculation Sheet'!$A$4:$A$40,$AL$23)="","",INDEX('Final Calculation Sheet'!$A$4:$A$40,$AL$23)))</f>
        <v/>
      </c>
      <c r="G23" s="110" t="str">
        <f>IF($AL$23="","",IF(INDEX('Final Calculation Sheet'!$E$4:$E$40,$AL$23)="","",INDEX('Final Calculation Sheet'!$E$4:$E$40,$AL$23)))</f>
        <v/>
      </c>
      <c r="H23" s="111" t="str">
        <f>IF($AL$23="","",IF(INDEX('Final Calculation Sheet'!$C$4:$C$40,$AL$23)="","",INDEX('Final Calculation Sheet'!$C$4:$C$40,$AL$23)))</f>
        <v/>
      </c>
      <c r="I23" s="111" t="str">
        <f>IF($AL$23="","",IF(INDEX('Final Calculation Sheet'!$H$4:$H$40,$AL$23)="","",INDEX('Final Calculation Sheet'!$H$4:$H$40,$AL$23)))</f>
        <v/>
      </c>
      <c r="J23" s="111" t="str">
        <f>IF($AL$23="","",IF(INDEX('Final Calculation Sheet'!$I$4:$I$40,$AL$23)="","",INDEX('Final Calculation Sheet'!$I$4:$I$40,$AL$23)))</f>
        <v/>
      </c>
      <c r="K23" s="111" t="str">
        <f>IF($AL$23="","",IF(INDEX('Final Calculation Sheet'!$J$4:$J$40,$AL$23)="","",INDEX('Final Calculation Sheet'!$J$4:$J$40,$AL$23)))</f>
        <v/>
      </c>
      <c r="L23" s="111" t="str">
        <f>IF($AL$23="","",IF(INDEX('Final Calculation Sheet'!$K$4:$K$40,$AL$23)="","",INDEX('Final Calculation Sheet'!$K$4:$K$40,$AL$23)))</f>
        <v/>
      </c>
      <c r="M23" s="111" t="str">
        <f>IF($AL$23="","",IF(INDEX('Final Calculation Sheet'!$L$4:$L$40,$AL$23)="","",INDEX('Final Calculation Sheet'!$L$4:$L$40,$AL$23)))</f>
        <v/>
      </c>
      <c r="N23" s="111" t="str">
        <f>IF($AL$23="","",IF(INDEX('Final Calculation Sheet'!$M$4:$M$40,$AL$23)="","",INDEX('Final Calculation Sheet'!$M$4:$M$40,$AL$23)))</f>
        <v/>
      </c>
      <c r="O23" s="112" t="str">
        <f>IF($AL$23="","",IF(INDEX('Final Calculation Sheet'!$N$4:$N$40,$AL$23)="","",INDEX('Final Calculation Sheet'!$N$4:$N$40,$AL$23)))</f>
        <v/>
      </c>
      <c r="P23" s="111" t="str">
        <f>IF($AL$23="","",IF(INDEX('Final Calculation Sheet'!$O$4:$O$40,$AL$23)="","",INDEX('Final Calculation Sheet'!$O$4:$O$40,$AL$23)))</f>
        <v/>
      </c>
      <c r="Q23" s="111" t="str">
        <f>IF($AL$23="","",IF(INDEX('Final Calculation Sheet'!$P$4:$P$40,$AL$23)="","",INDEX('Final Calculation Sheet'!$P$4:$P$40,$AL$23)))</f>
        <v/>
      </c>
      <c r="R23" s="113" t="str">
        <f>IF($AL$23="","",IF(INDEX('Final Calculation Sheet'!$Q$4:$Q$40,$AL$23)="","",INDEX('Final Calculation Sheet'!$Q$4:$Q$40,$AL$23)))</f>
        <v/>
      </c>
      <c r="S23" s="111" t="str">
        <f>IF($AL$23="","",IF(INDEX('Final Calculation Sheet'!$R$4:$R$40,$AL$23)="","",INDEX('Final Calculation Sheet'!$R$4:$R$40,$AL$23)))</f>
        <v/>
      </c>
      <c r="T23" s="111" t="str">
        <f>IF($AL$23="","",IF(INDEX('Final Calculation Sheet'!$S$4:$S$40,$AL$23)="","",INDEX('Final Calculation Sheet'!$S$4:$S$40,$AL$23)))</f>
        <v/>
      </c>
      <c r="U23" s="111" t="str">
        <f>IF($AL$23="","",IF(INDEX('Final Calculation Sheet'!$T$4:$T$40,$AL$23)="","",INDEX('Final Calculation Sheet'!$T$4:$T$40,$AL$23)))</f>
        <v/>
      </c>
      <c r="V23" s="114" t="str">
        <f>IF($AL$23="","",IF(INDEX('Final Calculation Sheet'!$U$4:$U$40,$AL$23)="","",INDEX('Final Calculation Sheet'!$U$4:$U$40,$AL$23)))</f>
        <v/>
      </c>
      <c r="W23" s="111" t="str">
        <f>IF($AL$23="","",IF(INDEX('Final Calculation Sheet'!$V$4:$V$40,$AL$23)="","",INDEX('Final Calculation Sheet'!$V$4:$V$40,$AL$23)))</f>
        <v/>
      </c>
      <c r="X23" s="111" t="str">
        <f>IF($AL$23="","",IF(INDEX('Final Calculation Sheet'!$W$4:$W$40,$AL$23)="","",INDEX('Final Calculation Sheet'!$W$4:$W$40,$AL$23)))</f>
        <v/>
      </c>
      <c r="Y23" s="111" t="str">
        <f>IF($AL$23="","",IF(INDEX('Final Calculation Sheet'!$X$4:$X$40,$AL$23)="","",INDEX('Final Calculation Sheet'!$X$4:$X$40,$AL$23)))</f>
        <v/>
      </c>
      <c r="Z23" s="111" t="str">
        <f>IF($AL$23="","",IF(INDEX('Final Calculation Sheet'!$Y$4:$Y$40,$AL$23)="","",INDEX('Final Calculation Sheet'!$Y$4:$Y$40,$AL$23)))</f>
        <v/>
      </c>
      <c r="AA23" s="111" t="str">
        <f>IF($AL$23="","",IF(INDEX('Final Calculation Sheet'!$Z$4:$Z$40,$AL$23)="","",INDEX('Final Calculation Sheet'!$Z$4:$Z$40,$AL$23)))</f>
        <v/>
      </c>
      <c r="AB23" s="111" t="str">
        <f>IF($AL$23="","",IF(INDEX('Final Calculation Sheet'!$AA$4:$AA$40,$AL$23)="","",INDEX('Final Calculation Sheet'!$AA$4:$AA$40,$AL$23)))</f>
        <v/>
      </c>
      <c r="AC23" s="111" t="str">
        <f>IF($AL$23="","",IF(INDEX('Final Calculation Sheet'!$AB$4:$AB$40,$AL$23)="","",INDEX('Final Calculation Sheet'!$AB$4:$AB$40,$AL$23)))</f>
        <v/>
      </c>
      <c r="AD23" s="111" t="str">
        <f>IF($AL$23="","",IF(INDEX('Final Calculation Sheet'!$AC$4:$AC$40,$AL$23)="","",INDEX('Final Calculation Sheet'!$AC$4:$AC$40,$AL$23)))</f>
        <v/>
      </c>
      <c r="AE23" s="111" t="str">
        <f>IF($AL$23="","",IF(INDEX('Final Calculation Sheet'!$AD$4:$AD$40,$AL$23)="","",INDEX('Final Calculation Sheet'!$AD$4:$AD$40,$AL$23)))</f>
        <v/>
      </c>
      <c r="AF23" s="116" t="str">
        <f>IF($AL$23="","",IF(INDEX('Final Calculation Sheet'!$AD$4:$AD$40,$AL$23)&lt;=5,"SETTLED","OUTSTANDING"))</f>
        <v/>
      </c>
      <c r="AG23" s="111" t="str">
        <f>IF($AL$23="","",IF(INDEX('Final Calculation Sheet'!$AF$4:$AF$40,$AL$23)="","",INDEX('Final Calculation Sheet'!$AF$4:$AF$40,$AL$23)))</f>
        <v/>
      </c>
      <c r="AH23" s="115" t="str">
        <f>IF($AL$23="","",IF(INDEX('Final Calculation Sheet'!$AG$4:$AG$40,$AL$23)="","",INDEX('Final Calculation Sheet'!$AG$4:$AG$40,$AL$23)))</f>
        <v/>
      </c>
      <c r="AI23" s="111" t="str">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v>1</v>
      </c>
      <c r="AK23">
        <f>IF(AJ23=1,COUNTIF(AJ$6:AJ23,1),"")</f>
        <v>18</v>
      </c>
      <c r="AL23" t="str">
        <f>IF(COUNTIF($B$4:$AI$4,"&lt;&gt;")=0,"",IFERROR(MATCH(17,$AK$6:$AK$42,0),""))</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 ca="1">CK22+IF(AND(Lists!$EJ$23&lt;&gt;"",ISNUMBER(SEARCH($AA$4,Lists!$EJ$23))),1,0)</f>
        <v>20</v>
      </c>
      <c r="CL23">
        <f ca="1">IF(ROW()-3&gt;MAX($CK$4:$CK$42),"",INDEX(Lists!$EJ$4:$EJ$42,MATCH(ROW()-3,$CK$4:$CK$42,0)))</f>
        <v>5664.4247999999998</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f>CS22+IF(AND(Lists!$FD$23&lt;&gt;"",ISNUMBER(SEARCH($AE$4,Lists!$FD$23))),1,0)</f>
        <v>11</v>
      </c>
      <c r="CT23" t="str">
        <f>IF(ROW()-3&gt;MAX($CS$4:$CS$42),"",INDEX(Lists!$FD$4:$FD$42,MATCH(ROW()-3,$CS$4:$CS$42,0)))</f>
        <v/>
      </c>
      <c r="CU23" t="e">
        <f>CU22+IF(AND(Lists!$FI$23&lt;&gt;"",ISNUMBER(SEARCH($AG$4,Lists!$FI$23))),1,0)</f>
        <v>#N/A</v>
      </c>
      <c r="CV23" t="e">
        <f>IF(ROW()-3&gt;MAX($CU$4:$CU$42),"",INDEX(Lists!$FI$4:$FI$42,MATCH(ROW()-3,$CU$4:$CU$42,0)))</f>
        <v>#N/A</v>
      </c>
      <c r="CW23" t="e">
        <f>CW22+IF(AND(Lists!$FN$23&lt;&gt;"",ISNUMBER(SEARCH($AH$4,Lists!$FN$23))),1,0)</f>
        <v>#N/A</v>
      </c>
      <c r="CX23" t="e">
        <f>IF(ROW()-3&gt;MAX($CW$4:$CW$42),"",INDEX(Lists!$FN$4:$FN$42,MATCH(ROW()-3,$CW$4:$CW$42,0)))</f>
        <v>#N/A</v>
      </c>
      <c r="CY23" t="e">
        <f>CY22+IF(AND(Lists!$FS$23&lt;&gt;"",ISNUMBER(SEARCH($AI$4,Lists!$FS$23))),1,0)</f>
        <v>#N/A</v>
      </c>
      <c r="CZ23" t="e">
        <f>IF(ROW()-3&gt;MAX($CY$4:$CY$42),"",INDEX(Lists!$FS$4:$FS$42,MATCH(ROW()-3,$CY$4:$CY$42,0)))</f>
        <v>#N/A</v>
      </c>
      <c r="DA23">
        <f>DA22+IF(AND(Lists!$FX$23&lt;&gt;"",ISNUMBER(SEARCH($AF$4,Lists!$FX$23))),1,0)</f>
        <v>2</v>
      </c>
      <c r="DB23" t="str">
        <f>IF(ROW()-3&gt;MAX($DA$4:$DA$42),"",INDEX(Lists!$FX$4:$FX$42,MATCH(ROW()-3,$DA$4:$DA$42,0)))</f>
        <v/>
      </c>
      <c r="DG23">
        <f>IF($B$4="",1,IF($B$4="(blank)",--('Final Calculation Sheet'!$F$21=""),IF($B$4="(nonblank)",--('Final Calculation Sheet'!$F$21&lt;&gt;""),--ISNUMBER(SEARCH($B$4,'Final Calculation Sheet'!$F$21)))))</f>
        <v>1</v>
      </c>
      <c r="DH23">
        <f>IF($C$4="",1,IF($C$4="(blank)",--('Final Calculation Sheet'!$G$21=""),IF($C$4="(nonblank)",--('Final Calculation Sheet'!$G$21&lt;&gt;""),--ISNUMBER(SEARCH($C$4,'Final Calculation Sheet'!$G$21)))))</f>
        <v>1</v>
      </c>
      <c r="DI23">
        <f>IF($D$4="",1,IF($D$4="(blank)",--('Final Calculation Sheet'!$B$21=""),IF($D$4="(nonblank)",--('Final Calculation Sheet'!$B$21&lt;&gt;""),--ISNUMBER(SEARCH($D$4,'Final Calculation Sheet'!$B$21)))))</f>
        <v>1</v>
      </c>
      <c r="DJ23">
        <f>IF($E$4="",1,IF($E$4="(blank)",--('Final Calculation Sheet'!$D$21=""),IF($E$4="(nonblank)",--('Final Calculation Sheet'!$D$21&lt;&gt;""),--ISNUMBER(SEARCH($E$4,'Final Calculation Sheet'!$D$21)))))</f>
        <v>1</v>
      </c>
      <c r="DK23">
        <f>IF($F$4="",1,IF($F$4="(blank)",--('Final Calculation Sheet'!$A$21=""),IF($F$4="(nonblank)",--('Final Calculation Sheet'!$A$21&lt;&gt;""),--ISNUMBER(SEARCH($F$4,'Final Calculation Sheet'!$A$21)))))</f>
        <v>1</v>
      </c>
      <c r="DL23">
        <f>IF($G$4="",1,IF($G$4="(blank)",--('Final Calculation Sheet'!$E$21=""),IF($G$4="(nonblank)",--('Final Calculation Sheet'!$E$21&lt;&gt;""),--ISNUMBER(SEARCH($G$4,'Final Calculation Sheet'!$E$21)))))</f>
        <v>1</v>
      </c>
      <c r="DM23">
        <f>IF($H$4="",1,IF($H$4="(blank)",--('Final Calculation Sheet'!$C$21=""),IF($H$4="(nonblank)",--('Final Calculation Sheet'!$C$21&lt;&gt;""),--ISNUMBER(SEARCH($H$4,'Final Calculation Sheet'!$C$21)))))</f>
        <v>1</v>
      </c>
      <c r="DN23">
        <f>IF($I$4="",1,IF($I$4="(blank)",--('Final Calculation Sheet'!$H$21=""),IF($I$4="(nonblank)",--('Final Calculation Sheet'!$H$21&lt;&gt;""),--ISNUMBER(SEARCH($I$4,'Final Calculation Sheet'!$H$21)))))</f>
        <v>1</v>
      </c>
      <c r="DO23">
        <f>IF($J$4="",1,IF($J$4="(blank)",--('Final Calculation Sheet'!$I$21=""),IF($J$4="(nonblank)",--('Final Calculation Sheet'!$I$21&lt;&gt;""),--ISNUMBER(SEARCH($J$4,'Final Calculation Sheet'!$I$21)))))</f>
        <v>1</v>
      </c>
      <c r="DP23">
        <f>IF($K$4="",1,IF($K$4="(blank)",--('Final Calculation Sheet'!$J$21=""),IF($K$4="(nonblank)",--('Final Calculation Sheet'!$J$21&lt;&gt;""),--ISNUMBER(SEARCH($K$4,'Final Calculation Sheet'!$J$21)))))</f>
        <v>1</v>
      </c>
      <c r="DQ23">
        <f>IF($L$4="",1,IF($L$4="(blank)",--('Final Calculation Sheet'!$K$21=""),IF($L$4="(nonblank)",--('Final Calculation Sheet'!$K$21&lt;&gt;""),--ISNUMBER(SEARCH($L$4,'Final Calculation Sheet'!$K$21)))))</f>
        <v>1</v>
      </c>
      <c r="DR23">
        <f>IF($M$4="",1,IF($M$4="(blank)",--('Final Calculation Sheet'!$L$21=""),IF($M$4="(nonblank)",--('Final Calculation Sheet'!$L$21&lt;&gt;""),--ISNUMBER(SEARCH($M$4,'Final Calculation Sheet'!$L$21)))))</f>
        <v>1</v>
      </c>
      <c r="DS23">
        <f>IF($N$4="",1,IF($N$4="(blank)",--('Final Calculation Sheet'!$M$21=""),IF($N$4="(nonblank)",--('Final Calculation Sheet'!$M$21&lt;&gt;""),--ISNUMBER(SEARCH($N$4,'Final Calculation Sheet'!$M$21)))))</f>
        <v>1</v>
      </c>
      <c r="DT23">
        <f>IF($O$4="",1,IF($O$4="(blank)",--('Final Calculation Sheet'!$N$21=""),IF($O$4="(nonblank)",--('Final Calculation Sheet'!$N$21&lt;&gt;""),--ISNUMBER(SEARCH($O$4,'Final Calculation Sheet'!$N$21)))))</f>
        <v>1</v>
      </c>
      <c r="DU23">
        <f>IF($P$4="",1,IF($P$4="(blank)",--('Final Calculation Sheet'!$O$21=""),IF($P$4="(nonblank)",--('Final Calculation Sheet'!$O$21&lt;&gt;""),--ISNUMBER(SEARCH($P$4,'Final Calculation Sheet'!$O$21)))))</f>
        <v>1</v>
      </c>
      <c r="DV23">
        <f>IF($Q$4="",1,IF($Q$4="(blank)",--('Final Calculation Sheet'!$P$21=""),IF($Q$4="(nonblank)",--('Final Calculation Sheet'!$P$21&lt;&gt;""),--ISNUMBER(SEARCH($Q$4,'Final Calculation Sheet'!$P$21)))))</f>
        <v>1</v>
      </c>
      <c r="DW23">
        <f>IF($R$4="",1,IF($R$4="(blank)",--('Final Calculation Sheet'!$Q$21=""),IF($R$4="(nonblank)",--('Final Calculation Sheet'!$Q$21&lt;&gt;""),--ISNUMBER(SEARCH($R$4,'Final Calculation Sheet'!$Q$21)))))</f>
        <v>1</v>
      </c>
      <c r="DX23">
        <f>IF($S$4="",1,IF($S$4="(blank)",--('Final Calculation Sheet'!$R$21=""),IF($S$4="(nonblank)",--('Final Calculation Sheet'!$R$21&lt;&gt;""),--ISNUMBER(SEARCH($S$4,'Final Calculation Sheet'!$R$21)))))</f>
        <v>1</v>
      </c>
      <c r="DY23">
        <f>IF($T$4="",1,IF($T$4="(blank)",--('Final Calculation Sheet'!$S$21=""),IF($T$4="(nonblank)",--('Final Calculation Sheet'!$S$21&lt;&gt;""),--ISNUMBER(SEARCH($T$4,'Final Calculation Sheet'!$S$21)))))</f>
        <v>1</v>
      </c>
      <c r="DZ23">
        <f>IF($U$4="",1,IF($U$4="(blank)",--('Final Calculation Sheet'!$T$21=""),IF($U$4="(nonblank)",--('Final Calculation Sheet'!$T$21&lt;&gt;""),--ISNUMBER(SEARCH($U$4,'Final Calculation Sheet'!$T$21)))))</f>
        <v>1</v>
      </c>
      <c r="EA23">
        <f>IF($V$4="",1,IF($V$4="(blank)",--('Final Calculation Sheet'!$U$21=""),IF($V$4="(nonblank)",--('Final Calculation Sheet'!$U$21&lt;&gt;""),--ISNUMBER(SEARCH($V$4,'Final Calculation Sheet'!$U$21)))))</f>
        <v>1</v>
      </c>
      <c r="EB23">
        <f>IF($W$4="",1,IF($W$4="(blank)",--('Final Calculation Sheet'!$V$21=""),IF($W$4="(nonblank)",--('Final Calculation Sheet'!$V$21&lt;&gt;""),--ISNUMBER(SEARCH($W$4,'Final Calculation Sheet'!$V$21)))))</f>
        <v>1</v>
      </c>
      <c r="EC23">
        <f>IF($X$4="",1,IF($X$4="(blank)",--('Final Calculation Sheet'!$W$21=""),IF($X$4="(nonblank)",--('Final Calculation Sheet'!$W$21&lt;&gt;""),--ISNUMBER(SEARCH($X$4,'Final Calculation Sheet'!$W$21)))))</f>
        <v>1</v>
      </c>
      <c r="ED23">
        <f>IF($Y$4="",1,IF($Y$4="(blank)",--('Final Calculation Sheet'!$X$21=""),IF($Y$4="(nonblank)",--('Final Calculation Sheet'!$X$21&lt;&gt;""),--ISNUMBER(SEARCH($Y$4,'Final Calculation Sheet'!$X$21)))))</f>
        <v>1</v>
      </c>
      <c r="EE23">
        <f>IF($Z$4="",1,IF($Z$4="(blank)",--('Final Calculation Sheet'!$Y$21=""),IF($Z$4="(nonblank)",--('Final Calculation Sheet'!$Y$21&lt;&gt;""),--ISNUMBER(SEARCH($Z$4,'Final Calculation Sheet'!$Y$21)))))</f>
        <v>1</v>
      </c>
      <c r="EF23">
        <f>IF($AA$4="",1,IF($AA$4="(blank)",--('Final Calculation Sheet'!$Z$21=""),IF($AA$4="(nonblank)",--('Final Calculation Sheet'!$Z$21&lt;&gt;""),--ISNUMBER(SEARCH($AA$4,'Final Calculation Sheet'!$Z$21)))))</f>
        <v>1</v>
      </c>
      <c r="EG23">
        <f>IF($AB$4="",1,IF($AB$4="(blank)",--('Final Calculation Sheet'!$AA$21=""),IF($AB$4="(nonblank)",--('Final Calculation Sheet'!$AA$21&lt;&gt;""),--ISNUMBER(SEARCH($AB$4,'Final Calculation Sheet'!$AA$21)))))</f>
        <v>1</v>
      </c>
      <c r="EH23">
        <f>IF($AC$4="",1,IF($AC$4="(blank)",--('Final Calculation Sheet'!$AB$21=""),IF($AC$4="(nonblank)",--('Final Calculation Sheet'!$AB$21&lt;&gt;""),--ISNUMBER(SEARCH($AC$4,'Final Calculation Sheet'!$AB$21)))))</f>
        <v>1</v>
      </c>
      <c r="EI23">
        <f>IF($AD$4="",1,IF($AD$4="(blank)",--('Final Calculation Sheet'!$AC$21=""),IF($AD$4="(nonblank)",--('Final Calculation Sheet'!$AC$21&lt;&gt;""),--ISNUMBER(SEARCH($AD$4,'Final Calculation Sheet'!$AC$21)))))</f>
        <v>1</v>
      </c>
      <c r="EJ23">
        <f>IF($AE$4="",1,IF($AE$4="(blank)",--('Final Calculation Sheet'!$AD$21=""),IF($AE$4="(nonblank)",--('Final Calculation Sheet'!$AD$21&lt;&gt;""),--ISNUMBER(SEARCH($AE$4,'Final Calculation Sheet'!$AD$21)))))</f>
        <v>1</v>
      </c>
      <c r="EK23">
        <f>IF($AF$4="",1,IF($AF$4="(blank)",--(IF('Final Calculation Sheet'!$AD$21&lt;=5,"SETTLED","OUTSTANDING")=""),IF($AF$4="(nonblank)",--(IF('Final Calculation Sheet'!$AD$21&lt;=5,"SETTLED","OUTSTANDING")&lt;&gt;""),--ISNUMBER(SEARCH($AF$4,IF('Final Calculation Sheet'!$AD$21&lt;=5,"SETTLED","OUTSTANDING"))))))</f>
        <v>1</v>
      </c>
      <c r="EL23">
        <f>IF($AG$4="",1,IF($AG$4="(blank)",--('Final Calculation Sheet'!$AF$21=""),IF($AG$4="(nonblank)",--('Final Calculation Sheet'!$AF$21&lt;&gt;""),--ISNUMBER(SEARCH($AG$4,'Final Calculation Sheet'!$AF$21)))))</f>
        <v>1</v>
      </c>
      <c r="EM23">
        <f>IF($AH$4="",1,IF($AH$4="(blank)",--('Final Calculation Sheet'!$AG$21=""),IF($AH$4="(nonblank)",--('Final Calculation Sheet'!$AG$21&lt;&gt;""),--ISNUMBER(SEARCH($AH$4,'Final Calculation Sheet'!$AG$21)))))</f>
        <v>1</v>
      </c>
      <c r="EN23">
        <f>IF($AI$4="",1,IF($AI$4="(blank)",--('Final Calculation Sheet'!$AH$21=""),IF($AI$4="(nonblank)",--('Final Calculation Sheet'!$AH$21&lt;&gt;""),--ISNUMBER(SEARCH($AI$4,'Final Calculation Sheet'!$AH$21)))))</f>
        <v>1</v>
      </c>
    </row>
    <row r="24" spans="1:144" hidden="1" outlineLevel="1" x14ac:dyDescent="0.3">
      <c r="A24" s="117" t="str">
        <f>IF($AL$24="","",18)</f>
        <v/>
      </c>
      <c r="B24" s="118" t="str">
        <f>IF($AL$24="","",IF(INDEX('Final Calculation Sheet'!$F$4:$F$40,$AL$24)="","",INDEX('Final Calculation Sheet'!$F$4:$F$40,$AL$24)))</f>
        <v/>
      </c>
      <c r="C24" s="118" t="str">
        <f>IF($AL$24="","",IF(INDEX('Final Calculation Sheet'!$G$4:$G$40,$AL$24)="","",INDEX('Final Calculation Sheet'!$G$4:$G$40,$AL$24)))</f>
        <v/>
      </c>
      <c r="D24" s="119" t="str">
        <f>IF($AL$24="","",IF(INDEX('Final Calculation Sheet'!$B$4:$B$40,$AL$24)="","",INDEX('Final Calculation Sheet'!$B$4:$B$40,$AL$24)))</f>
        <v/>
      </c>
      <c r="E24" s="119" t="str">
        <f>IF($AL$24="","",IF(INDEX('Final Calculation Sheet'!$D$4:$D$40,$AL$24)="","",INDEX('Final Calculation Sheet'!$D$4:$D$40,$AL$24)))</f>
        <v/>
      </c>
      <c r="F24" s="119" t="str">
        <f>IF($AL$24="","",IF(INDEX('Final Calculation Sheet'!$A$4:$A$40,$AL$24)="","",INDEX('Final Calculation Sheet'!$A$4:$A$40,$AL$24)))</f>
        <v/>
      </c>
      <c r="G24" s="119" t="str">
        <f>IF($AL$24="","",IF(INDEX('Final Calculation Sheet'!$E$4:$E$40,$AL$24)="","",INDEX('Final Calculation Sheet'!$E$4:$E$40,$AL$24)))</f>
        <v/>
      </c>
      <c r="H24" s="120" t="str">
        <f>IF($AL$24="","",IF(INDEX('Final Calculation Sheet'!$C$4:$C$40,$AL$24)="","",INDEX('Final Calculation Sheet'!$C$4:$C$40,$AL$24)))</f>
        <v/>
      </c>
      <c r="I24" s="120" t="str">
        <f>IF($AL$24="","",IF(INDEX('Final Calculation Sheet'!$H$4:$H$40,$AL$24)="","",INDEX('Final Calculation Sheet'!$H$4:$H$40,$AL$24)))</f>
        <v/>
      </c>
      <c r="J24" s="120" t="str">
        <f>IF($AL$24="","",IF(INDEX('Final Calculation Sheet'!$I$4:$I$40,$AL$24)="","",INDEX('Final Calculation Sheet'!$I$4:$I$40,$AL$24)))</f>
        <v/>
      </c>
      <c r="K24" s="120" t="str">
        <f>IF($AL$24="","",IF(INDEX('Final Calculation Sheet'!$J$4:$J$40,$AL$24)="","",INDEX('Final Calculation Sheet'!$J$4:$J$40,$AL$24)))</f>
        <v/>
      </c>
      <c r="L24" s="120" t="str">
        <f>IF($AL$24="","",IF(INDEX('Final Calculation Sheet'!$K$4:$K$40,$AL$24)="","",INDEX('Final Calculation Sheet'!$K$4:$K$40,$AL$24)))</f>
        <v/>
      </c>
      <c r="M24" s="120" t="str">
        <f>IF($AL$24="","",IF(INDEX('Final Calculation Sheet'!$L$4:$L$40,$AL$24)="","",INDEX('Final Calculation Sheet'!$L$4:$L$40,$AL$24)))</f>
        <v/>
      </c>
      <c r="N24" s="120" t="str">
        <f>IF($AL$24="","",IF(INDEX('Final Calculation Sheet'!$M$4:$M$40,$AL$24)="","",INDEX('Final Calculation Sheet'!$M$4:$M$40,$AL$24)))</f>
        <v/>
      </c>
      <c r="O24" s="121" t="str">
        <f>IF($AL$24="","",IF(INDEX('Final Calculation Sheet'!$N$4:$N$40,$AL$24)="","",INDEX('Final Calculation Sheet'!$N$4:$N$40,$AL$24)))</f>
        <v/>
      </c>
      <c r="P24" s="120" t="str">
        <f>IF($AL$24="","",IF(INDEX('Final Calculation Sheet'!$O$4:$O$40,$AL$24)="","",INDEX('Final Calculation Sheet'!$O$4:$O$40,$AL$24)))</f>
        <v/>
      </c>
      <c r="Q24" s="120" t="str">
        <f>IF($AL$24="","",IF(INDEX('Final Calculation Sheet'!$P$4:$P$40,$AL$24)="","",INDEX('Final Calculation Sheet'!$P$4:$P$40,$AL$24)))</f>
        <v/>
      </c>
      <c r="R24" s="122" t="str">
        <f>IF($AL$24="","",IF(INDEX('Final Calculation Sheet'!$Q$4:$Q$40,$AL$24)="","",INDEX('Final Calculation Sheet'!$Q$4:$Q$40,$AL$24)))</f>
        <v/>
      </c>
      <c r="S24" s="120" t="str">
        <f>IF($AL$24="","",IF(INDEX('Final Calculation Sheet'!$R$4:$R$40,$AL$24)="","",INDEX('Final Calculation Sheet'!$R$4:$R$40,$AL$24)))</f>
        <v/>
      </c>
      <c r="T24" s="120" t="str">
        <f>IF($AL$24="","",IF(INDEX('Final Calculation Sheet'!$S$4:$S$40,$AL$24)="","",INDEX('Final Calculation Sheet'!$S$4:$S$40,$AL$24)))</f>
        <v/>
      </c>
      <c r="U24" s="120" t="str">
        <f>IF($AL$24="","",IF(INDEX('Final Calculation Sheet'!$T$4:$T$40,$AL$24)="","",INDEX('Final Calculation Sheet'!$T$4:$T$40,$AL$24)))</f>
        <v/>
      </c>
      <c r="V24" s="123" t="str">
        <f>IF($AL$24="","",IF(INDEX('Final Calculation Sheet'!$U$4:$U$40,$AL$24)="","",INDEX('Final Calculation Sheet'!$U$4:$U$40,$AL$24)))</f>
        <v/>
      </c>
      <c r="W24" s="120" t="str">
        <f>IF($AL$24="","",IF(INDEX('Final Calculation Sheet'!$V$4:$V$40,$AL$24)="","",INDEX('Final Calculation Sheet'!$V$4:$V$40,$AL$24)))</f>
        <v/>
      </c>
      <c r="X24" s="120" t="str">
        <f>IF($AL$24="","",IF(INDEX('Final Calculation Sheet'!$W$4:$W$40,$AL$24)="","",INDEX('Final Calculation Sheet'!$W$4:$W$40,$AL$24)))</f>
        <v/>
      </c>
      <c r="Y24" s="120" t="str">
        <f>IF($AL$24="","",IF(INDEX('Final Calculation Sheet'!$X$4:$X$40,$AL$24)="","",INDEX('Final Calculation Sheet'!$X$4:$X$40,$AL$24)))</f>
        <v/>
      </c>
      <c r="Z24" s="120" t="str">
        <f>IF($AL$24="","",IF(INDEX('Final Calculation Sheet'!$Y$4:$Y$40,$AL$24)="","",INDEX('Final Calculation Sheet'!$Y$4:$Y$40,$AL$24)))</f>
        <v/>
      </c>
      <c r="AA24" s="120" t="str">
        <f>IF($AL$24="","",IF(INDEX('Final Calculation Sheet'!$Z$4:$Z$40,$AL$24)="","",INDEX('Final Calculation Sheet'!$Z$4:$Z$40,$AL$24)))</f>
        <v/>
      </c>
      <c r="AB24" s="120" t="str">
        <f>IF($AL$24="","",IF(INDEX('Final Calculation Sheet'!$AA$4:$AA$40,$AL$24)="","",INDEX('Final Calculation Sheet'!$AA$4:$AA$40,$AL$24)))</f>
        <v/>
      </c>
      <c r="AC24" s="120" t="str">
        <f>IF($AL$24="","",IF(INDEX('Final Calculation Sheet'!$AB$4:$AB$40,$AL$24)="","",INDEX('Final Calculation Sheet'!$AB$4:$AB$40,$AL$24)))</f>
        <v/>
      </c>
      <c r="AD24" s="120" t="str">
        <f>IF($AL$24="","",IF(INDEX('Final Calculation Sheet'!$AC$4:$AC$40,$AL$24)="","",INDEX('Final Calculation Sheet'!$AC$4:$AC$40,$AL$24)))</f>
        <v/>
      </c>
      <c r="AE24" s="120" t="str">
        <f>IF($AL$24="","",IF(INDEX('Final Calculation Sheet'!$AD$4:$AD$40,$AL$24)="","",INDEX('Final Calculation Sheet'!$AD$4:$AD$40,$AL$24)))</f>
        <v/>
      </c>
      <c r="AF24" s="125" t="str">
        <f>IF($AL$24="","",IF(INDEX('Final Calculation Sheet'!$AD$4:$AD$40,$AL$24)&lt;=5,"SETTLED","OUTSTANDING"))</f>
        <v/>
      </c>
      <c r="AG24" s="120" t="str">
        <f>IF($AL$24="","",IF(INDEX('Final Calculation Sheet'!$AF$4:$AF$40,$AL$24)="","",INDEX('Final Calculation Sheet'!$AF$4:$AF$40,$AL$24)))</f>
        <v/>
      </c>
      <c r="AH24" s="124" t="str">
        <f>IF($AL$24="","",IF(INDEX('Final Calculation Sheet'!$AG$4:$AG$40,$AL$24)="","",INDEX('Final Calculation Sheet'!$AG$4:$AG$40,$AL$24)))</f>
        <v/>
      </c>
      <c r="AI24" s="120" t="str">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v>1</v>
      </c>
      <c r="AK24">
        <f>IF(AJ24=1,COUNTIF(AJ$6:AJ24,1),"")</f>
        <v>19</v>
      </c>
      <c r="AL24" t="str">
        <f>IF(COUNTIF($B$4:$AI$4,"&lt;&gt;")=0,"",IFERROR(MATCH(18,$AK$6:$AK$42,0),""))</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 ca="1">CK23+IF(AND(Lists!$EJ$24&lt;&gt;"",ISNUMBER(SEARCH($AA$4,Lists!$EJ$24))),1,0)</f>
        <v>21</v>
      </c>
      <c r="CL24">
        <f ca="1">IF(ROW()-3&gt;MAX($CK$4:$CK$42),"",INDEX(Lists!$EJ$4:$EJ$42,MATCH(ROW()-3,$CK$4:$CK$42,0)))</f>
        <v>7009.2000000000007</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f>CS23+IF(AND(Lists!$FD$24&lt;&gt;"",ISNUMBER(SEARCH($AE$4,Lists!$FD$24))),1,0)</f>
        <v>11</v>
      </c>
      <c r="CT24" t="str">
        <f>IF(ROW()-3&gt;MAX($CS$4:$CS$42),"",INDEX(Lists!$FD$4:$FD$42,MATCH(ROW()-3,$CS$4:$CS$42,0)))</f>
        <v/>
      </c>
      <c r="CU24" t="e">
        <f>CU23+IF(AND(Lists!$FI$24&lt;&gt;"",ISNUMBER(SEARCH($AG$4,Lists!$FI$24))),1,0)</f>
        <v>#N/A</v>
      </c>
      <c r="CV24" t="e">
        <f>IF(ROW()-3&gt;MAX($CU$4:$CU$42),"",INDEX(Lists!$FI$4:$FI$42,MATCH(ROW()-3,$CU$4:$CU$42,0)))</f>
        <v>#N/A</v>
      </c>
      <c r="CW24" t="e">
        <f>CW23+IF(AND(Lists!$FN$24&lt;&gt;"",ISNUMBER(SEARCH($AH$4,Lists!$FN$24))),1,0)</f>
        <v>#N/A</v>
      </c>
      <c r="CX24" t="e">
        <f>IF(ROW()-3&gt;MAX($CW$4:$CW$42),"",INDEX(Lists!$FN$4:$FN$42,MATCH(ROW()-3,$CW$4:$CW$42,0)))</f>
        <v>#N/A</v>
      </c>
      <c r="CY24" t="e">
        <f>CY23+IF(AND(Lists!$FS$24&lt;&gt;"",ISNUMBER(SEARCH($AI$4,Lists!$FS$24))),1,0)</f>
        <v>#N/A</v>
      </c>
      <c r="CZ24" t="e">
        <f>IF(ROW()-3&gt;MAX($CY$4:$CY$42),"",INDEX(Lists!$FS$4:$FS$42,MATCH(ROW()-3,$CY$4:$CY$42,0)))</f>
        <v>#N/A</v>
      </c>
      <c r="DA24">
        <f>DA23+IF(AND(Lists!$FX$24&lt;&gt;"",ISNUMBER(SEARCH($AF$4,Lists!$FX$24))),1,0)</f>
        <v>2</v>
      </c>
      <c r="DB24" t="str">
        <f>IF(ROW()-3&gt;MAX($DA$4:$DA$42),"",INDEX(Lists!$FX$4:$FX$42,MATCH(ROW()-3,$DA$4:$DA$42,0)))</f>
        <v/>
      </c>
      <c r="DG24">
        <f>IF($B$4="",1,IF($B$4="(blank)",--('Final Calculation Sheet'!$F$22=""),IF($B$4="(nonblank)",--('Final Calculation Sheet'!$F$22&lt;&gt;""),--ISNUMBER(SEARCH($B$4,'Final Calculation Sheet'!$F$22)))))</f>
        <v>1</v>
      </c>
      <c r="DH24">
        <f>IF($C$4="",1,IF($C$4="(blank)",--('Final Calculation Sheet'!$G$22=""),IF($C$4="(nonblank)",--('Final Calculation Sheet'!$G$22&lt;&gt;""),--ISNUMBER(SEARCH($C$4,'Final Calculation Sheet'!$G$22)))))</f>
        <v>1</v>
      </c>
      <c r="DI24">
        <f>IF($D$4="",1,IF($D$4="(blank)",--('Final Calculation Sheet'!$B$22=""),IF($D$4="(nonblank)",--('Final Calculation Sheet'!$B$22&lt;&gt;""),--ISNUMBER(SEARCH($D$4,'Final Calculation Sheet'!$B$22)))))</f>
        <v>1</v>
      </c>
      <c r="DJ24">
        <f>IF($E$4="",1,IF($E$4="(blank)",--('Final Calculation Sheet'!$D$22=""),IF($E$4="(nonblank)",--('Final Calculation Sheet'!$D$22&lt;&gt;""),--ISNUMBER(SEARCH($E$4,'Final Calculation Sheet'!$D$22)))))</f>
        <v>1</v>
      </c>
      <c r="DK24">
        <f>IF($F$4="",1,IF($F$4="(blank)",--('Final Calculation Sheet'!$A$22=""),IF($F$4="(nonblank)",--('Final Calculation Sheet'!$A$22&lt;&gt;""),--ISNUMBER(SEARCH($F$4,'Final Calculation Sheet'!$A$22)))))</f>
        <v>1</v>
      </c>
      <c r="DL24">
        <f>IF($G$4="",1,IF($G$4="(blank)",--('Final Calculation Sheet'!$E$22=""),IF($G$4="(nonblank)",--('Final Calculation Sheet'!$E$22&lt;&gt;""),--ISNUMBER(SEARCH($G$4,'Final Calculation Sheet'!$E$22)))))</f>
        <v>1</v>
      </c>
      <c r="DM24">
        <f>IF($H$4="",1,IF($H$4="(blank)",--('Final Calculation Sheet'!$C$22=""),IF($H$4="(nonblank)",--('Final Calculation Sheet'!$C$22&lt;&gt;""),--ISNUMBER(SEARCH($H$4,'Final Calculation Sheet'!$C$22)))))</f>
        <v>1</v>
      </c>
      <c r="DN24">
        <f>IF($I$4="",1,IF($I$4="(blank)",--('Final Calculation Sheet'!$H$22=""),IF($I$4="(nonblank)",--('Final Calculation Sheet'!$H$22&lt;&gt;""),--ISNUMBER(SEARCH($I$4,'Final Calculation Sheet'!$H$22)))))</f>
        <v>1</v>
      </c>
      <c r="DO24">
        <f>IF($J$4="",1,IF($J$4="(blank)",--('Final Calculation Sheet'!$I$22=""),IF($J$4="(nonblank)",--('Final Calculation Sheet'!$I$22&lt;&gt;""),--ISNUMBER(SEARCH($J$4,'Final Calculation Sheet'!$I$22)))))</f>
        <v>1</v>
      </c>
      <c r="DP24">
        <f>IF($K$4="",1,IF($K$4="(blank)",--('Final Calculation Sheet'!$J$22=""),IF($K$4="(nonblank)",--('Final Calculation Sheet'!$J$22&lt;&gt;""),--ISNUMBER(SEARCH($K$4,'Final Calculation Sheet'!$J$22)))))</f>
        <v>1</v>
      </c>
      <c r="DQ24">
        <f>IF($L$4="",1,IF($L$4="(blank)",--('Final Calculation Sheet'!$K$22=""),IF($L$4="(nonblank)",--('Final Calculation Sheet'!$K$22&lt;&gt;""),--ISNUMBER(SEARCH($L$4,'Final Calculation Sheet'!$K$22)))))</f>
        <v>1</v>
      </c>
      <c r="DR24">
        <f>IF($M$4="",1,IF($M$4="(blank)",--('Final Calculation Sheet'!$L$22=""),IF($M$4="(nonblank)",--('Final Calculation Sheet'!$L$22&lt;&gt;""),--ISNUMBER(SEARCH($M$4,'Final Calculation Sheet'!$L$22)))))</f>
        <v>1</v>
      </c>
      <c r="DS24">
        <f>IF($N$4="",1,IF($N$4="(blank)",--('Final Calculation Sheet'!$M$22=""),IF($N$4="(nonblank)",--('Final Calculation Sheet'!$M$22&lt;&gt;""),--ISNUMBER(SEARCH($N$4,'Final Calculation Sheet'!$M$22)))))</f>
        <v>1</v>
      </c>
      <c r="DT24">
        <f>IF($O$4="",1,IF($O$4="(blank)",--('Final Calculation Sheet'!$N$22=""),IF($O$4="(nonblank)",--('Final Calculation Sheet'!$N$22&lt;&gt;""),--ISNUMBER(SEARCH($O$4,'Final Calculation Sheet'!$N$22)))))</f>
        <v>1</v>
      </c>
      <c r="DU24">
        <f>IF($P$4="",1,IF($P$4="(blank)",--('Final Calculation Sheet'!$O$22=""),IF($P$4="(nonblank)",--('Final Calculation Sheet'!$O$22&lt;&gt;""),--ISNUMBER(SEARCH($P$4,'Final Calculation Sheet'!$O$22)))))</f>
        <v>1</v>
      </c>
      <c r="DV24">
        <f>IF($Q$4="",1,IF($Q$4="(blank)",--('Final Calculation Sheet'!$P$22=""),IF($Q$4="(nonblank)",--('Final Calculation Sheet'!$P$22&lt;&gt;""),--ISNUMBER(SEARCH($Q$4,'Final Calculation Sheet'!$P$22)))))</f>
        <v>1</v>
      </c>
      <c r="DW24">
        <f>IF($R$4="",1,IF($R$4="(blank)",--('Final Calculation Sheet'!$Q$22=""),IF($R$4="(nonblank)",--('Final Calculation Sheet'!$Q$22&lt;&gt;""),--ISNUMBER(SEARCH($R$4,'Final Calculation Sheet'!$Q$22)))))</f>
        <v>1</v>
      </c>
      <c r="DX24">
        <f>IF($S$4="",1,IF($S$4="(blank)",--('Final Calculation Sheet'!$R$22=""),IF($S$4="(nonblank)",--('Final Calculation Sheet'!$R$22&lt;&gt;""),--ISNUMBER(SEARCH($S$4,'Final Calculation Sheet'!$R$22)))))</f>
        <v>1</v>
      </c>
      <c r="DY24">
        <f>IF($T$4="",1,IF($T$4="(blank)",--('Final Calculation Sheet'!$S$22=""),IF($T$4="(nonblank)",--('Final Calculation Sheet'!$S$22&lt;&gt;""),--ISNUMBER(SEARCH($T$4,'Final Calculation Sheet'!$S$22)))))</f>
        <v>1</v>
      </c>
      <c r="DZ24">
        <f>IF($U$4="",1,IF($U$4="(blank)",--('Final Calculation Sheet'!$T$22=""),IF($U$4="(nonblank)",--('Final Calculation Sheet'!$T$22&lt;&gt;""),--ISNUMBER(SEARCH($U$4,'Final Calculation Sheet'!$T$22)))))</f>
        <v>1</v>
      </c>
      <c r="EA24">
        <f>IF($V$4="",1,IF($V$4="(blank)",--('Final Calculation Sheet'!$U$22=""),IF($V$4="(nonblank)",--('Final Calculation Sheet'!$U$22&lt;&gt;""),--ISNUMBER(SEARCH($V$4,'Final Calculation Sheet'!$U$22)))))</f>
        <v>1</v>
      </c>
      <c r="EB24">
        <f>IF($W$4="",1,IF($W$4="(blank)",--('Final Calculation Sheet'!$V$22=""),IF($W$4="(nonblank)",--('Final Calculation Sheet'!$V$22&lt;&gt;""),--ISNUMBER(SEARCH($W$4,'Final Calculation Sheet'!$V$22)))))</f>
        <v>1</v>
      </c>
      <c r="EC24">
        <f>IF($X$4="",1,IF($X$4="(blank)",--('Final Calculation Sheet'!$W$22=""),IF($X$4="(nonblank)",--('Final Calculation Sheet'!$W$22&lt;&gt;""),--ISNUMBER(SEARCH($X$4,'Final Calculation Sheet'!$W$22)))))</f>
        <v>1</v>
      </c>
      <c r="ED24">
        <f>IF($Y$4="",1,IF($Y$4="(blank)",--('Final Calculation Sheet'!$X$22=""),IF($Y$4="(nonblank)",--('Final Calculation Sheet'!$X$22&lt;&gt;""),--ISNUMBER(SEARCH($Y$4,'Final Calculation Sheet'!$X$22)))))</f>
        <v>1</v>
      </c>
      <c r="EE24">
        <f>IF($Z$4="",1,IF($Z$4="(blank)",--('Final Calculation Sheet'!$Y$22=""),IF($Z$4="(nonblank)",--('Final Calculation Sheet'!$Y$22&lt;&gt;""),--ISNUMBER(SEARCH($Z$4,'Final Calculation Sheet'!$Y$22)))))</f>
        <v>1</v>
      </c>
      <c r="EF24">
        <f>IF($AA$4="",1,IF($AA$4="(blank)",--('Final Calculation Sheet'!$Z$22=""),IF($AA$4="(nonblank)",--('Final Calculation Sheet'!$Z$22&lt;&gt;""),--ISNUMBER(SEARCH($AA$4,'Final Calculation Sheet'!$Z$22)))))</f>
        <v>1</v>
      </c>
      <c r="EG24">
        <f>IF($AB$4="",1,IF($AB$4="(blank)",--('Final Calculation Sheet'!$AA$22=""),IF($AB$4="(nonblank)",--('Final Calculation Sheet'!$AA$22&lt;&gt;""),--ISNUMBER(SEARCH($AB$4,'Final Calculation Sheet'!$AA$22)))))</f>
        <v>1</v>
      </c>
      <c r="EH24">
        <f>IF($AC$4="",1,IF($AC$4="(blank)",--('Final Calculation Sheet'!$AB$22=""),IF($AC$4="(nonblank)",--('Final Calculation Sheet'!$AB$22&lt;&gt;""),--ISNUMBER(SEARCH($AC$4,'Final Calculation Sheet'!$AB$22)))))</f>
        <v>1</v>
      </c>
      <c r="EI24">
        <f>IF($AD$4="",1,IF($AD$4="(blank)",--('Final Calculation Sheet'!$AC$22=""),IF($AD$4="(nonblank)",--('Final Calculation Sheet'!$AC$22&lt;&gt;""),--ISNUMBER(SEARCH($AD$4,'Final Calculation Sheet'!$AC$22)))))</f>
        <v>1</v>
      </c>
      <c r="EJ24">
        <f>IF($AE$4="",1,IF($AE$4="(blank)",--('Final Calculation Sheet'!$AD$22=""),IF($AE$4="(nonblank)",--('Final Calculation Sheet'!$AD$22&lt;&gt;""),--ISNUMBER(SEARCH($AE$4,'Final Calculation Sheet'!$AD$22)))))</f>
        <v>1</v>
      </c>
      <c r="EK24">
        <f>IF($AF$4="",1,IF($AF$4="(blank)",--(IF('Final Calculation Sheet'!$AD$22&lt;=5,"SETTLED","OUTSTANDING")=""),IF($AF$4="(nonblank)",--(IF('Final Calculation Sheet'!$AD$22&lt;=5,"SETTLED","OUTSTANDING")&lt;&gt;""),--ISNUMBER(SEARCH($AF$4,IF('Final Calculation Sheet'!$AD$22&lt;=5,"SETTLED","OUTSTANDING"))))))</f>
        <v>1</v>
      </c>
      <c r="EL24">
        <f>IF($AG$4="",1,IF($AG$4="(blank)",--('Final Calculation Sheet'!$AF$22=""),IF($AG$4="(nonblank)",--('Final Calculation Sheet'!$AF$22&lt;&gt;""),--ISNUMBER(SEARCH($AG$4,'Final Calculation Sheet'!$AF$22)))))</f>
        <v>1</v>
      </c>
      <c r="EM24">
        <f>IF($AH$4="",1,IF($AH$4="(blank)",--('Final Calculation Sheet'!$AG$22=""),IF($AH$4="(nonblank)",--('Final Calculation Sheet'!$AG$22&lt;&gt;""),--ISNUMBER(SEARCH($AH$4,'Final Calculation Sheet'!$AG$22)))))</f>
        <v>1</v>
      </c>
      <c r="EN24">
        <f>IF($AI$4="",1,IF($AI$4="(blank)",--('Final Calculation Sheet'!$AH$22=""),IF($AI$4="(nonblank)",--('Final Calculation Sheet'!$AH$22&lt;&gt;""),--ISNUMBER(SEARCH($AI$4,'Final Calculation Sheet'!$AH$22)))))</f>
        <v>1</v>
      </c>
    </row>
    <row r="25" spans="1:144" hidden="1" outlineLevel="1" x14ac:dyDescent="0.3">
      <c r="A25" s="107" t="str">
        <f>IF($AL$25="","",19)</f>
        <v/>
      </c>
      <c r="B25" s="108" t="str">
        <f>IF($AL$25="","",IF(INDEX('Final Calculation Sheet'!$F$4:$F$40,$AL$25)="","",INDEX('Final Calculation Sheet'!$F$4:$F$40,$AL$25)))</f>
        <v/>
      </c>
      <c r="C25" s="108" t="str">
        <f>IF($AL$25="","",IF(INDEX('Final Calculation Sheet'!$G$4:$G$40,$AL$25)="","",INDEX('Final Calculation Sheet'!$G$4:$G$40,$AL$25)))</f>
        <v/>
      </c>
      <c r="D25" s="110" t="str">
        <f>IF($AL$25="","",IF(INDEX('Final Calculation Sheet'!$B$4:$B$40,$AL$25)="","",INDEX('Final Calculation Sheet'!$B$4:$B$40,$AL$25)))</f>
        <v/>
      </c>
      <c r="E25" s="110" t="str">
        <f>IF($AL$25="","",IF(INDEX('Final Calculation Sheet'!$D$4:$D$40,$AL$25)="","",INDEX('Final Calculation Sheet'!$D$4:$D$40,$AL$25)))</f>
        <v/>
      </c>
      <c r="F25" s="110" t="str">
        <f>IF($AL$25="","",IF(INDEX('Final Calculation Sheet'!$A$4:$A$40,$AL$25)="","",INDEX('Final Calculation Sheet'!$A$4:$A$40,$AL$25)))</f>
        <v/>
      </c>
      <c r="G25" s="110" t="str">
        <f>IF($AL$25="","",IF(INDEX('Final Calculation Sheet'!$E$4:$E$40,$AL$25)="","",INDEX('Final Calculation Sheet'!$E$4:$E$40,$AL$25)))</f>
        <v/>
      </c>
      <c r="H25" s="111" t="str">
        <f>IF($AL$25="","",IF(INDEX('Final Calculation Sheet'!$C$4:$C$40,$AL$25)="","",INDEX('Final Calculation Sheet'!$C$4:$C$40,$AL$25)))</f>
        <v/>
      </c>
      <c r="I25" s="111" t="str">
        <f>IF($AL$25="","",IF(INDEX('Final Calculation Sheet'!$H$4:$H$40,$AL$25)="","",INDEX('Final Calculation Sheet'!$H$4:$H$40,$AL$25)))</f>
        <v/>
      </c>
      <c r="J25" s="111" t="str">
        <f>IF($AL$25="","",IF(INDEX('Final Calculation Sheet'!$I$4:$I$40,$AL$25)="","",INDEX('Final Calculation Sheet'!$I$4:$I$40,$AL$25)))</f>
        <v/>
      </c>
      <c r="K25" s="111" t="str">
        <f>IF($AL$25="","",IF(INDEX('Final Calculation Sheet'!$J$4:$J$40,$AL$25)="","",INDEX('Final Calculation Sheet'!$J$4:$J$40,$AL$25)))</f>
        <v/>
      </c>
      <c r="L25" s="111" t="str">
        <f>IF($AL$25="","",IF(INDEX('Final Calculation Sheet'!$K$4:$K$40,$AL$25)="","",INDEX('Final Calculation Sheet'!$K$4:$K$40,$AL$25)))</f>
        <v/>
      </c>
      <c r="M25" s="111" t="str">
        <f>IF($AL$25="","",IF(INDEX('Final Calculation Sheet'!$L$4:$L$40,$AL$25)="","",INDEX('Final Calculation Sheet'!$L$4:$L$40,$AL$25)))</f>
        <v/>
      </c>
      <c r="N25" s="111" t="str">
        <f>IF($AL$25="","",IF(INDEX('Final Calculation Sheet'!$M$4:$M$40,$AL$25)="","",INDEX('Final Calculation Sheet'!$M$4:$M$40,$AL$25)))</f>
        <v/>
      </c>
      <c r="O25" s="112" t="str">
        <f>IF($AL$25="","",IF(INDEX('Final Calculation Sheet'!$N$4:$N$40,$AL$25)="","",INDEX('Final Calculation Sheet'!$N$4:$N$40,$AL$25)))</f>
        <v/>
      </c>
      <c r="P25" s="111" t="str">
        <f>IF($AL$25="","",IF(INDEX('Final Calculation Sheet'!$O$4:$O$40,$AL$25)="","",INDEX('Final Calculation Sheet'!$O$4:$O$40,$AL$25)))</f>
        <v/>
      </c>
      <c r="Q25" s="111" t="str">
        <f>IF($AL$25="","",IF(INDEX('Final Calculation Sheet'!$P$4:$P$40,$AL$25)="","",INDEX('Final Calculation Sheet'!$P$4:$P$40,$AL$25)))</f>
        <v/>
      </c>
      <c r="R25" s="113" t="str">
        <f>IF($AL$25="","",IF(INDEX('Final Calculation Sheet'!$Q$4:$Q$40,$AL$25)="","",INDEX('Final Calculation Sheet'!$Q$4:$Q$40,$AL$25)))</f>
        <v/>
      </c>
      <c r="S25" s="111" t="str">
        <f>IF($AL$25="","",IF(INDEX('Final Calculation Sheet'!$R$4:$R$40,$AL$25)="","",INDEX('Final Calculation Sheet'!$R$4:$R$40,$AL$25)))</f>
        <v/>
      </c>
      <c r="T25" s="111" t="str">
        <f>IF($AL$25="","",IF(INDEX('Final Calculation Sheet'!$S$4:$S$40,$AL$25)="","",INDEX('Final Calculation Sheet'!$S$4:$S$40,$AL$25)))</f>
        <v/>
      </c>
      <c r="U25" s="111" t="str">
        <f>IF($AL$25="","",IF(INDEX('Final Calculation Sheet'!$T$4:$T$40,$AL$25)="","",INDEX('Final Calculation Sheet'!$T$4:$T$40,$AL$25)))</f>
        <v/>
      </c>
      <c r="V25" s="114" t="str">
        <f>IF($AL$25="","",IF(INDEX('Final Calculation Sheet'!$U$4:$U$40,$AL$25)="","",INDEX('Final Calculation Sheet'!$U$4:$U$40,$AL$25)))</f>
        <v/>
      </c>
      <c r="W25" s="111" t="str">
        <f>IF($AL$25="","",IF(INDEX('Final Calculation Sheet'!$V$4:$V$40,$AL$25)="","",INDEX('Final Calculation Sheet'!$V$4:$V$40,$AL$25)))</f>
        <v/>
      </c>
      <c r="X25" s="111" t="str">
        <f>IF($AL$25="","",IF(INDEX('Final Calculation Sheet'!$W$4:$W$40,$AL$25)="","",INDEX('Final Calculation Sheet'!$W$4:$W$40,$AL$25)))</f>
        <v/>
      </c>
      <c r="Y25" s="111" t="str">
        <f>IF($AL$25="","",IF(INDEX('Final Calculation Sheet'!$X$4:$X$40,$AL$25)="","",INDEX('Final Calculation Sheet'!$X$4:$X$40,$AL$25)))</f>
        <v/>
      </c>
      <c r="Z25" s="111" t="str">
        <f>IF($AL$25="","",IF(INDEX('Final Calculation Sheet'!$Y$4:$Y$40,$AL$25)="","",INDEX('Final Calculation Sheet'!$Y$4:$Y$40,$AL$25)))</f>
        <v/>
      </c>
      <c r="AA25" s="111" t="str">
        <f>IF($AL$25="","",IF(INDEX('Final Calculation Sheet'!$Z$4:$Z$40,$AL$25)="","",INDEX('Final Calculation Sheet'!$Z$4:$Z$40,$AL$25)))</f>
        <v/>
      </c>
      <c r="AB25" s="111" t="str">
        <f>IF($AL$25="","",IF(INDEX('Final Calculation Sheet'!$AA$4:$AA$40,$AL$25)="","",INDEX('Final Calculation Sheet'!$AA$4:$AA$40,$AL$25)))</f>
        <v/>
      </c>
      <c r="AC25" s="111" t="str">
        <f>IF($AL$25="","",IF(INDEX('Final Calculation Sheet'!$AB$4:$AB$40,$AL$25)="","",INDEX('Final Calculation Sheet'!$AB$4:$AB$40,$AL$25)))</f>
        <v/>
      </c>
      <c r="AD25" s="111" t="str">
        <f>IF($AL$25="","",IF(INDEX('Final Calculation Sheet'!$AC$4:$AC$40,$AL$25)="","",INDEX('Final Calculation Sheet'!$AC$4:$AC$40,$AL$25)))</f>
        <v/>
      </c>
      <c r="AE25" s="111" t="str">
        <f>IF($AL$25="","",IF(INDEX('Final Calculation Sheet'!$AD$4:$AD$40,$AL$25)="","",INDEX('Final Calculation Sheet'!$AD$4:$AD$40,$AL$25)))</f>
        <v/>
      </c>
      <c r="AF25" s="116" t="str">
        <f>IF($AL$25="","",IF(INDEX('Final Calculation Sheet'!$AD$4:$AD$40,$AL$25)&lt;=5,"SETTLED","OUTSTANDING"))</f>
        <v/>
      </c>
      <c r="AG25" s="111" t="str">
        <f>IF($AL$25="","",IF(INDEX('Final Calculation Sheet'!$AF$4:$AF$40,$AL$25)="","",INDEX('Final Calculation Sheet'!$AF$4:$AF$40,$AL$25)))</f>
        <v/>
      </c>
      <c r="AH25" s="115" t="str">
        <f>IF($AL$25="","",IF(INDEX('Final Calculation Sheet'!$AG$4:$AG$40,$AL$25)="","",INDEX('Final Calculation Sheet'!$AG$4:$AG$40,$AL$25)))</f>
        <v/>
      </c>
      <c r="AI25" s="111" t="str">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v>1</v>
      </c>
      <c r="AK25">
        <f>IF(AJ25=1,COUNTIF(AJ$6:AJ25,1),"")</f>
        <v>20</v>
      </c>
      <c r="AL25" t="str">
        <f>IF(COUNTIF($B$4:$AI$4,"&lt;&gt;")=0,"",IFERROR(MATCH(19,$AK$6:$AK$42,0),""))</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 ca="1">CK24+IF(AND(Lists!$EJ$25&lt;&gt;"",ISNUMBER(SEARCH($AA$4,Lists!$EJ$25))),1,0)</f>
        <v>22</v>
      </c>
      <c r="CL25">
        <f ca="1">IF(ROW()-3&gt;MAX($CK$4:$CK$42),"",INDEX(Lists!$EJ$4:$EJ$42,MATCH(ROW()-3,$CK$4:$CK$42,0)))</f>
        <v>7293.9575999999997</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f>CS24+IF(AND(Lists!$FD$25&lt;&gt;"",ISNUMBER(SEARCH($AE$4,Lists!$FD$25))),1,0)</f>
        <v>11</v>
      </c>
      <c r="CT25" t="str">
        <f>IF(ROW()-3&gt;MAX($CS$4:$CS$42),"",INDEX(Lists!$FD$4:$FD$42,MATCH(ROW()-3,$CS$4:$CS$42,0)))</f>
        <v/>
      </c>
      <c r="CU25" t="e">
        <f>CU24+IF(AND(Lists!$FI$25&lt;&gt;"",ISNUMBER(SEARCH($AG$4,Lists!$FI$25))),1,0)</f>
        <v>#N/A</v>
      </c>
      <c r="CV25" t="e">
        <f>IF(ROW()-3&gt;MAX($CU$4:$CU$42),"",INDEX(Lists!$FI$4:$FI$42,MATCH(ROW()-3,$CU$4:$CU$42,0)))</f>
        <v>#N/A</v>
      </c>
      <c r="CW25" t="e">
        <f>CW24+IF(AND(Lists!$FN$25&lt;&gt;"",ISNUMBER(SEARCH($AH$4,Lists!$FN$25))),1,0)</f>
        <v>#N/A</v>
      </c>
      <c r="CX25" t="e">
        <f>IF(ROW()-3&gt;MAX($CW$4:$CW$42),"",INDEX(Lists!$FN$4:$FN$42,MATCH(ROW()-3,$CW$4:$CW$42,0)))</f>
        <v>#N/A</v>
      </c>
      <c r="CY25" t="e">
        <f>CY24+IF(AND(Lists!$FS$25&lt;&gt;"",ISNUMBER(SEARCH($AI$4,Lists!$FS$25))),1,0)</f>
        <v>#N/A</v>
      </c>
      <c r="CZ25" t="e">
        <f>IF(ROW()-3&gt;MAX($CY$4:$CY$42),"",INDEX(Lists!$FS$4:$FS$42,MATCH(ROW()-3,$CY$4:$CY$42,0)))</f>
        <v>#N/A</v>
      </c>
      <c r="DA25">
        <f>DA24+IF(AND(Lists!$FX$25&lt;&gt;"",ISNUMBER(SEARCH($AF$4,Lists!$FX$25))),1,0)</f>
        <v>2</v>
      </c>
      <c r="DB25" t="str">
        <f>IF(ROW()-3&gt;MAX($DA$4:$DA$42),"",INDEX(Lists!$FX$4:$FX$42,MATCH(ROW()-3,$DA$4:$DA$42,0)))</f>
        <v/>
      </c>
      <c r="DG25">
        <f>IF($B$4="",1,IF($B$4="(blank)",--('Final Calculation Sheet'!$F$23=""),IF($B$4="(nonblank)",--('Final Calculation Sheet'!$F$23&lt;&gt;""),--ISNUMBER(SEARCH($B$4,'Final Calculation Sheet'!$F$23)))))</f>
        <v>1</v>
      </c>
      <c r="DH25">
        <f>IF($C$4="",1,IF($C$4="(blank)",--('Final Calculation Sheet'!$G$23=""),IF($C$4="(nonblank)",--('Final Calculation Sheet'!$G$23&lt;&gt;""),--ISNUMBER(SEARCH($C$4,'Final Calculation Sheet'!$G$23)))))</f>
        <v>1</v>
      </c>
      <c r="DI25">
        <f>IF($D$4="",1,IF($D$4="(blank)",--('Final Calculation Sheet'!$B$23=""),IF($D$4="(nonblank)",--('Final Calculation Sheet'!$B$23&lt;&gt;""),--ISNUMBER(SEARCH($D$4,'Final Calculation Sheet'!$B$23)))))</f>
        <v>1</v>
      </c>
      <c r="DJ25">
        <f>IF($E$4="",1,IF($E$4="(blank)",--('Final Calculation Sheet'!$D$23=""),IF($E$4="(nonblank)",--('Final Calculation Sheet'!$D$23&lt;&gt;""),--ISNUMBER(SEARCH($E$4,'Final Calculation Sheet'!$D$23)))))</f>
        <v>1</v>
      </c>
      <c r="DK25">
        <f>IF($F$4="",1,IF($F$4="(blank)",--('Final Calculation Sheet'!$A$23=""),IF($F$4="(nonblank)",--('Final Calculation Sheet'!$A$23&lt;&gt;""),--ISNUMBER(SEARCH($F$4,'Final Calculation Sheet'!$A$23)))))</f>
        <v>1</v>
      </c>
      <c r="DL25">
        <f>IF($G$4="",1,IF($G$4="(blank)",--('Final Calculation Sheet'!$E$23=""),IF($G$4="(nonblank)",--('Final Calculation Sheet'!$E$23&lt;&gt;""),--ISNUMBER(SEARCH($G$4,'Final Calculation Sheet'!$E$23)))))</f>
        <v>1</v>
      </c>
      <c r="DM25">
        <f>IF($H$4="",1,IF($H$4="(blank)",--('Final Calculation Sheet'!$C$23=""),IF($H$4="(nonblank)",--('Final Calculation Sheet'!$C$23&lt;&gt;""),--ISNUMBER(SEARCH($H$4,'Final Calculation Sheet'!$C$23)))))</f>
        <v>1</v>
      </c>
      <c r="DN25">
        <f>IF($I$4="",1,IF($I$4="(blank)",--('Final Calculation Sheet'!$H$23=""),IF($I$4="(nonblank)",--('Final Calculation Sheet'!$H$23&lt;&gt;""),--ISNUMBER(SEARCH($I$4,'Final Calculation Sheet'!$H$23)))))</f>
        <v>1</v>
      </c>
      <c r="DO25">
        <f>IF($J$4="",1,IF($J$4="(blank)",--('Final Calculation Sheet'!$I$23=""),IF($J$4="(nonblank)",--('Final Calculation Sheet'!$I$23&lt;&gt;""),--ISNUMBER(SEARCH($J$4,'Final Calculation Sheet'!$I$23)))))</f>
        <v>1</v>
      </c>
      <c r="DP25">
        <f>IF($K$4="",1,IF($K$4="(blank)",--('Final Calculation Sheet'!$J$23=""),IF($K$4="(nonblank)",--('Final Calculation Sheet'!$J$23&lt;&gt;""),--ISNUMBER(SEARCH($K$4,'Final Calculation Sheet'!$J$23)))))</f>
        <v>1</v>
      </c>
      <c r="DQ25">
        <f>IF($L$4="",1,IF($L$4="(blank)",--('Final Calculation Sheet'!$K$23=""),IF($L$4="(nonblank)",--('Final Calculation Sheet'!$K$23&lt;&gt;""),--ISNUMBER(SEARCH($L$4,'Final Calculation Sheet'!$K$23)))))</f>
        <v>1</v>
      </c>
      <c r="DR25">
        <f>IF($M$4="",1,IF($M$4="(blank)",--('Final Calculation Sheet'!$L$23=""),IF($M$4="(nonblank)",--('Final Calculation Sheet'!$L$23&lt;&gt;""),--ISNUMBER(SEARCH($M$4,'Final Calculation Sheet'!$L$23)))))</f>
        <v>1</v>
      </c>
      <c r="DS25">
        <f>IF($N$4="",1,IF($N$4="(blank)",--('Final Calculation Sheet'!$M$23=""),IF($N$4="(nonblank)",--('Final Calculation Sheet'!$M$23&lt;&gt;""),--ISNUMBER(SEARCH($N$4,'Final Calculation Sheet'!$M$23)))))</f>
        <v>1</v>
      </c>
      <c r="DT25">
        <f>IF($O$4="",1,IF($O$4="(blank)",--('Final Calculation Sheet'!$N$23=""),IF($O$4="(nonblank)",--('Final Calculation Sheet'!$N$23&lt;&gt;""),--ISNUMBER(SEARCH($O$4,'Final Calculation Sheet'!$N$23)))))</f>
        <v>1</v>
      </c>
      <c r="DU25">
        <f>IF($P$4="",1,IF($P$4="(blank)",--('Final Calculation Sheet'!$O$23=""),IF($P$4="(nonblank)",--('Final Calculation Sheet'!$O$23&lt;&gt;""),--ISNUMBER(SEARCH($P$4,'Final Calculation Sheet'!$O$23)))))</f>
        <v>1</v>
      </c>
      <c r="DV25">
        <f>IF($Q$4="",1,IF($Q$4="(blank)",--('Final Calculation Sheet'!$P$23=""),IF($Q$4="(nonblank)",--('Final Calculation Sheet'!$P$23&lt;&gt;""),--ISNUMBER(SEARCH($Q$4,'Final Calculation Sheet'!$P$23)))))</f>
        <v>1</v>
      </c>
      <c r="DW25">
        <f>IF($R$4="",1,IF($R$4="(blank)",--('Final Calculation Sheet'!$Q$23=""),IF($R$4="(nonblank)",--('Final Calculation Sheet'!$Q$23&lt;&gt;""),--ISNUMBER(SEARCH($R$4,'Final Calculation Sheet'!$Q$23)))))</f>
        <v>1</v>
      </c>
      <c r="DX25">
        <f>IF($S$4="",1,IF($S$4="(blank)",--('Final Calculation Sheet'!$R$23=""),IF($S$4="(nonblank)",--('Final Calculation Sheet'!$R$23&lt;&gt;""),--ISNUMBER(SEARCH($S$4,'Final Calculation Sheet'!$R$23)))))</f>
        <v>1</v>
      </c>
      <c r="DY25">
        <f>IF($T$4="",1,IF($T$4="(blank)",--('Final Calculation Sheet'!$S$23=""),IF($T$4="(nonblank)",--('Final Calculation Sheet'!$S$23&lt;&gt;""),--ISNUMBER(SEARCH($T$4,'Final Calculation Sheet'!$S$23)))))</f>
        <v>1</v>
      </c>
      <c r="DZ25">
        <f>IF($U$4="",1,IF($U$4="(blank)",--('Final Calculation Sheet'!$T$23=""),IF($U$4="(nonblank)",--('Final Calculation Sheet'!$T$23&lt;&gt;""),--ISNUMBER(SEARCH($U$4,'Final Calculation Sheet'!$T$23)))))</f>
        <v>1</v>
      </c>
      <c r="EA25">
        <f>IF($V$4="",1,IF($V$4="(blank)",--('Final Calculation Sheet'!$U$23=""),IF($V$4="(nonblank)",--('Final Calculation Sheet'!$U$23&lt;&gt;""),--ISNUMBER(SEARCH($V$4,'Final Calculation Sheet'!$U$23)))))</f>
        <v>1</v>
      </c>
      <c r="EB25">
        <f>IF($W$4="",1,IF($W$4="(blank)",--('Final Calculation Sheet'!$V$23=""),IF($W$4="(nonblank)",--('Final Calculation Sheet'!$V$23&lt;&gt;""),--ISNUMBER(SEARCH($W$4,'Final Calculation Sheet'!$V$23)))))</f>
        <v>1</v>
      </c>
      <c r="EC25">
        <f>IF($X$4="",1,IF($X$4="(blank)",--('Final Calculation Sheet'!$W$23=""),IF($X$4="(nonblank)",--('Final Calculation Sheet'!$W$23&lt;&gt;""),--ISNUMBER(SEARCH($X$4,'Final Calculation Sheet'!$W$23)))))</f>
        <v>1</v>
      </c>
      <c r="ED25">
        <f>IF($Y$4="",1,IF($Y$4="(blank)",--('Final Calculation Sheet'!$X$23=""),IF($Y$4="(nonblank)",--('Final Calculation Sheet'!$X$23&lt;&gt;""),--ISNUMBER(SEARCH($Y$4,'Final Calculation Sheet'!$X$23)))))</f>
        <v>1</v>
      </c>
      <c r="EE25">
        <f>IF($Z$4="",1,IF($Z$4="(blank)",--('Final Calculation Sheet'!$Y$23=""),IF($Z$4="(nonblank)",--('Final Calculation Sheet'!$Y$23&lt;&gt;""),--ISNUMBER(SEARCH($Z$4,'Final Calculation Sheet'!$Y$23)))))</f>
        <v>1</v>
      </c>
      <c r="EF25">
        <f>IF($AA$4="",1,IF($AA$4="(blank)",--('Final Calculation Sheet'!$Z$23=""),IF($AA$4="(nonblank)",--('Final Calculation Sheet'!$Z$23&lt;&gt;""),--ISNUMBER(SEARCH($AA$4,'Final Calculation Sheet'!$Z$23)))))</f>
        <v>1</v>
      </c>
      <c r="EG25">
        <f>IF($AB$4="",1,IF($AB$4="(blank)",--('Final Calculation Sheet'!$AA$23=""),IF($AB$4="(nonblank)",--('Final Calculation Sheet'!$AA$23&lt;&gt;""),--ISNUMBER(SEARCH($AB$4,'Final Calculation Sheet'!$AA$23)))))</f>
        <v>1</v>
      </c>
      <c r="EH25">
        <f>IF($AC$4="",1,IF($AC$4="(blank)",--('Final Calculation Sheet'!$AB$23=""),IF($AC$4="(nonblank)",--('Final Calculation Sheet'!$AB$23&lt;&gt;""),--ISNUMBER(SEARCH($AC$4,'Final Calculation Sheet'!$AB$23)))))</f>
        <v>1</v>
      </c>
      <c r="EI25">
        <f>IF($AD$4="",1,IF($AD$4="(blank)",--('Final Calculation Sheet'!$AC$23=""),IF($AD$4="(nonblank)",--('Final Calculation Sheet'!$AC$23&lt;&gt;""),--ISNUMBER(SEARCH($AD$4,'Final Calculation Sheet'!$AC$23)))))</f>
        <v>1</v>
      </c>
      <c r="EJ25">
        <f>IF($AE$4="",1,IF($AE$4="(blank)",--('Final Calculation Sheet'!$AD$23=""),IF($AE$4="(nonblank)",--('Final Calculation Sheet'!$AD$23&lt;&gt;""),--ISNUMBER(SEARCH($AE$4,'Final Calculation Sheet'!$AD$23)))))</f>
        <v>1</v>
      </c>
      <c r="EK25">
        <f>IF($AF$4="",1,IF($AF$4="(blank)",--(IF('Final Calculation Sheet'!$AD$23&lt;=5,"SETTLED","OUTSTANDING")=""),IF($AF$4="(nonblank)",--(IF('Final Calculation Sheet'!$AD$23&lt;=5,"SETTLED","OUTSTANDING")&lt;&gt;""),--ISNUMBER(SEARCH($AF$4,IF('Final Calculation Sheet'!$AD$23&lt;=5,"SETTLED","OUTSTANDING"))))))</f>
        <v>1</v>
      </c>
      <c r="EL25">
        <f>IF($AG$4="",1,IF($AG$4="(blank)",--('Final Calculation Sheet'!$AF$23=""),IF($AG$4="(nonblank)",--('Final Calculation Sheet'!$AF$23&lt;&gt;""),--ISNUMBER(SEARCH($AG$4,'Final Calculation Sheet'!$AF$23)))))</f>
        <v>1</v>
      </c>
      <c r="EM25">
        <f>IF($AH$4="",1,IF($AH$4="(blank)",--('Final Calculation Sheet'!$AG$23=""),IF($AH$4="(nonblank)",--('Final Calculation Sheet'!$AG$23&lt;&gt;""),--ISNUMBER(SEARCH($AH$4,'Final Calculation Sheet'!$AG$23)))))</f>
        <v>1</v>
      </c>
      <c r="EN25">
        <f>IF($AI$4="",1,IF($AI$4="(blank)",--('Final Calculation Sheet'!$AH$23=""),IF($AI$4="(nonblank)",--('Final Calculation Sheet'!$AH$23&lt;&gt;""),--ISNUMBER(SEARCH($AI$4,'Final Calculation Sheet'!$AH$23)))))</f>
        <v>1</v>
      </c>
    </row>
    <row r="26" spans="1:144" hidden="1" outlineLevel="1" x14ac:dyDescent="0.3">
      <c r="A26" s="117" t="str">
        <f>IF($AL$26="","",20)</f>
        <v/>
      </c>
      <c r="B26" s="118" t="str">
        <f>IF($AL$26="","",IF(INDEX('Final Calculation Sheet'!$F$4:$F$40,$AL$26)="","",INDEX('Final Calculation Sheet'!$F$4:$F$40,$AL$26)))</f>
        <v/>
      </c>
      <c r="C26" s="118" t="str">
        <f>IF($AL$26="","",IF(INDEX('Final Calculation Sheet'!$G$4:$G$40,$AL$26)="","",INDEX('Final Calculation Sheet'!$G$4:$G$40,$AL$26)))</f>
        <v/>
      </c>
      <c r="D26" s="119" t="str">
        <f>IF($AL$26="","",IF(INDEX('Final Calculation Sheet'!$B$4:$B$40,$AL$26)="","",INDEX('Final Calculation Sheet'!$B$4:$B$40,$AL$26)))</f>
        <v/>
      </c>
      <c r="E26" s="119" t="str">
        <f>IF($AL$26="","",IF(INDEX('Final Calculation Sheet'!$D$4:$D$40,$AL$26)="","",INDEX('Final Calculation Sheet'!$D$4:$D$40,$AL$26)))</f>
        <v/>
      </c>
      <c r="F26" s="119" t="str">
        <f>IF($AL$26="","",IF(INDEX('Final Calculation Sheet'!$A$4:$A$40,$AL$26)="","",INDEX('Final Calculation Sheet'!$A$4:$A$40,$AL$26)))</f>
        <v/>
      </c>
      <c r="G26" s="119" t="str">
        <f>IF($AL$26="","",IF(INDEX('Final Calculation Sheet'!$E$4:$E$40,$AL$26)="","",INDEX('Final Calculation Sheet'!$E$4:$E$40,$AL$26)))</f>
        <v/>
      </c>
      <c r="H26" s="120" t="str">
        <f>IF($AL$26="","",IF(INDEX('Final Calculation Sheet'!$C$4:$C$40,$AL$26)="","",INDEX('Final Calculation Sheet'!$C$4:$C$40,$AL$26)))</f>
        <v/>
      </c>
      <c r="I26" s="120" t="str">
        <f>IF($AL$26="","",IF(INDEX('Final Calculation Sheet'!$H$4:$H$40,$AL$26)="","",INDEX('Final Calculation Sheet'!$H$4:$H$40,$AL$26)))</f>
        <v/>
      </c>
      <c r="J26" s="120" t="str">
        <f>IF($AL$26="","",IF(INDEX('Final Calculation Sheet'!$I$4:$I$40,$AL$26)="","",INDEX('Final Calculation Sheet'!$I$4:$I$40,$AL$26)))</f>
        <v/>
      </c>
      <c r="K26" s="120" t="str">
        <f>IF($AL$26="","",IF(INDEX('Final Calculation Sheet'!$J$4:$J$40,$AL$26)="","",INDEX('Final Calculation Sheet'!$J$4:$J$40,$AL$26)))</f>
        <v/>
      </c>
      <c r="L26" s="120" t="str">
        <f>IF($AL$26="","",IF(INDEX('Final Calculation Sheet'!$K$4:$K$40,$AL$26)="","",INDEX('Final Calculation Sheet'!$K$4:$K$40,$AL$26)))</f>
        <v/>
      </c>
      <c r="M26" s="120" t="str">
        <f>IF($AL$26="","",IF(INDEX('Final Calculation Sheet'!$L$4:$L$40,$AL$26)="","",INDEX('Final Calculation Sheet'!$L$4:$L$40,$AL$26)))</f>
        <v/>
      </c>
      <c r="N26" s="120" t="str">
        <f>IF($AL$26="","",IF(INDEX('Final Calculation Sheet'!$M$4:$M$40,$AL$26)="","",INDEX('Final Calculation Sheet'!$M$4:$M$40,$AL$26)))</f>
        <v/>
      </c>
      <c r="O26" s="121" t="str">
        <f>IF($AL$26="","",IF(INDEX('Final Calculation Sheet'!$N$4:$N$40,$AL$26)="","",INDEX('Final Calculation Sheet'!$N$4:$N$40,$AL$26)))</f>
        <v/>
      </c>
      <c r="P26" s="120" t="str">
        <f>IF($AL$26="","",IF(INDEX('Final Calculation Sheet'!$O$4:$O$40,$AL$26)="","",INDEX('Final Calculation Sheet'!$O$4:$O$40,$AL$26)))</f>
        <v/>
      </c>
      <c r="Q26" s="120" t="str">
        <f>IF($AL$26="","",IF(INDEX('Final Calculation Sheet'!$P$4:$P$40,$AL$26)="","",INDEX('Final Calculation Sheet'!$P$4:$P$40,$AL$26)))</f>
        <v/>
      </c>
      <c r="R26" s="122" t="str">
        <f>IF($AL$26="","",IF(INDEX('Final Calculation Sheet'!$Q$4:$Q$40,$AL$26)="","",INDEX('Final Calculation Sheet'!$Q$4:$Q$40,$AL$26)))</f>
        <v/>
      </c>
      <c r="S26" s="120" t="str">
        <f>IF($AL$26="","",IF(INDEX('Final Calculation Sheet'!$R$4:$R$40,$AL$26)="","",INDEX('Final Calculation Sheet'!$R$4:$R$40,$AL$26)))</f>
        <v/>
      </c>
      <c r="T26" s="120" t="str">
        <f>IF($AL$26="","",IF(INDEX('Final Calculation Sheet'!$S$4:$S$40,$AL$26)="","",INDEX('Final Calculation Sheet'!$S$4:$S$40,$AL$26)))</f>
        <v/>
      </c>
      <c r="U26" s="120" t="str">
        <f>IF($AL$26="","",IF(INDEX('Final Calculation Sheet'!$T$4:$T$40,$AL$26)="","",INDEX('Final Calculation Sheet'!$T$4:$T$40,$AL$26)))</f>
        <v/>
      </c>
      <c r="V26" s="123" t="str">
        <f>IF($AL$26="","",IF(INDEX('Final Calculation Sheet'!$U$4:$U$40,$AL$26)="","",INDEX('Final Calculation Sheet'!$U$4:$U$40,$AL$26)))</f>
        <v/>
      </c>
      <c r="W26" s="120" t="str">
        <f>IF($AL$26="","",IF(INDEX('Final Calculation Sheet'!$V$4:$V$40,$AL$26)="","",INDEX('Final Calculation Sheet'!$V$4:$V$40,$AL$26)))</f>
        <v/>
      </c>
      <c r="X26" s="120" t="str">
        <f>IF($AL$26="","",IF(INDEX('Final Calculation Sheet'!$W$4:$W$40,$AL$26)="","",INDEX('Final Calculation Sheet'!$W$4:$W$40,$AL$26)))</f>
        <v/>
      </c>
      <c r="Y26" s="120" t="str">
        <f>IF($AL$26="","",IF(INDEX('Final Calculation Sheet'!$X$4:$X$40,$AL$26)="","",INDEX('Final Calculation Sheet'!$X$4:$X$40,$AL$26)))</f>
        <v/>
      </c>
      <c r="Z26" s="120" t="str">
        <f>IF($AL$26="","",IF(INDEX('Final Calculation Sheet'!$Y$4:$Y$40,$AL$26)="","",INDEX('Final Calculation Sheet'!$Y$4:$Y$40,$AL$26)))</f>
        <v/>
      </c>
      <c r="AA26" s="120" t="str">
        <f>IF($AL$26="","",IF(INDEX('Final Calculation Sheet'!$Z$4:$Z$40,$AL$26)="","",INDEX('Final Calculation Sheet'!$Z$4:$Z$40,$AL$26)))</f>
        <v/>
      </c>
      <c r="AB26" s="120" t="str">
        <f>IF($AL$26="","",IF(INDEX('Final Calculation Sheet'!$AA$4:$AA$40,$AL$26)="","",INDEX('Final Calculation Sheet'!$AA$4:$AA$40,$AL$26)))</f>
        <v/>
      </c>
      <c r="AC26" s="120" t="str">
        <f>IF($AL$26="","",IF(INDEX('Final Calculation Sheet'!$AB$4:$AB$40,$AL$26)="","",INDEX('Final Calculation Sheet'!$AB$4:$AB$40,$AL$26)))</f>
        <v/>
      </c>
      <c r="AD26" s="120" t="str">
        <f>IF($AL$26="","",IF(INDEX('Final Calculation Sheet'!$AC$4:$AC$40,$AL$26)="","",INDEX('Final Calculation Sheet'!$AC$4:$AC$40,$AL$26)))</f>
        <v/>
      </c>
      <c r="AE26" s="120" t="str">
        <f>IF($AL$26="","",IF(INDEX('Final Calculation Sheet'!$AD$4:$AD$40,$AL$26)="","",INDEX('Final Calculation Sheet'!$AD$4:$AD$40,$AL$26)))</f>
        <v/>
      </c>
      <c r="AF26" s="125" t="str">
        <f>IF($AL$26="","",IF(INDEX('Final Calculation Sheet'!$AD$4:$AD$40,$AL$26)&lt;=5,"SETTLED","OUTSTANDING"))</f>
        <v/>
      </c>
      <c r="AG26" s="120" t="str">
        <f>IF($AL$26="","",IF(INDEX('Final Calculation Sheet'!$AF$4:$AF$40,$AL$26)="","",INDEX('Final Calculation Sheet'!$AF$4:$AF$40,$AL$26)))</f>
        <v/>
      </c>
      <c r="AH26" s="124" t="str">
        <f>IF($AL$26="","",IF(INDEX('Final Calculation Sheet'!$AG$4:$AG$40,$AL$26)="","",INDEX('Final Calculation Sheet'!$AG$4:$AG$40,$AL$26)))</f>
        <v/>
      </c>
      <c r="AI26" s="120" t="str">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v>1</v>
      </c>
      <c r="AK26">
        <f>IF(AJ26=1,COUNTIF(AJ$6:AJ26,1),"")</f>
        <v>21</v>
      </c>
      <c r="AL26" t="str">
        <f>IF(COUNTIF($B$4:$AI$4,"&lt;&gt;")=0,"",IFERROR(MATCH(20,$AK$6:$AK$42,0),""))</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 ca="1">CK25+IF(AND(Lists!$EJ$26&lt;&gt;"",ISNUMBER(SEARCH($AA$4,Lists!$EJ$26))),1,0)</f>
        <v>23</v>
      </c>
      <c r="CL26">
        <f ca="1">IF(ROW()-3&gt;MAX($CK$4:$CK$42),"",INDEX(Lists!$EJ$4:$EJ$42,MATCH(ROW()-3,$CK$4:$CK$42,0)))</f>
        <v>7328.8619999999992</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f>CS25+IF(AND(Lists!$FD$26&lt;&gt;"",ISNUMBER(SEARCH($AE$4,Lists!$FD$26))),1,0)</f>
        <v>11</v>
      </c>
      <c r="CT26" t="str">
        <f>IF(ROW()-3&gt;MAX($CS$4:$CS$42),"",INDEX(Lists!$FD$4:$FD$42,MATCH(ROW()-3,$CS$4:$CS$42,0)))</f>
        <v/>
      </c>
      <c r="CU26" t="e">
        <f>CU25+IF(AND(Lists!$FI$26&lt;&gt;"",ISNUMBER(SEARCH($AG$4,Lists!$FI$26))),1,0)</f>
        <v>#N/A</v>
      </c>
      <c r="CV26" t="e">
        <f>IF(ROW()-3&gt;MAX($CU$4:$CU$42),"",INDEX(Lists!$FI$4:$FI$42,MATCH(ROW()-3,$CU$4:$CU$42,0)))</f>
        <v>#N/A</v>
      </c>
      <c r="CW26" t="e">
        <f>CW25+IF(AND(Lists!$FN$26&lt;&gt;"",ISNUMBER(SEARCH($AH$4,Lists!$FN$26))),1,0)</f>
        <v>#N/A</v>
      </c>
      <c r="CX26" t="e">
        <f>IF(ROW()-3&gt;MAX($CW$4:$CW$42),"",INDEX(Lists!$FN$4:$FN$42,MATCH(ROW()-3,$CW$4:$CW$42,0)))</f>
        <v>#N/A</v>
      </c>
      <c r="CY26" t="e">
        <f>CY25+IF(AND(Lists!$FS$26&lt;&gt;"",ISNUMBER(SEARCH($AI$4,Lists!$FS$26))),1,0)</f>
        <v>#N/A</v>
      </c>
      <c r="CZ26" t="e">
        <f>IF(ROW()-3&gt;MAX($CY$4:$CY$42),"",INDEX(Lists!$FS$4:$FS$42,MATCH(ROW()-3,$CY$4:$CY$42,0)))</f>
        <v>#N/A</v>
      </c>
      <c r="DA26">
        <f>DA25+IF(AND(Lists!$FX$26&lt;&gt;"",ISNUMBER(SEARCH($AF$4,Lists!$FX$26))),1,0)</f>
        <v>2</v>
      </c>
      <c r="DB26" t="str">
        <f>IF(ROW()-3&gt;MAX($DA$4:$DA$42),"",INDEX(Lists!$FX$4:$FX$42,MATCH(ROW()-3,$DA$4:$DA$42,0)))</f>
        <v/>
      </c>
      <c r="DG26">
        <f>IF($B$4="",1,IF($B$4="(blank)",--('Final Calculation Sheet'!$F$24=""),IF($B$4="(nonblank)",--('Final Calculation Sheet'!$F$24&lt;&gt;""),--ISNUMBER(SEARCH($B$4,'Final Calculation Sheet'!$F$24)))))</f>
        <v>1</v>
      </c>
      <c r="DH26">
        <f>IF($C$4="",1,IF($C$4="(blank)",--('Final Calculation Sheet'!$G$24=""),IF($C$4="(nonblank)",--('Final Calculation Sheet'!$G$24&lt;&gt;""),--ISNUMBER(SEARCH($C$4,'Final Calculation Sheet'!$G$24)))))</f>
        <v>1</v>
      </c>
      <c r="DI26">
        <f>IF($D$4="",1,IF($D$4="(blank)",--('Final Calculation Sheet'!$B$24=""),IF($D$4="(nonblank)",--('Final Calculation Sheet'!$B$24&lt;&gt;""),--ISNUMBER(SEARCH($D$4,'Final Calculation Sheet'!$B$24)))))</f>
        <v>1</v>
      </c>
      <c r="DJ26">
        <f>IF($E$4="",1,IF($E$4="(blank)",--('Final Calculation Sheet'!$D$24=""),IF($E$4="(nonblank)",--('Final Calculation Sheet'!$D$24&lt;&gt;""),--ISNUMBER(SEARCH($E$4,'Final Calculation Sheet'!$D$24)))))</f>
        <v>1</v>
      </c>
      <c r="DK26">
        <f>IF($F$4="",1,IF($F$4="(blank)",--('Final Calculation Sheet'!$A$24=""),IF($F$4="(nonblank)",--('Final Calculation Sheet'!$A$24&lt;&gt;""),--ISNUMBER(SEARCH($F$4,'Final Calculation Sheet'!$A$24)))))</f>
        <v>1</v>
      </c>
      <c r="DL26">
        <f>IF($G$4="",1,IF($G$4="(blank)",--('Final Calculation Sheet'!$E$24=""),IF($G$4="(nonblank)",--('Final Calculation Sheet'!$E$24&lt;&gt;""),--ISNUMBER(SEARCH($G$4,'Final Calculation Sheet'!$E$24)))))</f>
        <v>1</v>
      </c>
      <c r="DM26">
        <f>IF($H$4="",1,IF($H$4="(blank)",--('Final Calculation Sheet'!$C$24=""),IF($H$4="(nonblank)",--('Final Calculation Sheet'!$C$24&lt;&gt;""),--ISNUMBER(SEARCH($H$4,'Final Calculation Sheet'!$C$24)))))</f>
        <v>1</v>
      </c>
      <c r="DN26">
        <f>IF($I$4="",1,IF($I$4="(blank)",--('Final Calculation Sheet'!$H$24=""),IF($I$4="(nonblank)",--('Final Calculation Sheet'!$H$24&lt;&gt;""),--ISNUMBER(SEARCH($I$4,'Final Calculation Sheet'!$H$24)))))</f>
        <v>1</v>
      </c>
      <c r="DO26">
        <f>IF($J$4="",1,IF($J$4="(blank)",--('Final Calculation Sheet'!$I$24=""),IF($J$4="(nonblank)",--('Final Calculation Sheet'!$I$24&lt;&gt;""),--ISNUMBER(SEARCH($J$4,'Final Calculation Sheet'!$I$24)))))</f>
        <v>1</v>
      </c>
      <c r="DP26">
        <f>IF($K$4="",1,IF($K$4="(blank)",--('Final Calculation Sheet'!$J$24=""),IF($K$4="(nonblank)",--('Final Calculation Sheet'!$J$24&lt;&gt;""),--ISNUMBER(SEARCH($K$4,'Final Calculation Sheet'!$J$24)))))</f>
        <v>1</v>
      </c>
      <c r="DQ26">
        <f>IF($L$4="",1,IF($L$4="(blank)",--('Final Calculation Sheet'!$K$24=""),IF($L$4="(nonblank)",--('Final Calculation Sheet'!$K$24&lt;&gt;""),--ISNUMBER(SEARCH($L$4,'Final Calculation Sheet'!$K$24)))))</f>
        <v>1</v>
      </c>
      <c r="DR26">
        <f>IF($M$4="",1,IF($M$4="(blank)",--('Final Calculation Sheet'!$L$24=""),IF($M$4="(nonblank)",--('Final Calculation Sheet'!$L$24&lt;&gt;""),--ISNUMBER(SEARCH($M$4,'Final Calculation Sheet'!$L$24)))))</f>
        <v>1</v>
      </c>
      <c r="DS26">
        <f>IF($N$4="",1,IF($N$4="(blank)",--('Final Calculation Sheet'!$M$24=""),IF($N$4="(nonblank)",--('Final Calculation Sheet'!$M$24&lt;&gt;""),--ISNUMBER(SEARCH($N$4,'Final Calculation Sheet'!$M$24)))))</f>
        <v>1</v>
      </c>
      <c r="DT26">
        <f>IF($O$4="",1,IF($O$4="(blank)",--('Final Calculation Sheet'!$N$24=""),IF($O$4="(nonblank)",--('Final Calculation Sheet'!$N$24&lt;&gt;""),--ISNUMBER(SEARCH($O$4,'Final Calculation Sheet'!$N$24)))))</f>
        <v>1</v>
      </c>
      <c r="DU26">
        <f>IF($P$4="",1,IF($P$4="(blank)",--('Final Calculation Sheet'!$O$24=""),IF($P$4="(nonblank)",--('Final Calculation Sheet'!$O$24&lt;&gt;""),--ISNUMBER(SEARCH($P$4,'Final Calculation Sheet'!$O$24)))))</f>
        <v>1</v>
      </c>
      <c r="DV26">
        <f>IF($Q$4="",1,IF($Q$4="(blank)",--('Final Calculation Sheet'!$P$24=""),IF($Q$4="(nonblank)",--('Final Calculation Sheet'!$P$24&lt;&gt;""),--ISNUMBER(SEARCH($Q$4,'Final Calculation Sheet'!$P$24)))))</f>
        <v>1</v>
      </c>
      <c r="DW26">
        <f>IF($R$4="",1,IF($R$4="(blank)",--('Final Calculation Sheet'!$Q$24=""),IF($R$4="(nonblank)",--('Final Calculation Sheet'!$Q$24&lt;&gt;""),--ISNUMBER(SEARCH($R$4,'Final Calculation Sheet'!$Q$24)))))</f>
        <v>1</v>
      </c>
      <c r="DX26">
        <f>IF($S$4="",1,IF($S$4="(blank)",--('Final Calculation Sheet'!$R$24=""),IF($S$4="(nonblank)",--('Final Calculation Sheet'!$R$24&lt;&gt;""),--ISNUMBER(SEARCH($S$4,'Final Calculation Sheet'!$R$24)))))</f>
        <v>1</v>
      </c>
      <c r="DY26">
        <f>IF($T$4="",1,IF($T$4="(blank)",--('Final Calculation Sheet'!$S$24=""),IF($T$4="(nonblank)",--('Final Calculation Sheet'!$S$24&lt;&gt;""),--ISNUMBER(SEARCH($T$4,'Final Calculation Sheet'!$S$24)))))</f>
        <v>1</v>
      </c>
      <c r="DZ26">
        <f>IF($U$4="",1,IF($U$4="(blank)",--('Final Calculation Sheet'!$T$24=""),IF($U$4="(nonblank)",--('Final Calculation Sheet'!$T$24&lt;&gt;""),--ISNUMBER(SEARCH($U$4,'Final Calculation Sheet'!$T$24)))))</f>
        <v>1</v>
      </c>
      <c r="EA26">
        <f>IF($V$4="",1,IF($V$4="(blank)",--('Final Calculation Sheet'!$U$24=""),IF($V$4="(nonblank)",--('Final Calculation Sheet'!$U$24&lt;&gt;""),--ISNUMBER(SEARCH($V$4,'Final Calculation Sheet'!$U$24)))))</f>
        <v>1</v>
      </c>
      <c r="EB26">
        <f>IF($W$4="",1,IF($W$4="(blank)",--('Final Calculation Sheet'!$V$24=""),IF($W$4="(nonblank)",--('Final Calculation Sheet'!$V$24&lt;&gt;""),--ISNUMBER(SEARCH($W$4,'Final Calculation Sheet'!$V$24)))))</f>
        <v>1</v>
      </c>
      <c r="EC26">
        <f>IF($X$4="",1,IF($X$4="(blank)",--('Final Calculation Sheet'!$W$24=""),IF($X$4="(nonblank)",--('Final Calculation Sheet'!$W$24&lt;&gt;""),--ISNUMBER(SEARCH($X$4,'Final Calculation Sheet'!$W$24)))))</f>
        <v>1</v>
      </c>
      <c r="ED26">
        <f>IF($Y$4="",1,IF($Y$4="(blank)",--('Final Calculation Sheet'!$X$24=""),IF($Y$4="(nonblank)",--('Final Calculation Sheet'!$X$24&lt;&gt;""),--ISNUMBER(SEARCH($Y$4,'Final Calculation Sheet'!$X$24)))))</f>
        <v>1</v>
      </c>
      <c r="EE26">
        <f>IF($Z$4="",1,IF($Z$4="(blank)",--('Final Calculation Sheet'!$Y$24=""),IF($Z$4="(nonblank)",--('Final Calculation Sheet'!$Y$24&lt;&gt;""),--ISNUMBER(SEARCH($Z$4,'Final Calculation Sheet'!$Y$24)))))</f>
        <v>1</v>
      </c>
      <c r="EF26">
        <f>IF($AA$4="",1,IF($AA$4="(blank)",--('Final Calculation Sheet'!$Z$24=""),IF($AA$4="(nonblank)",--('Final Calculation Sheet'!$Z$24&lt;&gt;""),--ISNUMBER(SEARCH($AA$4,'Final Calculation Sheet'!$Z$24)))))</f>
        <v>1</v>
      </c>
      <c r="EG26">
        <f>IF($AB$4="",1,IF($AB$4="(blank)",--('Final Calculation Sheet'!$AA$24=""),IF($AB$4="(nonblank)",--('Final Calculation Sheet'!$AA$24&lt;&gt;""),--ISNUMBER(SEARCH($AB$4,'Final Calculation Sheet'!$AA$24)))))</f>
        <v>1</v>
      </c>
      <c r="EH26">
        <f>IF($AC$4="",1,IF($AC$4="(blank)",--('Final Calculation Sheet'!$AB$24=""),IF($AC$4="(nonblank)",--('Final Calculation Sheet'!$AB$24&lt;&gt;""),--ISNUMBER(SEARCH($AC$4,'Final Calculation Sheet'!$AB$24)))))</f>
        <v>1</v>
      </c>
      <c r="EI26">
        <f>IF($AD$4="",1,IF($AD$4="(blank)",--('Final Calculation Sheet'!$AC$24=""),IF($AD$4="(nonblank)",--('Final Calculation Sheet'!$AC$24&lt;&gt;""),--ISNUMBER(SEARCH($AD$4,'Final Calculation Sheet'!$AC$24)))))</f>
        <v>1</v>
      </c>
      <c r="EJ26">
        <f>IF($AE$4="",1,IF($AE$4="(blank)",--('Final Calculation Sheet'!$AD$24=""),IF($AE$4="(nonblank)",--('Final Calculation Sheet'!$AD$24&lt;&gt;""),--ISNUMBER(SEARCH($AE$4,'Final Calculation Sheet'!$AD$24)))))</f>
        <v>1</v>
      </c>
      <c r="EK26">
        <f>IF($AF$4="",1,IF($AF$4="(blank)",--(IF('Final Calculation Sheet'!$AD$24&lt;=5,"SETTLED","OUTSTANDING")=""),IF($AF$4="(nonblank)",--(IF('Final Calculation Sheet'!$AD$24&lt;=5,"SETTLED","OUTSTANDING")&lt;&gt;""),--ISNUMBER(SEARCH($AF$4,IF('Final Calculation Sheet'!$AD$24&lt;=5,"SETTLED","OUTSTANDING"))))))</f>
        <v>1</v>
      </c>
      <c r="EL26">
        <f>IF($AG$4="",1,IF($AG$4="(blank)",--('Final Calculation Sheet'!$AF$24=""),IF($AG$4="(nonblank)",--('Final Calculation Sheet'!$AF$24&lt;&gt;""),--ISNUMBER(SEARCH($AG$4,'Final Calculation Sheet'!$AF$24)))))</f>
        <v>1</v>
      </c>
      <c r="EM26">
        <f>IF($AH$4="",1,IF($AH$4="(blank)",--('Final Calculation Sheet'!$AG$24=""),IF($AH$4="(nonblank)",--('Final Calculation Sheet'!$AG$24&lt;&gt;""),--ISNUMBER(SEARCH($AH$4,'Final Calculation Sheet'!$AG$24)))))</f>
        <v>1</v>
      </c>
      <c r="EN26">
        <f>IF($AI$4="",1,IF($AI$4="(blank)",--('Final Calculation Sheet'!$AH$24=""),IF($AI$4="(nonblank)",--('Final Calculation Sheet'!$AH$24&lt;&gt;""),--ISNUMBER(SEARCH($AI$4,'Final Calculation Sheet'!$AH$24)))))</f>
        <v>1</v>
      </c>
    </row>
    <row r="27" spans="1:144" hidden="1" outlineLevel="1" x14ac:dyDescent="0.3">
      <c r="A27" s="107" t="str">
        <f>IF($AL$27="","",21)</f>
        <v/>
      </c>
      <c r="B27" s="108" t="str">
        <f>IF($AL$27="","",IF(INDEX('Final Calculation Sheet'!$F$4:$F$40,$AL$27)="","",INDEX('Final Calculation Sheet'!$F$4:$F$40,$AL$27)))</f>
        <v/>
      </c>
      <c r="C27" s="108" t="str">
        <f>IF($AL$27="","",IF(INDEX('Final Calculation Sheet'!$G$4:$G$40,$AL$27)="","",INDEX('Final Calculation Sheet'!$G$4:$G$40,$AL$27)))</f>
        <v/>
      </c>
      <c r="D27" s="110" t="str">
        <f>IF($AL$27="","",IF(INDEX('Final Calculation Sheet'!$B$4:$B$40,$AL$27)="","",INDEX('Final Calculation Sheet'!$B$4:$B$40,$AL$27)))</f>
        <v/>
      </c>
      <c r="E27" s="110" t="str">
        <f>IF($AL$27="","",IF(INDEX('Final Calculation Sheet'!$D$4:$D$40,$AL$27)="","",INDEX('Final Calculation Sheet'!$D$4:$D$40,$AL$27)))</f>
        <v/>
      </c>
      <c r="F27" s="110" t="str">
        <f>IF($AL$27="","",IF(INDEX('Final Calculation Sheet'!$A$4:$A$40,$AL$27)="","",INDEX('Final Calculation Sheet'!$A$4:$A$40,$AL$27)))</f>
        <v/>
      </c>
      <c r="G27" s="110" t="str">
        <f>IF($AL$27="","",IF(INDEX('Final Calculation Sheet'!$E$4:$E$40,$AL$27)="","",INDEX('Final Calculation Sheet'!$E$4:$E$40,$AL$27)))</f>
        <v/>
      </c>
      <c r="H27" s="111" t="str">
        <f>IF($AL$27="","",IF(INDEX('Final Calculation Sheet'!$C$4:$C$40,$AL$27)="","",INDEX('Final Calculation Sheet'!$C$4:$C$40,$AL$27)))</f>
        <v/>
      </c>
      <c r="I27" s="111" t="str">
        <f>IF($AL$27="","",IF(INDEX('Final Calculation Sheet'!$H$4:$H$40,$AL$27)="","",INDEX('Final Calculation Sheet'!$H$4:$H$40,$AL$27)))</f>
        <v/>
      </c>
      <c r="J27" s="111" t="str">
        <f>IF($AL$27="","",IF(INDEX('Final Calculation Sheet'!$I$4:$I$40,$AL$27)="","",INDEX('Final Calculation Sheet'!$I$4:$I$40,$AL$27)))</f>
        <v/>
      </c>
      <c r="K27" s="111" t="str">
        <f>IF($AL$27="","",IF(INDEX('Final Calculation Sheet'!$J$4:$J$40,$AL$27)="","",INDEX('Final Calculation Sheet'!$J$4:$J$40,$AL$27)))</f>
        <v/>
      </c>
      <c r="L27" s="111" t="str">
        <f>IF($AL$27="","",IF(INDEX('Final Calculation Sheet'!$K$4:$K$40,$AL$27)="","",INDEX('Final Calculation Sheet'!$K$4:$K$40,$AL$27)))</f>
        <v/>
      </c>
      <c r="M27" s="111" t="str">
        <f>IF($AL$27="","",IF(INDEX('Final Calculation Sheet'!$L$4:$L$40,$AL$27)="","",INDEX('Final Calculation Sheet'!$L$4:$L$40,$AL$27)))</f>
        <v/>
      </c>
      <c r="N27" s="111" t="str">
        <f>IF($AL$27="","",IF(INDEX('Final Calculation Sheet'!$M$4:$M$40,$AL$27)="","",INDEX('Final Calculation Sheet'!$M$4:$M$40,$AL$27)))</f>
        <v/>
      </c>
      <c r="O27" s="112" t="str">
        <f>IF($AL$27="","",IF(INDEX('Final Calculation Sheet'!$N$4:$N$40,$AL$27)="","",INDEX('Final Calculation Sheet'!$N$4:$N$40,$AL$27)))</f>
        <v/>
      </c>
      <c r="P27" s="111" t="str">
        <f>IF($AL$27="","",IF(INDEX('Final Calculation Sheet'!$O$4:$O$40,$AL$27)="","",INDEX('Final Calculation Sheet'!$O$4:$O$40,$AL$27)))</f>
        <v/>
      </c>
      <c r="Q27" s="111" t="str">
        <f>IF($AL$27="","",IF(INDEX('Final Calculation Sheet'!$P$4:$P$40,$AL$27)="","",INDEX('Final Calculation Sheet'!$P$4:$P$40,$AL$27)))</f>
        <v/>
      </c>
      <c r="R27" s="113" t="str">
        <f>IF($AL$27="","",IF(INDEX('Final Calculation Sheet'!$Q$4:$Q$40,$AL$27)="","",INDEX('Final Calculation Sheet'!$Q$4:$Q$40,$AL$27)))</f>
        <v/>
      </c>
      <c r="S27" s="111" t="str">
        <f>IF($AL$27="","",IF(INDEX('Final Calculation Sheet'!$R$4:$R$40,$AL$27)="","",INDEX('Final Calculation Sheet'!$R$4:$R$40,$AL$27)))</f>
        <v/>
      </c>
      <c r="T27" s="111" t="str">
        <f>IF($AL$27="","",IF(INDEX('Final Calculation Sheet'!$S$4:$S$40,$AL$27)="","",INDEX('Final Calculation Sheet'!$S$4:$S$40,$AL$27)))</f>
        <v/>
      </c>
      <c r="U27" s="111" t="str">
        <f>IF($AL$27="","",IF(INDEX('Final Calculation Sheet'!$T$4:$T$40,$AL$27)="","",INDEX('Final Calculation Sheet'!$T$4:$T$40,$AL$27)))</f>
        <v/>
      </c>
      <c r="V27" s="114" t="str">
        <f>IF($AL$27="","",IF(INDEX('Final Calculation Sheet'!$U$4:$U$40,$AL$27)="","",INDEX('Final Calculation Sheet'!$U$4:$U$40,$AL$27)))</f>
        <v/>
      </c>
      <c r="W27" s="111" t="str">
        <f>IF($AL$27="","",IF(INDEX('Final Calculation Sheet'!$V$4:$V$40,$AL$27)="","",INDEX('Final Calculation Sheet'!$V$4:$V$40,$AL$27)))</f>
        <v/>
      </c>
      <c r="X27" s="111" t="str">
        <f>IF($AL$27="","",IF(INDEX('Final Calculation Sheet'!$W$4:$W$40,$AL$27)="","",INDEX('Final Calculation Sheet'!$W$4:$W$40,$AL$27)))</f>
        <v/>
      </c>
      <c r="Y27" s="111" t="str">
        <f>IF($AL$27="","",IF(INDEX('Final Calculation Sheet'!$X$4:$X$40,$AL$27)="","",INDEX('Final Calculation Sheet'!$X$4:$X$40,$AL$27)))</f>
        <v/>
      </c>
      <c r="Z27" s="111" t="str">
        <f>IF($AL$27="","",IF(INDEX('Final Calculation Sheet'!$Y$4:$Y$40,$AL$27)="","",INDEX('Final Calculation Sheet'!$Y$4:$Y$40,$AL$27)))</f>
        <v/>
      </c>
      <c r="AA27" s="111" t="str">
        <f>IF($AL$27="","",IF(INDEX('Final Calculation Sheet'!$Z$4:$Z$40,$AL$27)="","",INDEX('Final Calculation Sheet'!$Z$4:$Z$40,$AL$27)))</f>
        <v/>
      </c>
      <c r="AB27" s="111" t="str">
        <f>IF($AL$27="","",IF(INDEX('Final Calculation Sheet'!$AA$4:$AA$40,$AL$27)="","",INDEX('Final Calculation Sheet'!$AA$4:$AA$40,$AL$27)))</f>
        <v/>
      </c>
      <c r="AC27" s="111" t="str">
        <f>IF($AL$27="","",IF(INDEX('Final Calculation Sheet'!$AB$4:$AB$40,$AL$27)="","",INDEX('Final Calculation Sheet'!$AB$4:$AB$40,$AL$27)))</f>
        <v/>
      </c>
      <c r="AD27" s="111" t="str">
        <f>IF($AL$27="","",IF(INDEX('Final Calculation Sheet'!$AC$4:$AC$40,$AL$27)="","",INDEX('Final Calculation Sheet'!$AC$4:$AC$40,$AL$27)))</f>
        <v/>
      </c>
      <c r="AE27" s="111" t="str">
        <f>IF($AL$27="","",IF(INDEX('Final Calculation Sheet'!$AD$4:$AD$40,$AL$27)="","",INDEX('Final Calculation Sheet'!$AD$4:$AD$40,$AL$27)))</f>
        <v/>
      </c>
      <c r="AF27" s="116" t="str">
        <f>IF($AL$27="","",IF(INDEX('Final Calculation Sheet'!$AD$4:$AD$40,$AL$27)&lt;=5,"SETTLED","OUTSTANDING"))</f>
        <v/>
      </c>
      <c r="AG27" s="111" t="str">
        <f>IF($AL$27="","",IF(INDEX('Final Calculation Sheet'!$AF$4:$AF$40,$AL$27)="","",INDEX('Final Calculation Sheet'!$AF$4:$AF$40,$AL$27)))</f>
        <v/>
      </c>
      <c r="AH27" s="115" t="str">
        <f>IF($AL$27="","",IF(INDEX('Final Calculation Sheet'!$AG$4:$AG$40,$AL$27)="","",INDEX('Final Calculation Sheet'!$AG$4:$AG$40,$AL$27)))</f>
        <v/>
      </c>
      <c r="AI27" s="111" t="str">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v>1</v>
      </c>
      <c r="AK27">
        <f>IF(AJ27=1,COUNTIF(AJ$6:AJ27,1),"")</f>
        <v>22</v>
      </c>
      <c r="AL27" t="str">
        <f>IF(COUNTIF($B$4:$AI$4,"&lt;&gt;")=0,"",IFERROR(MATCH(21,$AK$6:$AK$42,0),""))</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 ca="1">CK26+IF(AND(Lists!$EJ$27&lt;&gt;"",ISNUMBER(SEARCH($AA$4,Lists!$EJ$27))),1,0)</f>
        <v>24</v>
      </c>
      <c r="CL27">
        <f ca="1">IF(ROW()-3&gt;MAX($CK$4:$CK$42),"",INDEX(Lists!$EJ$4:$EJ$42,MATCH(ROW()-3,$CK$4:$CK$42,0)))</f>
        <v>7434.0353999999988</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f>CS26+IF(AND(Lists!$FD$27&lt;&gt;"",ISNUMBER(SEARCH($AE$4,Lists!$FD$27))),1,0)</f>
        <v>11</v>
      </c>
      <c r="CT27" t="str">
        <f>IF(ROW()-3&gt;MAX($CS$4:$CS$42),"",INDEX(Lists!$FD$4:$FD$42,MATCH(ROW()-3,$CS$4:$CS$42,0)))</f>
        <v/>
      </c>
      <c r="CU27" t="e">
        <f>CU26+IF(AND(Lists!$FI$27&lt;&gt;"",ISNUMBER(SEARCH($AG$4,Lists!$FI$27))),1,0)</f>
        <v>#N/A</v>
      </c>
      <c r="CV27" t="e">
        <f>IF(ROW()-3&gt;MAX($CU$4:$CU$42),"",INDEX(Lists!$FI$4:$FI$42,MATCH(ROW()-3,$CU$4:$CU$42,0)))</f>
        <v>#N/A</v>
      </c>
      <c r="CW27" t="e">
        <f>CW26+IF(AND(Lists!$FN$27&lt;&gt;"",ISNUMBER(SEARCH($AH$4,Lists!$FN$27))),1,0)</f>
        <v>#N/A</v>
      </c>
      <c r="CX27" t="e">
        <f>IF(ROW()-3&gt;MAX($CW$4:$CW$42),"",INDEX(Lists!$FN$4:$FN$42,MATCH(ROW()-3,$CW$4:$CW$42,0)))</f>
        <v>#N/A</v>
      </c>
      <c r="CY27" t="e">
        <f>CY26+IF(AND(Lists!$FS$27&lt;&gt;"",ISNUMBER(SEARCH($AI$4,Lists!$FS$27))),1,0)</f>
        <v>#N/A</v>
      </c>
      <c r="CZ27" t="e">
        <f>IF(ROW()-3&gt;MAX($CY$4:$CY$42),"",INDEX(Lists!$FS$4:$FS$42,MATCH(ROW()-3,$CY$4:$CY$42,0)))</f>
        <v>#N/A</v>
      </c>
      <c r="DA27">
        <f>DA26+IF(AND(Lists!$FX$27&lt;&gt;"",ISNUMBER(SEARCH($AF$4,Lists!$FX$27))),1,0)</f>
        <v>2</v>
      </c>
      <c r="DB27" t="str">
        <f>IF(ROW()-3&gt;MAX($DA$4:$DA$42),"",INDEX(Lists!$FX$4:$FX$42,MATCH(ROW()-3,$DA$4:$DA$42,0)))</f>
        <v/>
      </c>
      <c r="DG27">
        <f>IF($B$4="",1,IF($B$4="(blank)",--('Final Calculation Sheet'!$F$25=""),IF($B$4="(nonblank)",--('Final Calculation Sheet'!$F$25&lt;&gt;""),--ISNUMBER(SEARCH($B$4,'Final Calculation Sheet'!$F$25)))))</f>
        <v>1</v>
      </c>
      <c r="DH27">
        <f>IF($C$4="",1,IF($C$4="(blank)",--('Final Calculation Sheet'!$G$25=""),IF($C$4="(nonblank)",--('Final Calculation Sheet'!$G$25&lt;&gt;""),--ISNUMBER(SEARCH($C$4,'Final Calculation Sheet'!$G$25)))))</f>
        <v>1</v>
      </c>
      <c r="DI27">
        <f>IF($D$4="",1,IF($D$4="(blank)",--('Final Calculation Sheet'!$B$25=""),IF($D$4="(nonblank)",--('Final Calculation Sheet'!$B$25&lt;&gt;""),--ISNUMBER(SEARCH($D$4,'Final Calculation Sheet'!$B$25)))))</f>
        <v>1</v>
      </c>
      <c r="DJ27">
        <f>IF($E$4="",1,IF($E$4="(blank)",--('Final Calculation Sheet'!$D$25=""),IF($E$4="(nonblank)",--('Final Calculation Sheet'!$D$25&lt;&gt;""),--ISNUMBER(SEARCH($E$4,'Final Calculation Sheet'!$D$25)))))</f>
        <v>1</v>
      </c>
      <c r="DK27">
        <f>IF($F$4="",1,IF($F$4="(blank)",--('Final Calculation Sheet'!$A$25=""),IF($F$4="(nonblank)",--('Final Calculation Sheet'!$A$25&lt;&gt;""),--ISNUMBER(SEARCH($F$4,'Final Calculation Sheet'!$A$25)))))</f>
        <v>1</v>
      </c>
      <c r="DL27">
        <f>IF($G$4="",1,IF($G$4="(blank)",--('Final Calculation Sheet'!$E$25=""),IF($G$4="(nonblank)",--('Final Calculation Sheet'!$E$25&lt;&gt;""),--ISNUMBER(SEARCH($G$4,'Final Calculation Sheet'!$E$25)))))</f>
        <v>1</v>
      </c>
      <c r="DM27">
        <f>IF($H$4="",1,IF($H$4="(blank)",--('Final Calculation Sheet'!$C$25=""),IF($H$4="(nonblank)",--('Final Calculation Sheet'!$C$25&lt;&gt;""),--ISNUMBER(SEARCH($H$4,'Final Calculation Sheet'!$C$25)))))</f>
        <v>1</v>
      </c>
      <c r="DN27">
        <f>IF($I$4="",1,IF($I$4="(blank)",--('Final Calculation Sheet'!$H$25=""),IF($I$4="(nonblank)",--('Final Calculation Sheet'!$H$25&lt;&gt;""),--ISNUMBER(SEARCH($I$4,'Final Calculation Sheet'!$H$25)))))</f>
        <v>1</v>
      </c>
      <c r="DO27">
        <f>IF($J$4="",1,IF($J$4="(blank)",--('Final Calculation Sheet'!$I$25=""),IF($J$4="(nonblank)",--('Final Calculation Sheet'!$I$25&lt;&gt;""),--ISNUMBER(SEARCH($J$4,'Final Calculation Sheet'!$I$25)))))</f>
        <v>1</v>
      </c>
      <c r="DP27">
        <f>IF($K$4="",1,IF($K$4="(blank)",--('Final Calculation Sheet'!$J$25=""),IF($K$4="(nonblank)",--('Final Calculation Sheet'!$J$25&lt;&gt;""),--ISNUMBER(SEARCH($K$4,'Final Calculation Sheet'!$J$25)))))</f>
        <v>1</v>
      </c>
      <c r="DQ27">
        <f>IF($L$4="",1,IF($L$4="(blank)",--('Final Calculation Sheet'!$K$25=""),IF($L$4="(nonblank)",--('Final Calculation Sheet'!$K$25&lt;&gt;""),--ISNUMBER(SEARCH($L$4,'Final Calculation Sheet'!$K$25)))))</f>
        <v>1</v>
      </c>
      <c r="DR27">
        <f>IF($M$4="",1,IF($M$4="(blank)",--('Final Calculation Sheet'!$L$25=""),IF($M$4="(nonblank)",--('Final Calculation Sheet'!$L$25&lt;&gt;""),--ISNUMBER(SEARCH($M$4,'Final Calculation Sheet'!$L$25)))))</f>
        <v>1</v>
      </c>
      <c r="DS27">
        <f>IF($N$4="",1,IF($N$4="(blank)",--('Final Calculation Sheet'!$M$25=""),IF($N$4="(nonblank)",--('Final Calculation Sheet'!$M$25&lt;&gt;""),--ISNUMBER(SEARCH($N$4,'Final Calculation Sheet'!$M$25)))))</f>
        <v>1</v>
      </c>
      <c r="DT27">
        <f>IF($O$4="",1,IF($O$4="(blank)",--('Final Calculation Sheet'!$N$25=""),IF($O$4="(nonblank)",--('Final Calculation Sheet'!$N$25&lt;&gt;""),--ISNUMBER(SEARCH($O$4,'Final Calculation Sheet'!$N$25)))))</f>
        <v>1</v>
      </c>
      <c r="DU27">
        <f>IF($P$4="",1,IF($P$4="(blank)",--('Final Calculation Sheet'!$O$25=""),IF($P$4="(nonblank)",--('Final Calculation Sheet'!$O$25&lt;&gt;""),--ISNUMBER(SEARCH($P$4,'Final Calculation Sheet'!$O$25)))))</f>
        <v>1</v>
      </c>
      <c r="DV27">
        <f>IF($Q$4="",1,IF($Q$4="(blank)",--('Final Calculation Sheet'!$P$25=""),IF($Q$4="(nonblank)",--('Final Calculation Sheet'!$P$25&lt;&gt;""),--ISNUMBER(SEARCH($Q$4,'Final Calculation Sheet'!$P$25)))))</f>
        <v>1</v>
      </c>
      <c r="DW27">
        <f>IF($R$4="",1,IF($R$4="(blank)",--('Final Calculation Sheet'!$Q$25=""),IF($R$4="(nonblank)",--('Final Calculation Sheet'!$Q$25&lt;&gt;""),--ISNUMBER(SEARCH($R$4,'Final Calculation Sheet'!$Q$25)))))</f>
        <v>1</v>
      </c>
      <c r="DX27">
        <f>IF($S$4="",1,IF($S$4="(blank)",--('Final Calculation Sheet'!$R$25=""),IF($S$4="(nonblank)",--('Final Calculation Sheet'!$R$25&lt;&gt;""),--ISNUMBER(SEARCH($S$4,'Final Calculation Sheet'!$R$25)))))</f>
        <v>1</v>
      </c>
      <c r="DY27">
        <f>IF($T$4="",1,IF($T$4="(blank)",--('Final Calculation Sheet'!$S$25=""),IF($T$4="(nonblank)",--('Final Calculation Sheet'!$S$25&lt;&gt;""),--ISNUMBER(SEARCH($T$4,'Final Calculation Sheet'!$S$25)))))</f>
        <v>1</v>
      </c>
      <c r="DZ27">
        <f>IF($U$4="",1,IF($U$4="(blank)",--('Final Calculation Sheet'!$T$25=""),IF($U$4="(nonblank)",--('Final Calculation Sheet'!$T$25&lt;&gt;""),--ISNUMBER(SEARCH($U$4,'Final Calculation Sheet'!$T$25)))))</f>
        <v>1</v>
      </c>
      <c r="EA27">
        <f>IF($V$4="",1,IF($V$4="(blank)",--('Final Calculation Sheet'!$U$25=""),IF($V$4="(nonblank)",--('Final Calculation Sheet'!$U$25&lt;&gt;""),--ISNUMBER(SEARCH($V$4,'Final Calculation Sheet'!$U$25)))))</f>
        <v>1</v>
      </c>
      <c r="EB27">
        <f>IF($W$4="",1,IF($W$4="(blank)",--('Final Calculation Sheet'!$V$25=""),IF($W$4="(nonblank)",--('Final Calculation Sheet'!$V$25&lt;&gt;""),--ISNUMBER(SEARCH($W$4,'Final Calculation Sheet'!$V$25)))))</f>
        <v>1</v>
      </c>
      <c r="EC27">
        <f>IF($X$4="",1,IF($X$4="(blank)",--('Final Calculation Sheet'!$W$25=""),IF($X$4="(nonblank)",--('Final Calculation Sheet'!$W$25&lt;&gt;""),--ISNUMBER(SEARCH($X$4,'Final Calculation Sheet'!$W$25)))))</f>
        <v>1</v>
      </c>
      <c r="ED27">
        <f>IF($Y$4="",1,IF($Y$4="(blank)",--('Final Calculation Sheet'!$X$25=""),IF($Y$4="(nonblank)",--('Final Calculation Sheet'!$X$25&lt;&gt;""),--ISNUMBER(SEARCH($Y$4,'Final Calculation Sheet'!$X$25)))))</f>
        <v>1</v>
      </c>
      <c r="EE27">
        <f>IF($Z$4="",1,IF($Z$4="(blank)",--('Final Calculation Sheet'!$Y$25=""),IF($Z$4="(nonblank)",--('Final Calculation Sheet'!$Y$25&lt;&gt;""),--ISNUMBER(SEARCH($Z$4,'Final Calculation Sheet'!$Y$25)))))</f>
        <v>1</v>
      </c>
      <c r="EF27">
        <f>IF($AA$4="",1,IF($AA$4="(blank)",--('Final Calculation Sheet'!$Z$25=""),IF($AA$4="(nonblank)",--('Final Calculation Sheet'!$Z$25&lt;&gt;""),--ISNUMBER(SEARCH($AA$4,'Final Calculation Sheet'!$Z$25)))))</f>
        <v>1</v>
      </c>
      <c r="EG27">
        <f>IF($AB$4="",1,IF($AB$4="(blank)",--('Final Calculation Sheet'!$AA$25=""),IF($AB$4="(nonblank)",--('Final Calculation Sheet'!$AA$25&lt;&gt;""),--ISNUMBER(SEARCH($AB$4,'Final Calculation Sheet'!$AA$25)))))</f>
        <v>1</v>
      </c>
      <c r="EH27">
        <f>IF($AC$4="",1,IF($AC$4="(blank)",--('Final Calculation Sheet'!$AB$25=""),IF($AC$4="(nonblank)",--('Final Calculation Sheet'!$AB$25&lt;&gt;""),--ISNUMBER(SEARCH($AC$4,'Final Calculation Sheet'!$AB$25)))))</f>
        <v>1</v>
      </c>
      <c r="EI27">
        <f>IF($AD$4="",1,IF($AD$4="(blank)",--('Final Calculation Sheet'!$AC$25=""),IF($AD$4="(nonblank)",--('Final Calculation Sheet'!$AC$25&lt;&gt;""),--ISNUMBER(SEARCH($AD$4,'Final Calculation Sheet'!$AC$25)))))</f>
        <v>1</v>
      </c>
      <c r="EJ27">
        <f>IF($AE$4="",1,IF($AE$4="(blank)",--('Final Calculation Sheet'!$AD$25=""),IF($AE$4="(nonblank)",--('Final Calculation Sheet'!$AD$25&lt;&gt;""),--ISNUMBER(SEARCH($AE$4,'Final Calculation Sheet'!$AD$25)))))</f>
        <v>1</v>
      </c>
      <c r="EK27">
        <f>IF($AF$4="",1,IF($AF$4="(blank)",--(IF('Final Calculation Sheet'!$AD$25&lt;=5,"SETTLED","OUTSTANDING")=""),IF($AF$4="(nonblank)",--(IF('Final Calculation Sheet'!$AD$25&lt;=5,"SETTLED","OUTSTANDING")&lt;&gt;""),--ISNUMBER(SEARCH($AF$4,IF('Final Calculation Sheet'!$AD$25&lt;=5,"SETTLED","OUTSTANDING"))))))</f>
        <v>1</v>
      </c>
      <c r="EL27">
        <f>IF($AG$4="",1,IF($AG$4="(blank)",--('Final Calculation Sheet'!$AF$25=""),IF($AG$4="(nonblank)",--('Final Calculation Sheet'!$AF$25&lt;&gt;""),--ISNUMBER(SEARCH($AG$4,'Final Calculation Sheet'!$AF$25)))))</f>
        <v>1</v>
      </c>
      <c r="EM27">
        <f>IF($AH$4="",1,IF($AH$4="(blank)",--('Final Calculation Sheet'!$AG$25=""),IF($AH$4="(nonblank)",--('Final Calculation Sheet'!$AG$25&lt;&gt;""),--ISNUMBER(SEARCH($AH$4,'Final Calculation Sheet'!$AG$25)))))</f>
        <v>1</v>
      </c>
      <c r="EN27">
        <f>IF($AI$4="",1,IF($AI$4="(blank)",--('Final Calculation Sheet'!$AH$25=""),IF($AI$4="(nonblank)",--('Final Calculation Sheet'!$AH$25&lt;&gt;""),--ISNUMBER(SEARCH($AI$4,'Final Calculation Sheet'!$AH$25)))))</f>
        <v>1</v>
      </c>
    </row>
    <row r="28" spans="1:144" hidden="1" outlineLevel="1" x14ac:dyDescent="0.3">
      <c r="A28" s="117" t="str">
        <f>IF($AL$28="","",22)</f>
        <v/>
      </c>
      <c r="B28" s="118" t="str">
        <f>IF($AL$28="","",IF(INDEX('Final Calculation Sheet'!$F$4:$F$40,$AL$28)="","",INDEX('Final Calculation Sheet'!$F$4:$F$40,$AL$28)))</f>
        <v/>
      </c>
      <c r="C28" s="118" t="str">
        <f>IF($AL$28="","",IF(INDEX('Final Calculation Sheet'!$G$4:$G$40,$AL$28)="","",INDEX('Final Calculation Sheet'!$G$4:$G$40,$AL$28)))</f>
        <v/>
      </c>
      <c r="D28" s="119" t="str">
        <f>IF($AL$28="","",IF(INDEX('Final Calculation Sheet'!$B$4:$B$40,$AL$28)="","",INDEX('Final Calculation Sheet'!$B$4:$B$40,$AL$28)))</f>
        <v/>
      </c>
      <c r="E28" s="119" t="str">
        <f>IF($AL$28="","",IF(INDEX('Final Calculation Sheet'!$D$4:$D$40,$AL$28)="","",INDEX('Final Calculation Sheet'!$D$4:$D$40,$AL$28)))</f>
        <v/>
      </c>
      <c r="F28" s="119" t="str">
        <f>IF($AL$28="","",IF(INDEX('Final Calculation Sheet'!$A$4:$A$40,$AL$28)="","",INDEX('Final Calculation Sheet'!$A$4:$A$40,$AL$28)))</f>
        <v/>
      </c>
      <c r="G28" s="119" t="str">
        <f>IF($AL$28="","",IF(INDEX('Final Calculation Sheet'!$E$4:$E$40,$AL$28)="","",INDEX('Final Calculation Sheet'!$E$4:$E$40,$AL$28)))</f>
        <v/>
      </c>
      <c r="H28" s="120" t="str">
        <f>IF($AL$28="","",IF(INDEX('Final Calculation Sheet'!$C$4:$C$40,$AL$28)="","",INDEX('Final Calculation Sheet'!$C$4:$C$40,$AL$28)))</f>
        <v/>
      </c>
      <c r="I28" s="120" t="str">
        <f>IF($AL$28="","",IF(INDEX('Final Calculation Sheet'!$H$4:$H$40,$AL$28)="","",INDEX('Final Calculation Sheet'!$H$4:$H$40,$AL$28)))</f>
        <v/>
      </c>
      <c r="J28" s="120" t="str">
        <f>IF($AL$28="","",IF(INDEX('Final Calculation Sheet'!$I$4:$I$40,$AL$28)="","",INDEX('Final Calculation Sheet'!$I$4:$I$40,$AL$28)))</f>
        <v/>
      </c>
      <c r="K28" s="120" t="str">
        <f>IF($AL$28="","",IF(INDEX('Final Calculation Sheet'!$J$4:$J$40,$AL$28)="","",INDEX('Final Calculation Sheet'!$J$4:$J$40,$AL$28)))</f>
        <v/>
      </c>
      <c r="L28" s="120" t="str">
        <f>IF($AL$28="","",IF(INDEX('Final Calculation Sheet'!$K$4:$K$40,$AL$28)="","",INDEX('Final Calculation Sheet'!$K$4:$K$40,$AL$28)))</f>
        <v/>
      </c>
      <c r="M28" s="120" t="str">
        <f>IF($AL$28="","",IF(INDEX('Final Calculation Sheet'!$L$4:$L$40,$AL$28)="","",INDEX('Final Calculation Sheet'!$L$4:$L$40,$AL$28)))</f>
        <v/>
      </c>
      <c r="N28" s="120" t="str">
        <f>IF($AL$28="","",IF(INDEX('Final Calculation Sheet'!$M$4:$M$40,$AL$28)="","",INDEX('Final Calculation Sheet'!$M$4:$M$40,$AL$28)))</f>
        <v/>
      </c>
      <c r="O28" s="121" t="str">
        <f>IF($AL$28="","",IF(INDEX('Final Calculation Sheet'!$N$4:$N$40,$AL$28)="","",INDEX('Final Calculation Sheet'!$N$4:$N$40,$AL$28)))</f>
        <v/>
      </c>
      <c r="P28" s="120" t="str">
        <f>IF($AL$28="","",IF(INDEX('Final Calculation Sheet'!$O$4:$O$40,$AL$28)="","",INDEX('Final Calculation Sheet'!$O$4:$O$40,$AL$28)))</f>
        <v/>
      </c>
      <c r="Q28" s="120" t="str">
        <f>IF($AL$28="","",IF(INDEX('Final Calculation Sheet'!$P$4:$P$40,$AL$28)="","",INDEX('Final Calculation Sheet'!$P$4:$P$40,$AL$28)))</f>
        <v/>
      </c>
      <c r="R28" s="122" t="str">
        <f>IF($AL$28="","",IF(INDEX('Final Calculation Sheet'!$Q$4:$Q$40,$AL$28)="","",INDEX('Final Calculation Sheet'!$Q$4:$Q$40,$AL$28)))</f>
        <v/>
      </c>
      <c r="S28" s="120" t="str">
        <f>IF($AL$28="","",IF(INDEX('Final Calculation Sheet'!$R$4:$R$40,$AL$28)="","",INDEX('Final Calculation Sheet'!$R$4:$R$40,$AL$28)))</f>
        <v/>
      </c>
      <c r="T28" s="120" t="str">
        <f>IF($AL$28="","",IF(INDEX('Final Calculation Sheet'!$S$4:$S$40,$AL$28)="","",INDEX('Final Calculation Sheet'!$S$4:$S$40,$AL$28)))</f>
        <v/>
      </c>
      <c r="U28" s="120" t="str">
        <f>IF($AL$28="","",IF(INDEX('Final Calculation Sheet'!$T$4:$T$40,$AL$28)="","",INDEX('Final Calculation Sheet'!$T$4:$T$40,$AL$28)))</f>
        <v/>
      </c>
      <c r="V28" s="123" t="str">
        <f>IF($AL$28="","",IF(INDEX('Final Calculation Sheet'!$U$4:$U$40,$AL$28)="","",INDEX('Final Calculation Sheet'!$U$4:$U$40,$AL$28)))</f>
        <v/>
      </c>
      <c r="W28" s="120" t="str">
        <f>IF($AL$28="","",IF(INDEX('Final Calculation Sheet'!$V$4:$V$40,$AL$28)="","",INDEX('Final Calculation Sheet'!$V$4:$V$40,$AL$28)))</f>
        <v/>
      </c>
      <c r="X28" s="120" t="str">
        <f>IF($AL$28="","",IF(INDEX('Final Calculation Sheet'!$W$4:$W$40,$AL$28)="","",INDEX('Final Calculation Sheet'!$W$4:$W$40,$AL$28)))</f>
        <v/>
      </c>
      <c r="Y28" s="120" t="str">
        <f>IF($AL$28="","",IF(INDEX('Final Calculation Sheet'!$X$4:$X$40,$AL$28)="","",INDEX('Final Calculation Sheet'!$X$4:$X$40,$AL$28)))</f>
        <v/>
      </c>
      <c r="Z28" s="120" t="str">
        <f>IF($AL$28="","",IF(INDEX('Final Calculation Sheet'!$Y$4:$Y$40,$AL$28)="","",INDEX('Final Calculation Sheet'!$Y$4:$Y$40,$AL$28)))</f>
        <v/>
      </c>
      <c r="AA28" s="120" t="str">
        <f>IF($AL$28="","",IF(INDEX('Final Calculation Sheet'!$Z$4:$Z$40,$AL$28)="","",INDEX('Final Calculation Sheet'!$Z$4:$Z$40,$AL$28)))</f>
        <v/>
      </c>
      <c r="AB28" s="120" t="str">
        <f>IF($AL$28="","",IF(INDEX('Final Calculation Sheet'!$AA$4:$AA$40,$AL$28)="","",INDEX('Final Calculation Sheet'!$AA$4:$AA$40,$AL$28)))</f>
        <v/>
      </c>
      <c r="AC28" s="120" t="str">
        <f>IF($AL$28="","",IF(INDEX('Final Calculation Sheet'!$AB$4:$AB$40,$AL$28)="","",INDEX('Final Calculation Sheet'!$AB$4:$AB$40,$AL$28)))</f>
        <v/>
      </c>
      <c r="AD28" s="120" t="str">
        <f>IF($AL$28="","",IF(INDEX('Final Calculation Sheet'!$AC$4:$AC$40,$AL$28)="","",INDEX('Final Calculation Sheet'!$AC$4:$AC$40,$AL$28)))</f>
        <v/>
      </c>
      <c r="AE28" s="120" t="str">
        <f>IF($AL$28="","",IF(INDEX('Final Calculation Sheet'!$AD$4:$AD$40,$AL$28)="","",INDEX('Final Calculation Sheet'!$AD$4:$AD$40,$AL$28)))</f>
        <v/>
      </c>
      <c r="AF28" s="125" t="str">
        <f>IF($AL$28="","",IF(INDEX('Final Calculation Sheet'!$AD$4:$AD$40,$AL$28)&lt;=5,"SETTLED","OUTSTANDING"))</f>
        <v/>
      </c>
      <c r="AG28" s="120" t="str">
        <f>IF($AL$28="","",IF(INDEX('Final Calculation Sheet'!$AF$4:$AF$40,$AL$28)="","",INDEX('Final Calculation Sheet'!$AF$4:$AF$40,$AL$28)))</f>
        <v/>
      </c>
      <c r="AH28" s="124" t="str">
        <f>IF($AL$28="","",IF(INDEX('Final Calculation Sheet'!$AG$4:$AG$40,$AL$28)="","",INDEX('Final Calculation Sheet'!$AG$4:$AG$40,$AL$28)))</f>
        <v/>
      </c>
      <c r="AI28" s="120" t="str">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v>1</v>
      </c>
      <c r="AK28">
        <f>IF(AJ28=1,COUNTIF(AJ$6:AJ28,1),"")</f>
        <v>23</v>
      </c>
      <c r="AL28" t="str">
        <f>IF(COUNTIF($B$4:$AI$4,"&lt;&gt;")=0,"",IFERROR(MATCH(22,$AK$6:$AK$42,0),""))</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 ca="1">CK27+IF(AND(Lists!$EJ$28&lt;&gt;"",ISNUMBER(SEARCH($AA$4,Lists!$EJ$28))),1,0)</f>
        <v>25</v>
      </c>
      <c r="CL28">
        <f ca="1">IF(ROW()-3&gt;MAX($CK$4:$CK$42),"",INDEX(Lists!$EJ$4:$EJ$42,MATCH(ROW()-3,$CK$4:$CK$42,0)))</f>
        <v>7434.1061999999993</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f>CS27+IF(AND(Lists!$FD$28&lt;&gt;"",ISNUMBER(SEARCH($AE$4,Lists!$FD$28))),1,0)</f>
        <v>11</v>
      </c>
      <c r="CT28" t="str">
        <f>IF(ROW()-3&gt;MAX($CS$4:$CS$42),"",INDEX(Lists!$FD$4:$FD$42,MATCH(ROW()-3,$CS$4:$CS$42,0)))</f>
        <v/>
      </c>
      <c r="CU28" t="e">
        <f>CU27+IF(AND(Lists!$FI$28&lt;&gt;"",ISNUMBER(SEARCH($AG$4,Lists!$FI$28))),1,0)</f>
        <v>#N/A</v>
      </c>
      <c r="CV28" t="e">
        <f>IF(ROW()-3&gt;MAX($CU$4:$CU$42),"",INDEX(Lists!$FI$4:$FI$42,MATCH(ROW()-3,$CU$4:$CU$42,0)))</f>
        <v>#N/A</v>
      </c>
      <c r="CW28" t="e">
        <f>CW27+IF(AND(Lists!$FN$28&lt;&gt;"",ISNUMBER(SEARCH($AH$4,Lists!$FN$28))),1,0)</f>
        <v>#N/A</v>
      </c>
      <c r="CX28" t="e">
        <f>IF(ROW()-3&gt;MAX($CW$4:$CW$42),"",INDEX(Lists!$FN$4:$FN$42,MATCH(ROW()-3,$CW$4:$CW$42,0)))</f>
        <v>#N/A</v>
      </c>
      <c r="CY28" t="e">
        <f>CY27+IF(AND(Lists!$FS$28&lt;&gt;"",ISNUMBER(SEARCH($AI$4,Lists!$FS$28))),1,0)</f>
        <v>#N/A</v>
      </c>
      <c r="CZ28" t="e">
        <f>IF(ROW()-3&gt;MAX($CY$4:$CY$42),"",INDEX(Lists!$FS$4:$FS$42,MATCH(ROW()-3,$CY$4:$CY$42,0)))</f>
        <v>#N/A</v>
      </c>
      <c r="DA28">
        <f>DA27+IF(AND(Lists!$FX$28&lt;&gt;"",ISNUMBER(SEARCH($AF$4,Lists!$FX$28))),1,0)</f>
        <v>2</v>
      </c>
      <c r="DB28" t="str">
        <f>IF(ROW()-3&gt;MAX($DA$4:$DA$42),"",INDEX(Lists!$FX$4:$FX$42,MATCH(ROW()-3,$DA$4:$DA$42,0)))</f>
        <v/>
      </c>
      <c r="DG28">
        <f>IF($B$4="",1,IF($B$4="(blank)",--('Final Calculation Sheet'!$F$26=""),IF($B$4="(nonblank)",--('Final Calculation Sheet'!$F$26&lt;&gt;""),--ISNUMBER(SEARCH($B$4,'Final Calculation Sheet'!$F$26)))))</f>
        <v>1</v>
      </c>
      <c r="DH28">
        <f>IF($C$4="",1,IF($C$4="(blank)",--('Final Calculation Sheet'!$G$26=""),IF($C$4="(nonblank)",--('Final Calculation Sheet'!$G$26&lt;&gt;""),--ISNUMBER(SEARCH($C$4,'Final Calculation Sheet'!$G$26)))))</f>
        <v>1</v>
      </c>
      <c r="DI28">
        <f>IF($D$4="",1,IF($D$4="(blank)",--('Final Calculation Sheet'!$B$26=""),IF($D$4="(nonblank)",--('Final Calculation Sheet'!$B$26&lt;&gt;""),--ISNUMBER(SEARCH($D$4,'Final Calculation Sheet'!$B$26)))))</f>
        <v>1</v>
      </c>
      <c r="DJ28">
        <f>IF($E$4="",1,IF($E$4="(blank)",--('Final Calculation Sheet'!$D$26=""),IF($E$4="(nonblank)",--('Final Calculation Sheet'!$D$26&lt;&gt;""),--ISNUMBER(SEARCH($E$4,'Final Calculation Sheet'!$D$26)))))</f>
        <v>1</v>
      </c>
      <c r="DK28">
        <f>IF($F$4="",1,IF($F$4="(blank)",--('Final Calculation Sheet'!$A$26=""),IF($F$4="(nonblank)",--('Final Calculation Sheet'!$A$26&lt;&gt;""),--ISNUMBER(SEARCH($F$4,'Final Calculation Sheet'!$A$26)))))</f>
        <v>1</v>
      </c>
      <c r="DL28">
        <f>IF($G$4="",1,IF($G$4="(blank)",--('Final Calculation Sheet'!$E$26=""),IF($G$4="(nonblank)",--('Final Calculation Sheet'!$E$26&lt;&gt;""),--ISNUMBER(SEARCH($G$4,'Final Calculation Sheet'!$E$26)))))</f>
        <v>1</v>
      </c>
      <c r="DM28">
        <f>IF($H$4="",1,IF($H$4="(blank)",--('Final Calculation Sheet'!$C$26=""),IF($H$4="(nonblank)",--('Final Calculation Sheet'!$C$26&lt;&gt;""),--ISNUMBER(SEARCH($H$4,'Final Calculation Sheet'!$C$26)))))</f>
        <v>1</v>
      </c>
      <c r="DN28">
        <f>IF($I$4="",1,IF($I$4="(blank)",--('Final Calculation Sheet'!$H$26=""),IF($I$4="(nonblank)",--('Final Calculation Sheet'!$H$26&lt;&gt;""),--ISNUMBER(SEARCH($I$4,'Final Calculation Sheet'!$H$26)))))</f>
        <v>1</v>
      </c>
      <c r="DO28">
        <f>IF($J$4="",1,IF($J$4="(blank)",--('Final Calculation Sheet'!$I$26=""),IF($J$4="(nonblank)",--('Final Calculation Sheet'!$I$26&lt;&gt;""),--ISNUMBER(SEARCH($J$4,'Final Calculation Sheet'!$I$26)))))</f>
        <v>1</v>
      </c>
      <c r="DP28">
        <f>IF($K$4="",1,IF($K$4="(blank)",--('Final Calculation Sheet'!$J$26=""),IF($K$4="(nonblank)",--('Final Calculation Sheet'!$J$26&lt;&gt;""),--ISNUMBER(SEARCH($K$4,'Final Calculation Sheet'!$J$26)))))</f>
        <v>1</v>
      </c>
      <c r="DQ28">
        <f>IF($L$4="",1,IF($L$4="(blank)",--('Final Calculation Sheet'!$K$26=""),IF($L$4="(nonblank)",--('Final Calculation Sheet'!$K$26&lt;&gt;""),--ISNUMBER(SEARCH($L$4,'Final Calculation Sheet'!$K$26)))))</f>
        <v>1</v>
      </c>
      <c r="DR28">
        <f>IF($M$4="",1,IF($M$4="(blank)",--('Final Calculation Sheet'!$L$26=""),IF($M$4="(nonblank)",--('Final Calculation Sheet'!$L$26&lt;&gt;""),--ISNUMBER(SEARCH($M$4,'Final Calculation Sheet'!$L$26)))))</f>
        <v>1</v>
      </c>
      <c r="DS28">
        <f>IF($N$4="",1,IF($N$4="(blank)",--('Final Calculation Sheet'!$M$26=""),IF($N$4="(nonblank)",--('Final Calculation Sheet'!$M$26&lt;&gt;""),--ISNUMBER(SEARCH($N$4,'Final Calculation Sheet'!$M$26)))))</f>
        <v>1</v>
      </c>
      <c r="DT28">
        <f>IF($O$4="",1,IF($O$4="(blank)",--('Final Calculation Sheet'!$N$26=""),IF($O$4="(nonblank)",--('Final Calculation Sheet'!$N$26&lt;&gt;""),--ISNUMBER(SEARCH($O$4,'Final Calculation Sheet'!$N$26)))))</f>
        <v>1</v>
      </c>
      <c r="DU28">
        <f>IF($P$4="",1,IF($P$4="(blank)",--('Final Calculation Sheet'!$O$26=""),IF($P$4="(nonblank)",--('Final Calculation Sheet'!$O$26&lt;&gt;""),--ISNUMBER(SEARCH($P$4,'Final Calculation Sheet'!$O$26)))))</f>
        <v>1</v>
      </c>
      <c r="DV28">
        <f>IF($Q$4="",1,IF($Q$4="(blank)",--('Final Calculation Sheet'!$P$26=""),IF($Q$4="(nonblank)",--('Final Calculation Sheet'!$P$26&lt;&gt;""),--ISNUMBER(SEARCH($Q$4,'Final Calculation Sheet'!$P$26)))))</f>
        <v>1</v>
      </c>
      <c r="DW28">
        <f>IF($R$4="",1,IF($R$4="(blank)",--('Final Calculation Sheet'!$Q$26=""),IF($R$4="(nonblank)",--('Final Calculation Sheet'!$Q$26&lt;&gt;""),--ISNUMBER(SEARCH($R$4,'Final Calculation Sheet'!$Q$26)))))</f>
        <v>1</v>
      </c>
      <c r="DX28">
        <f>IF($S$4="",1,IF($S$4="(blank)",--('Final Calculation Sheet'!$R$26=""),IF($S$4="(nonblank)",--('Final Calculation Sheet'!$R$26&lt;&gt;""),--ISNUMBER(SEARCH($S$4,'Final Calculation Sheet'!$R$26)))))</f>
        <v>1</v>
      </c>
      <c r="DY28">
        <f>IF($T$4="",1,IF($T$4="(blank)",--('Final Calculation Sheet'!$S$26=""),IF($T$4="(nonblank)",--('Final Calculation Sheet'!$S$26&lt;&gt;""),--ISNUMBER(SEARCH($T$4,'Final Calculation Sheet'!$S$26)))))</f>
        <v>1</v>
      </c>
      <c r="DZ28">
        <f>IF($U$4="",1,IF($U$4="(blank)",--('Final Calculation Sheet'!$T$26=""),IF($U$4="(nonblank)",--('Final Calculation Sheet'!$T$26&lt;&gt;""),--ISNUMBER(SEARCH($U$4,'Final Calculation Sheet'!$T$26)))))</f>
        <v>1</v>
      </c>
      <c r="EA28">
        <f>IF($V$4="",1,IF($V$4="(blank)",--('Final Calculation Sheet'!$U$26=""),IF($V$4="(nonblank)",--('Final Calculation Sheet'!$U$26&lt;&gt;""),--ISNUMBER(SEARCH($V$4,'Final Calculation Sheet'!$U$26)))))</f>
        <v>1</v>
      </c>
      <c r="EB28">
        <f>IF($W$4="",1,IF($W$4="(blank)",--('Final Calculation Sheet'!$V$26=""),IF($W$4="(nonblank)",--('Final Calculation Sheet'!$V$26&lt;&gt;""),--ISNUMBER(SEARCH($W$4,'Final Calculation Sheet'!$V$26)))))</f>
        <v>1</v>
      </c>
      <c r="EC28">
        <f>IF($X$4="",1,IF($X$4="(blank)",--('Final Calculation Sheet'!$W$26=""),IF($X$4="(nonblank)",--('Final Calculation Sheet'!$W$26&lt;&gt;""),--ISNUMBER(SEARCH($X$4,'Final Calculation Sheet'!$W$26)))))</f>
        <v>1</v>
      </c>
      <c r="ED28">
        <f>IF($Y$4="",1,IF($Y$4="(blank)",--('Final Calculation Sheet'!$X$26=""),IF($Y$4="(nonblank)",--('Final Calculation Sheet'!$X$26&lt;&gt;""),--ISNUMBER(SEARCH($Y$4,'Final Calculation Sheet'!$X$26)))))</f>
        <v>1</v>
      </c>
      <c r="EE28">
        <f>IF($Z$4="",1,IF($Z$4="(blank)",--('Final Calculation Sheet'!$Y$26=""),IF($Z$4="(nonblank)",--('Final Calculation Sheet'!$Y$26&lt;&gt;""),--ISNUMBER(SEARCH($Z$4,'Final Calculation Sheet'!$Y$26)))))</f>
        <v>1</v>
      </c>
      <c r="EF28">
        <f>IF($AA$4="",1,IF($AA$4="(blank)",--('Final Calculation Sheet'!$Z$26=""),IF($AA$4="(nonblank)",--('Final Calculation Sheet'!$Z$26&lt;&gt;""),--ISNUMBER(SEARCH($AA$4,'Final Calculation Sheet'!$Z$26)))))</f>
        <v>1</v>
      </c>
      <c r="EG28">
        <f>IF($AB$4="",1,IF($AB$4="(blank)",--('Final Calculation Sheet'!$AA$26=""),IF($AB$4="(nonblank)",--('Final Calculation Sheet'!$AA$26&lt;&gt;""),--ISNUMBER(SEARCH($AB$4,'Final Calculation Sheet'!$AA$26)))))</f>
        <v>1</v>
      </c>
      <c r="EH28">
        <f>IF($AC$4="",1,IF($AC$4="(blank)",--('Final Calculation Sheet'!$AB$26=""),IF($AC$4="(nonblank)",--('Final Calculation Sheet'!$AB$26&lt;&gt;""),--ISNUMBER(SEARCH($AC$4,'Final Calculation Sheet'!$AB$26)))))</f>
        <v>1</v>
      </c>
      <c r="EI28">
        <f>IF($AD$4="",1,IF($AD$4="(blank)",--('Final Calculation Sheet'!$AC$26=""),IF($AD$4="(nonblank)",--('Final Calculation Sheet'!$AC$26&lt;&gt;""),--ISNUMBER(SEARCH($AD$4,'Final Calculation Sheet'!$AC$26)))))</f>
        <v>1</v>
      </c>
      <c r="EJ28">
        <f>IF($AE$4="",1,IF($AE$4="(blank)",--('Final Calculation Sheet'!$AD$26=""),IF($AE$4="(nonblank)",--('Final Calculation Sheet'!$AD$26&lt;&gt;""),--ISNUMBER(SEARCH($AE$4,'Final Calculation Sheet'!$AD$26)))))</f>
        <v>1</v>
      </c>
      <c r="EK28">
        <f>IF($AF$4="",1,IF($AF$4="(blank)",--(IF('Final Calculation Sheet'!$AD$26&lt;=5,"SETTLED","OUTSTANDING")=""),IF($AF$4="(nonblank)",--(IF('Final Calculation Sheet'!$AD$26&lt;=5,"SETTLED","OUTSTANDING")&lt;&gt;""),--ISNUMBER(SEARCH($AF$4,IF('Final Calculation Sheet'!$AD$26&lt;=5,"SETTLED","OUTSTANDING"))))))</f>
        <v>1</v>
      </c>
      <c r="EL28">
        <f>IF($AG$4="",1,IF($AG$4="(blank)",--('Final Calculation Sheet'!$AF$26=""),IF($AG$4="(nonblank)",--('Final Calculation Sheet'!$AF$26&lt;&gt;""),--ISNUMBER(SEARCH($AG$4,'Final Calculation Sheet'!$AF$26)))))</f>
        <v>1</v>
      </c>
      <c r="EM28">
        <f>IF($AH$4="",1,IF($AH$4="(blank)",--('Final Calculation Sheet'!$AG$26=""),IF($AH$4="(nonblank)",--('Final Calculation Sheet'!$AG$26&lt;&gt;""),--ISNUMBER(SEARCH($AH$4,'Final Calculation Sheet'!$AG$26)))))</f>
        <v>1</v>
      </c>
      <c r="EN28">
        <f>IF($AI$4="",1,IF($AI$4="(blank)",--('Final Calculation Sheet'!$AH$26=""),IF($AI$4="(nonblank)",--('Final Calculation Sheet'!$AH$26&lt;&gt;""),--ISNUMBER(SEARCH($AI$4,'Final Calculation Sheet'!$AH$26)))))</f>
        <v>1</v>
      </c>
    </row>
    <row r="29" spans="1:144" hidden="1" outlineLevel="1" x14ac:dyDescent="0.3">
      <c r="A29" s="107" t="str">
        <f>IF($AL$29="","",23)</f>
        <v/>
      </c>
      <c r="B29" s="108" t="str">
        <f>IF($AL$29="","",IF(INDEX('Final Calculation Sheet'!$F$4:$F$40,$AL$29)="","",INDEX('Final Calculation Sheet'!$F$4:$F$40,$AL$29)))</f>
        <v/>
      </c>
      <c r="C29" s="108" t="str">
        <f>IF($AL$29="","",IF(INDEX('Final Calculation Sheet'!$G$4:$G$40,$AL$29)="","",INDEX('Final Calculation Sheet'!$G$4:$G$40,$AL$29)))</f>
        <v/>
      </c>
      <c r="D29" s="110" t="str">
        <f>IF($AL$29="","",IF(INDEX('Final Calculation Sheet'!$B$4:$B$40,$AL$29)="","",INDEX('Final Calculation Sheet'!$B$4:$B$40,$AL$29)))</f>
        <v/>
      </c>
      <c r="E29" s="110" t="str">
        <f>IF($AL$29="","",IF(INDEX('Final Calculation Sheet'!$D$4:$D$40,$AL$29)="","",INDEX('Final Calculation Sheet'!$D$4:$D$40,$AL$29)))</f>
        <v/>
      </c>
      <c r="F29" s="110" t="str">
        <f>IF($AL$29="","",IF(INDEX('Final Calculation Sheet'!$A$4:$A$40,$AL$29)="","",INDEX('Final Calculation Sheet'!$A$4:$A$40,$AL$29)))</f>
        <v/>
      </c>
      <c r="G29" s="110" t="str">
        <f>IF($AL$29="","",IF(INDEX('Final Calculation Sheet'!$E$4:$E$40,$AL$29)="","",INDEX('Final Calculation Sheet'!$E$4:$E$40,$AL$29)))</f>
        <v/>
      </c>
      <c r="H29" s="111" t="str">
        <f>IF($AL$29="","",IF(INDEX('Final Calculation Sheet'!$C$4:$C$40,$AL$29)="","",INDEX('Final Calculation Sheet'!$C$4:$C$40,$AL$29)))</f>
        <v/>
      </c>
      <c r="I29" s="111" t="str">
        <f>IF($AL$29="","",IF(INDEX('Final Calculation Sheet'!$H$4:$H$40,$AL$29)="","",INDEX('Final Calculation Sheet'!$H$4:$H$40,$AL$29)))</f>
        <v/>
      </c>
      <c r="J29" s="111" t="str">
        <f>IF($AL$29="","",IF(INDEX('Final Calculation Sheet'!$I$4:$I$40,$AL$29)="","",INDEX('Final Calculation Sheet'!$I$4:$I$40,$AL$29)))</f>
        <v/>
      </c>
      <c r="K29" s="111" t="str">
        <f>IF($AL$29="","",IF(INDEX('Final Calculation Sheet'!$J$4:$J$40,$AL$29)="","",INDEX('Final Calculation Sheet'!$J$4:$J$40,$AL$29)))</f>
        <v/>
      </c>
      <c r="L29" s="111" t="str">
        <f>IF($AL$29="","",IF(INDEX('Final Calculation Sheet'!$K$4:$K$40,$AL$29)="","",INDEX('Final Calculation Sheet'!$K$4:$K$40,$AL$29)))</f>
        <v/>
      </c>
      <c r="M29" s="111" t="str">
        <f>IF($AL$29="","",IF(INDEX('Final Calculation Sheet'!$L$4:$L$40,$AL$29)="","",INDEX('Final Calculation Sheet'!$L$4:$L$40,$AL$29)))</f>
        <v/>
      </c>
      <c r="N29" s="111" t="str">
        <f>IF($AL$29="","",IF(INDEX('Final Calculation Sheet'!$M$4:$M$40,$AL$29)="","",INDEX('Final Calculation Sheet'!$M$4:$M$40,$AL$29)))</f>
        <v/>
      </c>
      <c r="O29" s="112" t="str">
        <f>IF($AL$29="","",IF(INDEX('Final Calculation Sheet'!$N$4:$N$40,$AL$29)="","",INDEX('Final Calculation Sheet'!$N$4:$N$40,$AL$29)))</f>
        <v/>
      </c>
      <c r="P29" s="111" t="str">
        <f>IF($AL$29="","",IF(INDEX('Final Calculation Sheet'!$O$4:$O$40,$AL$29)="","",INDEX('Final Calculation Sheet'!$O$4:$O$40,$AL$29)))</f>
        <v/>
      </c>
      <c r="Q29" s="111" t="str">
        <f>IF($AL$29="","",IF(INDEX('Final Calculation Sheet'!$P$4:$P$40,$AL$29)="","",INDEX('Final Calculation Sheet'!$P$4:$P$40,$AL$29)))</f>
        <v/>
      </c>
      <c r="R29" s="113" t="str">
        <f>IF($AL$29="","",IF(INDEX('Final Calculation Sheet'!$Q$4:$Q$40,$AL$29)="","",INDEX('Final Calculation Sheet'!$Q$4:$Q$40,$AL$29)))</f>
        <v/>
      </c>
      <c r="S29" s="111" t="str">
        <f>IF($AL$29="","",IF(INDEX('Final Calculation Sheet'!$R$4:$R$40,$AL$29)="","",INDEX('Final Calculation Sheet'!$R$4:$R$40,$AL$29)))</f>
        <v/>
      </c>
      <c r="T29" s="111" t="str">
        <f>IF($AL$29="","",IF(INDEX('Final Calculation Sheet'!$S$4:$S$40,$AL$29)="","",INDEX('Final Calculation Sheet'!$S$4:$S$40,$AL$29)))</f>
        <v/>
      </c>
      <c r="U29" s="111" t="str">
        <f>IF($AL$29="","",IF(INDEX('Final Calculation Sheet'!$T$4:$T$40,$AL$29)="","",INDEX('Final Calculation Sheet'!$T$4:$T$40,$AL$29)))</f>
        <v/>
      </c>
      <c r="V29" s="114" t="str">
        <f>IF($AL$29="","",IF(INDEX('Final Calculation Sheet'!$U$4:$U$40,$AL$29)="","",INDEX('Final Calculation Sheet'!$U$4:$U$40,$AL$29)))</f>
        <v/>
      </c>
      <c r="W29" s="111" t="str">
        <f>IF($AL$29="","",IF(INDEX('Final Calculation Sheet'!$V$4:$V$40,$AL$29)="","",INDEX('Final Calculation Sheet'!$V$4:$V$40,$AL$29)))</f>
        <v/>
      </c>
      <c r="X29" s="111" t="str">
        <f>IF($AL$29="","",IF(INDEX('Final Calculation Sheet'!$W$4:$W$40,$AL$29)="","",INDEX('Final Calculation Sheet'!$W$4:$W$40,$AL$29)))</f>
        <v/>
      </c>
      <c r="Y29" s="111" t="str">
        <f>IF($AL$29="","",IF(INDEX('Final Calculation Sheet'!$X$4:$X$40,$AL$29)="","",INDEX('Final Calculation Sheet'!$X$4:$X$40,$AL$29)))</f>
        <v/>
      </c>
      <c r="Z29" s="111" t="str">
        <f>IF($AL$29="","",IF(INDEX('Final Calculation Sheet'!$Y$4:$Y$40,$AL$29)="","",INDEX('Final Calculation Sheet'!$Y$4:$Y$40,$AL$29)))</f>
        <v/>
      </c>
      <c r="AA29" s="111" t="str">
        <f>IF($AL$29="","",IF(INDEX('Final Calculation Sheet'!$Z$4:$Z$40,$AL$29)="","",INDEX('Final Calculation Sheet'!$Z$4:$Z$40,$AL$29)))</f>
        <v/>
      </c>
      <c r="AB29" s="111" t="str">
        <f>IF($AL$29="","",IF(INDEX('Final Calculation Sheet'!$AA$4:$AA$40,$AL$29)="","",INDEX('Final Calculation Sheet'!$AA$4:$AA$40,$AL$29)))</f>
        <v/>
      </c>
      <c r="AC29" s="111" t="str">
        <f>IF($AL$29="","",IF(INDEX('Final Calculation Sheet'!$AB$4:$AB$40,$AL$29)="","",INDEX('Final Calculation Sheet'!$AB$4:$AB$40,$AL$29)))</f>
        <v/>
      </c>
      <c r="AD29" s="111" t="str">
        <f>IF($AL$29="","",IF(INDEX('Final Calculation Sheet'!$AC$4:$AC$40,$AL$29)="","",INDEX('Final Calculation Sheet'!$AC$4:$AC$40,$AL$29)))</f>
        <v/>
      </c>
      <c r="AE29" s="111" t="str">
        <f>IF($AL$29="","",IF(INDEX('Final Calculation Sheet'!$AD$4:$AD$40,$AL$29)="","",INDEX('Final Calculation Sheet'!$AD$4:$AD$40,$AL$29)))</f>
        <v/>
      </c>
      <c r="AF29" s="116" t="str">
        <f>IF($AL$29="","",IF(INDEX('Final Calculation Sheet'!$AD$4:$AD$40,$AL$29)&lt;=5,"SETTLED","OUTSTANDING"))</f>
        <v/>
      </c>
      <c r="AG29" s="111" t="str">
        <f>IF($AL$29="","",IF(INDEX('Final Calculation Sheet'!$AF$4:$AF$40,$AL$29)="","",INDEX('Final Calculation Sheet'!$AF$4:$AF$40,$AL$29)))</f>
        <v/>
      </c>
      <c r="AH29" s="115" t="str">
        <f>IF($AL$29="","",IF(INDEX('Final Calculation Sheet'!$AG$4:$AG$40,$AL$29)="","",INDEX('Final Calculation Sheet'!$AG$4:$AG$40,$AL$29)))</f>
        <v/>
      </c>
      <c r="AI29" s="111" t="str">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v>1</v>
      </c>
      <c r="AK29">
        <f>IF(AJ29=1,COUNTIF(AJ$6:AJ29,1),"")</f>
        <v>24</v>
      </c>
      <c r="AL29" t="str">
        <f>IF(COUNTIF($B$4:$AI$4,"&lt;&gt;")=0,"",IFERROR(MATCH(23,$AK$6:$AK$42,0),""))</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 ca="1">CK28+IF(AND(Lists!$EJ$29&lt;&gt;"",ISNUMBER(SEARCH($AA$4,Lists!$EJ$29))),1,0)</f>
        <v>26</v>
      </c>
      <c r="CL29">
        <f ca="1">IF(ROW()-3&gt;MAX($CK$4:$CK$42),"",INDEX(Lists!$EJ$4:$EJ$42,MATCH(ROW()-3,$CK$4:$CK$42,0)))</f>
        <v>7788.0353999999988</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f>CS28+IF(AND(Lists!$FD$29&lt;&gt;"",ISNUMBER(SEARCH($AE$4,Lists!$FD$29))),1,0)</f>
        <v>11</v>
      </c>
      <c r="CT29" t="str">
        <f>IF(ROW()-3&gt;MAX($CS$4:$CS$42),"",INDEX(Lists!$FD$4:$FD$42,MATCH(ROW()-3,$CS$4:$CS$42,0)))</f>
        <v/>
      </c>
      <c r="CU29" t="e">
        <f>CU28+IF(AND(Lists!$FI$29&lt;&gt;"",ISNUMBER(SEARCH($AG$4,Lists!$FI$29))),1,0)</f>
        <v>#N/A</v>
      </c>
      <c r="CV29" t="e">
        <f>IF(ROW()-3&gt;MAX($CU$4:$CU$42),"",INDEX(Lists!$FI$4:$FI$42,MATCH(ROW()-3,$CU$4:$CU$42,0)))</f>
        <v>#N/A</v>
      </c>
      <c r="CW29" t="e">
        <f>CW28+IF(AND(Lists!$FN$29&lt;&gt;"",ISNUMBER(SEARCH($AH$4,Lists!$FN$29))),1,0)</f>
        <v>#N/A</v>
      </c>
      <c r="CX29" t="e">
        <f>IF(ROW()-3&gt;MAX($CW$4:$CW$42),"",INDEX(Lists!$FN$4:$FN$42,MATCH(ROW()-3,$CW$4:$CW$42,0)))</f>
        <v>#N/A</v>
      </c>
      <c r="CY29" t="e">
        <f>CY28+IF(AND(Lists!$FS$29&lt;&gt;"",ISNUMBER(SEARCH($AI$4,Lists!$FS$29))),1,0)</f>
        <v>#N/A</v>
      </c>
      <c r="CZ29" t="e">
        <f>IF(ROW()-3&gt;MAX($CY$4:$CY$42),"",INDEX(Lists!$FS$4:$FS$42,MATCH(ROW()-3,$CY$4:$CY$42,0)))</f>
        <v>#N/A</v>
      </c>
      <c r="DA29">
        <f>DA28+IF(AND(Lists!$FX$29&lt;&gt;"",ISNUMBER(SEARCH($AF$4,Lists!$FX$29))),1,0)</f>
        <v>2</v>
      </c>
      <c r="DB29" t="str">
        <f>IF(ROW()-3&gt;MAX($DA$4:$DA$42),"",INDEX(Lists!$FX$4:$FX$42,MATCH(ROW()-3,$DA$4:$DA$42,0)))</f>
        <v/>
      </c>
      <c r="DG29">
        <f>IF($B$4="",1,IF($B$4="(blank)",--('Final Calculation Sheet'!$F$27=""),IF($B$4="(nonblank)",--('Final Calculation Sheet'!$F$27&lt;&gt;""),--ISNUMBER(SEARCH($B$4,'Final Calculation Sheet'!$F$27)))))</f>
        <v>1</v>
      </c>
      <c r="DH29">
        <f>IF($C$4="",1,IF($C$4="(blank)",--('Final Calculation Sheet'!$G$27=""),IF($C$4="(nonblank)",--('Final Calculation Sheet'!$G$27&lt;&gt;""),--ISNUMBER(SEARCH($C$4,'Final Calculation Sheet'!$G$27)))))</f>
        <v>1</v>
      </c>
      <c r="DI29">
        <f>IF($D$4="",1,IF($D$4="(blank)",--('Final Calculation Sheet'!$B$27=""),IF($D$4="(nonblank)",--('Final Calculation Sheet'!$B$27&lt;&gt;""),--ISNUMBER(SEARCH($D$4,'Final Calculation Sheet'!$B$27)))))</f>
        <v>1</v>
      </c>
      <c r="DJ29">
        <f>IF($E$4="",1,IF($E$4="(blank)",--('Final Calculation Sheet'!$D$27=""),IF($E$4="(nonblank)",--('Final Calculation Sheet'!$D$27&lt;&gt;""),--ISNUMBER(SEARCH($E$4,'Final Calculation Sheet'!$D$27)))))</f>
        <v>1</v>
      </c>
      <c r="DK29">
        <f>IF($F$4="",1,IF($F$4="(blank)",--('Final Calculation Sheet'!$A$27=""),IF($F$4="(nonblank)",--('Final Calculation Sheet'!$A$27&lt;&gt;""),--ISNUMBER(SEARCH($F$4,'Final Calculation Sheet'!$A$27)))))</f>
        <v>1</v>
      </c>
      <c r="DL29">
        <f>IF($G$4="",1,IF($G$4="(blank)",--('Final Calculation Sheet'!$E$27=""),IF($G$4="(nonblank)",--('Final Calculation Sheet'!$E$27&lt;&gt;""),--ISNUMBER(SEARCH($G$4,'Final Calculation Sheet'!$E$27)))))</f>
        <v>1</v>
      </c>
      <c r="DM29">
        <f>IF($H$4="",1,IF($H$4="(blank)",--('Final Calculation Sheet'!$C$27=""),IF($H$4="(nonblank)",--('Final Calculation Sheet'!$C$27&lt;&gt;""),--ISNUMBER(SEARCH($H$4,'Final Calculation Sheet'!$C$27)))))</f>
        <v>1</v>
      </c>
      <c r="DN29">
        <f>IF($I$4="",1,IF($I$4="(blank)",--('Final Calculation Sheet'!$H$27=""),IF($I$4="(nonblank)",--('Final Calculation Sheet'!$H$27&lt;&gt;""),--ISNUMBER(SEARCH($I$4,'Final Calculation Sheet'!$H$27)))))</f>
        <v>1</v>
      </c>
      <c r="DO29">
        <f>IF($J$4="",1,IF($J$4="(blank)",--('Final Calculation Sheet'!$I$27=""),IF($J$4="(nonblank)",--('Final Calculation Sheet'!$I$27&lt;&gt;""),--ISNUMBER(SEARCH($J$4,'Final Calculation Sheet'!$I$27)))))</f>
        <v>1</v>
      </c>
      <c r="DP29">
        <f>IF($K$4="",1,IF($K$4="(blank)",--('Final Calculation Sheet'!$J$27=""),IF($K$4="(nonblank)",--('Final Calculation Sheet'!$J$27&lt;&gt;""),--ISNUMBER(SEARCH($K$4,'Final Calculation Sheet'!$J$27)))))</f>
        <v>1</v>
      </c>
      <c r="DQ29">
        <f>IF($L$4="",1,IF($L$4="(blank)",--('Final Calculation Sheet'!$K$27=""),IF($L$4="(nonblank)",--('Final Calculation Sheet'!$K$27&lt;&gt;""),--ISNUMBER(SEARCH($L$4,'Final Calculation Sheet'!$K$27)))))</f>
        <v>1</v>
      </c>
      <c r="DR29">
        <f>IF($M$4="",1,IF($M$4="(blank)",--('Final Calculation Sheet'!$L$27=""),IF($M$4="(nonblank)",--('Final Calculation Sheet'!$L$27&lt;&gt;""),--ISNUMBER(SEARCH($M$4,'Final Calculation Sheet'!$L$27)))))</f>
        <v>1</v>
      </c>
      <c r="DS29">
        <f>IF($N$4="",1,IF($N$4="(blank)",--('Final Calculation Sheet'!$M$27=""),IF($N$4="(nonblank)",--('Final Calculation Sheet'!$M$27&lt;&gt;""),--ISNUMBER(SEARCH($N$4,'Final Calculation Sheet'!$M$27)))))</f>
        <v>1</v>
      </c>
      <c r="DT29">
        <f>IF($O$4="",1,IF($O$4="(blank)",--('Final Calculation Sheet'!$N$27=""),IF($O$4="(nonblank)",--('Final Calculation Sheet'!$N$27&lt;&gt;""),--ISNUMBER(SEARCH($O$4,'Final Calculation Sheet'!$N$27)))))</f>
        <v>1</v>
      </c>
      <c r="DU29">
        <f>IF($P$4="",1,IF($P$4="(blank)",--('Final Calculation Sheet'!$O$27=""),IF($P$4="(nonblank)",--('Final Calculation Sheet'!$O$27&lt;&gt;""),--ISNUMBER(SEARCH($P$4,'Final Calculation Sheet'!$O$27)))))</f>
        <v>1</v>
      </c>
      <c r="DV29">
        <f>IF($Q$4="",1,IF($Q$4="(blank)",--('Final Calculation Sheet'!$P$27=""),IF($Q$4="(nonblank)",--('Final Calculation Sheet'!$P$27&lt;&gt;""),--ISNUMBER(SEARCH($Q$4,'Final Calculation Sheet'!$P$27)))))</f>
        <v>1</v>
      </c>
      <c r="DW29">
        <f>IF($R$4="",1,IF($R$4="(blank)",--('Final Calculation Sheet'!$Q$27=""),IF($R$4="(nonblank)",--('Final Calculation Sheet'!$Q$27&lt;&gt;""),--ISNUMBER(SEARCH($R$4,'Final Calculation Sheet'!$Q$27)))))</f>
        <v>1</v>
      </c>
      <c r="DX29">
        <f>IF($S$4="",1,IF($S$4="(blank)",--('Final Calculation Sheet'!$R$27=""),IF($S$4="(nonblank)",--('Final Calculation Sheet'!$R$27&lt;&gt;""),--ISNUMBER(SEARCH($S$4,'Final Calculation Sheet'!$R$27)))))</f>
        <v>1</v>
      </c>
      <c r="DY29">
        <f>IF($T$4="",1,IF($T$4="(blank)",--('Final Calculation Sheet'!$S$27=""),IF($T$4="(nonblank)",--('Final Calculation Sheet'!$S$27&lt;&gt;""),--ISNUMBER(SEARCH($T$4,'Final Calculation Sheet'!$S$27)))))</f>
        <v>1</v>
      </c>
      <c r="DZ29">
        <f>IF($U$4="",1,IF($U$4="(blank)",--('Final Calculation Sheet'!$T$27=""),IF($U$4="(nonblank)",--('Final Calculation Sheet'!$T$27&lt;&gt;""),--ISNUMBER(SEARCH($U$4,'Final Calculation Sheet'!$T$27)))))</f>
        <v>1</v>
      </c>
      <c r="EA29">
        <f>IF($V$4="",1,IF($V$4="(blank)",--('Final Calculation Sheet'!$U$27=""),IF($V$4="(nonblank)",--('Final Calculation Sheet'!$U$27&lt;&gt;""),--ISNUMBER(SEARCH($V$4,'Final Calculation Sheet'!$U$27)))))</f>
        <v>1</v>
      </c>
      <c r="EB29">
        <f>IF($W$4="",1,IF($W$4="(blank)",--('Final Calculation Sheet'!$V$27=""),IF($W$4="(nonblank)",--('Final Calculation Sheet'!$V$27&lt;&gt;""),--ISNUMBER(SEARCH($W$4,'Final Calculation Sheet'!$V$27)))))</f>
        <v>1</v>
      </c>
      <c r="EC29">
        <f>IF($X$4="",1,IF($X$4="(blank)",--('Final Calculation Sheet'!$W$27=""),IF($X$4="(nonblank)",--('Final Calculation Sheet'!$W$27&lt;&gt;""),--ISNUMBER(SEARCH($X$4,'Final Calculation Sheet'!$W$27)))))</f>
        <v>1</v>
      </c>
      <c r="ED29">
        <f>IF($Y$4="",1,IF($Y$4="(blank)",--('Final Calculation Sheet'!$X$27=""),IF($Y$4="(nonblank)",--('Final Calculation Sheet'!$X$27&lt;&gt;""),--ISNUMBER(SEARCH($Y$4,'Final Calculation Sheet'!$X$27)))))</f>
        <v>1</v>
      </c>
      <c r="EE29">
        <f>IF($Z$4="",1,IF($Z$4="(blank)",--('Final Calculation Sheet'!$Y$27=""),IF($Z$4="(nonblank)",--('Final Calculation Sheet'!$Y$27&lt;&gt;""),--ISNUMBER(SEARCH($Z$4,'Final Calculation Sheet'!$Y$27)))))</f>
        <v>1</v>
      </c>
      <c r="EF29">
        <f>IF($AA$4="",1,IF($AA$4="(blank)",--('Final Calculation Sheet'!$Z$27=""),IF($AA$4="(nonblank)",--('Final Calculation Sheet'!$Z$27&lt;&gt;""),--ISNUMBER(SEARCH($AA$4,'Final Calculation Sheet'!$Z$27)))))</f>
        <v>1</v>
      </c>
      <c r="EG29">
        <f>IF($AB$4="",1,IF($AB$4="(blank)",--('Final Calculation Sheet'!$AA$27=""),IF($AB$4="(nonblank)",--('Final Calculation Sheet'!$AA$27&lt;&gt;""),--ISNUMBER(SEARCH($AB$4,'Final Calculation Sheet'!$AA$27)))))</f>
        <v>1</v>
      </c>
      <c r="EH29">
        <f>IF($AC$4="",1,IF($AC$4="(blank)",--('Final Calculation Sheet'!$AB$27=""),IF($AC$4="(nonblank)",--('Final Calculation Sheet'!$AB$27&lt;&gt;""),--ISNUMBER(SEARCH($AC$4,'Final Calculation Sheet'!$AB$27)))))</f>
        <v>1</v>
      </c>
      <c r="EI29">
        <f>IF($AD$4="",1,IF($AD$4="(blank)",--('Final Calculation Sheet'!$AC$27=""),IF($AD$4="(nonblank)",--('Final Calculation Sheet'!$AC$27&lt;&gt;""),--ISNUMBER(SEARCH($AD$4,'Final Calculation Sheet'!$AC$27)))))</f>
        <v>1</v>
      </c>
      <c r="EJ29">
        <f>IF($AE$4="",1,IF($AE$4="(blank)",--('Final Calculation Sheet'!$AD$27=""),IF($AE$4="(nonblank)",--('Final Calculation Sheet'!$AD$27&lt;&gt;""),--ISNUMBER(SEARCH($AE$4,'Final Calculation Sheet'!$AD$27)))))</f>
        <v>1</v>
      </c>
      <c r="EK29">
        <f>IF($AF$4="",1,IF($AF$4="(blank)",--(IF('Final Calculation Sheet'!$AD$27&lt;=5,"SETTLED","OUTSTANDING")=""),IF($AF$4="(nonblank)",--(IF('Final Calculation Sheet'!$AD$27&lt;=5,"SETTLED","OUTSTANDING")&lt;&gt;""),--ISNUMBER(SEARCH($AF$4,IF('Final Calculation Sheet'!$AD$27&lt;=5,"SETTLED","OUTSTANDING"))))))</f>
        <v>1</v>
      </c>
      <c r="EL29">
        <f>IF($AG$4="",1,IF($AG$4="(blank)",--('Final Calculation Sheet'!$AF$27=""),IF($AG$4="(nonblank)",--('Final Calculation Sheet'!$AF$27&lt;&gt;""),--ISNUMBER(SEARCH($AG$4,'Final Calculation Sheet'!$AF$27)))))</f>
        <v>1</v>
      </c>
      <c r="EM29">
        <f>IF($AH$4="",1,IF($AH$4="(blank)",--('Final Calculation Sheet'!$AG$27=""),IF($AH$4="(nonblank)",--('Final Calculation Sheet'!$AG$27&lt;&gt;""),--ISNUMBER(SEARCH($AH$4,'Final Calculation Sheet'!$AG$27)))))</f>
        <v>1</v>
      </c>
      <c r="EN29">
        <f>IF($AI$4="",1,IF($AI$4="(blank)",--('Final Calculation Sheet'!$AH$27=""),IF($AI$4="(nonblank)",--('Final Calculation Sheet'!$AH$27&lt;&gt;""),--ISNUMBER(SEARCH($AI$4,'Final Calculation Sheet'!$AH$27)))))</f>
        <v>1</v>
      </c>
    </row>
    <row r="30" spans="1:144" hidden="1" outlineLevel="1" x14ac:dyDescent="0.3">
      <c r="A30" s="117" t="str">
        <f>IF($AL$30="","",24)</f>
        <v/>
      </c>
      <c r="B30" s="118" t="str">
        <f>IF($AL$30="","",IF(INDEX('Final Calculation Sheet'!$F$4:$F$40,$AL$30)="","",INDEX('Final Calculation Sheet'!$F$4:$F$40,$AL$30)))</f>
        <v/>
      </c>
      <c r="C30" s="118" t="str">
        <f>IF($AL$30="","",IF(INDEX('Final Calculation Sheet'!$G$4:$G$40,$AL$30)="","",INDEX('Final Calculation Sheet'!$G$4:$G$40,$AL$30)))</f>
        <v/>
      </c>
      <c r="D30" s="119" t="str">
        <f>IF($AL$30="","",IF(INDEX('Final Calculation Sheet'!$B$4:$B$40,$AL$30)="","",INDEX('Final Calculation Sheet'!$B$4:$B$40,$AL$30)))</f>
        <v/>
      </c>
      <c r="E30" s="119" t="str">
        <f>IF($AL$30="","",IF(INDEX('Final Calculation Sheet'!$D$4:$D$40,$AL$30)="","",INDEX('Final Calculation Sheet'!$D$4:$D$40,$AL$30)))</f>
        <v/>
      </c>
      <c r="F30" s="119" t="str">
        <f>IF($AL$30="","",IF(INDEX('Final Calculation Sheet'!$A$4:$A$40,$AL$30)="","",INDEX('Final Calculation Sheet'!$A$4:$A$40,$AL$30)))</f>
        <v/>
      </c>
      <c r="G30" s="119" t="str">
        <f>IF($AL$30="","",IF(INDEX('Final Calculation Sheet'!$E$4:$E$40,$AL$30)="","",INDEX('Final Calculation Sheet'!$E$4:$E$40,$AL$30)))</f>
        <v/>
      </c>
      <c r="H30" s="120" t="str">
        <f>IF($AL$30="","",IF(INDEX('Final Calculation Sheet'!$C$4:$C$40,$AL$30)="","",INDEX('Final Calculation Sheet'!$C$4:$C$40,$AL$30)))</f>
        <v/>
      </c>
      <c r="I30" s="120" t="str">
        <f>IF($AL$30="","",IF(INDEX('Final Calculation Sheet'!$H$4:$H$40,$AL$30)="","",INDEX('Final Calculation Sheet'!$H$4:$H$40,$AL$30)))</f>
        <v/>
      </c>
      <c r="J30" s="120" t="str">
        <f>IF($AL$30="","",IF(INDEX('Final Calculation Sheet'!$I$4:$I$40,$AL$30)="","",INDEX('Final Calculation Sheet'!$I$4:$I$40,$AL$30)))</f>
        <v/>
      </c>
      <c r="K30" s="120" t="str">
        <f>IF($AL$30="","",IF(INDEX('Final Calculation Sheet'!$J$4:$J$40,$AL$30)="","",INDEX('Final Calculation Sheet'!$J$4:$J$40,$AL$30)))</f>
        <v/>
      </c>
      <c r="L30" s="120" t="str">
        <f>IF($AL$30="","",IF(INDEX('Final Calculation Sheet'!$K$4:$K$40,$AL$30)="","",INDEX('Final Calculation Sheet'!$K$4:$K$40,$AL$30)))</f>
        <v/>
      </c>
      <c r="M30" s="120" t="str">
        <f>IF($AL$30="","",IF(INDEX('Final Calculation Sheet'!$L$4:$L$40,$AL$30)="","",INDEX('Final Calculation Sheet'!$L$4:$L$40,$AL$30)))</f>
        <v/>
      </c>
      <c r="N30" s="120" t="str">
        <f>IF($AL$30="","",IF(INDEX('Final Calculation Sheet'!$M$4:$M$40,$AL$30)="","",INDEX('Final Calculation Sheet'!$M$4:$M$40,$AL$30)))</f>
        <v/>
      </c>
      <c r="O30" s="121" t="str">
        <f>IF($AL$30="","",IF(INDEX('Final Calculation Sheet'!$N$4:$N$40,$AL$30)="","",INDEX('Final Calculation Sheet'!$N$4:$N$40,$AL$30)))</f>
        <v/>
      </c>
      <c r="P30" s="120" t="str">
        <f>IF($AL$30="","",IF(INDEX('Final Calculation Sheet'!$O$4:$O$40,$AL$30)="","",INDEX('Final Calculation Sheet'!$O$4:$O$40,$AL$30)))</f>
        <v/>
      </c>
      <c r="Q30" s="120" t="str">
        <f>IF($AL$30="","",IF(INDEX('Final Calculation Sheet'!$P$4:$P$40,$AL$30)="","",INDEX('Final Calculation Sheet'!$P$4:$P$40,$AL$30)))</f>
        <v/>
      </c>
      <c r="R30" s="122" t="str">
        <f>IF($AL$30="","",IF(INDEX('Final Calculation Sheet'!$Q$4:$Q$40,$AL$30)="","",INDEX('Final Calculation Sheet'!$Q$4:$Q$40,$AL$30)))</f>
        <v/>
      </c>
      <c r="S30" s="120" t="str">
        <f>IF($AL$30="","",IF(INDEX('Final Calculation Sheet'!$R$4:$R$40,$AL$30)="","",INDEX('Final Calculation Sheet'!$R$4:$R$40,$AL$30)))</f>
        <v/>
      </c>
      <c r="T30" s="120" t="str">
        <f>IF($AL$30="","",IF(INDEX('Final Calculation Sheet'!$S$4:$S$40,$AL$30)="","",INDEX('Final Calculation Sheet'!$S$4:$S$40,$AL$30)))</f>
        <v/>
      </c>
      <c r="U30" s="120" t="str">
        <f>IF($AL$30="","",IF(INDEX('Final Calculation Sheet'!$T$4:$T$40,$AL$30)="","",INDEX('Final Calculation Sheet'!$T$4:$T$40,$AL$30)))</f>
        <v/>
      </c>
      <c r="V30" s="123" t="str">
        <f>IF($AL$30="","",IF(INDEX('Final Calculation Sheet'!$U$4:$U$40,$AL$30)="","",INDEX('Final Calculation Sheet'!$U$4:$U$40,$AL$30)))</f>
        <v/>
      </c>
      <c r="W30" s="120" t="str">
        <f>IF($AL$30="","",IF(INDEX('Final Calculation Sheet'!$V$4:$V$40,$AL$30)="","",INDEX('Final Calculation Sheet'!$V$4:$V$40,$AL$30)))</f>
        <v/>
      </c>
      <c r="X30" s="120" t="str">
        <f>IF($AL$30="","",IF(INDEX('Final Calculation Sheet'!$W$4:$W$40,$AL$30)="","",INDEX('Final Calculation Sheet'!$W$4:$W$40,$AL$30)))</f>
        <v/>
      </c>
      <c r="Y30" s="120" t="str">
        <f>IF($AL$30="","",IF(INDEX('Final Calculation Sheet'!$X$4:$X$40,$AL$30)="","",INDEX('Final Calculation Sheet'!$X$4:$X$40,$AL$30)))</f>
        <v/>
      </c>
      <c r="Z30" s="120" t="str">
        <f>IF($AL$30="","",IF(INDEX('Final Calculation Sheet'!$Y$4:$Y$40,$AL$30)="","",INDEX('Final Calculation Sheet'!$Y$4:$Y$40,$AL$30)))</f>
        <v/>
      </c>
      <c r="AA30" s="120" t="str">
        <f>IF($AL$30="","",IF(INDEX('Final Calculation Sheet'!$Z$4:$Z$40,$AL$30)="","",INDEX('Final Calculation Sheet'!$Z$4:$Z$40,$AL$30)))</f>
        <v/>
      </c>
      <c r="AB30" s="120" t="str">
        <f>IF($AL$30="","",IF(INDEX('Final Calculation Sheet'!$AA$4:$AA$40,$AL$30)="","",INDEX('Final Calculation Sheet'!$AA$4:$AA$40,$AL$30)))</f>
        <v/>
      </c>
      <c r="AC30" s="120" t="str">
        <f>IF($AL$30="","",IF(INDEX('Final Calculation Sheet'!$AB$4:$AB$40,$AL$30)="","",INDEX('Final Calculation Sheet'!$AB$4:$AB$40,$AL$30)))</f>
        <v/>
      </c>
      <c r="AD30" s="120" t="str">
        <f>IF($AL$30="","",IF(INDEX('Final Calculation Sheet'!$AC$4:$AC$40,$AL$30)="","",INDEX('Final Calculation Sheet'!$AC$4:$AC$40,$AL$30)))</f>
        <v/>
      </c>
      <c r="AE30" s="120" t="str">
        <f>IF($AL$30="","",IF(INDEX('Final Calculation Sheet'!$AD$4:$AD$40,$AL$30)="","",INDEX('Final Calculation Sheet'!$AD$4:$AD$40,$AL$30)))</f>
        <v/>
      </c>
      <c r="AF30" s="125" t="str">
        <f>IF($AL$30="","",IF(INDEX('Final Calculation Sheet'!$AD$4:$AD$40,$AL$30)&lt;=5,"SETTLED","OUTSTANDING"))</f>
        <v/>
      </c>
      <c r="AG30" s="120" t="str">
        <f>IF($AL$30="","",IF(INDEX('Final Calculation Sheet'!$AF$4:$AF$40,$AL$30)="","",INDEX('Final Calculation Sheet'!$AF$4:$AF$40,$AL$30)))</f>
        <v/>
      </c>
      <c r="AH30" s="124" t="str">
        <f>IF($AL$30="","",IF(INDEX('Final Calculation Sheet'!$AG$4:$AG$40,$AL$30)="","",INDEX('Final Calculation Sheet'!$AG$4:$AG$40,$AL$30)))</f>
        <v/>
      </c>
      <c r="AI30" s="120" t="str">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v>1</v>
      </c>
      <c r="AK30">
        <f>IF(AJ30=1,COUNTIF(AJ$6:AJ30,1),"")</f>
        <v>25</v>
      </c>
      <c r="AL30" t="str">
        <f>IF(COUNTIF($B$4:$AI$4,"&lt;&gt;")=0,"",IFERROR(MATCH(24,$AK$6:$AK$42,0),""))</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 ca="1">CK29+IF(AND(Lists!$EJ$30&lt;&gt;"",ISNUMBER(SEARCH($AA$4,Lists!$EJ$30))),1,0)</f>
        <v>27</v>
      </c>
      <c r="CL30">
        <f ca="1">IF(ROW()-3&gt;MAX($CK$4:$CK$42),"",INDEX(Lists!$EJ$4:$EJ$42,MATCH(ROW()-3,$CK$4:$CK$42,0)))</f>
        <v>8893.5066000000006</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f>CS29+IF(AND(Lists!$FD$30&lt;&gt;"",ISNUMBER(SEARCH($AE$4,Lists!$FD$30))),1,0)</f>
        <v>11</v>
      </c>
      <c r="CT30" t="str">
        <f>IF(ROW()-3&gt;MAX($CS$4:$CS$42),"",INDEX(Lists!$FD$4:$FD$42,MATCH(ROW()-3,$CS$4:$CS$42,0)))</f>
        <v/>
      </c>
      <c r="CU30" t="e">
        <f>CU29+IF(AND(Lists!$FI$30&lt;&gt;"",ISNUMBER(SEARCH($AG$4,Lists!$FI$30))),1,0)</f>
        <v>#N/A</v>
      </c>
      <c r="CV30" t="e">
        <f>IF(ROW()-3&gt;MAX($CU$4:$CU$42),"",INDEX(Lists!$FI$4:$FI$42,MATCH(ROW()-3,$CU$4:$CU$42,0)))</f>
        <v>#N/A</v>
      </c>
      <c r="CW30" t="e">
        <f>CW29+IF(AND(Lists!$FN$30&lt;&gt;"",ISNUMBER(SEARCH($AH$4,Lists!$FN$30))),1,0)</f>
        <v>#N/A</v>
      </c>
      <c r="CX30" t="e">
        <f>IF(ROW()-3&gt;MAX($CW$4:$CW$42),"",INDEX(Lists!$FN$4:$FN$42,MATCH(ROW()-3,$CW$4:$CW$42,0)))</f>
        <v>#N/A</v>
      </c>
      <c r="CY30" t="e">
        <f>CY29+IF(AND(Lists!$FS$30&lt;&gt;"",ISNUMBER(SEARCH($AI$4,Lists!$FS$30))),1,0)</f>
        <v>#N/A</v>
      </c>
      <c r="CZ30" t="e">
        <f>IF(ROW()-3&gt;MAX($CY$4:$CY$42),"",INDEX(Lists!$FS$4:$FS$42,MATCH(ROW()-3,$CY$4:$CY$42,0)))</f>
        <v>#N/A</v>
      </c>
      <c r="DA30">
        <f>DA29+IF(AND(Lists!$FX$30&lt;&gt;"",ISNUMBER(SEARCH($AF$4,Lists!$FX$30))),1,0)</f>
        <v>2</v>
      </c>
      <c r="DB30" t="str">
        <f>IF(ROW()-3&gt;MAX($DA$4:$DA$42),"",INDEX(Lists!$FX$4:$FX$42,MATCH(ROW()-3,$DA$4:$DA$42,0)))</f>
        <v/>
      </c>
      <c r="DG30">
        <f>IF($B$4="",1,IF($B$4="(blank)",--('Final Calculation Sheet'!$F$28=""),IF($B$4="(nonblank)",--('Final Calculation Sheet'!$F$28&lt;&gt;""),--ISNUMBER(SEARCH($B$4,'Final Calculation Sheet'!$F$28)))))</f>
        <v>1</v>
      </c>
      <c r="DH30">
        <f>IF($C$4="",1,IF($C$4="(blank)",--('Final Calculation Sheet'!$G$28=""),IF($C$4="(nonblank)",--('Final Calculation Sheet'!$G$28&lt;&gt;""),--ISNUMBER(SEARCH($C$4,'Final Calculation Sheet'!$G$28)))))</f>
        <v>1</v>
      </c>
      <c r="DI30">
        <f>IF($D$4="",1,IF($D$4="(blank)",--('Final Calculation Sheet'!$B$28=""),IF($D$4="(nonblank)",--('Final Calculation Sheet'!$B$28&lt;&gt;""),--ISNUMBER(SEARCH($D$4,'Final Calculation Sheet'!$B$28)))))</f>
        <v>1</v>
      </c>
      <c r="DJ30">
        <f>IF($E$4="",1,IF($E$4="(blank)",--('Final Calculation Sheet'!$D$28=""),IF($E$4="(nonblank)",--('Final Calculation Sheet'!$D$28&lt;&gt;""),--ISNUMBER(SEARCH($E$4,'Final Calculation Sheet'!$D$28)))))</f>
        <v>1</v>
      </c>
      <c r="DK30">
        <f>IF($F$4="",1,IF($F$4="(blank)",--('Final Calculation Sheet'!$A$28=""),IF($F$4="(nonblank)",--('Final Calculation Sheet'!$A$28&lt;&gt;""),--ISNUMBER(SEARCH($F$4,'Final Calculation Sheet'!$A$28)))))</f>
        <v>1</v>
      </c>
      <c r="DL30">
        <f>IF($G$4="",1,IF($G$4="(blank)",--('Final Calculation Sheet'!$E$28=""),IF($G$4="(nonblank)",--('Final Calculation Sheet'!$E$28&lt;&gt;""),--ISNUMBER(SEARCH($G$4,'Final Calculation Sheet'!$E$28)))))</f>
        <v>1</v>
      </c>
      <c r="DM30">
        <f>IF($H$4="",1,IF($H$4="(blank)",--('Final Calculation Sheet'!$C$28=""),IF($H$4="(nonblank)",--('Final Calculation Sheet'!$C$28&lt;&gt;""),--ISNUMBER(SEARCH($H$4,'Final Calculation Sheet'!$C$28)))))</f>
        <v>1</v>
      </c>
      <c r="DN30">
        <f>IF($I$4="",1,IF($I$4="(blank)",--('Final Calculation Sheet'!$H$28=""),IF($I$4="(nonblank)",--('Final Calculation Sheet'!$H$28&lt;&gt;""),--ISNUMBER(SEARCH($I$4,'Final Calculation Sheet'!$H$28)))))</f>
        <v>1</v>
      </c>
      <c r="DO30">
        <f>IF($J$4="",1,IF($J$4="(blank)",--('Final Calculation Sheet'!$I$28=""),IF($J$4="(nonblank)",--('Final Calculation Sheet'!$I$28&lt;&gt;""),--ISNUMBER(SEARCH($J$4,'Final Calculation Sheet'!$I$28)))))</f>
        <v>1</v>
      </c>
      <c r="DP30">
        <f>IF($K$4="",1,IF($K$4="(blank)",--('Final Calculation Sheet'!$J$28=""),IF($K$4="(nonblank)",--('Final Calculation Sheet'!$J$28&lt;&gt;""),--ISNUMBER(SEARCH($K$4,'Final Calculation Sheet'!$J$28)))))</f>
        <v>1</v>
      </c>
      <c r="DQ30">
        <f>IF($L$4="",1,IF($L$4="(blank)",--('Final Calculation Sheet'!$K$28=""),IF($L$4="(nonblank)",--('Final Calculation Sheet'!$K$28&lt;&gt;""),--ISNUMBER(SEARCH($L$4,'Final Calculation Sheet'!$K$28)))))</f>
        <v>1</v>
      </c>
      <c r="DR30">
        <f>IF($M$4="",1,IF($M$4="(blank)",--('Final Calculation Sheet'!$L$28=""),IF($M$4="(nonblank)",--('Final Calculation Sheet'!$L$28&lt;&gt;""),--ISNUMBER(SEARCH($M$4,'Final Calculation Sheet'!$L$28)))))</f>
        <v>1</v>
      </c>
      <c r="DS30">
        <f>IF($N$4="",1,IF($N$4="(blank)",--('Final Calculation Sheet'!$M$28=""),IF($N$4="(nonblank)",--('Final Calculation Sheet'!$M$28&lt;&gt;""),--ISNUMBER(SEARCH($N$4,'Final Calculation Sheet'!$M$28)))))</f>
        <v>1</v>
      </c>
      <c r="DT30">
        <f>IF($O$4="",1,IF($O$4="(blank)",--('Final Calculation Sheet'!$N$28=""),IF($O$4="(nonblank)",--('Final Calculation Sheet'!$N$28&lt;&gt;""),--ISNUMBER(SEARCH($O$4,'Final Calculation Sheet'!$N$28)))))</f>
        <v>1</v>
      </c>
      <c r="DU30">
        <f>IF($P$4="",1,IF($P$4="(blank)",--('Final Calculation Sheet'!$O$28=""),IF($P$4="(nonblank)",--('Final Calculation Sheet'!$O$28&lt;&gt;""),--ISNUMBER(SEARCH($P$4,'Final Calculation Sheet'!$O$28)))))</f>
        <v>1</v>
      </c>
      <c r="DV30">
        <f>IF($Q$4="",1,IF($Q$4="(blank)",--('Final Calculation Sheet'!$P$28=""),IF($Q$4="(nonblank)",--('Final Calculation Sheet'!$P$28&lt;&gt;""),--ISNUMBER(SEARCH($Q$4,'Final Calculation Sheet'!$P$28)))))</f>
        <v>1</v>
      </c>
      <c r="DW30">
        <f>IF($R$4="",1,IF($R$4="(blank)",--('Final Calculation Sheet'!$Q$28=""),IF($R$4="(nonblank)",--('Final Calculation Sheet'!$Q$28&lt;&gt;""),--ISNUMBER(SEARCH($R$4,'Final Calculation Sheet'!$Q$28)))))</f>
        <v>1</v>
      </c>
      <c r="DX30">
        <f>IF($S$4="",1,IF($S$4="(blank)",--('Final Calculation Sheet'!$R$28=""),IF($S$4="(nonblank)",--('Final Calculation Sheet'!$R$28&lt;&gt;""),--ISNUMBER(SEARCH($S$4,'Final Calculation Sheet'!$R$28)))))</f>
        <v>1</v>
      </c>
      <c r="DY30">
        <f>IF($T$4="",1,IF($T$4="(blank)",--('Final Calculation Sheet'!$S$28=""),IF($T$4="(nonblank)",--('Final Calculation Sheet'!$S$28&lt;&gt;""),--ISNUMBER(SEARCH($T$4,'Final Calculation Sheet'!$S$28)))))</f>
        <v>1</v>
      </c>
      <c r="DZ30">
        <f>IF($U$4="",1,IF($U$4="(blank)",--('Final Calculation Sheet'!$T$28=""),IF($U$4="(nonblank)",--('Final Calculation Sheet'!$T$28&lt;&gt;""),--ISNUMBER(SEARCH($U$4,'Final Calculation Sheet'!$T$28)))))</f>
        <v>1</v>
      </c>
      <c r="EA30">
        <f>IF($V$4="",1,IF($V$4="(blank)",--('Final Calculation Sheet'!$U$28=""),IF($V$4="(nonblank)",--('Final Calculation Sheet'!$U$28&lt;&gt;""),--ISNUMBER(SEARCH($V$4,'Final Calculation Sheet'!$U$28)))))</f>
        <v>1</v>
      </c>
      <c r="EB30">
        <f>IF($W$4="",1,IF($W$4="(blank)",--('Final Calculation Sheet'!$V$28=""),IF($W$4="(nonblank)",--('Final Calculation Sheet'!$V$28&lt;&gt;""),--ISNUMBER(SEARCH($W$4,'Final Calculation Sheet'!$V$28)))))</f>
        <v>1</v>
      </c>
      <c r="EC30">
        <f>IF($X$4="",1,IF($X$4="(blank)",--('Final Calculation Sheet'!$W$28=""),IF($X$4="(nonblank)",--('Final Calculation Sheet'!$W$28&lt;&gt;""),--ISNUMBER(SEARCH($X$4,'Final Calculation Sheet'!$W$28)))))</f>
        <v>1</v>
      </c>
      <c r="ED30">
        <f>IF($Y$4="",1,IF($Y$4="(blank)",--('Final Calculation Sheet'!$X$28=""),IF($Y$4="(nonblank)",--('Final Calculation Sheet'!$X$28&lt;&gt;""),--ISNUMBER(SEARCH($Y$4,'Final Calculation Sheet'!$X$28)))))</f>
        <v>1</v>
      </c>
      <c r="EE30">
        <f>IF($Z$4="",1,IF($Z$4="(blank)",--('Final Calculation Sheet'!$Y$28=""),IF($Z$4="(nonblank)",--('Final Calculation Sheet'!$Y$28&lt;&gt;""),--ISNUMBER(SEARCH($Z$4,'Final Calculation Sheet'!$Y$28)))))</f>
        <v>1</v>
      </c>
      <c r="EF30">
        <f>IF($AA$4="",1,IF($AA$4="(blank)",--('Final Calculation Sheet'!$Z$28=""),IF($AA$4="(nonblank)",--('Final Calculation Sheet'!$Z$28&lt;&gt;""),--ISNUMBER(SEARCH($AA$4,'Final Calculation Sheet'!$Z$28)))))</f>
        <v>1</v>
      </c>
      <c r="EG30">
        <f>IF($AB$4="",1,IF($AB$4="(blank)",--('Final Calculation Sheet'!$AA$28=""),IF($AB$4="(nonblank)",--('Final Calculation Sheet'!$AA$28&lt;&gt;""),--ISNUMBER(SEARCH($AB$4,'Final Calculation Sheet'!$AA$28)))))</f>
        <v>1</v>
      </c>
      <c r="EH30">
        <f>IF($AC$4="",1,IF($AC$4="(blank)",--('Final Calculation Sheet'!$AB$28=""),IF($AC$4="(nonblank)",--('Final Calculation Sheet'!$AB$28&lt;&gt;""),--ISNUMBER(SEARCH($AC$4,'Final Calculation Sheet'!$AB$28)))))</f>
        <v>1</v>
      </c>
      <c r="EI30">
        <f>IF($AD$4="",1,IF($AD$4="(blank)",--('Final Calculation Sheet'!$AC$28=""),IF($AD$4="(nonblank)",--('Final Calculation Sheet'!$AC$28&lt;&gt;""),--ISNUMBER(SEARCH($AD$4,'Final Calculation Sheet'!$AC$28)))))</f>
        <v>1</v>
      </c>
      <c r="EJ30">
        <f>IF($AE$4="",1,IF($AE$4="(blank)",--('Final Calculation Sheet'!$AD$28=""),IF($AE$4="(nonblank)",--('Final Calculation Sheet'!$AD$28&lt;&gt;""),--ISNUMBER(SEARCH($AE$4,'Final Calculation Sheet'!$AD$28)))))</f>
        <v>1</v>
      </c>
      <c r="EK30">
        <f>IF($AF$4="",1,IF($AF$4="(blank)",--(IF('Final Calculation Sheet'!$AD$28&lt;=5,"SETTLED","OUTSTANDING")=""),IF($AF$4="(nonblank)",--(IF('Final Calculation Sheet'!$AD$28&lt;=5,"SETTLED","OUTSTANDING")&lt;&gt;""),--ISNUMBER(SEARCH($AF$4,IF('Final Calculation Sheet'!$AD$28&lt;=5,"SETTLED","OUTSTANDING"))))))</f>
        <v>1</v>
      </c>
      <c r="EL30">
        <f>IF($AG$4="",1,IF($AG$4="(blank)",--('Final Calculation Sheet'!$AF$28=""),IF($AG$4="(nonblank)",--('Final Calculation Sheet'!$AF$28&lt;&gt;""),--ISNUMBER(SEARCH($AG$4,'Final Calculation Sheet'!$AF$28)))))</f>
        <v>1</v>
      </c>
      <c r="EM30">
        <f>IF($AH$4="",1,IF($AH$4="(blank)",--('Final Calculation Sheet'!$AG$28=""),IF($AH$4="(nonblank)",--('Final Calculation Sheet'!$AG$28&lt;&gt;""),--ISNUMBER(SEARCH($AH$4,'Final Calculation Sheet'!$AG$28)))))</f>
        <v>1</v>
      </c>
      <c r="EN30">
        <f>IF($AI$4="",1,IF($AI$4="(blank)",--('Final Calculation Sheet'!$AH$28=""),IF($AI$4="(nonblank)",--('Final Calculation Sheet'!$AH$28&lt;&gt;""),--ISNUMBER(SEARCH($AI$4,'Final Calculation Sheet'!$AH$28)))))</f>
        <v>1</v>
      </c>
    </row>
    <row r="31" spans="1:144" hidden="1" outlineLevel="1" x14ac:dyDescent="0.3">
      <c r="A31" s="107" t="str">
        <f>IF($AL$31="","",25)</f>
        <v/>
      </c>
      <c r="B31" s="108" t="str">
        <f>IF($AL$31="","",IF(INDEX('Final Calculation Sheet'!$F$4:$F$40,$AL$31)="","",INDEX('Final Calculation Sheet'!$F$4:$F$40,$AL$31)))</f>
        <v/>
      </c>
      <c r="C31" s="108" t="str">
        <f>IF($AL$31="","",IF(INDEX('Final Calculation Sheet'!$G$4:$G$40,$AL$31)="","",INDEX('Final Calculation Sheet'!$G$4:$G$40,$AL$31)))</f>
        <v/>
      </c>
      <c r="D31" s="110" t="str">
        <f>IF($AL$31="","",IF(INDEX('Final Calculation Sheet'!$B$4:$B$40,$AL$31)="","",INDEX('Final Calculation Sheet'!$B$4:$B$40,$AL$31)))</f>
        <v/>
      </c>
      <c r="E31" s="110" t="str">
        <f>IF($AL$31="","",IF(INDEX('Final Calculation Sheet'!$D$4:$D$40,$AL$31)="","",INDEX('Final Calculation Sheet'!$D$4:$D$40,$AL$31)))</f>
        <v/>
      </c>
      <c r="F31" s="110" t="str">
        <f>IF($AL$31="","",IF(INDEX('Final Calculation Sheet'!$A$4:$A$40,$AL$31)="","",INDEX('Final Calculation Sheet'!$A$4:$A$40,$AL$31)))</f>
        <v/>
      </c>
      <c r="G31" s="110" t="str">
        <f>IF($AL$31="","",IF(INDEX('Final Calculation Sheet'!$E$4:$E$40,$AL$31)="","",INDEX('Final Calculation Sheet'!$E$4:$E$40,$AL$31)))</f>
        <v/>
      </c>
      <c r="H31" s="111" t="str">
        <f>IF($AL$31="","",IF(INDEX('Final Calculation Sheet'!$C$4:$C$40,$AL$31)="","",INDEX('Final Calculation Sheet'!$C$4:$C$40,$AL$31)))</f>
        <v/>
      </c>
      <c r="I31" s="111" t="str">
        <f>IF($AL$31="","",IF(INDEX('Final Calculation Sheet'!$H$4:$H$40,$AL$31)="","",INDEX('Final Calculation Sheet'!$H$4:$H$40,$AL$31)))</f>
        <v/>
      </c>
      <c r="J31" s="111" t="str">
        <f>IF($AL$31="","",IF(INDEX('Final Calculation Sheet'!$I$4:$I$40,$AL$31)="","",INDEX('Final Calculation Sheet'!$I$4:$I$40,$AL$31)))</f>
        <v/>
      </c>
      <c r="K31" s="111" t="str">
        <f>IF($AL$31="","",IF(INDEX('Final Calculation Sheet'!$J$4:$J$40,$AL$31)="","",INDEX('Final Calculation Sheet'!$J$4:$J$40,$AL$31)))</f>
        <v/>
      </c>
      <c r="L31" s="111" t="str">
        <f>IF($AL$31="","",IF(INDEX('Final Calculation Sheet'!$K$4:$K$40,$AL$31)="","",INDEX('Final Calculation Sheet'!$K$4:$K$40,$AL$31)))</f>
        <v/>
      </c>
      <c r="M31" s="111" t="str">
        <f>IF($AL$31="","",IF(INDEX('Final Calculation Sheet'!$L$4:$L$40,$AL$31)="","",INDEX('Final Calculation Sheet'!$L$4:$L$40,$AL$31)))</f>
        <v/>
      </c>
      <c r="N31" s="111" t="str">
        <f>IF($AL$31="","",IF(INDEX('Final Calculation Sheet'!$M$4:$M$40,$AL$31)="","",INDEX('Final Calculation Sheet'!$M$4:$M$40,$AL$31)))</f>
        <v/>
      </c>
      <c r="O31" s="112" t="str">
        <f>IF($AL$31="","",IF(INDEX('Final Calculation Sheet'!$N$4:$N$40,$AL$31)="","",INDEX('Final Calculation Sheet'!$N$4:$N$40,$AL$31)))</f>
        <v/>
      </c>
      <c r="P31" s="111" t="str">
        <f>IF($AL$31="","",IF(INDEX('Final Calculation Sheet'!$O$4:$O$40,$AL$31)="","",INDEX('Final Calculation Sheet'!$O$4:$O$40,$AL$31)))</f>
        <v/>
      </c>
      <c r="Q31" s="111" t="str">
        <f>IF($AL$31="","",IF(INDEX('Final Calculation Sheet'!$P$4:$P$40,$AL$31)="","",INDEX('Final Calculation Sheet'!$P$4:$P$40,$AL$31)))</f>
        <v/>
      </c>
      <c r="R31" s="113" t="str">
        <f>IF($AL$31="","",IF(INDEX('Final Calculation Sheet'!$Q$4:$Q$40,$AL$31)="","",INDEX('Final Calculation Sheet'!$Q$4:$Q$40,$AL$31)))</f>
        <v/>
      </c>
      <c r="S31" s="111" t="str">
        <f>IF($AL$31="","",IF(INDEX('Final Calculation Sheet'!$R$4:$R$40,$AL$31)="","",INDEX('Final Calculation Sheet'!$R$4:$R$40,$AL$31)))</f>
        <v/>
      </c>
      <c r="T31" s="111" t="str">
        <f>IF($AL$31="","",IF(INDEX('Final Calculation Sheet'!$S$4:$S$40,$AL$31)="","",INDEX('Final Calculation Sheet'!$S$4:$S$40,$AL$31)))</f>
        <v/>
      </c>
      <c r="U31" s="111" t="str">
        <f>IF($AL$31="","",IF(INDEX('Final Calculation Sheet'!$T$4:$T$40,$AL$31)="","",INDEX('Final Calculation Sheet'!$T$4:$T$40,$AL$31)))</f>
        <v/>
      </c>
      <c r="V31" s="114" t="str">
        <f>IF($AL$31="","",IF(INDEX('Final Calculation Sheet'!$U$4:$U$40,$AL$31)="","",INDEX('Final Calculation Sheet'!$U$4:$U$40,$AL$31)))</f>
        <v/>
      </c>
      <c r="W31" s="111" t="str">
        <f>IF($AL$31="","",IF(INDEX('Final Calculation Sheet'!$V$4:$V$40,$AL$31)="","",INDEX('Final Calculation Sheet'!$V$4:$V$40,$AL$31)))</f>
        <v/>
      </c>
      <c r="X31" s="111" t="str">
        <f>IF($AL$31="","",IF(INDEX('Final Calculation Sheet'!$W$4:$W$40,$AL$31)="","",INDEX('Final Calculation Sheet'!$W$4:$W$40,$AL$31)))</f>
        <v/>
      </c>
      <c r="Y31" s="111" t="str">
        <f>IF($AL$31="","",IF(INDEX('Final Calculation Sheet'!$X$4:$X$40,$AL$31)="","",INDEX('Final Calculation Sheet'!$X$4:$X$40,$AL$31)))</f>
        <v/>
      </c>
      <c r="Z31" s="111" t="str">
        <f>IF($AL$31="","",IF(INDEX('Final Calculation Sheet'!$Y$4:$Y$40,$AL$31)="","",INDEX('Final Calculation Sheet'!$Y$4:$Y$40,$AL$31)))</f>
        <v/>
      </c>
      <c r="AA31" s="111" t="str">
        <f>IF($AL$31="","",IF(INDEX('Final Calculation Sheet'!$Z$4:$Z$40,$AL$31)="","",INDEX('Final Calculation Sheet'!$Z$4:$Z$40,$AL$31)))</f>
        <v/>
      </c>
      <c r="AB31" s="111" t="str">
        <f>IF($AL$31="","",IF(INDEX('Final Calculation Sheet'!$AA$4:$AA$40,$AL$31)="","",INDEX('Final Calculation Sheet'!$AA$4:$AA$40,$AL$31)))</f>
        <v/>
      </c>
      <c r="AC31" s="111" t="str">
        <f>IF($AL$31="","",IF(INDEX('Final Calculation Sheet'!$AB$4:$AB$40,$AL$31)="","",INDEX('Final Calculation Sheet'!$AB$4:$AB$40,$AL$31)))</f>
        <v/>
      </c>
      <c r="AD31" s="111" t="str">
        <f>IF($AL$31="","",IF(INDEX('Final Calculation Sheet'!$AC$4:$AC$40,$AL$31)="","",INDEX('Final Calculation Sheet'!$AC$4:$AC$40,$AL$31)))</f>
        <v/>
      </c>
      <c r="AE31" s="111" t="str">
        <f>IF($AL$31="","",IF(INDEX('Final Calculation Sheet'!$AD$4:$AD$40,$AL$31)="","",INDEX('Final Calculation Sheet'!$AD$4:$AD$40,$AL$31)))</f>
        <v/>
      </c>
      <c r="AF31" s="116" t="str">
        <f>IF($AL$31="","",IF(INDEX('Final Calculation Sheet'!$AD$4:$AD$40,$AL$31)&lt;=5,"SETTLED","OUTSTANDING"))</f>
        <v/>
      </c>
      <c r="AG31" s="111" t="str">
        <f>IF($AL$31="","",IF(INDEX('Final Calculation Sheet'!$AF$4:$AF$40,$AL$31)="","",INDEX('Final Calculation Sheet'!$AF$4:$AF$40,$AL$31)))</f>
        <v/>
      </c>
      <c r="AH31" s="115" t="str">
        <f>IF($AL$31="","",IF(INDEX('Final Calculation Sheet'!$AG$4:$AG$40,$AL$31)="","",INDEX('Final Calculation Sheet'!$AG$4:$AG$40,$AL$31)))</f>
        <v/>
      </c>
      <c r="AI31" s="111" t="str">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v>1</v>
      </c>
      <c r="AK31">
        <f>IF(AJ31=1,COUNTIF(AJ$6:AJ31,1),"")</f>
        <v>26</v>
      </c>
      <c r="AL31" t="str">
        <f>IF(COUNTIF($B$4:$AI$4,"&lt;&gt;")=0,"",IFERROR(MATCH(25,$AK$6:$AK$42,0),""))</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 ca="1">CK30+IF(AND(Lists!$EJ$31&lt;&gt;"",ISNUMBER(SEARCH($AA$4,Lists!$EJ$31))),1,0)</f>
        <v>28</v>
      </c>
      <c r="CL31">
        <f ca="1">IF(ROW()-3&gt;MAX($CK$4:$CK$42),"",INDEX(Lists!$EJ$4:$EJ$42,MATCH(ROW()-3,$CK$4:$CK$42,0)))</f>
        <v>9558.2124000000003</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f>CS30+IF(AND(Lists!$FD$31&lt;&gt;"",ISNUMBER(SEARCH($AE$4,Lists!$FD$31))),1,0)</f>
        <v>11</v>
      </c>
      <c r="CT31" t="str">
        <f>IF(ROW()-3&gt;MAX($CS$4:$CS$42),"",INDEX(Lists!$FD$4:$FD$42,MATCH(ROW()-3,$CS$4:$CS$42,0)))</f>
        <v/>
      </c>
      <c r="CU31" t="e">
        <f>CU30+IF(AND(Lists!$FI$31&lt;&gt;"",ISNUMBER(SEARCH($AG$4,Lists!$FI$31))),1,0)</f>
        <v>#N/A</v>
      </c>
      <c r="CV31" t="e">
        <f>IF(ROW()-3&gt;MAX($CU$4:$CU$42),"",INDEX(Lists!$FI$4:$FI$42,MATCH(ROW()-3,$CU$4:$CU$42,0)))</f>
        <v>#N/A</v>
      </c>
      <c r="CW31" t="e">
        <f>CW30+IF(AND(Lists!$FN$31&lt;&gt;"",ISNUMBER(SEARCH($AH$4,Lists!$FN$31))),1,0)</f>
        <v>#N/A</v>
      </c>
      <c r="CX31" t="e">
        <f>IF(ROW()-3&gt;MAX($CW$4:$CW$42),"",INDEX(Lists!$FN$4:$FN$42,MATCH(ROW()-3,$CW$4:$CW$42,0)))</f>
        <v>#N/A</v>
      </c>
      <c r="CY31" t="e">
        <f>CY30+IF(AND(Lists!$FS$31&lt;&gt;"",ISNUMBER(SEARCH($AI$4,Lists!$FS$31))),1,0)</f>
        <v>#N/A</v>
      </c>
      <c r="CZ31" t="e">
        <f>IF(ROW()-3&gt;MAX($CY$4:$CY$42),"",INDEX(Lists!$FS$4:$FS$42,MATCH(ROW()-3,$CY$4:$CY$42,0)))</f>
        <v>#N/A</v>
      </c>
      <c r="DA31">
        <f>DA30+IF(AND(Lists!$FX$31&lt;&gt;"",ISNUMBER(SEARCH($AF$4,Lists!$FX$31))),1,0)</f>
        <v>2</v>
      </c>
      <c r="DB31" t="str">
        <f>IF(ROW()-3&gt;MAX($DA$4:$DA$42),"",INDEX(Lists!$FX$4:$FX$42,MATCH(ROW()-3,$DA$4:$DA$42,0)))</f>
        <v/>
      </c>
      <c r="DG31">
        <f>IF($B$4="",1,IF($B$4="(blank)",--('Final Calculation Sheet'!$F$29=""),IF($B$4="(nonblank)",--('Final Calculation Sheet'!$F$29&lt;&gt;""),--ISNUMBER(SEARCH($B$4,'Final Calculation Sheet'!$F$29)))))</f>
        <v>1</v>
      </c>
      <c r="DH31">
        <f>IF($C$4="",1,IF($C$4="(blank)",--('Final Calculation Sheet'!$G$29=""),IF($C$4="(nonblank)",--('Final Calculation Sheet'!$G$29&lt;&gt;""),--ISNUMBER(SEARCH($C$4,'Final Calculation Sheet'!$G$29)))))</f>
        <v>1</v>
      </c>
      <c r="DI31">
        <f>IF($D$4="",1,IF($D$4="(blank)",--('Final Calculation Sheet'!$B$29=""),IF($D$4="(nonblank)",--('Final Calculation Sheet'!$B$29&lt;&gt;""),--ISNUMBER(SEARCH($D$4,'Final Calculation Sheet'!$B$29)))))</f>
        <v>1</v>
      </c>
      <c r="DJ31">
        <f>IF($E$4="",1,IF($E$4="(blank)",--('Final Calculation Sheet'!$D$29=""),IF($E$4="(nonblank)",--('Final Calculation Sheet'!$D$29&lt;&gt;""),--ISNUMBER(SEARCH($E$4,'Final Calculation Sheet'!$D$29)))))</f>
        <v>1</v>
      </c>
      <c r="DK31">
        <f>IF($F$4="",1,IF($F$4="(blank)",--('Final Calculation Sheet'!$A$29=""),IF($F$4="(nonblank)",--('Final Calculation Sheet'!$A$29&lt;&gt;""),--ISNUMBER(SEARCH($F$4,'Final Calculation Sheet'!$A$29)))))</f>
        <v>1</v>
      </c>
      <c r="DL31">
        <f>IF($G$4="",1,IF($G$4="(blank)",--('Final Calculation Sheet'!$E$29=""),IF($G$4="(nonblank)",--('Final Calculation Sheet'!$E$29&lt;&gt;""),--ISNUMBER(SEARCH($G$4,'Final Calculation Sheet'!$E$29)))))</f>
        <v>1</v>
      </c>
      <c r="DM31">
        <f>IF($H$4="",1,IF($H$4="(blank)",--('Final Calculation Sheet'!$C$29=""),IF($H$4="(nonblank)",--('Final Calculation Sheet'!$C$29&lt;&gt;""),--ISNUMBER(SEARCH($H$4,'Final Calculation Sheet'!$C$29)))))</f>
        <v>1</v>
      </c>
      <c r="DN31">
        <f>IF($I$4="",1,IF($I$4="(blank)",--('Final Calculation Sheet'!$H$29=""),IF($I$4="(nonblank)",--('Final Calculation Sheet'!$H$29&lt;&gt;""),--ISNUMBER(SEARCH($I$4,'Final Calculation Sheet'!$H$29)))))</f>
        <v>1</v>
      </c>
      <c r="DO31">
        <f>IF($J$4="",1,IF($J$4="(blank)",--('Final Calculation Sheet'!$I$29=""),IF($J$4="(nonblank)",--('Final Calculation Sheet'!$I$29&lt;&gt;""),--ISNUMBER(SEARCH($J$4,'Final Calculation Sheet'!$I$29)))))</f>
        <v>1</v>
      </c>
      <c r="DP31">
        <f>IF($K$4="",1,IF($K$4="(blank)",--('Final Calculation Sheet'!$J$29=""),IF($K$4="(nonblank)",--('Final Calculation Sheet'!$J$29&lt;&gt;""),--ISNUMBER(SEARCH($K$4,'Final Calculation Sheet'!$J$29)))))</f>
        <v>1</v>
      </c>
      <c r="DQ31">
        <f>IF($L$4="",1,IF($L$4="(blank)",--('Final Calculation Sheet'!$K$29=""),IF($L$4="(nonblank)",--('Final Calculation Sheet'!$K$29&lt;&gt;""),--ISNUMBER(SEARCH($L$4,'Final Calculation Sheet'!$K$29)))))</f>
        <v>1</v>
      </c>
      <c r="DR31">
        <f>IF($M$4="",1,IF($M$4="(blank)",--('Final Calculation Sheet'!$L$29=""),IF($M$4="(nonblank)",--('Final Calculation Sheet'!$L$29&lt;&gt;""),--ISNUMBER(SEARCH($M$4,'Final Calculation Sheet'!$L$29)))))</f>
        <v>1</v>
      </c>
      <c r="DS31">
        <f>IF($N$4="",1,IF($N$4="(blank)",--('Final Calculation Sheet'!$M$29=""),IF($N$4="(nonblank)",--('Final Calculation Sheet'!$M$29&lt;&gt;""),--ISNUMBER(SEARCH($N$4,'Final Calculation Sheet'!$M$29)))))</f>
        <v>1</v>
      </c>
      <c r="DT31">
        <f>IF($O$4="",1,IF($O$4="(blank)",--('Final Calculation Sheet'!$N$29=""),IF($O$4="(nonblank)",--('Final Calculation Sheet'!$N$29&lt;&gt;""),--ISNUMBER(SEARCH($O$4,'Final Calculation Sheet'!$N$29)))))</f>
        <v>1</v>
      </c>
      <c r="DU31">
        <f>IF($P$4="",1,IF($P$4="(blank)",--('Final Calculation Sheet'!$O$29=""),IF($P$4="(nonblank)",--('Final Calculation Sheet'!$O$29&lt;&gt;""),--ISNUMBER(SEARCH($P$4,'Final Calculation Sheet'!$O$29)))))</f>
        <v>1</v>
      </c>
      <c r="DV31">
        <f>IF($Q$4="",1,IF($Q$4="(blank)",--('Final Calculation Sheet'!$P$29=""),IF($Q$4="(nonblank)",--('Final Calculation Sheet'!$P$29&lt;&gt;""),--ISNUMBER(SEARCH($Q$4,'Final Calculation Sheet'!$P$29)))))</f>
        <v>1</v>
      </c>
      <c r="DW31">
        <f>IF($R$4="",1,IF($R$4="(blank)",--('Final Calculation Sheet'!$Q$29=""),IF($R$4="(nonblank)",--('Final Calculation Sheet'!$Q$29&lt;&gt;""),--ISNUMBER(SEARCH($R$4,'Final Calculation Sheet'!$Q$29)))))</f>
        <v>1</v>
      </c>
      <c r="DX31">
        <f>IF($S$4="",1,IF($S$4="(blank)",--('Final Calculation Sheet'!$R$29=""),IF($S$4="(nonblank)",--('Final Calculation Sheet'!$R$29&lt;&gt;""),--ISNUMBER(SEARCH($S$4,'Final Calculation Sheet'!$R$29)))))</f>
        <v>1</v>
      </c>
      <c r="DY31">
        <f>IF($T$4="",1,IF($T$4="(blank)",--('Final Calculation Sheet'!$S$29=""),IF($T$4="(nonblank)",--('Final Calculation Sheet'!$S$29&lt;&gt;""),--ISNUMBER(SEARCH($T$4,'Final Calculation Sheet'!$S$29)))))</f>
        <v>1</v>
      </c>
      <c r="DZ31">
        <f>IF($U$4="",1,IF($U$4="(blank)",--('Final Calculation Sheet'!$T$29=""),IF($U$4="(nonblank)",--('Final Calculation Sheet'!$T$29&lt;&gt;""),--ISNUMBER(SEARCH($U$4,'Final Calculation Sheet'!$T$29)))))</f>
        <v>1</v>
      </c>
      <c r="EA31">
        <f>IF($V$4="",1,IF($V$4="(blank)",--('Final Calculation Sheet'!$U$29=""),IF($V$4="(nonblank)",--('Final Calculation Sheet'!$U$29&lt;&gt;""),--ISNUMBER(SEARCH($V$4,'Final Calculation Sheet'!$U$29)))))</f>
        <v>1</v>
      </c>
      <c r="EB31">
        <f>IF($W$4="",1,IF($W$4="(blank)",--('Final Calculation Sheet'!$V$29=""),IF($W$4="(nonblank)",--('Final Calculation Sheet'!$V$29&lt;&gt;""),--ISNUMBER(SEARCH($W$4,'Final Calculation Sheet'!$V$29)))))</f>
        <v>1</v>
      </c>
      <c r="EC31">
        <f>IF($X$4="",1,IF($X$4="(blank)",--('Final Calculation Sheet'!$W$29=""),IF($X$4="(nonblank)",--('Final Calculation Sheet'!$W$29&lt;&gt;""),--ISNUMBER(SEARCH($X$4,'Final Calculation Sheet'!$W$29)))))</f>
        <v>1</v>
      </c>
      <c r="ED31">
        <f>IF($Y$4="",1,IF($Y$4="(blank)",--('Final Calculation Sheet'!$X$29=""),IF($Y$4="(nonblank)",--('Final Calculation Sheet'!$X$29&lt;&gt;""),--ISNUMBER(SEARCH($Y$4,'Final Calculation Sheet'!$X$29)))))</f>
        <v>1</v>
      </c>
      <c r="EE31">
        <f>IF($Z$4="",1,IF($Z$4="(blank)",--('Final Calculation Sheet'!$Y$29=""),IF($Z$4="(nonblank)",--('Final Calculation Sheet'!$Y$29&lt;&gt;""),--ISNUMBER(SEARCH($Z$4,'Final Calculation Sheet'!$Y$29)))))</f>
        <v>1</v>
      </c>
      <c r="EF31">
        <f>IF($AA$4="",1,IF($AA$4="(blank)",--('Final Calculation Sheet'!$Z$29=""),IF($AA$4="(nonblank)",--('Final Calculation Sheet'!$Z$29&lt;&gt;""),--ISNUMBER(SEARCH($AA$4,'Final Calculation Sheet'!$Z$29)))))</f>
        <v>1</v>
      </c>
      <c r="EG31">
        <f>IF($AB$4="",1,IF($AB$4="(blank)",--('Final Calculation Sheet'!$AA$29=""),IF($AB$4="(nonblank)",--('Final Calculation Sheet'!$AA$29&lt;&gt;""),--ISNUMBER(SEARCH($AB$4,'Final Calculation Sheet'!$AA$29)))))</f>
        <v>1</v>
      </c>
      <c r="EH31">
        <f>IF($AC$4="",1,IF($AC$4="(blank)",--('Final Calculation Sheet'!$AB$29=""),IF($AC$4="(nonblank)",--('Final Calculation Sheet'!$AB$29&lt;&gt;""),--ISNUMBER(SEARCH($AC$4,'Final Calculation Sheet'!$AB$29)))))</f>
        <v>1</v>
      </c>
      <c r="EI31">
        <f>IF($AD$4="",1,IF($AD$4="(blank)",--('Final Calculation Sheet'!$AC$29=""),IF($AD$4="(nonblank)",--('Final Calculation Sheet'!$AC$29&lt;&gt;""),--ISNUMBER(SEARCH($AD$4,'Final Calculation Sheet'!$AC$29)))))</f>
        <v>1</v>
      </c>
      <c r="EJ31">
        <f>IF($AE$4="",1,IF($AE$4="(blank)",--('Final Calculation Sheet'!$AD$29=""),IF($AE$4="(nonblank)",--('Final Calculation Sheet'!$AD$29&lt;&gt;""),--ISNUMBER(SEARCH($AE$4,'Final Calculation Sheet'!$AD$29)))))</f>
        <v>1</v>
      </c>
      <c r="EK31">
        <f>IF($AF$4="",1,IF($AF$4="(blank)",--(IF('Final Calculation Sheet'!$AD$29&lt;=5,"SETTLED","OUTSTANDING")=""),IF($AF$4="(nonblank)",--(IF('Final Calculation Sheet'!$AD$29&lt;=5,"SETTLED","OUTSTANDING")&lt;&gt;""),--ISNUMBER(SEARCH($AF$4,IF('Final Calculation Sheet'!$AD$29&lt;=5,"SETTLED","OUTSTANDING"))))))</f>
        <v>1</v>
      </c>
      <c r="EL31">
        <f>IF($AG$4="",1,IF($AG$4="(blank)",--('Final Calculation Sheet'!$AF$29=""),IF($AG$4="(nonblank)",--('Final Calculation Sheet'!$AF$29&lt;&gt;""),--ISNUMBER(SEARCH($AG$4,'Final Calculation Sheet'!$AF$29)))))</f>
        <v>1</v>
      </c>
      <c r="EM31">
        <f>IF($AH$4="",1,IF($AH$4="(blank)",--('Final Calculation Sheet'!$AG$29=""),IF($AH$4="(nonblank)",--('Final Calculation Sheet'!$AG$29&lt;&gt;""),--ISNUMBER(SEARCH($AH$4,'Final Calculation Sheet'!$AG$29)))))</f>
        <v>1</v>
      </c>
      <c r="EN31">
        <f>IF($AI$4="",1,IF($AI$4="(blank)",--('Final Calculation Sheet'!$AH$29=""),IF($AI$4="(nonblank)",--('Final Calculation Sheet'!$AH$29&lt;&gt;""),--ISNUMBER(SEARCH($AI$4,'Final Calculation Sheet'!$AH$29)))))</f>
        <v>1</v>
      </c>
    </row>
    <row r="32" spans="1:144" hidden="1" outlineLevel="1" x14ac:dyDescent="0.3">
      <c r="A32" s="117" t="str">
        <f>IF($AL$32="","",26)</f>
        <v/>
      </c>
      <c r="B32" s="118" t="str">
        <f>IF($AL$32="","",IF(INDEX('Final Calculation Sheet'!$F$4:$F$40,$AL$32)="","",INDEX('Final Calculation Sheet'!$F$4:$F$40,$AL$32)))</f>
        <v/>
      </c>
      <c r="C32" s="118" t="str">
        <f>IF($AL$32="","",IF(INDEX('Final Calculation Sheet'!$G$4:$G$40,$AL$32)="","",INDEX('Final Calculation Sheet'!$G$4:$G$40,$AL$32)))</f>
        <v/>
      </c>
      <c r="D32" s="119" t="str">
        <f>IF($AL$32="","",IF(INDEX('Final Calculation Sheet'!$B$4:$B$40,$AL$32)="","",INDEX('Final Calculation Sheet'!$B$4:$B$40,$AL$32)))</f>
        <v/>
      </c>
      <c r="E32" s="119" t="str">
        <f>IF($AL$32="","",IF(INDEX('Final Calculation Sheet'!$D$4:$D$40,$AL$32)="","",INDEX('Final Calculation Sheet'!$D$4:$D$40,$AL$32)))</f>
        <v/>
      </c>
      <c r="F32" s="119" t="str">
        <f>IF($AL$32="","",IF(INDEX('Final Calculation Sheet'!$A$4:$A$40,$AL$32)="","",INDEX('Final Calculation Sheet'!$A$4:$A$40,$AL$32)))</f>
        <v/>
      </c>
      <c r="G32" s="119" t="str">
        <f>IF($AL$32="","",IF(INDEX('Final Calculation Sheet'!$E$4:$E$40,$AL$32)="","",INDEX('Final Calculation Sheet'!$E$4:$E$40,$AL$32)))</f>
        <v/>
      </c>
      <c r="H32" s="120" t="str">
        <f>IF($AL$32="","",IF(INDEX('Final Calculation Sheet'!$C$4:$C$40,$AL$32)="","",INDEX('Final Calculation Sheet'!$C$4:$C$40,$AL$32)))</f>
        <v/>
      </c>
      <c r="I32" s="120" t="str">
        <f>IF($AL$32="","",IF(INDEX('Final Calculation Sheet'!$H$4:$H$40,$AL$32)="","",INDEX('Final Calculation Sheet'!$H$4:$H$40,$AL$32)))</f>
        <v/>
      </c>
      <c r="J32" s="120" t="str">
        <f>IF($AL$32="","",IF(INDEX('Final Calculation Sheet'!$I$4:$I$40,$AL$32)="","",INDEX('Final Calculation Sheet'!$I$4:$I$40,$AL$32)))</f>
        <v/>
      </c>
      <c r="K32" s="120" t="str">
        <f>IF($AL$32="","",IF(INDEX('Final Calculation Sheet'!$J$4:$J$40,$AL$32)="","",INDEX('Final Calculation Sheet'!$J$4:$J$40,$AL$32)))</f>
        <v/>
      </c>
      <c r="L32" s="120" t="str">
        <f>IF($AL$32="","",IF(INDEX('Final Calculation Sheet'!$K$4:$K$40,$AL$32)="","",INDEX('Final Calculation Sheet'!$K$4:$K$40,$AL$32)))</f>
        <v/>
      </c>
      <c r="M32" s="120" t="str">
        <f>IF($AL$32="","",IF(INDEX('Final Calculation Sheet'!$L$4:$L$40,$AL$32)="","",INDEX('Final Calculation Sheet'!$L$4:$L$40,$AL$32)))</f>
        <v/>
      </c>
      <c r="N32" s="120" t="str">
        <f>IF($AL$32="","",IF(INDEX('Final Calculation Sheet'!$M$4:$M$40,$AL$32)="","",INDEX('Final Calculation Sheet'!$M$4:$M$40,$AL$32)))</f>
        <v/>
      </c>
      <c r="O32" s="121" t="str">
        <f>IF($AL$32="","",IF(INDEX('Final Calculation Sheet'!$N$4:$N$40,$AL$32)="","",INDEX('Final Calculation Sheet'!$N$4:$N$40,$AL$32)))</f>
        <v/>
      </c>
      <c r="P32" s="120" t="str">
        <f>IF($AL$32="","",IF(INDEX('Final Calculation Sheet'!$O$4:$O$40,$AL$32)="","",INDEX('Final Calculation Sheet'!$O$4:$O$40,$AL$32)))</f>
        <v/>
      </c>
      <c r="Q32" s="120" t="str">
        <f>IF($AL$32="","",IF(INDEX('Final Calculation Sheet'!$P$4:$P$40,$AL$32)="","",INDEX('Final Calculation Sheet'!$P$4:$P$40,$AL$32)))</f>
        <v/>
      </c>
      <c r="R32" s="122" t="str">
        <f>IF($AL$32="","",IF(INDEX('Final Calculation Sheet'!$Q$4:$Q$40,$AL$32)="","",INDEX('Final Calculation Sheet'!$Q$4:$Q$40,$AL$32)))</f>
        <v/>
      </c>
      <c r="S32" s="120" t="str">
        <f>IF($AL$32="","",IF(INDEX('Final Calculation Sheet'!$R$4:$R$40,$AL$32)="","",INDEX('Final Calculation Sheet'!$R$4:$R$40,$AL$32)))</f>
        <v/>
      </c>
      <c r="T32" s="120" t="str">
        <f>IF($AL$32="","",IF(INDEX('Final Calculation Sheet'!$S$4:$S$40,$AL$32)="","",INDEX('Final Calculation Sheet'!$S$4:$S$40,$AL$32)))</f>
        <v/>
      </c>
      <c r="U32" s="120" t="str">
        <f>IF($AL$32="","",IF(INDEX('Final Calculation Sheet'!$T$4:$T$40,$AL$32)="","",INDEX('Final Calculation Sheet'!$T$4:$T$40,$AL$32)))</f>
        <v/>
      </c>
      <c r="V32" s="123" t="str">
        <f>IF($AL$32="","",IF(INDEX('Final Calculation Sheet'!$U$4:$U$40,$AL$32)="","",INDEX('Final Calculation Sheet'!$U$4:$U$40,$AL$32)))</f>
        <v/>
      </c>
      <c r="W32" s="120" t="str">
        <f>IF($AL$32="","",IF(INDEX('Final Calculation Sheet'!$V$4:$V$40,$AL$32)="","",INDEX('Final Calculation Sheet'!$V$4:$V$40,$AL$32)))</f>
        <v/>
      </c>
      <c r="X32" s="120" t="str">
        <f>IF($AL$32="","",IF(INDEX('Final Calculation Sheet'!$W$4:$W$40,$AL$32)="","",INDEX('Final Calculation Sheet'!$W$4:$W$40,$AL$32)))</f>
        <v/>
      </c>
      <c r="Y32" s="120" t="str">
        <f>IF($AL$32="","",IF(INDEX('Final Calculation Sheet'!$X$4:$X$40,$AL$32)="","",INDEX('Final Calculation Sheet'!$X$4:$X$40,$AL$32)))</f>
        <v/>
      </c>
      <c r="Z32" s="120" t="str">
        <f>IF($AL$32="","",IF(INDEX('Final Calculation Sheet'!$Y$4:$Y$40,$AL$32)="","",INDEX('Final Calculation Sheet'!$Y$4:$Y$40,$AL$32)))</f>
        <v/>
      </c>
      <c r="AA32" s="120" t="str">
        <f>IF($AL$32="","",IF(INDEX('Final Calculation Sheet'!$Z$4:$Z$40,$AL$32)="","",INDEX('Final Calculation Sheet'!$Z$4:$Z$40,$AL$32)))</f>
        <v/>
      </c>
      <c r="AB32" s="120" t="str">
        <f>IF($AL$32="","",IF(INDEX('Final Calculation Sheet'!$AA$4:$AA$40,$AL$32)="","",INDEX('Final Calculation Sheet'!$AA$4:$AA$40,$AL$32)))</f>
        <v/>
      </c>
      <c r="AC32" s="120" t="str">
        <f>IF($AL$32="","",IF(INDEX('Final Calculation Sheet'!$AB$4:$AB$40,$AL$32)="","",INDEX('Final Calculation Sheet'!$AB$4:$AB$40,$AL$32)))</f>
        <v/>
      </c>
      <c r="AD32" s="120" t="str">
        <f>IF($AL$32="","",IF(INDEX('Final Calculation Sheet'!$AC$4:$AC$40,$AL$32)="","",INDEX('Final Calculation Sheet'!$AC$4:$AC$40,$AL$32)))</f>
        <v/>
      </c>
      <c r="AE32" s="120" t="str">
        <f>IF($AL$32="","",IF(INDEX('Final Calculation Sheet'!$AD$4:$AD$40,$AL$32)="","",INDEX('Final Calculation Sheet'!$AD$4:$AD$40,$AL$32)))</f>
        <v/>
      </c>
      <c r="AF32" s="125" t="str">
        <f>IF($AL$32="","",IF(INDEX('Final Calculation Sheet'!$AD$4:$AD$40,$AL$32)&lt;=5,"SETTLED","OUTSTANDING"))</f>
        <v/>
      </c>
      <c r="AG32" s="120" t="str">
        <f>IF($AL$32="","",IF(INDEX('Final Calculation Sheet'!$AF$4:$AF$40,$AL$32)="","",INDEX('Final Calculation Sheet'!$AF$4:$AF$40,$AL$32)))</f>
        <v/>
      </c>
      <c r="AH32" s="124" t="str">
        <f>IF($AL$32="","",IF(INDEX('Final Calculation Sheet'!$AG$4:$AG$40,$AL$32)="","",INDEX('Final Calculation Sheet'!$AG$4:$AG$40,$AL$32)))</f>
        <v/>
      </c>
      <c r="AI32" s="120" t="str">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v>1</v>
      </c>
      <c r="AK32">
        <f>IF(AJ32=1,COUNTIF(AJ$6:AJ32,1),"")</f>
        <v>27</v>
      </c>
      <c r="AL32" t="str">
        <f>IF(COUNTIF($B$4:$AI$4,"&lt;&gt;")=0,"",IFERROR(MATCH(26,$AK$6:$AK$42,0),""))</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 ca="1">CK31+IF(AND(Lists!$EJ$32&lt;&gt;"",ISNUMBER(SEARCH($AA$4,Lists!$EJ$32))),1,0)</f>
        <v>29</v>
      </c>
      <c r="CL32">
        <f ca="1">IF(ROW()-3&gt;MAX($CK$4:$CK$42),"",INDEX(Lists!$EJ$4:$EJ$42,MATCH(ROW()-3,$CK$4:$CK$42,0)))</f>
        <v>11703.24</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f>CS31+IF(AND(Lists!$FD$32&lt;&gt;"",ISNUMBER(SEARCH($AE$4,Lists!$FD$32))),1,0)</f>
        <v>11</v>
      </c>
      <c r="CT32" t="str">
        <f>IF(ROW()-3&gt;MAX($CS$4:$CS$42),"",INDEX(Lists!$FD$4:$FD$42,MATCH(ROW()-3,$CS$4:$CS$42,0)))</f>
        <v/>
      </c>
      <c r="CU32" t="e">
        <f>CU31+IF(AND(Lists!$FI$32&lt;&gt;"",ISNUMBER(SEARCH($AG$4,Lists!$FI$32))),1,0)</f>
        <v>#N/A</v>
      </c>
      <c r="CV32" t="e">
        <f>IF(ROW()-3&gt;MAX($CU$4:$CU$42),"",INDEX(Lists!$FI$4:$FI$42,MATCH(ROW()-3,$CU$4:$CU$42,0)))</f>
        <v>#N/A</v>
      </c>
      <c r="CW32" t="e">
        <f>CW31+IF(AND(Lists!$FN$32&lt;&gt;"",ISNUMBER(SEARCH($AH$4,Lists!$FN$32))),1,0)</f>
        <v>#N/A</v>
      </c>
      <c r="CX32" t="e">
        <f>IF(ROW()-3&gt;MAX($CW$4:$CW$42),"",INDEX(Lists!$FN$4:$FN$42,MATCH(ROW()-3,$CW$4:$CW$42,0)))</f>
        <v>#N/A</v>
      </c>
      <c r="CY32" t="e">
        <f>CY31+IF(AND(Lists!$FS$32&lt;&gt;"",ISNUMBER(SEARCH($AI$4,Lists!$FS$32))),1,0)</f>
        <v>#N/A</v>
      </c>
      <c r="CZ32" t="e">
        <f>IF(ROW()-3&gt;MAX($CY$4:$CY$42),"",INDEX(Lists!$FS$4:$FS$42,MATCH(ROW()-3,$CY$4:$CY$42,0)))</f>
        <v>#N/A</v>
      </c>
      <c r="DA32">
        <f>DA31+IF(AND(Lists!$FX$32&lt;&gt;"",ISNUMBER(SEARCH($AF$4,Lists!$FX$32))),1,0)</f>
        <v>2</v>
      </c>
      <c r="DB32" t="str">
        <f>IF(ROW()-3&gt;MAX($DA$4:$DA$42),"",INDEX(Lists!$FX$4:$FX$42,MATCH(ROW()-3,$DA$4:$DA$42,0)))</f>
        <v/>
      </c>
      <c r="DG32">
        <f>IF($B$4="",1,IF($B$4="(blank)",--('Final Calculation Sheet'!$F$30=""),IF($B$4="(nonblank)",--('Final Calculation Sheet'!$F$30&lt;&gt;""),--ISNUMBER(SEARCH($B$4,'Final Calculation Sheet'!$F$30)))))</f>
        <v>1</v>
      </c>
      <c r="DH32">
        <f>IF($C$4="",1,IF($C$4="(blank)",--('Final Calculation Sheet'!$G$30=""),IF($C$4="(nonblank)",--('Final Calculation Sheet'!$G$30&lt;&gt;""),--ISNUMBER(SEARCH($C$4,'Final Calculation Sheet'!$G$30)))))</f>
        <v>1</v>
      </c>
      <c r="DI32">
        <f>IF($D$4="",1,IF($D$4="(blank)",--('Final Calculation Sheet'!$B$30=""),IF($D$4="(nonblank)",--('Final Calculation Sheet'!$B$30&lt;&gt;""),--ISNUMBER(SEARCH($D$4,'Final Calculation Sheet'!$B$30)))))</f>
        <v>1</v>
      </c>
      <c r="DJ32">
        <f>IF($E$4="",1,IF($E$4="(blank)",--('Final Calculation Sheet'!$D$30=""),IF($E$4="(nonblank)",--('Final Calculation Sheet'!$D$30&lt;&gt;""),--ISNUMBER(SEARCH($E$4,'Final Calculation Sheet'!$D$30)))))</f>
        <v>1</v>
      </c>
      <c r="DK32">
        <f>IF($F$4="",1,IF($F$4="(blank)",--('Final Calculation Sheet'!$A$30=""),IF($F$4="(nonblank)",--('Final Calculation Sheet'!$A$30&lt;&gt;""),--ISNUMBER(SEARCH($F$4,'Final Calculation Sheet'!$A$30)))))</f>
        <v>1</v>
      </c>
      <c r="DL32">
        <f>IF($G$4="",1,IF($G$4="(blank)",--('Final Calculation Sheet'!$E$30=""),IF($G$4="(nonblank)",--('Final Calculation Sheet'!$E$30&lt;&gt;""),--ISNUMBER(SEARCH($G$4,'Final Calculation Sheet'!$E$30)))))</f>
        <v>1</v>
      </c>
      <c r="DM32">
        <f>IF($H$4="",1,IF($H$4="(blank)",--('Final Calculation Sheet'!$C$30=""),IF($H$4="(nonblank)",--('Final Calculation Sheet'!$C$30&lt;&gt;""),--ISNUMBER(SEARCH($H$4,'Final Calculation Sheet'!$C$30)))))</f>
        <v>1</v>
      </c>
      <c r="DN32">
        <f>IF($I$4="",1,IF($I$4="(blank)",--('Final Calculation Sheet'!$H$30=""),IF($I$4="(nonblank)",--('Final Calculation Sheet'!$H$30&lt;&gt;""),--ISNUMBER(SEARCH($I$4,'Final Calculation Sheet'!$H$30)))))</f>
        <v>1</v>
      </c>
      <c r="DO32">
        <f>IF($J$4="",1,IF($J$4="(blank)",--('Final Calculation Sheet'!$I$30=""),IF($J$4="(nonblank)",--('Final Calculation Sheet'!$I$30&lt;&gt;""),--ISNUMBER(SEARCH($J$4,'Final Calculation Sheet'!$I$30)))))</f>
        <v>1</v>
      </c>
      <c r="DP32">
        <f>IF($K$4="",1,IF($K$4="(blank)",--('Final Calculation Sheet'!$J$30=""),IF($K$4="(nonblank)",--('Final Calculation Sheet'!$J$30&lt;&gt;""),--ISNUMBER(SEARCH($K$4,'Final Calculation Sheet'!$J$30)))))</f>
        <v>1</v>
      </c>
      <c r="DQ32">
        <f>IF($L$4="",1,IF($L$4="(blank)",--('Final Calculation Sheet'!$K$30=""),IF($L$4="(nonblank)",--('Final Calculation Sheet'!$K$30&lt;&gt;""),--ISNUMBER(SEARCH($L$4,'Final Calculation Sheet'!$K$30)))))</f>
        <v>1</v>
      </c>
      <c r="DR32">
        <f>IF($M$4="",1,IF($M$4="(blank)",--('Final Calculation Sheet'!$L$30=""),IF($M$4="(nonblank)",--('Final Calculation Sheet'!$L$30&lt;&gt;""),--ISNUMBER(SEARCH($M$4,'Final Calculation Sheet'!$L$30)))))</f>
        <v>1</v>
      </c>
      <c r="DS32">
        <f>IF($N$4="",1,IF($N$4="(blank)",--('Final Calculation Sheet'!$M$30=""),IF($N$4="(nonblank)",--('Final Calculation Sheet'!$M$30&lt;&gt;""),--ISNUMBER(SEARCH($N$4,'Final Calculation Sheet'!$M$30)))))</f>
        <v>1</v>
      </c>
      <c r="DT32">
        <f>IF($O$4="",1,IF($O$4="(blank)",--('Final Calculation Sheet'!$N$30=""),IF($O$4="(nonblank)",--('Final Calculation Sheet'!$N$30&lt;&gt;""),--ISNUMBER(SEARCH($O$4,'Final Calculation Sheet'!$N$30)))))</f>
        <v>1</v>
      </c>
      <c r="DU32">
        <f>IF($P$4="",1,IF($P$4="(blank)",--('Final Calculation Sheet'!$O$30=""),IF($P$4="(nonblank)",--('Final Calculation Sheet'!$O$30&lt;&gt;""),--ISNUMBER(SEARCH($P$4,'Final Calculation Sheet'!$O$30)))))</f>
        <v>1</v>
      </c>
      <c r="DV32">
        <f>IF($Q$4="",1,IF($Q$4="(blank)",--('Final Calculation Sheet'!$P$30=""),IF($Q$4="(nonblank)",--('Final Calculation Sheet'!$P$30&lt;&gt;""),--ISNUMBER(SEARCH($Q$4,'Final Calculation Sheet'!$P$30)))))</f>
        <v>1</v>
      </c>
      <c r="DW32">
        <f>IF($R$4="",1,IF($R$4="(blank)",--('Final Calculation Sheet'!$Q$30=""),IF($R$4="(nonblank)",--('Final Calculation Sheet'!$Q$30&lt;&gt;""),--ISNUMBER(SEARCH($R$4,'Final Calculation Sheet'!$Q$30)))))</f>
        <v>1</v>
      </c>
      <c r="DX32">
        <f>IF($S$4="",1,IF($S$4="(blank)",--('Final Calculation Sheet'!$R$30=""),IF($S$4="(nonblank)",--('Final Calculation Sheet'!$R$30&lt;&gt;""),--ISNUMBER(SEARCH($S$4,'Final Calculation Sheet'!$R$30)))))</f>
        <v>1</v>
      </c>
      <c r="DY32">
        <f>IF($T$4="",1,IF($T$4="(blank)",--('Final Calculation Sheet'!$S$30=""),IF($T$4="(nonblank)",--('Final Calculation Sheet'!$S$30&lt;&gt;""),--ISNUMBER(SEARCH($T$4,'Final Calculation Sheet'!$S$30)))))</f>
        <v>1</v>
      </c>
      <c r="DZ32">
        <f>IF($U$4="",1,IF($U$4="(blank)",--('Final Calculation Sheet'!$T$30=""),IF($U$4="(nonblank)",--('Final Calculation Sheet'!$T$30&lt;&gt;""),--ISNUMBER(SEARCH($U$4,'Final Calculation Sheet'!$T$30)))))</f>
        <v>1</v>
      </c>
      <c r="EA32">
        <f>IF($V$4="",1,IF($V$4="(blank)",--('Final Calculation Sheet'!$U$30=""),IF($V$4="(nonblank)",--('Final Calculation Sheet'!$U$30&lt;&gt;""),--ISNUMBER(SEARCH($V$4,'Final Calculation Sheet'!$U$30)))))</f>
        <v>1</v>
      </c>
      <c r="EB32">
        <f>IF($W$4="",1,IF($W$4="(blank)",--('Final Calculation Sheet'!$V$30=""),IF($W$4="(nonblank)",--('Final Calculation Sheet'!$V$30&lt;&gt;""),--ISNUMBER(SEARCH($W$4,'Final Calculation Sheet'!$V$30)))))</f>
        <v>1</v>
      </c>
      <c r="EC32">
        <f>IF($X$4="",1,IF($X$4="(blank)",--('Final Calculation Sheet'!$W$30=""),IF($X$4="(nonblank)",--('Final Calculation Sheet'!$W$30&lt;&gt;""),--ISNUMBER(SEARCH($X$4,'Final Calculation Sheet'!$W$30)))))</f>
        <v>1</v>
      </c>
      <c r="ED32">
        <f>IF($Y$4="",1,IF($Y$4="(blank)",--('Final Calculation Sheet'!$X$30=""),IF($Y$4="(nonblank)",--('Final Calculation Sheet'!$X$30&lt;&gt;""),--ISNUMBER(SEARCH($Y$4,'Final Calculation Sheet'!$X$30)))))</f>
        <v>1</v>
      </c>
      <c r="EE32">
        <f>IF($Z$4="",1,IF($Z$4="(blank)",--('Final Calculation Sheet'!$Y$30=""),IF($Z$4="(nonblank)",--('Final Calculation Sheet'!$Y$30&lt;&gt;""),--ISNUMBER(SEARCH($Z$4,'Final Calculation Sheet'!$Y$30)))))</f>
        <v>1</v>
      </c>
      <c r="EF32">
        <f>IF($AA$4="",1,IF($AA$4="(blank)",--('Final Calculation Sheet'!$Z$30=""),IF($AA$4="(nonblank)",--('Final Calculation Sheet'!$Z$30&lt;&gt;""),--ISNUMBER(SEARCH($AA$4,'Final Calculation Sheet'!$Z$30)))))</f>
        <v>1</v>
      </c>
      <c r="EG32">
        <f>IF($AB$4="",1,IF($AB$4="(blank)",--('Final Calculation Sheet'!$AA$30=""),IF($AB$4="(nonblank)",--('Final Calculation Sheet'!$AA$30&lt;&gt;""),--ISNUMBER(SEARCH($AB$4,'Final Calculation Sheet'!$AA$30)))))</f>
        <v>1</v>
      </c>
      <c r="EH32">
        <f>IF($AC$4="",1,IF($AC$4="(blank)",--('Final Calculation Sheet'!$AB$30=""),IF($AC$4="(nonblank)",--('Final Calculation Sheet'!$AB$30&lt;&gt;""),--ISNUMBER(SEARCH($AC$4,'Final Calculation Sheet'!$AB$30)))))</f>
        <v>1</v>
      </c>
      <c r="EI32">
        <f>IF($AD$4="",1,IF($AD$4="(blank)",--('Final Calculation Sheet'!$AC$30=""),IF($AD$4="(nonblank)",--('Final Calculation Sheet'!$AC$30&lt;&gt;""),--ISNUMBER(SEARCH($AD$4,'Final Calculation Sheet'!$AC$30)))))</f>
        <v>1</v>
      </c>
      <c r="EJ32">
        <f>IF($AE$4="",1,IF($AE$4="(blank)",--('Final Calculation Sheet'!$AD$30=""),IF($AE$4="(nonblank)",--('Final Calculation Sheet'!$AD$30&lt;&gt;""),--ISNUMBER(SEARCH($AE$4,'Final Calculation Sheet'!$AD$30)))))</f>
        <v>1</v>
      </c>
      <c r="EK32">
        <f>IF($AF$4="",1,IF($AF$4="(blank)",--(IF('Final Calculation Sheet'!$AD$30&lt;=5,"SETTLED","OUTSTANDING")=""),IF($AF$4="(nonblank)",--(IF('Final Calculation Sheet'!$AD$30&lt;=5,"SETTLED","OUTSTANDING")&lt;&gt;""),--ISNUMBER(SEARCH($AF$4,IF('Final Calculation Sheet'!$AD$30&lt;=5,"SETTLED","OUTSTANDING"))))))</f>
        <v>1</v>
      </c>
      <c r="EL32">
        <f>IF($AG$4="",1,IF($AG$4="(blank)",--('Final Calculation Sheet'!$AF$30=""),IF($AG$4="(nonblank)",--('Final Calculation Sheet'!$AF$30&lt;&gt;""),--ISNUMBER(SEARCH($AG$4,'Final Calculation Sheet'!$AF$30)))))</f>
        <v>1</v>
      </c>
      <c r="EM32">
        <f>IF($AH$4="",1,IF($AH$4="(blank)",--('Final Calculation Sheet'!$AG$30=""),IF($AH$4="(nonblank)",--('Final Calculation Sheet'!$AG$30&lt;&gt;""),--ISNUMBER(SEARCH($AH$4,'Final Calculation Sheet'!$AG$30)))))</f>
        <v>1</v>
      </c>
      <c r="EN32">
        <f>IF($AI$4="",1,IF($AI$4="(blank)",--('Final Calculation Sheet'!$AH$30=""),IF($AI$4="(nonblank)",--('Final Calculation Sheet'!$AH$30&lt;&gt;""),--ISNUMBER(SEARCH($AI$4,'Final Calculation Sheet'!$AH$30)))))</f>
        <v>1</v>
      </c>
    </row>
    <row r="33" spans="1:144" hidden="1" outlineLevel="1" x14ac:dyDescent="0.3">
      <c r="A33" s="107" t="str">
        <f>IF($AL$33="","",27)</f>
        <v/>
      </c>
      <c r="B33" s="108" t="str">
        <f>IF($AL$33="","",IF(INDEX('Final Calculation Sheet'!$F$4:$F$40,$AL$33)="","",INDEX('Final Calculation Sheet'!$F$4:$F$40,$AL$33)))</f>
        <v/>
      </c>
      <c r="C33" s="108" t="str">
        <f>IF($AL$33="","",IF(INDEX('Final Calculation Sheet'!$G$4:$G$40,$AL$33)="","",INDEX('Final Calculation Sheet'!$G$4:$G$40,$AL$33)))</f>
        <v/>
      </c>
      <c r="D33" s="110" t="str">
        <f>IF($AL$33="","",IF(INDEX('Final Calculation Sheet'!$B$4:$B$40,$AL$33)="","",INDEX('Final Calculation Sheet'!$B$4:$B$40,$AL$33)))</f>
        <v/>
      </c>
      <c r="E33" s="110" t="str">
        <f>IF($AL$33="","",IF(INDEX('Final Calculation Sheet'!$D$4:$D$40,$AL$33)="","",INDEX('Final Calculation Sheet'!$D$4:$D$40,$AL$33)))</f>
        <v/>
      </c>
      <c r="F33" s="110" t="str">
        <f>IF($AL$33="","",IF(INDEX('Final Calculation Sheet'!$A$4:$A$40,$AL$33)="","",INDEX('Final Calculation Sheet'!$A$4:$A$40,$AL$33)))</f>
        <v/>
      </c>
      <c r="G33" s="110" t="str">
        <f>IF($AL$33="","",IF(INDEX('Final Calculation Sheet'!$E$4:$E$40,$AL$33)="","",INDEX('Final Calculation Sheet'!$E$4:$E$40,$AL$33)))</f>
        <v/>
      </c>
      <c r="H33" s="111" t="str">
        <f>IF($AL$33="","",IF(INDEX('Final Calculation Sheet'!$C$4:$C$40,$AL$33)="","",INDEX('Final Calculation Sheet'!$C$4:$C$40,$AL$33)))</f>
        <v/>
      </c>
      <c r="I33" s="111" t="str">
        <f>IF($AL$33="","",IF(INDEX('Final Calculation Sheet'!$H$4:$H$40,$AL$33)="","",INDEX('Final Calculation Sheet'!$H$4:$H$40,$AL$33)))</f>
        <v/>
      </c>
      <c r="J33" s="111" t="str">
        <f>IF($AL$33="","",IF(INDEX('Final Calculation Sheet'!$I$4:$I$40,$AL$33)="","",INDEX('Final Calculation Sheet'!$I$4:$I$40,$AL$33)))</f>
        <v/>
      </c>
      <c r="K33" s="111" t="str">
        <f>IF($AL$33="","",IF(INDEX('Final Calculation Sheet'!$J$4:$J$40,$AL$33)="","",INDEX('Final Calculation Sheet'!$J$4:$J$40,$AL$33)))</f>
        <v/>
      </c>
      <c r="L33" s="111" t="str">
        <f>IF($AL$33="","",IF(INDEX('Final Calculation Sheet'!$K$4:$K$40,$AL$33)="","",INDEX('Final Calculation Sheet'!$K$4:$K$40,$AL$33)))</f>
        <v/>
      </c>
      <c r="M33" s="111" t="str">
        <f>IF($AL$33="","",IF(INDEX('Final Calculation Sheet'!$L$4:$L$40,$AL$33)="","",INDEX('Final Calculation Sheet'!$L$4:$L$40,$AL$33)))</f>
        <v/>
      </c>
      <c r="N33" s="111" t="str">
        <f>IF($AL$33="","",IF(INDEX('Final Calculation Sheet'!$M$4:$M$40,$AL$33)="","",INDEX('Final Calculation Sheet'!$M$4:$M$40,$AL$33)))</f>
        <v/>
      </c>
      <c r="O33" s="112" t="str">
        <f>IF($AL$33="","",IF(INDEX('Final Calculation Sheet'!$N$4:$N$40,$AL$33)="","",INDEX('Final Calculation Sheet'!$N$4:$N$40,$AL$33)))</f>
        <v/>
      </c>
      <c r="P33" s="111" t="str">
        <f>IF($AL$33="","",IF(INDEX('Final Calculation Sheet'!$O$4:$O$40,$AL$33)="","",INDEX('Final Calculation Sheet'!$O$4:$O$40,$AL$33)))</f>
        <v/>
      </c>
      <c r="Q33" s="111" t="str">
        <f>IF($AL$33="","",IF(INDEX('Final Calculation Sheet'!$P$4:$P$40,$AL$33)="","",INDEX('Final Calculation Sheet'!$P$4:$P$40,$AL$33)))</f>
        <v/>
      </c>
      <c r="R33" s="113" t="str">
        <f>IF($AL$33="","",IF(INDEX('Final Calculation Sheet'!$Q$4:$Q$40,$AL$33)="","",INDEX('Final Calculation Sheet'!$Q$4:$Q$40,$AL$33)))</f>
        <v/>
      </c>
      <c r="S33" s="111" t="str">
        <f>IF($AL$33="","",IF(INDEX('Final Calculation Sheet'!$R$4:$R$40,$AL$33)="","",INDEX('Final Calculation Sheet'!$R$4:$R$40,$AL$33)))</f>
        <v/>
      </c>
      <c r="T33" s="111" t="str">
        <f>IF($AL$33="","",IF(INDEX('Final Calculation Sheet'!$S$4:$S$40,$AL$33)="","",INDEX('Final Calculation Sheet'!$S$4:$S$40,$AL$33)))</f>
        <v/>
      </c>
      <c r="U33" s="111" t="str">
        <f>IF($AL$33="","",IF(INDEX('Final Calculation Sheet'!$T$4:$T$40,$AL$33)="","",INDEX('Final Calculation Sheet'!$T$4:$T$40,$AL$33)))</f>
        <v/>
      </c>
      <c r="V33" s="114" t="str">
        <f>IF($AL$33="","",IF(INDEX('Final Calculation Sheet'!$U$4:$U$40,$AL$33)="","",INDEX('Final Calculation Sheet'!$U$4:$U$40,$AL$33)))</f>
        <v/>
      </c>
      <c r="W33" s="111" t="str">
        <f>IF($AL$33="","",IF(INDEX('Final Calculation Sheet'!$V$4:$V$40,$AL$33)="","",INDEX('Final Calculation Sheet'!$V$4:$V$40,$AL$33)))</f>
        <v/>
      </c>
      <c r="X33" s="111" t="str">
        <f>IF($AL$33="","",IF(INDEX('Final Calculation Sheet'!$W$4:$W$40,$AL$33)="","",INDEX('Final Calculation Sheet'!$W$4:$W$40,$AL$33)))</f>
        <v/>
      </c>
      <c r="Y33" s="111" t="str">
        <f>IF($AL$33="","",IF(INDEX('Final Calculation Sheet'!$X$4:$X$40,$AL$33)="","",INDEX('Final Calculation Sheet'!$X$4:$X$40,$AL$33)))</f>
        <v/>
      </c>
      <c r="Z33" s="111" t="str">
        <f>IF($AL$33="","",IF(INDEX('Final Calculation Sheet'!$Y$4:$Y$40,$AL$33)="","",INDEX('Final Calculation Sheet'!$Y$4:$Y$40,$AL$33)))</f>
        <v/>
      </c>
      <c r="AA33" s="111" t="str">
        <f>IF($AL$33="","",IF(INDEX('Final Calculation Sheet'!$Z$4:$Z$40,$AL$33)="","",INDEX('Final Calculation Sheet'!$Z$4:$Z$40,$AL$33)))</f>
        <v/>
      </c>
      <c r="AB33" s="111" t="str">
        <f>IF($AL$33="","",IF(INDEX('Final Calculation Sheet'!$AA$4:$AA$40,$AL$33)="","",INDEX('Final Calculation Sheet'!$AA$4:$AA$40,$AL$33)))</f>
        <v/>
      </c>
      <c r="AC33" s="111" t="str">
        <f>IF($AL$33="","",IF(INDEX('Final Calculation Sheet'!$AB$4:$AB$40,$AL$33)="","",INDEX('Final Calculation Sheet'!$AB$4:$AB$40,$AL$33)))</f>
        <v/>
      </c>
      <c r="AD33" s="111" t="str">
        <f>IF($AL$33="","",IF(INDEX('Final Calculation Sheet'!$AC$4:$AC$40,$AL$33)="","",INDEX('Final Calculation Sheet'!$AC$4:$AC$40,$AL$33)))</f>
        <v/>
      </c>
      <c r="AE33" s="111" t="str">
        <f>IF($AL$33="","",IF(INDEX('Final Calculation Sheet'!$AD$4:$AD$40,$AL$33)="","",INDEX('Final Calculation Sheet'!$AD$4:$AD$40,$AL$33)))</f>
        <v/>
      </c>
      <c r="AF33" s="116" t="str">
        <f>IF($AL$33="","",IF(INDEX('Final Calculation Sheet'!$AD$4:$AD$40,$AL$33)&lt;=5,"SETTLED","OUTSTANDING"))</f>
        <v/>
      </c>
      <c r="AG33" s="111" t="str">
        <f>IF($AL$33="","",IF(INDEX('Final Calculation Sheet'!$AF$4:$AF$40,$AL$33)="","",INDEX('Final Calculation Sheet'!$AF$4:$AF$40,$AL$33)))</f>
        <v/>
      </c>
      <c r="AH33" s="115" t="str">
        <f>IF($AL$33="","",IF(INDEX('Final Calculation Sheet'!$AG$4:$AG$40,$AL$33)="","",INDEX('Final Calculation Sheet'!$AG$4:$AG$40,$AL$33)))</f>
        <v/>
      </c>
      <c r="AI33" s="111" t="str">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v>1</v>
      </c>
      <c r="AK33">
        <f>IF(AJ33=1,COUNTIF(AJ$6:AJ33,1),"")</f>
        <v>28</v>
      </c>
      <c r="AL33" t="str">
        <f>IF(COUNTIF($B$4:$AI$4,"&lt;&gt;")=0,"",IFERROR(MATCH(27,$AK$6:$AK$42,0),""))</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 ca="1">CK32+IF(AND(Lists!$EJ$33&lt;&gt;"",ISNUMBER(SEARCH($AA$4,Lists!$EJ$33))),1,0)</f>
        <v>30</v>
      </c>
      <c r="CL33">
        <f ca="1">IF(ROW()-3&gt;MAX($CK$4:$CK$42),"",INDEX(Lists!$EJ$4:$EJ$42,MATCH(ROW()-3,$CK$4:$CK$42,0)))</f>
        <v>14160</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f>CS32+IF(AND(Lists!$FD$33&lt;&gt;"",ISNUMBER(SEARCH($AE$4,Lists!$FD$33))),1,0)</f>
        <v>11</v>
      </c>
      <c r="CT33" t="str">
        <f>IF(ROW()-3&gt;MAX($CS$4:$CS$42),"",INDEX(Lists!$FD$4:$FD$42,MATCH(ROW()-3,$CS$4:$CS$42,0)))</f>
        <v/>
      </c>
      <c r="CU33" t="e">
        <f>CU32+IF(AND(Lists!$FI$33&lt;&gt;"",ISNUMBER(SEARCH($AG$4,Lists!$FI$33))),1,0)</f>
        <v>#N/A</v>
      </c>
      <c r="CV33" t="e">
        <f>IF(ROW()-3&gt;MAX($CU$4:$CU$42),"",INDEX(Lists!$FI$4:$FI$42,MATCH(ROW()-3,$CU$4:$CU$42,0)))</f>
        <v>#N/A</v>
      </c>
      <c r="CW33" t="e">
        <f>CW32+IF(AND(Lists!$FN$33&lt;&gt;"",ISNUMBER(SEARCH($AH$4,Lists!$FN$33))),1,0)</f>
        <v>#N/A</v>
      </c>
      <c r="CX33" t="e">
        <f>IF(ROW()-3&gt;MAX($CW$4:$CW$42),"",INDEX(Lists!$FN$4:$FN$42,MATCH(ROW()-3,$CW$4:$CW$42,0)))</f>
        <v>#N/A</v>
      </c>
      <c r="CY33" t="e">
        <f>CY32+IF(AND(Lists!$FS$33&lt;&gt;"",ISNUMBER(SEARCH($AI$4,Lists!$FS$33))),1,0)</f>
        <v>#N/A</v>
      </c>
      <c r="CZ33" t="e">
        <f>IF(ROW()-3&gt;MAX($CY$4:$CY$42),"",INDEX(Lists!$FS$4:$FS$42,MATCH(ROW()-3,$CY$4:$CY$42,0)))</f>
        <v>#N/A</v>
      </c>
      <c r="DA33">
        <f>DA32+IF(AND(Lists!$FX$33&lt;&gt;"",ISNUMBER(SEARCH($AF$4,Lists!$FX$33))),1,0)</f>
        <v>2</v>
      </c>
      <c r="DB33" t="str">
        <f>IF(ROW()-3&gt;MAX($DA$4:$DA$42),"",INDEX(Lists!$FX$4:$FX$42,MATCH(ROW()-3,$DA$4:$DA$42,0)))</f>
        <v/>
      </c>
      <c r="DG33">
        <f>IF($B$4="",1,IF($B$4="(blank)",--('Final Calculation Sheet'!$F$31=""),IF($B$4="(nonblank)",--('Final Calculation Sheet'!$F$31&lt;&gt;""),--ISNUMBER(SEARCH($B$4,'Final Calculation Sheet'!$F$31)))))</f>
        <v>1</v>
      </c>
      <c r="DH33">
        <f>IF($C$4="",1,IF($C$4="(blank)",--('Final Calculation Sheet'!$G$31=""),IF($C$4="(nonblank)",--('Final Calculation Sheet'!$G$31&lt;&gt;""),--ISNUMBER(SEARCH($C$4,'Final Calculation Sheet'!$G$31)))))</f>
        <v>1</v>
      </c>
      <c r="DI33">
        <f>IF($D$4="",1,IF($D$4="(blank)",--('Final Calculation Sheet'!$B$31=""),IF($D$4="(nonblank)",--('Final Calculation Sheet'!$B$31&lt;&gt;""),--ISNUMBER(SEARCH($D$4,'Final Calculation Sheet'!$B$31)))))</f>
        <v>1</v>
      </c>
      <c r="DJ33">
        <f>IF($E$4="",1,IF($E$4="(blank)",--('Final Calculation Sheet'!$D$31=""),IF($E$4="(nonblank)",--('Final Calculation Sheet'!$D$31&lt;&gt;""),--ISNUMBER(SEARCH($E$4,'Final Calculation Sheet'!$D$31)))))</f>
        <v>1</v>
      </c>
      <c r="DK33">
        <f>IF($F$4="",1,IF($F$4="(blank)",--('Final Calculation Sheet'!$A$31=""),IF($F$4="(nonblank)",--('Final Calculation Sheet'!$A$31&lt;&gt;""),--ISNUMBER(SEARCH($F$4,'Final Calculation Sheet'!$A$31)))))</f>
        <v>1</v>
      </c>
      <c r="DL33">
        <f>IF($G$4="",1,IF($G$4="(blank)",--('Final Calculation Sheet'!$E$31=""),IF($G$4="(nonblank)",--('Final Calculation Sheet'!$E$31&lt;&gt;""),--ISNUMBER(SEARCH($G$4,'Final Calculation Sheet'!$E$31)))))</f>
        <v>1</v>
      </c>
      <c r="DM33">
        <f>IF($H$4="",1,IF($H$4="(blank)",--('Final Calculation Sheet'!$C$31=""),IF($H$4="(nonblank)",--('Final Calculation Sheet'!$C$31&lt;&gt;""),--ISNUMBER(SEARCH($H$4,'Final Calculation Sheet'!$C$31)))))</f>
        <v>1</v>
      </c>
      <c r="DN33">
        <f>IF($I$4="",1,IF($I$4="(blank)",--('Final Calculation Sheet'!$H$31=""),IF($I$4="(nonblank)",--('Final Calculation Sheet'!$H$31&lt;&gt;""),--ISNUMBER(SEARCH($I$4,'Final Calculation Sheet'!$H$31)))))</f>
        <v>1</v>
      </c>
      <c r="DO33">
        <f>IF($J$4="",1,IF($J$4="(blank)",--('Final Calculation Sheet'!$I$31=""),IF($J$4="(nonblank)",--('Final Calculation Sheet'!$I$31&lt;&gt;""),--ISNUMBER(SEARCH($J$4,'Final Calculation Sheet'!$I$31)))))</f>
        <v>1</v>
      </c>
      <c r="DP33">
        <f>IF($K$4="",1,IF($K$4="(blank)",--('Final Calculation Sheet'!$J$31=""),IF($K$4="(nonblank)",--('Final Calculation Sheet'!$J$31&lt;&gt;""),--ISNUMBER(SEARCH($K$4,'Final Calculation Sheet'!$J$31)))))</f>
        <v>1</v>
      </c>
      <c r="DQ33">
        <f>IF($L$4="",1,IF($L$4="(blank)",--('Final Calculation Sheet'!$K$31=""),IF($L$4="(nonblank)",--('Final Calculation Sheet'!$K$31&lt;&gt;""),--ISNUMBER(SEARCH($L$4,'Final Calculation Sheet'!$K$31)))))</f>
        <v>1</v>
      </c>
      <c r="DR33">
        <f>IF($M$4="",1,IF($M$4="(blank)",--('Final Calculation Sheet'!$L$31=""),IF($M$4="(nonblank)",--('Final Calculation Sheet'!$L$31&lt;&gt;""),--ISNUMBER(SEARCH($M$4,'Final Calculation Sheet'!$L$31)))))</f>
        <v>1</v>
      </c>
      <c r="DS33">
        <f>IF($N$4="",1,IF($N$4="(blank)",--('Final Calculation Sheet'!$M$31=""),IF($N$4="(nonblank)",--('Final Calculation Sheet'!$M$31&lt;&gt;""),--ISNUMBER(SEARCH($N$4,'Final Calculation Sheet'!$M$31)))))</f>
        <v>1</v>
      </c>
      <c r="DT33">
        <f>IF($O$4="",1,IF($O$4="(blank)",--('Final Calculation Sheet'!$N$31=""),IF($O$4="(nonblank)",--('Final Calculation Sheet'!$N$31&lt;&gt;""),--ISNUMBER(SEARCH($O$4,'Final Calculation Sheet'!$N$31)))))</f>
        <v>1</v>
      </c>
      <c r="DU33">
        <f>IF($P$4="",1,IF($P$4="(blank)",--('Final Calculation Sheet'!$O$31=""),IF($P$4="(nonblank)",--('Final Calculation Sheet'!$O$31&lt;&gt;""),--ISNUMBER(SEARCH($P$4,'Final Calculation Sheet'!$O$31)))))</f>
        <v>1</v>
      </c>
      <c r="DV33">
        <f>IF($Q$4="",1,IF($Q$4="(blank)",--('Final Calculation Sheet'!$P$31=""),IF($Q$4="(nonblank)",--('Final Calculation Sheet'!$P$31&lt;&gt;""),--ISNUMBER(SEARCH($Q$4,'Final Calculation Sheet'!$P$31)))))</f>
        <v>1</v>
      </c>
      <c r="DW33">
        <f>IF($R$4="",1,IF($R$4="(blank)",--('Final Calculation Sheet'!$Q$31=""),IF($R$4="(nonblank)",--('Final Calculation Sheet'!$Q$31&lt;&gt;""),--ISNUMBER(SEARCH($R$4,'Final Calculation Sheet'!$Q$31)))))</f>
        <v>1</v>
      </c>
      <c r="DX33">
        <f>IF($S$4="",1,IF($S$4="(blank)",--('Final Calculation Sheet'!$R$31=""),IF($S$4="(nonblank)",--('Final Calculation Sheet'!$R$31&lt;&gt;""),--ISNUMBER(SEARCH($S$4,'Final Calculation Sheet'!$R$31)))))</f>
        <v>1</v>
      </c>
      <c r="DY33">
        <f>IF($T$4="",1,IF($T$4="(blank)",--('Final Calculation Sheet'!$S$31=""),IF($T$4="(nonblank)",--('Final Calculation Sheet'!$S$31&lt;&gt;""),--ISNUMBER(SEARCH($T$4,'Final Calculation Sheet'!$S$31)))))</f>
        <v>1</v>
      </c>
      <c r="DZ33">
        <f>IF($U$4="",1,IF($U$4="(blank)",--('Final Calculation Sheet'!$T$31=""),IF($U$4="(nonblank)",--('Final Calculation Sheet'!$T$31&lt;&gt;""),--ISNUMBER(SEARCH($U$4,'Final Calculation Sheet'!$T$31)))))</f>
        <v>1</v>
      </c>
      <c r="EA33">
        <f>IF($V$4="",1,IF($V$4="(blank)",--('Final Calculation Sheet'!$U$31=""),IF($V$4="(nonblank)",--('Final Calculation Sheet'!$U$31&lt;&gt;""),--ISNUMBER(SEARCH($V$4,'Final Calculation Sheet'!$U$31)))))</f>
        <v>1</v>
      </c>
      <c r="EB33">
        <f>IF($W$4="",1,IF($W$4="(blank)",--('Final Calculation Sheet'!$V$31=""),IF($W$4="(nonblank)",--('Final Calculation Sheet'!$V$31&lt;&gt;""),--ISNUMBER(SEARCH($W$4,'Final Calculation Sheet'!$V$31)))))</f>
        <v>1</v>
      </c>
      <c r="EC33">
        <f>IF($X$4="",1,IF($X$4="(blank)",--('Final Calculation Sheet'!$W$31=""),IF($X$4="(nonblank)",--('Final Calculation Sheet'!$W$31&lt;&gt;""),--ISNUMBER(SEARCH($X$4,'Final Calculation Sheet'!$W$31)))))</f>
        <v>1</v>
      </c>
      <c r="ED33">
        <f>IF($Y$4="",1,IF($Y$4="(blank)",--('Final Calculation Sheet'!$X$31=""),IF($Y$4="(nonblank)",--('Final Calculation Sheet'!$X$31&lt;&gt;""),--ISNUMBER(SEARCH($Y$4,'Final Calculation Sheet'!$X$31)))))</f>
        <v>1</v>
      </c>
      <c r="EE33">
        <f>IF($Z$4="",1,IF($Z$4="(blank)",--('Final Calculation Sheet'!$Y$31=""),IF($Z$4="(nonblank)",--('Final Calculation Sheet'!$Y$31&lt;&gt;""),--ISNUMBER(SEARCH($Z$4,'Final Calculation Sheet'!$Y$31)))))</f>
        <v>1</v>
      </c>
      <c r="EF33">
        <f>IF($AA$4="",1,IF($AA$4="(blank)",--('Final Calculation Sheet'!$Z$31=""),IF($AA$4="(nonblank)",--('Final Calculation Sheet'!$Z$31&lt;&gt;""),--ISNUMBER(SEARCH($AA$4,'Final Calculation Sheet'!$Z$31)))))</f>
        <v>1</v>
      </c>
      <c r="EG33">
        <f>IF($AB$4="",1,IF($AB$4="(blank)",--('Final Calculation Sheet'!$AA$31=""),IF($AB$4="(nonblank)",--('Final Calculation Sheet'!$AA$31&lt;&gt;""),--ISNUMBER(SEARCH($AB$4,'Final Calculation Sheet'!$AA$31)))))</f>
        <v>1</v>
      </c>
      <c r="EH33">
        <f>IF($AC$4="",1,IF($AC$4="(blank)",--('Final Calculation Sheet'!$AB$31=""),IF($AC$4="(nonblank)",--('Final Calculation Sheet'!$AB$31&lt;&gt;""),--ISNUMBER(SEARCH($AC$4,'Final Calculation Sheet'!$AB$31)))))</f>
        <v>1</v>
      </c>
      <c r="EI33">
        <f>IF($AD$4="",1,IF($AD$4="(blank)",--('Final Calculation Sheet'!$AC$31=""),IF($AD$4="(nonblank)",--('Final Calculation Sheet'!$AC$31&lt;&gt;""),--ISNUMBER(SEARCH($AD$4,'Final Calculation Sheet'!$AC$31)))))</f>
        <v>1</v>
      </c>
      <c r="EJ33">
        <f>IF($AE$4="",1,IF($AE$4="(blank)",--('Final Calculation Sheet'!$AD$31=""),IF($AE$4="(nonblank)",--('Final Calculation Sheet'!$AD$31&lt;&gt;""),--ISNUMBER(SEARCH($AE$4,'Final Calculation Sheet'!$AD$31)))))</f>
        <v>1</v>
      </c>
      <c r="EK33">
        <f>IF($AF$4="",1,IF($AF$4="(blank)",--(IF('Final Calculation Sheet'!$AD$31&lt;=5,"SETTLED","OUTSTANDING")=""),IF($AF$4="(nonblank)",--(IF('Final Calculation Sheet'!$AD$31&lt;=5,"SETTLED","OUTSTANDING")&lt;&gt;""),--ISNUMBER(SEARCH($AF$4,IF('Final Calculation Sheet'!$AD$31&lt;=5,"SETTLED","OUTSTANDING"))))))</f>
        <v>1</v>
      </c>
      <c r="EL33">
        <f>IF($AG$4="",1,IF($AG$4="(blank)",--('Final Calculation Sheet'!$AF$31=""),IF($AG$4="(nonblank)",--('Final Calculation Sheet'!$AF$31&lt;&gt;""),--ISNUMBER(SEARCH($AG$4,'Final Calculation Sheet'!$AF$31)))))</f>
        <v>1</v>
      </c>
      <c r="EM33">
        <f>IF($AH$4="",1,IF($AH$4="(blank)",--('Final Calculation Sheet'!$AG$31=""),IF($AH$4="(nonblank)",--('Final Calculation Sheet'!$AG$31&lt;&gt;""),--ISNUMBER(SEARCH($AH$4,'Final Calculation Sheet'!$AG$31)))))</f>
        <v>1</v>
      </c>
      <c r="EN33">
        <f>IF($AI$4="",1,IF($AI$4="(blank)",--('Final Calculation Sheet'!$AH$31=""),IF($AI$4="(nonblank)",--('Final Calculation Sheet'!$AH$31&lt;&gt;""),--ISNUMBER(SEARCH($AI$4,'Final Calculation Sheet'!$AH$31)))))</f>
        <v>1</v>
      </c>
    </row>
    <row r="34" spans="1:144" hidden="1" outlineLevel="1" x14ac:dyDescent="0.3">
      <c r="A34" s="117" t="str">
        <f>IF($AL$34="","",28)</f>
        <v/>
      </c>
      <c r="B34" s="118" t="str">
        <f>IF($AL$34="","",IF(INDEX('Final Calculation Sheet'!$F$4:$F$40,$AL$34)="","",INDEX('Final Calculation Sheet'!$F$4:$F$40,$AL$34)))</f>
        <v/>
      </c>
      <c r="C34" s="118" t="str">
        <f>IF($AL$34="","",IF(INDEX('Final Calculation Sheet'!$G$4:$G$40,$AL$34)="","",INDEX('Final Calculation Sheet'!$G$4:$G$40,$AL$34)))</f>
        <v/>
      </c>
      <c r="D34" s="119" t="str">
        <f>IF($AL$34="","",IF(INDEX('Final Calculation Sheet'!$B$4:$B$40,$AL$34)="","",INDEX('Final Calculation Sheet'!$B$4:$B$40,$AL$34)))</f>
        <v/>
      </c>
      <c r="E34" s="119" t="str">
        <f>IF($AL$34="","",IF(INDEX('Final Calculation Sheet'!$D$4:$D$40,$AL$34)="","",INDEX('Final Calculation Sheet'!$D$4:$D$40,$AL$34)))</f>
        <v/>
      </c>
      <c r="F34" s="119" t="str">
        <f>IF($AL$34="","",IF(INDEX('Final Calculation Sheet'!$A$4:$A$40,$AL$34)="","",INDEX('Final Calculation Sheet'!$A$4:$A$40,$AL$34)))</f>
        <v/>
      </c>
      <c r="G34" s="119" t="str">
        <f>IF($AL$34="","",IF(INDEX('Final Calculation Sheet'!$E$4:$E$40,$AL$34)="","",INDEX('Final Calculation Sheet'!$E$4:$E$40,$AL$34)))</f>
        <v/>
      </c>
      <c r="H34" s="120" t="str">
        <f>IF($AL$34="","",IF(INDEX('Final Calculation Sheet'!$C$4:$C$40,$AL$34)="","",INDEX('Final Calculation Sheet'!$C$4:$C$40,$AL$34)))</f>
        <v/>
      </c>
      <c r="I34" s="120" t="str">
        <f>IF($AL$34="","",IF(INDEX('Final Calculation Sheet'!$H$4:$H$40,$AL$34)="","",INDEX('Final Calculation Sheet'!$H$4:$H$40,$AL$34)))</f>
        <v/>
      </c>
      <c r="J34" s="120" t="str">
        <f>IF($AL$34="","",IF(INDEX('Final Calculation Sheet'!$I$4:$I$40,$AL$34)="","",INDEX('Final Calculation Sheet'!$I$4:$I$40,$AL$34)))</f>
        <v/>
      </c>
      <c r="K34" s="120" t="str">
        <f>IF($AL$34="","",IF(INDEX('Final Calculation Sheet'!$J$4:$J$40,$AL$34)="","",INDEX('Final Calculation Sheet'!$J$4:$J$40,$AL$34)))</f>
        <v/>
      </c>
      <c r="L34" s="120" t="str">
        <f>IF($AL$34="","",IF(INDEX('Final Calculation Sheet'!$K$4:$K$40,$AL$34)="","",INDEX('Final Calculation Sheet'!$K$4:$K$40,$AL$34)))</f>
        <v/>
      </c>
      <c r="M34" s="120" t="str">
        <f>IF($AL$34="","",IF(INDEX('Final Calculation Sheet'!$L$4:$L$40,$AL$34)="","",INDEX('Final Calculation Sheet'!$L$4:$L$40,$AL$34)))</f>
        <v/>
      </c>
      <c r="N34" s="120" t="str">
        <f>IF($AL$34="","",IF(INDEX('Final Calculation Sheet'!$M$4:$M$40,$AL$34)="","",INDEX('Final Calculation Sheet'!$M$4:$M$40,$AL$34)))</f>
        <v/>
      </c>
      <c r="O34" s="121" t="str">
        <f>IF($AL$34="","",IF(INDEX('Final Calculation Sheet'!$N$4:$N$40,$AL$34)="","",INDEX('Final Calculation Sheet'!$N$4:$N$40,$AL$34)))</f>
        <v/>
      </c>
      <c r="P34" s="120" t="str">
        <f>IF($AL$34="","",IF(INDEX('Final Calculation Sheet'!$O$4:$O$40,$AL$34)="","",INDEX('Final Calculation Sheet'!$O$4:$O$40,$AL$34)))</f>
        <v/>
      </c>
      <c r="Q34" s="120" t="str">
        <f>IF($AL$34="","",IF(INDEX('Final Calculation Sheet'!$P$4:$P$40,$AL$34)="","",INDEX('Final Calculation Sheet'!$P$4:$P$40,$AL$34)))</f>
        <v/>
      </c>
      <c r="R34" s="122" t="str">
        <f>IF($AL$34="","",IF(INDEX('Final Calculation Sheet'!$Q$4:$Q$40,$AL$34)="","",INDEX('Final Calculation Sheet'!$Q$4:$Q$40,$AL$34)))</f>
        <v/>
      </c>
      <c r="S34" s="120" t="str">
        <f>IF($AL$34="","",IF(INDEX('Final Calculation Sheet'!$R$4:$R$40,$AL$34)="","",INDEX('Final Calculation Sheet'!$R$4:$R$40,$AL$34)))</f>
        <v/>
      </c>
      <c r="T34" s="120" t="str">
        <f>IF($AL$34="","",IF(INDEX('Final Calculation Sheet'!$S$4:$S$40,$AL$34)="","",INDEX('Final Calculation Sheet'!$S$4:$S$40,$AL$34)))</f>
        <v/>
      </c>
      <c r="U34" s="120" t="str">
        <f>IF($AL$34="","",IF(INDEX('Final Calculation Sheet'!$T$4:$T$40,$AL$34)="","",INDEX('Final Calculation Sheet'!$T$4:$T$40,$AL$34)))</f>
        <v/>
      </c>
      <c r="V34" s="123" t="str">
        <f>IF($AL$34="","",IF(INDEX('Final Calculation Sheet'!$U$4:$U$40,$AL$34)="","",INDEX('Final Calculation Sheet'!$U$4:$U$40,$AL$34)))</f>
        <v/>
      </c>
      <c r="W34" s="120" t="str">
        <f>IF($AL$34="","",IF(INDEX('Final Calculation Sheet'!$V$4:$V$40,$AL$34)="","",INDEX('Final Calculation Sheet'!$V$4:$V$40,$AL$34)))</f>
        <v/>
      </c>
      <c r="X34" s="120" t="str">
        <f>IF($AL$34="","",IF(INDEX('Final Calculation Sheet'!$W$4:$W$40,$AL$34)="","",INDEX('Final Calculation Sheet'!$W$4:$W$40,$AL$34)))</f>
        <v/>
      </c>
      <c r="Y34" s="120" t="str">
        <f>IF($AL$34="","",IF(INDEX('Final Calculation Sheet'!$X$4:$X$40,$AL$34)="","",INDEX('Final Calculation Sheet'!$X$4:$X$40,$AL$34)))</f>
        <v/>
      </c>
      <c r="Z34" s="120" t="str">
        <f>IF($AL$34="","",IF(INDEX('Final Calculation Sheet'!$Y$4:$Y$40,$AL$34)="","",INDEX('Final Calculation Sheet'!$Y$4:$Y$40,$AL$34)))</f>
        <v/>
      </c>
      <c r="AA34" s="120" t="str">
        <f>IF($AL$34="","",IF(INDEX('Final Calculation Sheet'!$Z$4:$Z$40,$AL$34)="","",INDEX('Final Calculation Sheet'!$Z$4:$Z$40,$AL$34)))</f>
        <v/>
      </c>
      <c r="AB34" s="120" t="str">
        <f>IF($AL$34="","",IF(INDEX('Final Calculation Sheet'!$AA$4:$AA$40,$AL$34)="","",INDEX('Final Calculation Sheet'!$AA$4:$AA$40,$AL$34)))</f>
        <v/>
      </c>
      <c r="AC34" s="120" t="str">
        <f>IF($AL$34="","",IF(INDEX('Final Calculation Sheet'!$AB$4:$AB$40,$AL$34)="","",INDEX('Final Calculation Sheet'!$AB$4:$AB$40,$AL$34)))</f>
        <v/>
      </c>
      <c r="AD34" s="120" t="str">
        <f>IF($AL$34="","",IF(INDEX('Final Calculation Sheet'!$AC$4:$AC$40,$AL$34)="","",INDEX('Final Calculation Sheet'!$AC$4:$AC$40,$AL$34)))</f>
        <v/>
      </c>
      <c r="AE34" s="120" t="str">
        <f>IF($AL$34="","",IF(INDEX('Final Calculation Sheet'!$AD$4:$AD$40,$AL$34)="","",INDEX('Final Calculation Sheet'!$AD$4:$AD$40,$AL$34)))</f>
        <v/>
      </c>
      <c r="AF34" s="125" t="str">
        <f>IF($AL$34="","",IF(INDEX('Final Calculation Sheet'!$AD$4:$AD$40,$AL$34)&lt;=5,"SETTLED","OUTSTANDING"))</f>
        <v/>
      </c>
      <c r="AG34" s="120" t="str">
        <f>IF($AL$34="","",IF(INDEX('Final Calculation Sheet'!$AF$4:$AF$40,$AL$34)="","",INDEX('Final Calculation Sheet'!$AF$4:$AF$40,$AL$34)))</f>
        <v/>
      </c>
      <c r="AH34" s="124" t="str">
        <f>IF($AL$34="","",IF(INDEX('Final Calculation Sheet'!$AG$4:$AG$40,$AL$34)="","",INDEX('Final Calculation Sheet'!$AG$4:$AG$40,$AL$34)))</f>
        <v/>
      </c>
      <c r="AI34" s="120" t="str">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v>1</v>
      </c>
      <c r="AK34">
        <f>IF(AJ34=1,COUNTIF(AJ$6:AJ34,1),"")</f>
        <v>29</v>
      </c>
      <c r="AL34" t="str">
        <f>IF(COUNTIF($B$4:$AI$4,"&lt;&gt;")=0,"",IFERROR(MATCH(28,$AK$6:$AK$42,0),""))</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 ca="1">CK33+IF(AND(Lists!$EJ$34&lt;&gt;"",ISNUMBER(SEARCH($AA$4,Lists!$EJ$34))),1,0)</f>
        <v>31</v>
      </c>
      <c r="CL34">
        <f ca="1">IF(ROW()-3&gt;MAX($CK$4:$CK$42),"",INDEX(Lists!$EJ$4:$EJ$42,MATCH(ROW()-3,$CK$4:$CK$42,0)))</f>
        <v>18301.8</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f>CS33+IF(AND(Lists!$FD$34&lt;&gt;"",ISNUMBER(SEARCH($AE$4,Lists!$FD$34))),1,0)</f>
        <v>11</v>
      </c>
      <c r="CT34" t="str">
        <f>IF(ROW()-3&gt;MAX($CS$4:$CS$42),"",INDEX(Lists!$FD$4:$FD$42,MATCH(ROW()-3,$CS$4:$CS$42,0)))</f>
        <v/>
      </c>
      <c r="CU34" t="e">
        <f>CU33+IF(AND(Lists!$FI$34&lt;&gt;"",ISNUMBER(SEARCH($AG$4,Lists!$FI$34))),1,0)</f>
        <v>#N/A</v>
      </c>
      <c r="CV34" t="e">
        <f>IF(ROW()-3&gt;MAX($CU$4:$CU$42),"",INDEX(Lists!$FI$4:$FI$42,MATCH(ROW()-3,$CU$4:$CU$42,0)))</f>
        <v>#N/A</v>
      </c>
      <c r="CW34" t="e">
        <f>CW33+IF(AND(Lists!$FN$34&lt;&gt;"",ISNUMBER(SEARCH($AH$4,Lists!$FN$34))),1,0)</f>
        <v>#N/A</v>
      </c>
      <c r="CX34" t="e">
        <f>IF(ROW()-3&gt;MAX($CW$4:$CW$42),"",INDEX(Lists!$FN$4:$FN$42,MATCH(ROW()-3,$CW$4:$CW$42,0)))</f>
        <v>#N/A</v>
      </c>
      <c r="CY34" t="e">
        <f>CY33+IF(AND(Lists!$FS$34&lt;&gt;"",ISNUMBER(SEARCH($AI$4,Lists!$FS$34))),1,0)</f>
        <v>#N/A</v>
      </c>
      <c r="CZ34" t="e">
        <f>IF(ROW()-3&gt;MAX($CY$4:$CY$42),"",INDEX(Lists!$FS$4:$FS$42,MATCH(ROW()-3,$CY$4:$CY$42,0)))</f>
        <v>#N/A</v>
      </c>
      <c r="DA34">
        <f>DA33+IF(AND(Lists!$FX$34&lt;&gt;"",ISNUMBER(SEARCH($AF$4,Lists!$FX$34))),1,0)</f>
        <v>2</v>
      </c>
      <c r="DB34" t="str">
        <f>IF(ROW()-3&gt;MAX($DA$4:$DA$42),"",INDEX(Lists!$FX$4:$FX$42,MATCH(ROW()-3,$DA$4:$DA$42,0)))</f>
        <v/>
      </c>
      <c r="DG34">
        <f>IF($B$4="",1,IF($B$4="(blank)",--('Final Calculation Sheet'!$F$32=""),IF($B$4="(nonblank)",--('Final Calculation Sheet'!$F$32&lt;&gt;""),--ISNUMBER(SEARCH($B$4,'Final Calculation Sheet'!$F$32)))))</f>
        <v>1</v>
      </c>
      <c r="DH34">
        <f>IF($C$4="",1,IF($C$4="(blank)",--('Final Calculation Sheet'!$G$32=""),IF($C$4="(nonblank)",--('Final Calculation Sheet'!$G$32&lt;&gt;""),--ISNUMBER(SEARCH($C$4,'Final Calculation Sheet'!$G$32)))))</f>
        <v>1</v>
      </c>
      <c r="DI34">
        <f>IF($D$4="",1,IF($D$4="(blank)",--('Final Calculation Sheet'!$B$32=""),IF($D$4="(nonblank)",--('Final Calculation Sheet'!$B$32&lt;&gt;""),--ISNUMBER(SEARCH($D$4,'Final Calculation Sheet'!$B$32)))))</f>
        <v>1</v>
      </c>
      <c r="DJ34">
        <f>IF($E$4="",1,IF($E$4="(blank)",--('Final Calculation Sheet'!$D$32=""),IF($E$4="(nonblank)",--('Final Calculation Sheet'!$D$32&lt;&gt;""),--ISNUMBER(SEARCH($E$4,'Final Calculation Sheet'!$D$32)))))</f>
        <v>1</v>
      </c>
      <c r="DK34">
        <f>IF($F$4="",1,IF($F$4="(blank)",--('Final Calculation Sheet'!$A$32=""),IF($F$4="(nonblank)",--('Final Calculation Sheet'!$A$32&lt;&gt;""),--ISNUMBER(SEARCH($F$4,'Final Calculation Sheet'!$A$32)))))</f>
        <v>1</v>
      </c>
      <c r="DL34">
        <f>IF($G$4="",1,IF($G$4="(blank)",--('Final Calculation Sheet'!$E$32=""),IF($G$4="(nonblank)",--('Final Calculation Sheet'!$E$32&lt;&gt;""),--ISNUMBER(SEARCH($G$4,'Final Calculation Sheet'!$E$32)))))</f>
        <v>1</v>
      </c>
      <c r="DM34">
        <f>IF($H$4="",1,IF($H$4="(blank)",--('Final Calculation Sheet'!$C$32=""),IF($H$4="(nonblank)",--('Final Calculation Sheet'!$C$32&lt;&gt;""),--ISNUMBER(SEARCH($H$4,'Final Calculation Sheet'!$C$32)))))</f>
        <v>1</v>
      </c>
      <c r="DN34">
        <f>IF($I$4="",1,IF($I$4="(blank)",--('Final Calculation Sheet'!$H$32=""),IF($I$4="(nonblank)",--('Final Calculation Sheet'!$H$32&lt;&gt;""),--ISNUMBER(SEARCH($I$4,'Final Calculation Sheet'!$H$32)))))</f>
        <v>1</v>
      </c>
      <c r="DO34">
        <f>IF($J$4="",1,IF($J$4="(blank)",--('Final Calculation Sheet'!$I$32=""),IF($J$4="(nonblank)",--('Final Calculation Sheet'!$I$32&lt;&gt;""),--ISNUMBER(SEARCH($J$4,'Final Calculation Sheet'!$I$32)))))</f>
        <v>1</v>
      </c>
      <c r="DP34">
        <f>IF($K$4="",1,IF($K$4="(blank)",--('Final Calculation Sheet'!$J$32=""),IF($K$4="(nonblank)",--('Final Calculation Sheet'!$J$32&lt;&gt;""),--ISNUMBER(SEARCH($K$4,'Final Calculation Sheet'!$J$32)))))</f>
        <v>1</v>
      </c>
      <c r="DQ34">
        <f>IF($L$4="",1,IF($L$4="(blank)",--('Final Calculation Sheet'!$K$32=""),IF($L$4="(nonblank)",--('Final Calculation Sheet'!$K$32&lt;&gt;""),--ISNUMBER(SEARCH($L$4,'Final Calculation Sheet'!$K$32)))))</f>
        <v>1</v>
      </c>
      <c r="DR34">
        <f>IF($M$4="",1,IF($M$4="(blank)",--('Final Calculation Sheet'!$L$32=""),IF($M$4="(nonblank)",--('Final Calculation Sheet'!$L$32&lt;&gt;""),--ISNUMBER(SEARCH($M$4,'Final Calculation Sheet'!$L$32)))))</f>
        <v>1</v>
      </c>
      <c r="DS34">
        <f>IF($N$4="",1,IF($N$4="(blank)",--('Final Calculation Sheet'!$M$32=""),IF($N$4="(nonblank)",--('Final Calculation Sheet'!$M$32&lt;&gt;""),--ISNUMBER(SEARCH($N$4,'Final Calculation Sheet'!$M$32)))))</f>
        <v>1</v>
      </c>
      <c r="DT34">
        <f>IF($O$4="",1,IF($O$4="(blank)",--('Final Calculation Sheet'!$N$32=""),IF($O$4="(nonblank)",--('Final Calculation Sheet'!$N$32&lt;&gt;""),--ISNUMBER(SEARCH($O$4,'Final Calculation Sheet'!$N$32)))))</f>
        <v>1</v>
      </c>
      <c r="DU34">
        <f>IF($P$4="",1,IF($P$4="(blank)",--('Final Calculation Sheet'!$O$32=""),IF($P$4="(nonblank)",--('Final Calculation Sheet'!$O$32&lt;&gt;""),--ISNUMBER(SEARCH($P$4,'Final Calculation Sheet'!$O$32)))))</f>
        <v>1</v>
      </c>
      <c r="DV34">
        <f>IF($Q$4="",1,IF($Q$4="(blank)",--('Final Calculation Sheet'!$P$32=""),IF($Q$4="(nonblank)",--('Final Calculation Sheet'!$P$32&lt;&gt;""),--ISNUMBER(SEARCH($Q$4,'Final Calculation Sheet'!$P$32)))))</f>
        <v>1</v>
      </c>
      <c r="DW34">
        <f>IF($R$4="",1,IF($R$4="(blank)",--('Final Calculation Sheet'!$Q$32=""),IF($R$4="(nonblank)",--('Final Calculation Sheet'!$Q$32&lt;&gt;""),--ISNUMBER(SEARCH($R$4,'Final Calculation Sheet'!$Q$32)))))</f>
        <v>1</v>
      </c>
      <c r="DX34">
        <f>IF($S$4="",1,IF($S$4="(blank)",--('Final Calculation Sheet'!$R$32=""),IF($S$4="(nonblank)",--('Final Calculation Sheet'!$R$32&lt;&gt;""),--ISNUMBER(SEARCH($S$4,'Final Calculation Sheet'!$R$32)))))</f>
        <v>1</v>
      </c>
      <c r="DY34">
        <f>IF($T$4="",1,IF($T$4="(blank)",--('Final Calculation Sheet'!$S$32=""),IF($T$4="(nonblank)",--('Final Calculation Sheet'!$S$32&lt;&gt;""),--ISNUMBER(SEARCH($T$4,'Final Calculation Sheet'!$S$32)))))</f>
        <v>1</v>
      </c>
      <c r="DZ34">
        <f>IF($U$4="",1,IF($U$4="(blank)",--('Final Calculation Sheet'!$T$32=""),IF($U$4="(nonblank)",--('Final Calculation Sheet'!$T$32&lt;&gt;""),--ISNUMBER(SEARCH($U$4,'Final Calculation Sheet'!$T$32)))))</f>
        <v>1</v>
      </c>
      <c r="EA34">
        <f>IF($V$4="",1,IF($V$4="(blank)",--('Final Calculation Sheet'!$U$32=""),IF($V$4="(nonblank)",--('Final Calculation Sheet'!$U$32&lt;&gt;""),--ISNUMBER(SEARCH($V$4,'Final Calculation Sheet'!$U$32)))))</f>
        <v>1</v>
      </c>
      <c r="EB34">
        <f>IF($W$4="",1,IF($W$4="(blank)",--('Final Calculation Sheet'!$V$32=""),IF($W$4="(nonblank)",--('Final Calculation Sheet'!$V$32&lt;&gt;""),--ISNUMBER(SEARCH($W$4,'Final Calculation Sheet'!$V$32)))))</f>
        <v>1</v>
      </c>
      <c r="EC34">
        <f>IF($X$4="",1,IF($X$4="(blank)",--('Final Calculation Sheet'!$W$32=""),IF($X$4="(nonblank)",--('Final Calculation Sheet'!$W$32&lt;&gt;""),--ISNUMBER(SEARCH($X$4,'Final Calculation Sheet'!$W$32)))))</f>
        <v>1</v>
      </c>
      <c r="ED34">
        <f>IF($Y$4="",1,IF($Y$4="(blank)",--('Final Calculation Sheet'!$X$32=""),IF($Y$4="(nonblank)",--('Final Calculation Sheet'!$X$32&lt;&gt;""),--ISNUMBER(SEARCH($Y$4,'Final Calculation Sheet'!$X$32)))))</f>
        <v>1</v>
      </c>
      <c r="EE34">
        <f>IF($Z$4="",1,IF($Z$4="(blank)",--('Final Calculation Sheet'!$Y$32=""),IF($Z$4="(nonblank)",--('Final Calculation Sheet'!$Y$32&lt;&gt;""),--ISNUMBER(SEARCH($Z$4,'Final Calculation Sheet'!$Y$32)))))</f>
        <v>1</v>
      </c>
      <c r="EF34">
        <f>IF($AA$4="",1,IF($AA$4="(blank)",--('Final Calculation Sheet'!$Z$32=""),IF($AA$4="(nonblank)",--('Final Calculation Sheet'!$Z$32&lt;&gt;""),--ISNUMBER(SEARCH($AA$4,'Final Calculation Sheet'!$Z$32)))))</f>
        <v>1</v>
      </c>
      <c r="EG34">
        <f>IF($AB$4="",1,IF($AB$4="(blank)",--('Final Calculation Sheet'!$AA$32=""),IF($AB$4="(nonblank)",--('Final Calculation Sheet'!$AA$32&lt;&gt;""),--ISNUMBER(SEARCH($AB$4,'Final Calculation Sheet'!$AA$32)))))</f>
        <v>1</v>
      </c>
      <c r="EH34">
        <f>IF($AC$4="",1,IF($AC$4="(blank)",--('Final Calculation Sheet'!$AB$32=""),IF($AC$4="(nonblank)",--('Final Calculation Sheet'!$AB$32&lt;&gt;""),--ISNUMBER(SEARCH($AC$4,'Final Calculation Sheet'!$AB$32)))))</f>
        <v>1</v>
      </c>
      <c r="EI34">
        <f>IF($AD$4="",1,IF($AD$4="(blank)",--('Final Calculation Sheet'!$AC$32=""),IF($AD$4="(nonblank)",--('Final Calculation Sheet'!$AC$32&lt;&gt;""),--ISNUMBER(SEARCH($AD$4,'Final Calculation Sheet'!$AC$32)))))</f>
        <v>1</v>
      </c>
      <c r="EJ34">
        <f>IF($AE$4="",1,IF($AE$4="(blank)",--('Final Calculation Sheet'!$AD$32=""),IF($AE$4="(nonblank)",--('Final Calculation Sheet'!$AD$32&lt;&gt;""),--ISNUMBER(SEARCH($AE$4,'Final Calculation Sheet'!$AD$32)))))</f>
        <v>1</v>
      </c>
      <c r="EK34">
        <f>IF($AF$4="",1,IF($AF$4="(blank)",--(IF('Final Calculation Sheet'!$AD$32&lt;=5,"SETTLED","OUTSTANDING")=""),IF($AF$4="(nonblank)",--(IF('Final Calculation Sheet'!$AD$32&lt;=5,"SETTLED","OUTSTANDING")&lt;&gt;""),--ISNUMBER(SEARCH($AF$4,IF('Final Calculation Sheet'!$AD$32&lt;=5,"SETTLED","OUTSTANDING"))))))</f>
        <v>1</v>
      </c>
      <c r="EL34">
        <f>IF($AG$4="",1,IF($AG$4="(blank)",--('Final Calculation Sheet'!$AF$32=""),IF($AG$4="(nonblank)",--('Final Calculation Sheet'!$AF$32&lt;&gt;""),--ISNUMBER(SEARCH($AG$4,'Final Calculation Sheet'!$AF$32)))))</f>
        <v>1</v>
      </c>
      <c r="EM34">
        <f>IF($AH$4="",1,IF($AH$4="(blank)",--('Final Calculation Sheet'!$AG$32=""),IF($AH$4="(nonblank)",--('Final Calculation Sheet'!$AG$32&lt;&gt;""),--ISNUMBER(SEARCH($AH$4,'Final Calculation Sheet'!$AG$32)))))</f>
        <v>1</v>
      </c>
      <c r="EN34">
        <f>IF($AI$4="",1,IF($AI$4="(blank)",--('Final Calculation Sheet'!$AH$32=""),IF($AI$4="(nonblank)",--('Final Calculation Sheet'!$AH$32&lt;&gt;""),--ISNUMBER(SEARCH($AI$4,'Final Calculation Sheet'!$AH$32)))))</f>
        <v>1</v>
      </c>
    </row>
    <row r="35" spans="1:144" hidden="1" outlineLevel="1" x14ac:dyDescent="0.3">
      <c r="A35" s="107" t="str">
        <f>IF($AL$35="","",29)</f>
        <v/>
      </c>
      <c r="B35" s="108" t="str">
        <f>IF($AL$35="","",IF(INDEX('Final Calculation Sheet'!$F$4:$F$40,$AL$35)="","",INDEX('Final Calculation Sheet'!$F$4:$F$40,$AL$35)))</f>
        <v/>
      </c>
      <c r="C35" s="108" t="str">
        <f>IF($AL$35="","",IF(INDEX('Final Calculation Sheet'!$G$4:$G$40,$AL$35)="","",INDEX('Final Calculation Sheet'!$G$4:$G$40,$AL$35)))</f>
        <v/>
      </c>
      <c r="D35" s="110" t="str">
        <f>IF($AL$35="","",IF(INDEX('Final Calculation Sheet'!$B$4:$B$40,$AL$35)="","",INDEX('Final Calculation Sheet'!$B$4:$B$40,$AL$35)))</f>
        <v/>
      </c>
      <c r="E35" s="110" t="str">
        <f>IF($AL$35="","",IF(INDEX('Final Calculation Sheet'!$D$4:$D$40,$AL$35)="","",INDEX('Final Calculation Sheet'!$D$4:$D$40,$AL$35)))</f>
        <v/>
      </c>
      <c r="F35" s="110" t="str">
        <f>IF($AL$35="","",IF(INDEX('Final Calculation Sheet'!$A$4:$A$40,$AL$35)="","",INDEX('Final Calculation Sheet'!$A$4:$A$40,$AL$35)))</f>
        <v/>
      </c>
      <c r="G35" s="110" t="str">
        <f>IF($AL$35="","",IF(INDEX('Final Calculation Sheet'!$E$4:$E$40,$AL$35)="","",INDEX('Final Calculation Sheet'!$E$4:$E$40,$AL$35)))</f>
        <v/>
      </c>
      <c r="H35" s="111" t="str">
        <f>IF($AL$35="","",IF(INDEX('Final Calculation Sheet'!$C$4:$C$40,$AL$35)="","",INDEX('Final Calculation Sheet'!$C$4:$C$40,$AL$35)))</f>
        <v/>
      </c>
      <c r="I35" s="111" t="str">
        <f>IF($AL$35="","",IF(INDEX('Final Calculation Sheet'!$H$4:$H$40,$AL$35)="","",INDEX('Final Calculation Sheet'!$H$4:$H$40,$AL$35)))</f>
        <v/>
      </c>
      <c r="J35" s="111" t="str">
        <f>IF($AL$35="","",IF(INDEX('Final Calculation Sheet'!$I$4:$I$40,$AL$35)="","",INDEX('Final Calculation Sheet'!$I$4:$I$40,$AL$35)))</f>
        <v/>
      </c>
      <c r="K35" s="111" t="str">
        <f>IF($AL$35="","",IF(INDEX('Final Calculation Sheet'!$J$4:$J$40,$AL$35)="","",INDEX('Final Calculation Sheet'!$J$4:$J$40,$AL$35)))</f>
        <v/>
      </c>
      <c r="L35" s="111" t="str">
        <f>IF($AL$35="","",IF(INDEX('Final Calculation Sheet'!$K$4:$K$40,$AL$35)="","",INDEX('Final Calculation Sheet'!$K$4:$K$40,$AL$35)))</f>
        <v/>
      </c>
      <c r="M35" s="111" t="str">
        <f>IF($AL$35="","",IF(INDEX('Final Calculation Sheet'!$L$4:$L$40,$AL$35)="","",INDEX('Final Calculation Sheet'!$L$4:$L$40,$AL$35)))</f>
        <v/>
      </c>
      <c r="N35" s="111" t="str">
        <f>IF($AL$35="","",IF(INDEX('Final Calculation Sheet'!$M$4:$M$40,$AL$35)="","",INDEX('Final Calculation Sheet'!$M$4:$M$40,$AL$35)))</f>
        <v/>
      </c>
      <c r="O35" s="112" t="str">
        <f>IF($AL$35="","",IF(INDEX('Final Calculation Sheet'!$N$4:$N$40,$AL$35)="","",INDEX('Final Calculation Sheet'!$N$4:$N$40,$AL$35)))</f>
        <v/>
      </c>
      <c r="P35" s="111" t="str">
        <f>IF($AL$35="","",IF(INDEX('Final Calculation Sheet'!$O$4:$O$40,$AL$35)="","",INDEX('Final Calculation Sheet'!$O$4:$O$40,$AL$35)))</f>
        <v/>
      </c>
      <c r="Q35" s="111" t="str">
        <f>IF($AL$35="","",IF(INDEX('Final Calculation Sheet'!$P$4:$P$40,$AL$35)="","",INDEX('Final Calculation Sheet'!$P$4:$P$40,$AL$35)))</f>
        <v/>
      </c>
      <c r="R35" s="113" t="str">
        <f>IF($AL$35="","",IF(INDEX('Final Calculation Sheet'!$Q$4:$Q$40,$AL$35)="","",INDEX('Final Calculation Sheet'!$Q$4:$Q$40,$AL$35)))</f>
        <v/>
      </c>
      <c r="S35" s="111" t="str">
        <f>IF($AL$35="","",IF(INDEX('Final Calculation Sheet'!$R$4:$R$40,$AL$35)="","",INDEX('Final Calculation Sheet'!$R$4:$R$40,$AL$35)))</f>
        <v/>
      </c>
      <c r="T35" s="111" t="str">
        <f>IF($AL$35="","",IF(INDEX('Final Calculation Sheet'!$S$4:$S$40,$AL$35)="","",INDEX('Final Calculation Sheet'!$S$4:$S$40,$AL$35)))</f>
        <v/>
      </c>
      <c r="U35" s="111" t="str">
        <f>IF($AL$35="","",IF(INDEX('Final Calculation Sheet'!$T$4:$T$40,$AL$35)="","",INDEX('Final Calculation Sheet'!$T$4:$T$40,$AL$35)))</f>
        <v/>
      </c>
      <c r="V35" s="114" t="str">
        <f>IF($AL$35="","",IF(INDEX('Final Calculation Sheet'!$U$4:$U$40,$AL$35)="","",INDEX('Final Calculation Sheet'!$U$4:$U$40,$AL$35)))</f>
        <v/>
      </c>
      <c r="W35" s="111" t="str">
        <f>IF($AL$35="","",IF(INDEX('Final Calculation Sheet'!$V$4:$V$40,$AL$35)="","",INDEX('Final Calculation Sheet'!$V$4:$V$40,$AL$35)))</f>
        <v/>
      </c>
      <c r="X35" s="111" t="str">
        <f>IF($AL$35="","",IF(INDEX('Final Calculation Sheet'!$W$4:$W$40,$AL$35)="","",INDEX('Final Calculation Sheet'!$W$4:$W$40,$AL$35)))</f>
        <v/>
      </c>
      <c r="Y35" s="111" t="str">
        <f>IF($AL$35="","",IF(INDEX('Final Calculation Sheet'!$X$4:$X$40,$AL$35)="","",INDEX('Final Calculation Sheet'!$X$4:$X$40,$AL$35)))</f>
        <v/>
      </c>
      <c r="Z35" s="111" t="str">
        <f>IF($AL$35="","",IF(INDEX('Final Calculation Sheet'!$Y$4:$Y$40,$AL$35)="","",INDEX('Final Calculation Sheet'!$Y$4:$Y$40,$AL$35)))</f>
        <v/>
      </c>
      <c r="AA35" s="111" t="str">
        <f>IF($AL$35="","",IF(INDEX('Final Calculation Sheet'!$Z$4:$Z$40,$AL$35)="","",INDEX('Final Calculation Sheet'!$Z$4:$Z$40,$AL$35)))</f>
        <v/>
      </c>
      <c r="AB35" s="111" t="str">
        <f>IF($AL$35="","",IF(INDEX('Final Calculation Sheet'!$AA$4:$AA$40,$AL$35)="","",INDEX('Final Calculation Sheet'!$AA$4:$AA$40,$AL$35)))</f>
        <v/>
      </c>
      <c r="AC35" s="111" t="str">
        <f>IF($AL$35="","",IF(INDEX('Final Calculation Sheet'!$AB$4:$AB$40,$AL$35)="","",INDEX('Final Calculation Sheet'!$AB$4:$AB$40,$AL$35)))</f>
        <v/>
      </c>
      <c r="AD35" s="111" t="str">
        <f>IF($AL$35="","",IF(INDEX('Final Calculation Sheet'!$AC$4:$AC$40,$AL$35)="","",INDEX('Final Calculation Sheet'!$AC$4:$AC$40,$AL$35)))</f>
        <v/>
      </c>
      <c r="AE35" s="111" t="str">
        <f>IF($AL$35="","",IF(INDEX('Final Calculation Sheet'!$AD$4:$AD$40,$AL$35)="","",INDEX('Final Calculation Sheet'!$AD$4:$AD$40,$AL$35)))</f>
        <v/>
      </c>
      <c r="AF35" s="116" t="str">
        <f>IF($AL$35="","",IF(INDEX('Final Calculation Sheet'!$AD$4:$AD$40,$AL$35)&lt;=5,"SETTLED","OUTSTANDING"))</f>
        <v/>
      </c>
      <c r="AG35" s="111" t="str">
        <f>IF($AL$35="","",IF(INDEX('Final Calculation Sheet'!$AF$4:$AF$40,$AL$35)="","",INDEX('Final Calculation Sheet'!$AF$4:$AF$40,$AL$35)))</f>
        <v/>
      </c>
      <c r="AH35" s="115" t="str">
        <f>IF($AL$35="","",IF(INDEX('Final Calculation Sheet'!$AG$4:$AG$40,$AL$35)="","",INDEX('Final Calculation Sheet'!$AG$4:$AG$40,$AL$35)))</f>
        <v/>
      </c>
      <c r="AI35" s="111" t="str">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v>1</v>
      </c>
      <c r="AK35">
        <f>IF(AJ35=1,COUNTIF(AJ$6:AJ35,1),"")</f>
        <v>30</v>
      </c>
      <c r="AL35" t="str">
        <f>IF(COUNTIF($B$4:$AI$4,"&lt;&gt;")=0,"",IFERROR(MATCH(29,$AK$6:$AK$42,0),""))</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 ca="1">CK34+IF(AND(Lists!$EJ$35&lt;&gt;"",ISNUMBER(SEARCH($AA$4,Lists!$EJ$35))),1,0)</f>
        <v>32</v>
      </c>
      <c r="CL35">
        <f ca="1">IF(ROW()-3&gt;MAX($CK$4:$CK$42),"",INDEX(Lists!$EJ$4:$EJ$42,MATCH(ROW()-3,$CK$4:$CK$42,0)))</f>
        <v>19448.760000000002</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f>CS34+IF(AND(Lists!$FD$35&lt;&gt;"",ISNUMBER(SEARCH($AE$4,Lists!$FD$35))),1,0)</f>
        <v>11</v>
      </c>
      <c r="CT35" t="str">
        <f>IF(ROW()-3&gt;MAX($CS$4:$CS$42),"",INDEX(Lists!$FD$4:$FD$42,MATCH(ROW()-3,$CS$4:$CS$42,0)))</f>
        <v/>
      </c>
      <c r="CU35" t="e">
        <f>CU34+IF(AND(Lists!$FI$35&lt;&gt;"",ISNUMBER(SEARCH($AG$4,Lists!$FI$35))),1,0)</f>
        <v>#N/A</v>
      </c>
      <c r="CV35" t="e">
        <f>IF(ROW()-3&gt;MAX($CU$4:$CU$42),"",INDEX(Lists!$FI$4:$FI$42,MATCH(ROW()-3,$CU$4:$CU$42,0)))</f>
        <v>#N/A</v>
      </c>
      <c r="CW35" t="e">
        <f>CW34+IF(AND(Lists!$FN$35&lt;&gt;"",ISNUMBER(SEARCH($AH$4,Lists!$FN$35))),1,0)</f>
        <v>#N/A</v>
      </c>
      <c r="CX35" t="e">
        <f>IF(ROW()-3&gt;MAX($CW$4:$CW$42),"",INDEX(Lists!$FN$4:$FN$42,MATCH(ROW()-3,$CW$4:$CW$42,0)))</f>
        <v>#N/A</v>
      </c>
      <c r="CY35" t="e">
        <f>CY34+IF(AND(Lists!$FS$35&lt;&gt;"",ISNUMBER(SEARCH($AI$4,Lists!$FS$35))),1,0)</f>
        <v>#N/A</v>
      </c>
      <c r="CZ35" t="e">
        <f>IF(ROW()-3&gt;MAX($CY$4:$CY$42),"",INDEX(Lists!$FS$4:$FS$42,MATCH(ROW()-3,$CY$4:$CY$42,0)))</f>
        <v>#N/A</v>
      </c>
      <c r="DA35">
        <f>DA34+IF(AND(Lists!$FX$35&lt;&gt;"",ISNUMBER(SEARCH($AF$4,Lists!$FX$35))),1,0)</f>
        <v>2</v>
      </c>
      <c r="DB35" t="str">
        <f>IF(ROW()-3&gt;MAX($DA$4:$DA$42),"",INDEX(Lists!$FX$4:$FX$42,MATCH(ROW()-3,$DA$4:$DA$42,0)))</f>
        <v/>
      </c>
      <c r="DG35">
        <f>IF($B$4="",1,IF($B$4="(blank)",--('Final Calculation Sheet'!$F$33=""),IF($B$4="(nonblank)",--('Final Calculation Sheet'!$F$33&lt;&gt;""),--ISNUMBER(SEARCH($B$4,'Final Calculation Sheet'!$F$33)))))</f>
        <v>1</v>
      </c>
      <c r="DH35">
        <f>IF($C$4="",1,IF($C$4="(blank)",--('Final Calculation Sheet'!$G$33=""),IF($C$4="(nonblank)",--('Final Calculation Sheet'!$G$33&lt;&gt;""),--ISNUMBER(SEARCH($C$4,'Final Calculation Sheet'!$G$33)))))</f>
        <v>1</v>
      </c>
      <c r="DI35">
        <f>IF($D$4="",1,IF($D$4="(blank)",--('Final Calculation Sheet'!$B$33=""),IF($D$4="(nonblank)",--('Final Calculation Sheet'!$B$33&lt;&gt;""),--ISNUMBER(SEARCH($D$4,'Final Calculation Sheet'!$B$33)))))</f>
        <v>1</v>
      </c>
      <c r="DJ35">
        <f>IF($E$4="",1,IF($E$4="(blank)",--('Final Calculation Sheet'!$D$33=""),IF($E$4="(nonblank)",--('Final Calculation Sheet'!$D$33&lt;&gt;""),--ISNUMBER(SEARCH($E$4,'Final Calculation Sheet'!$D$33)))))</f>
        <v>1</v>
      </c>
      <c r="DK35">
        <f>IF($F$4="",1,IF($F$4="(blank)",--('Final Calculation Sheet'!$A$33=""),IF($F$4="(nonblank)",--('Final Calculation Sheet'!$A$33&lt;&gt;""),--ISNUMBER(SEARCH($F$4,'Final Calculation Sheet'!$A$33)))))</f>
        <v>1</v>
      </c>
      <c r="DL35">
        <f>IF($G$4="",1,IF($G$4="(blank)",--('Final Calculation Sheet'!$E$33=""),IF($G$4="(nonblank)",--('Final Calculation Sheet'!$E$33&lt;&gt;""),--ISNUMBER(SEARCH($G$4,'Final Calculation Sheet'!$E$33)))))</f>
        <v>1</v>
      </c>
      <c r="DM35">
        <f>IF($H$4="",1,IF($H$4="(blank)",--('Final Calculation Sheet'!$C$33=""),IF($H$4="(nonblank)",--('Final Calculation Sheet'!$C$33&lt;&gt;""),--ISNUMBER(SEARCH($H$4,'Final Calculation Sheet'!$C$33)))))</f>
        <v>1</v>
      </c>
      <c r="DN35">
        <f>IF($I$4="",1,IF($I$4="(blank)",--('Final Calculation Sheet'!$H$33=""),IF($I$4="(nonblank)",--('Final Calculation Sheet'!$H$33&lt;&gt;""),--ISNUMBER(SEARCH($I$4,'Final Calculation Sheet'!$H$33)))))</f>
        <v>1</v>
      </c>
      <c r="DO35">
        <f>IF($J$4="",1,IF($J$4="(blank)",--('Final Calculation Sheet'!$I$33=""),IF($J$4="(nonblank)",--('Final Calculation Sheet'!$I$33&lt;&gt;""),--ISNUMBER(SEARCH($J$4,'Final Calculation Sheet'!$I$33)))))</f>
        <v>1</v>
      </c>
      <c r="DP35">
        <f>IF($K$4="",1,IF($K$4="(blank)",--('Final Calculation Sheet'!$J$33=""),IF($K$4="(nonblank)",--('Final Calculation Sheet'!$J$33&lt;&gt;""),--ISNUMBER(SEARCH($K$4,'Final Calculation Sheet'!$J$33)))))</f>
        <v>1</v>
      </c>
      <c r="DQ35">
        <f>IF($L$4="",1,IF($L$4="(blank)",--('Final Calculation Sheet'!$K$33=""),IF($L$4="(nonblank)",--('Final Calculation Sheet'!$K$33&lt;&gt;""),--ISNUMBER(SEARCH($L$4,'Final Calculation Sheet'!$K$33)))))</f>
        <v>1</v>
      </c>
      <c r="DR35">
        <f>IF($M$4="",1,IF($M$4="(blank)",--('Final Calculation Sheet'!$L$33=""),IF($M$4="(nonblank)",--('Final Calculation Sheet'!$L$33&lt;&gt;""),--ISNUMBER(SEARCH($M$4,'Final Calculation Sheet'!$L$33)))))</f>
        <v>1</v>
      </c>
      <c r="DS35">
        <f>IF($N$4="",1,IF($N$4="(blank)",--('Final Calculation Sheet'!$M$33=""),IF($N$4="(nonblank)",--('Final Calculation Sheet'!$M$33&lt;&gt;""),--ISNUMBER(SEARCH($N$4,'Final Calculation Sheet'!$M$33)))))</f>
        <v>1</v>
      </c>
      <c r="DT35">
        <f>IF($O$4="",1,IF($O$4="(blank)",--('Final Calculation Sheet'!$N$33=""),IF($O$4="(nonblank)",--('Final Calculation Sheet'!$N$33&lt;&gt;""),--ISNUMBER(SEARCH($O$4,'Final Calculation Sheet'!$N$33)))))</f>
        <v>1</v>
      </c>
      <c r="DU35">
        <f>IF($P$4="",1,IF($P$4="(blank)",--('Final Calculation Sheet'!$O$33=""),IF($P$4="(nonblank)",--('Final Calculation Sheet'!$O$33&lt;&gt;""),--ISNUMBER(SEARCH($P$4,'Final Calculation Sheet'!$O$33)))))</f>
        <v>1</v>
      </c>
      <c r="DV35">
        <f>IF($Q$4="",1,IF($Q$4="(blank)",--('Final Calculation Sheet'!$P$33=""),IF($Q$4="(nonblank)",--('Final Calculation Sheet'!$P$33&lt;&gt;""),--ISNUMBER(SEARCH($Q$4,'Final Calculation Sheet'!$P$33)))))</f>
        <v>1</v>
      </c>
      <c r="DW35">
        <f>IF($R$4="",1,IF($R$4="(blank)",--('Final Calculation Sheet'!$Q$33=""),IF($R$4="(nonblank)",--('Final Calculation Sheet'!$Q$33&lt;&gt;""),--ISNUMBER(SEARCH($R$4,'Final Calculation Sheet'!$Q$33)))))</f>
        <v>1</v>
      </c>
      <c r="DX35">
        <f>IF($S$4="",1,IF($S$4="(blank)",--('Final Calculation Sheet'!$R$33=""),IF($S$4="(nonblank)",--('Final Calculation Sheet'!$R$33&lt;&gt;""),--ISNUMBER(SEARCH($S$4,'Final Calculation Sheet'!$R$33)))))</f>
        <v>1</v>
      </c>
      <c r="DY35">
        <f>IF($T$4="",1,IF($T$4="(blank)",--('Final Calculation Sheet'!$S$33=""),IF($T$4="(nonblank)",--('Final Calculation Sheet'!$S$33&lt;&gt;""),--ISNUMBER(SEARCH($T$4,'Final Calculation Sheet'!$S$33)))))</f>
        <v>1</v>
      </c>
      <c r="DZ35">
        <f>IF($U$4="",1,IF($U$4="(blank)",--('Final Calculation Sheet'!$T$33=""),IF($U$4="(nonblank)",--('Final Calculation Sheet'!$T$33&lt;&gt;""),--ISNUMBER(SEARCH($U$4,'Final Calculation Sheet'!$T$33)))))</f>
        <v>1</v>
      </c>
      <c r="EA35">
        <f>IF($V$4="",1,IF($V$4="(blank)",--('Final Calculation Sheet'!$U$33=""),IF($V$4="(nonblank)",--('Final Calculation Sheet'!$U$33&lt;&gt;""),--ISNUMBER(SEARCH($V$4,'Final Calculation Sheet'!$U$33)))))</f>
        <v>1</v>
      </c>
      <c r="EB35">
        <f>IF($W$4="",1,IF($W$4="(blank)",--('Final Calculation Sheet'!$V$33=""),IF($W$4="(nonblank)",--('Final Calculation Sheet'!$V$33&lt;&gt;""),--ISNUMBER(SEARCH($W$4,'Final Calculation Sheet'!$V$33)))))</f>
        <v>1</v>
      </c>
      <c r="EC35">
        <f>IF($X$4="",1,IF($X$4="(blank)",--('Final Calculation Sheet'!$W$33=""),IF($X$4="(nonblank)",--('Final Calculation Sheet'!$W$33&lt;&gt;""),--ISNUMBER(SEARCH($X$4,'Final Calculation Sheet'!$W$33)))))</f>
        <v>1</v>
      </c>
      <c r="ED35">
        <f>IF($Y$4="",1,IF($Y$4="(blank)",--('Final Calculation Sheet'!$X$33=""),IF($Y$4="(nonblank)",--('Final Calculation Sheet'!$X$33&lt;&gt;""),--ISNUMBER(SEARCH($Y$4,'Final Calculation Sheet'!$X$33)))))</f>
        <v>1</v>
      </c>
      <c r="EE35">
        <f>IF($Z$4="",1,IF($Z$4="(blank)",--('Final Calculation Sheet'!$Y$33=""),IF($Z$4="(nonblank)",--('Final Calculation Sheet'!$Y$33&lt;&gt;""),--ISNUMBER(SEARCH($Z$4,'Final Calculation Sheet'!$Y$33)))))</f>
        <v>1</v>
      </c>
      <c r="EF35">
        <f>IF($AA$4="",1,IF($AA$4="(blank)",--('Final Calculation Sheet'!$Z$33=""),IF($AA$4="(nonblank)",--('Final Calculation Sheet'!$Z$33&lt;&gt;""),--ISNUMBER(SEARCH($AA$4,'Final Calculation Sheet'!$Z$33)))))</f>
        <v>1</v>
      </c>
      <c r="EG35">
        <f>IF($AB$4="",1,IF($AB$4="(blank)",--('Final Calculation Sheet'!$AA$33=""),IF($AB$4="(nonblank)",--('Final Calculation Sheet'!$AA$33&lt;&gt;""),--ISNUMBER(SEARCH($AB$4,'Final Calculation Sheet'!$AA$33)))))</f>
        <v>1</v>
      </c>
      <c r="EH35">
        <f>IF($AC$4="",1,IF($AC$4="(blank)",--('Final Calculation Sheet'!$AB$33=""),IF($AC$4="(nonblank)",--('Final Calculation Sheet'!$AB$33&lt;&gt;""),--ISNUMBER(SEARCH($AC$4,'Final Calculation Sheet'!$AB$33)))))</f>
        <v>1</v>
      </c>
      <c r="EI35">
        <f>IF($AD$4="",1,IF($AD$4="(blank)",--('Final Calculation Sheet'!$AC$33=""),IF($AD$4="(nonblank)",--('Final Calculation Sheet'!$AC$33&lt;&gt;""),--ISNUMBER(SEARCH($AD$4,'Final Calculation Sheet'!$AC$33)))))</f>
        <v>1</v>
      </c>
      <c r="EJ35">
        <f>IF($AE$4="",1,IF($AE$4="(blank)",--('Final Calculation Sheet'!$AD$33=""),IF($AE$4="(nonblank)",--('Final Calculation Sheet'!$AD$33&lt;&gt;""),--ISNUMBER(SEARCH($AE$4,'Final Calculation Sheet'!$AD$33)))))</f>
        <v>1</v>
      </c>
      <c r="EK35">
        <f>IF($AF$4="",1,IF($AF$4="(blank)",--(IF('Final Calculation Sheet'!$AD$33&lt;=5,"SETTLED","OUTSTANDING")=""),IF($AF$4="(nonblank)",--(IF('Final Calculation Sheet'!$AD$33&lt;=5,"SETTLED","OUTSTANDING")&lt;&gt;""),--ISNUMBER(SEARCH($AF$4,IF('Final Calculation Sheet'!$AD$33&lt;=5,"SETTLED","OUTSTANDING"))))))</f>
        <v>1</v>
      </c>
      <c r="EL35">
        <f>IF($AG$4="",1,IF($AG$4="(blank)",--('Final Calculation Sheet'!$AF$33=""),IF($AG$4="(nonblank)",--('Final Calculation Sheet'!$AF$33&lt;&gt;""),--ISNUMBER(SEARCH($AG$4,'Final Calculation Sheet'!$AF$33)))))</f>
        <v>1</v>
      </c>
      <c r="EM35">
        <f>IF($AH$4="",1,IF($AH$4="(blank)",--('Final Calculation Sheet'!$AG$33=""),IF($AH$4="(nonblank)",--('Final Calculation Sheet'!$AG$33&lt;&gt;""),--ISNUMBER(SEARCH($AH$4,'Final Calculation Sheet'!$AG$33)))))</f>
        <v>1</v>
      </c>
      <c r="EN35">
        <f>IF($AI$4="",1,IF($AI$4="(blank)",--('Final Calculation Sheet'!$AH$33=""),IF($AI$4="(nonblank)",--('Final Calculation Sheet'!$AH$33&lt;&gt;""),--ISNUMBER(SEARCH($AI$4,'Final Calculation Sheet'!$AH$33)))))</f>
        <v>1</v>
      </c>
    </row>
    <row r="36" spans="1:144" hidden="1" outlineLevel="1" x14ac:dyDescent="0.3">
      <c r="A36" s="117" t="str">
        <f>IF($AL$36="","",30)</f>
        <v/>
      </c>
      <c r="B36" s="118" t="str">
        <f>IF($AL$36="","",IF(INDEX('Final Calculation Sheet'!$F$4:$F$40,$AL$36)="","",INDEX('Final Calculation Sheet'!$F$4:$F$40,$AL$36)))</f>
        <v/>
      </c>
      <c r="C36" s="118" t="str">
        <f>IF($AL$36="","",IF(INDEX('Final Calculation Sheet'!$G$4:$G$40,$AL$36)="","",INDEX('Final Calculation Sheet'!$G$4:$G$40,$AL$36)))</f>
        <v/>
      </c>
      <c r="D36" s="119" t="str">
        <f>IF($AL$36="","",IF(INDEX('Final Calculation Sheet'!$B$4:$B$40,$AL$36)="","",INDEX('Final Calculation Sheet'!$B$4:$B$40,$AL$36)))</f>
        <v/>
      </c>
      <c r="E36" s="119" t="str">
        <f>IF($AL$36="","",IF(INDEX('Final Calculation Sheet'!$D$4:$D$40,$AL$36)="","",INDEX('Final Calculation Sheet'!$D$4:$D$40,$AL$36)))</f>
        <v/>
      </c>
      <c r="F36" s="119" t="str">
        <f>IF($AL$36="","",IF(INDEX('Final Calculation Sheet'!$A$4:$A$40,$AL$36)="","",INDEX('Final Calculation Sheet'!$A$4:$A$40,$AL$36)))</f>
        <v/>
      </c>
      <c r="G36" s="119" t="str">
        <f>IF($AL$36="","",IF(INDEX('Final Calculation Sheet'!$E$4:$E$40,$AL$36)="","",INDEX('Final Calculation Sheet'!$E$4:$E$40,$AL$36)))</f>
        <v/>
      </c>
      <c r="H36" s="120" t="str">
        <f>IF($AL$36="","",IF(INDEX('Final Calculation Sheet'!$C$4:$C$40,$AL$36)="","",INDEX('Final Calculation Sheet'!$C$4:$C$40,$AL$36)))</f>
        <v/>
      </c>
      <c r="I36" s="120" t="str">
        <f>IF($AL$36="","",IF(INDEX('Final Calculation Sheet'!$H$4:$H$40,$AL$36)="","",INDEX('Final Calculation Sheet'!$H$4:$H$40,$AL$36)))</f>
        <v/>
      </c>
      <c r="J36" s="120" t="str">
        <f>IF($AL$36="","",IF(INDEX('Final Calculation Sheet'!$I$4:$I$40,$AL$36)="","",INDEX('Final Calculation Sheet'!$I$4:$I$40,$AL$36)))</f>
        <v/>
      </c>
      <c r="K36" s="120" t="str">
        <f>IF($AL$36="","",IF(INDEX('Final Calculation Sheet'!$J$4:$J$40,$AL$36)="","",INDEX('Final Calculation Sheet'!$J$4:$J$40,$AL$36)))</f>
        <v/>
      </c>
      <c r="L36" s="120" t="str">
        <f>IF($AL$36="","",IF(INDEX('Final Calculation Sheet'!$K$4:$K$40,$AL$36)="","",INDEX('Final Calculation Sheet'!$K$4:$K$40,$AL$36)))</f>
        <v/>
      </c>
      <c r="M36" s="120" t="str">
        <f>IF($AL$36="","",IF(INDEX('Final Calculation Sheet'!$L$4:$L$40,$AL$36)="","",INDEX('Final Calculation Sheet'!$L$4:$L$40,$AL$36)))</f>
        <v/>
      </c>
      <c r="N36" s="120" t="str">
        <f>IF($AL$36="","",IF(INDEX('Final Calculation Sheet'!$M$4:$M$40,$AL$36)="","",INDEX('Final Calculation Sheet'!$M$4:$M$40,$AL$36)))</f>
        <v/>
      </c>
      <c r="O36" s="121" t="str">
        <f>IF($AL$36="","",IF(INDEX('Final Calculation Sheet'!$N$4:$N$40,$AL$36)="","",INDEX('Final Calculation Sheet'!$N$4:$N$40,$AL$36)))</f>
        <v/>
      </c>
      <c r="P36" s="120" t="str">
        <f>IF($AL$36="","",IF(INDEX('Final Calculation Sheet'!$O$4:$O$40,$AL$36)="","",INDEX('Final Calculation Sheet'!$O$4:$O$40,$AL$36)))</f>
        <v/>
      </c>
      <c r="Q36" s="120" t="str">
        <f>IF($AL$36="","",IF(INDEX('Final Calculation Sheet'!$P$4:$P$40,$AL$36)="","",INDEX('Final Calculation Sheet'!$P$4:$P$40,$AL$36)))</f>
        <v/>
      </c>
      <c r="R36" s="122" t="str">
        <f>IF($AL$36="","",IF(INDEX('Final Calculation Sheet'!$Q$4:$Q$40,$AL$36)="","",INDEX('Final Calculation Sheet'!$Q$4:$Q$40,$AL$36)))</f>
        <v/>
      </c>
      <c r="S36" s="120" t="str">
        <f>IF($AL$36="","",IF(INDEX('Final Calculation Sheet'!$R$4:$R$40,$AL$36)="","",INDEX('Final Calculation Sheet'!$R$4:$R$40,$AL$36)))</f>
        <v/>
      </c>
      <c r="T36" s="120" t="str">
        <f>IF($AL$36="","",IF(INDEX('Final Calculation Sheet'!$S$4:$S$40,$AL$36)="","",INDEX('Final Calculation Sheet'!$S$4:$S$40,$AL$36)))</f>
        <v/>
      </c>
      <c r="U36" s="120" t="str">
        <f>IF($AL$36="","",IF(INDEX('Final Calculation Sheet'!$T$4:$T$40,$AL$36)="","",INDEX('Final Calculation Sheet'!$T$4:$T$40,$AL$36)))</f>
        <v/>
      </c>
      <c r="V36" s="123" t="str">
        <f>IF($AL$36="","",IF(INDEX('Final Calculation Sheet'!$U$4:$U$40,$AL$36)="","",INDEX('Final Calculation Sheet'!$U$4:$U$40,$AL$36)))</f>
        <v/>
      </c>
      <c r="W36" s="120" t="str">
        <f>IF($AL$36="","",IF(INDEX('Final Calculation Sheet'!$V$4:$V$40,$AL$36)="","",INDEX('Final Calculation Sheet'!$V$4:$V$40,$AL$36)))</f>
        <v/>
      </c>
      <c r="X36" s="120" t="str">
        <f>IF($AL$36="","",IF(INDEX('Final Calculation Sheet'!$W$4:$W$40,$AL$36)="","",INDEX('Final Calculation Sheet'!$W$4:$W$40,$AL$36)))</f>
        <v/>
      </c>
      <c r="Y36" s="120" t="str">
        <f>IF($AL$36="","",IF(INDEX('Final Calculation Sheet'!$X$4:$X$40,$AL$36)="","",INDEX('Final Calculation Sheet'!$X$4:$X$40,$AL$36)))</f>
        <v/>
      </c>
      <c r="Z36" s="120" t="str">
        <f>IF($AL$36="","",IF(INDEX('Final Calculation Sheet'!$Y$4:$Y$40,$AL$36)="","",INDEX('Final Calculation Sheet'!$Y$4:$Y$40,$AL$36)))</f>
        <v/>
      </c>
      <c r="AA36" s="120" t="str">
        <f>IF($AL$36="","",IF(INDEX('Final Calculation Sheet'!$Z$4:$Z$40,$AL$36)="","",INDEX('Final Calculation Sheet'!$Z$4:$Z$40,$AL$36)))</f>
        <v/>
      </c>
      <c r="AB36" s="120" t="str">
        <f>IF($AL$36="","",IF(INDEX('Final Calculation Sheet'!$AA$4:$AA$40,$AL$36)="","",INDEX('Final Calculation Sheet'!$AA$4:$AA$40,$AL$36)))</f>
        <v/>
      </c>
      <c r="AC36" s="120" t="str">
        <f>IF($AL$36="","",IF(INDEX('Final Calculation Sheet'!$AB$4:$AB$40,$AL$36)="","",INDEX('Final Calculation Sheet'!$AB$4:$AB$40,$AL$36)))</f>
        <v/>
      </c>
      <c r="AD36" s="120" t="str">
        <f>IF($AL$36="","",IF(INDEX('Final Calculation Sheet'!$AC$4:$AC$40,$AL$36)="","",INDEX('Final Calculation Sheet'!$AC$4:$AC$40,$AL$36)))</f>
        <v/>
      </c>
      <c r="AE36" s="120" t="str">
        <f>IF($AL$36="","",IF(INDEX('Final Calculation Sheet'!$AD$4:$AD$40,$AL$36)="","",INDEX('Final Calculation Sheet'!$AD$4:$AD$40,$AL$36)))</f>
        <v/>
      </c>
      <c r="AF36" s="125" t="str">
        <f>IF($AL$36="","",IF(INDEX('Final Calculation Sheet'!$AD$4:$AD$40,$AL$36)&lt;=5,"SETTLED","OUTSTANDING"))</f>
        <v/>
      </c>
      <c r="AG36" s="120" t="str">
        <f>IF($AL$36="","",IF(INDEX('Final Calculation Sheet'!$AF$4:$AF$40,$AL$36)="","",INDEX('Final Calculation Sheet'!$AF$4:$AF$40,$AL$36)))</f>
        <v/>
      </c>
      <c r="AH36" s="124" t="str">
        <f>IF($AL$36="","",IF(INDEX('Final Calculation Sheet'!$AG$4:$AG$40,$AL$36)="","",INDEX('Final Calculation Sheet'!$AG$4:$AG$40,$AL$36)))</f>
        <v/>
      </c>
      <c r="AI36" s="120" t="str">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v>1</v>
      </c>
      <c r="AK36">
        <f>IF(AJ36=1,COUNTIF(AJ$6:AJ36,1),"")</f>
        <v>31</v>
      </c>
      <c r="AL36" t="str">
        <f>IF(COUNTIF($B$4:$AI$4,"&lt;&gt;")=0,"",IFERROR(MATCH(30,$AK$6:$AK$42,0),""))</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 ca="1">CK35+IF(AND(Lists!$EJ$36&lt;&gt;"",ISNUMBER(SEARCH($AA$4,Lists!$EJ$36))),1,0)</f>
        <v>33</v>
      </c>
      <c r="CL36">
        <f ca="1">IF(ROW()-3&gt;MAX($CK$4:$CK$42),"",INDEX(Lists!$EJ$4:$EJ$42,MATCH(ROW()-3,$CK$4:$CK$42,0)))</f>
        <v>27969.150600000001</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f>CS35+IF(AND(Lists!$FD$36&lt;&gt;"",ISNUMBER(SEARCH($AE$4,Lists!$FD$36))),1,0)</f>
        <v>11</v>
      </c>
      <c r="CT36" t="str">
        <f>IF(ROW()-3&gt;MAX($CS$4:$CS$42),"",INDEX(Lists!$FD$4:$FD$42,MATCH(ROW()-3,$CS$4:$CS$42,0)))</f>
        <v/>
      </c>
      <c r="CU36" t="e">
        <f>CU35+IF(AND(Lists!$FI$36&lt;&gt;"",ISNUMBER(SEARCH($AG$4,Lists!$FI$36))),1,0)</f>
        <v>#N/A</v>
      </c>
      <c r="CV36" t="e">
        <f>IF(ROW()-3&gt;MAX($CU$4:$CU$42),"",INDEX(Lists!$FI$4:$FI$42,MATCH(ROW()-3,$CU$4:$CU$42,0)))</f>
        <v>#N/A</v>
      </c>
      <c r="CW36" t="e">
        <f>CW35+IF(AND(Lists!$FN$36&lt;&gt;"",ISNUMBER(SEARCH($AH$4,Lists!$FN$36))),1,0)</f>
        <v>#N/A</v>
      </c>
      <c r="CX36" t="e">
        <f>IF(ROW()-3&gt;MAX($CW$4:$CW$42),"",INDEX(Lists!$FN$4:$FN$42,MATCH(ROW()-3,$CW$4:$CW$42,0)))</f>
        <v>#N/A</v>
      </c>
      <c r="CY36" t="e">
        <f>CY35+IF(AND(Lists!$FS$36&lt;&gt;"",ISNUMBER(SEARCH($AI$4,Lists!$FS$36))),1,0)</f>
        <v>#N/A</v>
      </c>
      <c r="CZ36" t="e">
        <f>IF(ROW()-3&gt;MAX($CY$4:$CY$42),"",INDEX(Lists!$FS$4:$FS$42,MATCH(ROW()-3,$CY$4:$CY$42,0)))</f>
        <v>#N/A</v>
      </c>
      <c r="DA36">
        <f>DA35+IF(AND(Lists!$FX$36&lt;&gt;"",ISNUMBER(SEARCH($AF$4,Lists!$FX$36))),1,0)</f>
        <v>2</v>
      </c>
      <c r="DB36" t="str">
        <f>IF(ROW()-3&gt;MAX($DA$4:$DA$42),"",INDEX(Lists!$FX$4:$FX$42,MATCH(ROW()-3,$DA$4:$DA$42,0)))</f>
        <v/>
      </c>
      <c r="DG36">
        <f>IF($B$4="",1,IF($B$4="(blank)",--('Final Calculation Sheet'!$F$34=""),IF($B$4="(nonblank)",--('Final Calculation Sheet'!$F$34&lt;&gt;""),--ISNUMBER(SEARCH($B$4,'Final Calculation Sheet'!$F$34)))))</f>
        <v>1</v>
      </c>
      <c r="DH36">
        <f>IF($C$4="",1,IF($C$4="(blank)",--('Final Calculation Sheet'!$G$34=""),IF($C$4="(nonblank)",--('Final Calculation Sheet'!$G$34&lt;&gt;""),--ISNUMBER(SEARCH($C$4,'Final Calculation Sheet'!$G$34)))))</f>
        <v>1</v>
      </c>
      <c r="DI36">
        <f>IF($D$4="",1,IF($D$4="(blank)",--('Final Calculation Sheet'!$B$34=""),IF($D$4="(nonblank)",--('Final Calculation Sheet'!$B$34&lt;&gt;""),--ISNUMBER(SEARCH($D$4,'Final Calculation Sheet'!$B$34)))))</f>
        <v>1</v>
      </c>
      <c r="DJ36">
        <f>IF($E$4="",1,IF($E$4="(blank)",--('Final Calculation Sheet'!$D$34=""),IF($E$4="(nonblank)",--('Final Calculation Sheet'!$D$34&lt;&gt;""),--ISNUMBER(SEARCH($E$4,'Final Calculation Sheet'!$D$34)))))</f>
        <v>1</v>
      </c>
      <c r="DK36">
        <f>IF($F$4="",1,IF($F$4="(blank)",--('Final Calculation Sheet'!$A$34=""),IF($F$4="(nonblank)",--('Final Calculation Sheet'!$A$34&lt;&gt;""),--ISNUMBER(SEARCH($F$4,'Final Calculation Sheet'!$A$34)))))</f>
        <v>1</v>
      </c>
      <c r="DL36">
        <f>IF($G$4="",1,IF($G$4="(blank)",--('Final Calculation Sheet'!$E$34=""),IF($G$4="(nonblank)",--('Final Calculation Sheet'!$E$34&lt;&gt;""),--ISNUMBER(SEARCH($G$4,'Final Calculation Sheet'!$E$34)))))</f>
        <v>1</v>
      </c>
      <c r="DM36">
        <f>IF($H$4="",1,IF($H$4="(blank)",--('Final Calculation Sheet'!$C$34=""),IF($H$4="(nonblank)",--('Final Calculation Sheet'!$C$34&lt;&gt;""),--ISNUMBER(SEARCH($H$4,'Final Calculation Sheet'!$C$34)))))</f>
        <v>1</v>
      </c>
      <c r="DN36">
        <f>IF($I$4="",1,IF($I$4="(blank)",--('Final Calculation Sheet'!$H$34=""),IF($I$4="(nonblank)",--('Final Calculation Sheet'!$H$34&lt;&gt;""),--ISNUMBER(SEARCH($I$4,'Final Calculation Sheet'!$H$34)))))</f>
        <v>1</v>
      </c>
      <c r="DO36">
        <f>IF($J$4="",1,IF($J$4="(blank)",--('Final Calculation Sheet'!$I$34=""),IF($J$4="(nonblank)",--('Final Calculation Sheet'!$I$34&lt;&gt;""),--ISNUMBER(SEARCH($J$4,'Final Calculation Sheet'!$I$34)))))</f>
        <v>1</v>
      </c>
      <c r="DP36">
        <f>IF($K$4="",1,IF($K$4="(blank)",--('Final Calculation Sheet'!$J$34=""),IF($K$4="(nonblank)",--('Final Calculation Sheet'!$J$34&lt;&gt;""),--ISNUMBER(SEARCH($K$4,'Final Calculation Sheet'!$J$34)))))</f>
        <v>1</v>
      </c>
      <c r="DQ36">
        <f>IF($L$4="",1,IF($L$4="(blank)",--('Final Calculation Sheet'!$K$34=""),IF($L$4="(nonblank)",--('Final Calculation Sheet'!$K$34&lt;&gt;""),--ISNUMBER(SEARCH($L$4,'Final Calculation Sheet'!$K$34)))))</f>
        <v>1</v>
      </c>
      <c r="DR36">
        <f>IF($M$4="",1,IF($M$4="(blank)",--('Final Calculation Sheet'!$L$34=""),IF($M$4="(nonblank)",--('Final Calculation Sheet'!$L$34&lt;&gt;""),--ISNUMBER(SEARCH($M$4,'Final Calculation Sheet'!$L$34)))))</f>
        <v>1</v>
      </c>
      <c r="DS36">
        <f>IF($N$4="",1,IF($N$4="(blank)",--('Final Calculation Sheet'!$M$34=""),IF($N$4="(nonblank)",--('Final Calculation Sheet'!$M$34&lt;&gt;""),--ISNUMBER(SEARCH($N$4,'Final Calculation Sheet'!$M$34)))))</f>
        <v>1</v>
      </c>
      <c r="DT36">
        <f>IF($O$4="",1,IF($O$4="(blank)",--('Final Calculation Sheet'!$N$34=""),IF($O$4="(nonblank)",--('Final Calculation Sheet'!$N$34&lt;&gt;""),--ISNUMBER(SEARCH($O$4,'Final Calculation Sheet'!$N$34)))))</f>
        <v>1</v>
      </c>
      <c r="DU36">
        <f>IF($P$4="",1,IF($P$4="(blank)",--('Final Calculation Sheet'!$O$34=""),IF($P$4="(nonblank)",--('Final Calculation Sheet'!$O$34&lt;&gt;""),--ISNUMBER(SEARCH($P$4,'Final Calculation Sheet'!$O$34)))))</f>
        <v>1</v>
      </c>
      <c r="DV36">
        <f>IF($Q$4="",1,IF($Q$4="(blank)",--('Final Calculation Sheet'!$P$34=""),IF($Q$4="(nonblank)",--('Final Calculation Sheet'!$P$34&lt;&gt;""),--ISNUMBER(SEARCH($Q$4,'Final Calculation Sheet'!$P$34)))))</f>
        <v>1</v>
      </c>
      <c r="DW36">
        <f>IF($R$4="",1,IF($R$4="(blank)",--('Final Calculation Sheet'!$Q$34=""),IF($R$4="(nonblank)",--('Final Calculation Sheet'!$Q$34&lt;&gt;""),--ISNUMBER(SEARCH($R$4,'Final Calculation Sheet'!$Q$34)))))</f>
        <v>1</v>
      </c>
      <c r="DX36">
        <f>IF($S$4="",1,IF($S$4="(blank)",--('Final Calculation Sheet'!$R$34=""),IF($S$4="(nonblank)",--('Final Calculation Sheet'!$R$34&lt;&gt;""),--ISNUMBER(SEARCH($S$4,'Final Calculation Sheet'!$R$34)))))</f>
        <v>1</v>
      </c>
      <c r="DY36">
        <f>IF($T$4="",1,IF($T$4="(blank)",--('Final Calculation Sheet'!$S$34=""),IF($T$4="(nonblank)",--('Final Calculation Sheet'!$S$34&lt;&gt;""),--ISNUMBER(SEARCH($T$4,'Final Calculation Sheet'!$S$34)))))</f>
        <v>1</v>
      </c>
      <c r="DZ36">
        <f>IF($U$4="",1,IF($U$4="(blank)",--('Final Calculation Sheet'!$T$34=""),IF($U$4="(nonblank)",--('Final Calculation Sheet'!$T$34&lt;&gt;""),--ISNUMBER(SEARCH($U$4,'Final Calculation Sheet'!$T$34)))))</f>
        <v>1</v>
      </c>
      <c r="EA36">
        <f>IF($V$4="",1,IF($V$4="(blank)",--('Final Calculation Sheet'!$U$34=""),IF($V$4="(nonblank)",--('Final Calculation Sheet'!$U$34&lt;&gt;""),--ISNUMBER(SEARCH($V$4,'Final Calculation Sheet'!$U$34)))))</f>
        <v>1</v>
      </c>
      <c r="EB36">
        <f>IF($W$4="",1,IF($W$4="(blank)",--('Final Calculation Sheet'!$V$34=""),IF($W$4="(nonblank)",--('Final Calculation Sheet'!$V$34&lt;&gt;""),--ISNUMBER(SEARCH($W$4,'Final Calculation Sheet'!$V$34)))))</f>
        <v>1</v>
      </c>
      <c r="EC36">
        <f>IF($X$4="",1,IF($X$4="(blank)",--('Final Calculation Sheet'!$W$34=""),IF($X$4="(nonblank)",--('Final Calculation Sheet'!$W$34&lt;&gt;""),--ISNUMBER(SEARCH($X$4,'Final Calculation Sheet'!$W$34)))))</f>
        <v>1</v>
      </c>
      <c r="ED36">
        <f>IF($Y$4="",1,IF($Y$4="(blank)",--('Final Calculation Sheet'!$X$34=""),IF($Y$4="(nonblank)",--('Final Calculation Sheet'!$X$34&lt;&gt;""),--ISNUMBER(SEARCH($Y$4,'Final Calculation Sheet'!$X$34)))))</f>
        <v>1</v>
      </c>
      <c r="EE36">
        <f>IF($Z$4="",1,IF($Z$4="(blank)",--('Final Calculation Sheet'!$Y$34=""),IF($Z$4="(nonblank)",--('Final Calculation Sheet'!$Y$34&lt;&gt;""),--ISNUMBER(SEARCH($Z$4,'Final Calculation Sheet'!$Y$34)))))</f>
        <v>1</v>
      </c>
      <c r="EF36">
        <f>IF($AA$4="",1,IF($AA$4="(blank)",--('Final Calculation Sheet'!$Z$34=""),IF($AA$4="(nonblank)",--('Final Calculation Sheet'!$Z$34&lt;&gt;""),--ISNUMBER(SEARCH($AA$4,'Final Calculation Sheet'!$Z$34)))))</f>
        <v>1</v>
      </c>
      <c r="EG36">
        <f>IF($AB$4="",1,IF($AB$4="(blank)",--('Final Calculation Sheet'!$AA$34=""),IF($AB$4="(nonblank)",--('Final Calculation Sheet'!$AA$34&lt;&gt;""),--ISNUMBER(SEARCH($AB$4,'Final Calculation Sheet'!$AA$34)))))</f>
        <v>1</v>
      </c>
      <c r="EH36">
        <f>IF($AC$4="",1,IF($AC$4="(blank)",--('Final Calculation Sheet'!$AB$34=""),IF($AC$4="(nonblank)",--('Final Calculation Sheet'!$AB$34&lt;&gt;""),--ISNUMBER(SEARCH($AC$4,'Final Calculation Sheet'!$AB$34)))))</f>
        <v>1</v>
      </c>
      <c r="EI36">
        <f>IF($AD$4="",1,IF($AD$4="(blank)",--('Final Calculation Sheet'!$AC$34=""),IF($AD$4="(nonblank)",--('Final Calculation Sheet'!$AC$34&lt;&gt;""),--ISNUMBER(SEARCH($AD$4,'Final Calculation Sheet'!$AC$34)))))</f>
        <v>1</v>
      </c>
      <c r="EJ36">
        <f>IF($AE$4="",1,IF($AE$4="(blank)",--('Final Calculation Sheet'!$AD$34=""),IF($AE$4="(nonblank)",--('Final Calculation Sheet'!$AD$34&lt;&gt;""),--ISNUMBER(SEARCH($AE$4,'Final Calculation Sheet'!$AD$34)))))</f>
        <v>1</v>
      </c>
      <c r="EK36">
        <f>IF($AF$4="",1,IF($AF$4="(blank)",--(IF('Final Calculation Sheet'!$AD$34&lt;=5,"SETTLED","OUTSTANDING")=""),IF($AF$4="(nonblank)",--(IF('Final Calculation Sheet'!$AD$34&lt;=5,"SETTLED","OUTSTANDING")&lt;&gt;""),--ISNUMBER(SEARCH($AF$4,IF('Final Calculation Sheet'!$AD$34&lt;=5,"SETTLED","OUTSTANDING"))))))</f>
        <v>1</v>
      </c>
      <c r="EL36">
        <f>IF($AG$4="",1,IF($AG$4="(blank)",--('Final Calculation Sheet'!$AF$34=""),IF($AG$4="(nonblank)",--('Final Calculation Sheet'!$AF$34&lt;&gt;""),--ISNUMBER(SEARCH($AG$4,'Final Calculation Sheet'!$AF$34)))))</f>
        <v>1</v>
      </c>
      <c r="EM36">
        <f>IF($AH$4="",1,IF($AH$4="(blank)",--('Final Calculation Sheet'!$AG$34=""),IF($AH$4="(nonblank)",--('Final Calculation Sheet'!$AG$34&lt;&gt;""),--ISNUMBER(SEARCH($AH$4,'Final Calculation Sheet'!$AG$34)))))</f>
        <v>1</v>
      </c>
      <c r="EN36">
        <f>IF($AI$4="",1,IF($AI$4="(blank)",--('Final Calculation Sheet'!$AH$34=""),IF($AI$4="(nonblank)",--('Final Calculation Sheet'!$AH$34&lt;&gt;""),--ISNUMBER(SEARCH($AI$4,'Final Calculation Sheet'!$AH$34)))))</f>
        <v>1</v>
      </c>
    </row>
    <row r="37" spans="1:144" hidden="1" outlineLevel="1" x14ac:dyDescent="0.3">
      <c r="A37" s="107" t="str">
        <f>IF($AL$37="","",31)</f>
        <v/>
      </c>
      <c r="B37" s="108" t="str">
        <f>IF($AL$37="","",IF(INDEX('Final Calculation Sheet'!$F$4:$F$40,$AL$37)="","",INDEX('Final Calculation Sheet'!$F$4:$F$40,$AL$37)))</f>
        <v/>
      </c>
      <c r="C37" s="108" t="str">
        <f>IF($AL$37="","",IF(INDEX('Final Calculation Sheet'!$G$4:$G$40,$AL$37)="","",INDEX('Final Calculation Sheet'!$G$4:$G$40,$AL$37)))</f>
        <v/>
      </c>
      <c r="D37" s="110" t="str">
        <f>IF($AL$37="","",IF(INDEX('Final Calculation Sheet'!$B$4:$B$40,$AL$37)="","",INDEX('Final Calculation Sheet'!$B$4:$B$40,$AL$37)))</f>
        <v/>
      </c>
      <c r="E37" s="110" t="str">
        <f>IF($AL$37="","",IF(INDEX('Final Calculation Sheet'!$D$4:$D$40,$AL$37)="","",INDEX('Final Calculation Sheet'!$D$4:$D$40,$AL$37)))</f>
        <v/>
      </c>
      <c r="F37" s="110" t="str">
        <f>IF($AL$37="","",IF(INDEX('Final Calculation Sheet'!$A$4:$A$40,$AL$37)="","",INDEX('Final Calculation Sheet'!$A$4:$A$40,$AL$37)))</f>
        <v/>
      </c>
      <c r="G37" s="110" t="str">
        <f>IF($AL$37="","",IF(INDEX('Final Calculation Sheet'!$E$4:$E$40,$AL$37)="","",INDEX('Final Calculation Sheet'!$E$4:$E$40,$AL$37)))</f>
        <v/>
      </c>
      <c r="H37" s="111" t="str">
        <f>IF($AL$37="","",IF(INDEX('Final Calculation Sheet'!$C$4:$C$40,$AL$37)="","",INDEX('Final Calculation Sheet'!$C$4:$C$40,$AL$37)))</f>
        <v/>
      </c>
      <c r="I37" s="111" t="str">
        <f>IF($AL$37="","",IF(INDEX('Final Calculation Sheet'!$H$4:$H$40,$AL$37)="","",INDEX('Final Calculation Sheet'!$H$4:$H$40,$AL$37)))</f>
        <v/>
      </c>
      <c r="J37" s="111" t="str">
        <f>IF($AL$37="","",IF(INDEX('Final Calculation Sheet'!$I$4:$I$40,$AL$37)="","",INDEX('Final Calculation Sheet'!$I$4:$I$40,$AL$37)))</f>
        <v/>
      </c>
      <c r="K37" s="111" t="str">
        <f>IF($AL$37="","",IF(INDEX('Final Calculation Sheet'!$J$4:$J$40,$AL$37)="","",INDEX('Final Calculation Sheet'!$J$4:$J$40,$AL$37)))</f>
        <v/>
      </c>
      <c r="L37" s="111" t="str">
        <f>IF($AL$37="","",IF(INDEX('Final Calculation Sheet'!$K$4:$K$40,$AL$37)="","",INDEX('Final Calculation Sheet'!$K$4:$K$40,$AL$37)))</f>
        <v/>
      </c>
      <c r="M37" s="111" t="str">
        <f>IF($AL$37="","",IF(INDEX('Final Calculation Sheet'!$L$4:$L$40,$AL$37)="","",INDEX('Final Calculation Sheet'!$L$4:$L$40,$AL$37)))</f>
        <v/>
      </c>
      <c r="N37" s="111" t="str">
        <f>IF($AL$37="","",IF(INDEX('Final Calculation Sheet'!$M$4:$M$40,$AL$37)="","",INDEX('Final Calculation Sheet'!$M$4:$M$40,$AL$37)))</f>
        <v/>
      </c>
      <c r="O37" s="112" t="str">
        <f>IF($AL$37="","",IF(INDEX('Final Calculation Sheet'!$N$4:$N$40,$AL$37)="","",INDEX('Final Calculation Sheet'!$N$4:$N$40,$AL$37)))</f>
        <v/>
      </c>
      <c r="P37" s="111" t="str">
        <f>IF($AL$37="","",IF(INDEX('Final Calculation Sheet'!$O$4:$O$40,$AL$37)="","",INDEX('Final Calculation Sheet'!$O$4:$O$40,$AL$37)))</f>
        <v/>
      </c>
      <c r="Q37" s="111" t="str">
        <f>IF($AL$37="","",IF(INDEX('Final Calculation Sheet'!$P$4:$P$40,$AL$37)="","",INDEX('Final Calculation Sheet'!$P$4:$P$40,$AL$37)))</f>
        <v/>
      </c>
      <c r="R37" s="113" t="str">
        <f>IF($AL$37="","",IF(INDEX('Final Calculation Sheet'!$Q$4:$Q$40,$AL$37)="","",INDEX('Final Calculation Sheet'!$Q$4:$Q$40,$AL$37)))</f>
        <v/>
      </c>
      <c r="S37" s="111" t="str">
        <f>IF($AL$37="","",IF(INDEX('Final Calculation Sheet'!$R$4:$R$40,$AL$37)="","",INDEX('Final Calculation Sheet'!$R$4:$R$40,$AL$37)))</f>
        <v/>
      </c>
      <c r="T37" s="111" t="str">
        <f>IF($AL$37="","",IF(INDEX('Final Calculation Sheet'!$S$4:$S$40,$AL$37)="","",INDEX('Final Calculation Sheet'!$S$4:$S$40,$AL$37)))</f>
        <v/>
      </c>
      <c r="U37" s="111" t="str">
        <f>IF($AL$37="","",IF(INDEX('Final Calculation Sheet'!$T$4:$T$40,$AL$37)="","",INDEX('Final Calculation Sheet'!$T$4:$T$40,$AL$37)))</f>
        <v/>
      </c>
      <c r="V37" s="114" t="str">
        <f>IF($AL$37="","",IF(INDEX('Final Calculation Sheet'!$U$4:$U$40,$AL$37)="","",INDEX('Final Calculation Sheet'!$U$4:$U$40,$AL$37)))</f>
        <v/>
      </c>
      <c r="W37" s="111" t="str">
        <f>IF($AL$37="","",IF(INDEX('Final Calculation Sheet'!$V$4:$V$40,$AL$37)="","",INDEX('Final Calculation Sheet'!$V$4:$V$40,$AL$37)))</f>
        <v/>
      </c>
      <c r="X37" s="111" t="str">
        <f>IF($AL$37="","",IF(INDEX('Final Calculation Sheet'!$W$4:$W$40,$AL$37)="","",INDEX('Final Calculation Sheet'!$W$4:$W$40,$AL$37)))</f>
        <v/>
      </c>
      <c r="Y37" s="111" t="str">
        <f>IF($AL$37="","",IF(INDEX('Final Calculation Sheet'!$X$4:$X$40,$AL$37)="","",INDEX('Final Calculation Sheet'!$X$4:$X$40,$AL$37)))</f>
        <v/>
      </c>
      <c r="Z37" s="111" t="str">
        <f>IF($AL$37="","",IF(INDEX('Final Calculation Sheet'!$Y$4:$Y$40,$AL$37)="","",INDEX('Final Calculation Sheet'!$Y$4:$Y$40,$AL$37)))</f>
        <v/>
      </c>
      <c r="AA37" s="111" t="str">
        <f>IF($AL$37="","",IF(INDEX('Final Calculation Sheet'!$Z$4:$Z$40,$AL$37)="","",INDEX('Final Calculation Sheet'!$Z$4:$Z$40,$AL$37)))</f>
        <v/>
      </c>
      <c r="AB37" s="111" t="str">
        <f>IF($AL$37="","",IF(INDEX('Final Calculation Sheet'!$AA$4:$AA$40,$AL$37)="","",INDEX('Final Calculation Sheet'!$AA$4:$AA$40,$AL$37)))</f>
        <v/>
      </c>
      <c r="AC37" s="111" t="str">
        <f>IF($AL$37="","",IF(INDEX('Final Calculation Sheet'!$AB$4:$AB$40,$AL$37)="","",INDEX('Final Calculation Sheet'!$AB$4:$AB$40,$AL$37)))</f>
        <v/>
      </c>
      <c r="AD37" s="111" t="str">
        <f>IF($AL$37="","",IF(INDEX('Final Calculation Sheet'!$AC$4:$AC$40,$AL$37)="","",INDEX('Final Calculation Sheet'!$AC$4:$AC$40,$AL$37)))</f>
        <v/>
      </c>
      <c r="AE37" s="111" t="str">
        <f>IF($AL$37="","",IF(INDEX('Final Calculation Sheet'!$AD$4:$AD$40,$AL$37)="","",INDEX('Final Calculation Sheet'!$AD$4:$AD$40,$AL$37)))</f>
        <v/>
      </c>
      <c r="AF37" s="116" t="str">
        <f>IF($AL$37="","",IF(INDEX('Final Calculation Sheet'!$AD$4:$AD$40,$AL$37)&lt;=5,"SETTLED","OUTSTANDING"))</f>
        <v/>
      </c>
      <c r="AG37" s="111" t="str">
        <f>IF($AL$37="","",IF(INDEX('Final Calculation Sheet'!$AF$4:$AF$40,$AL$37)="","",INDEX('Final Calculation Sheet'!$AF$4:$AF$40,$AL$37)))</f>
        <v/>
      </c>
      <c r="AH37" s="115" t="str">
        <f>IF($AL$37="","",IF(INDEX('Final Calculation Sheet'!$AG$4:$AG$40,$AL$37)="","",INDEX('Final Calculation Sheet'!$AG$4:$AG$40,$AL$37)))</f>
        <v/>
      </c>
      <c r="AI37" s="111" t="str">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v>1</v>
      </c>
      <c r="AK37">
        <f>IF(AJ37=1,COUNTIF(AJ$6:AJ37,1),"")</f>
        <v>32</v>
      </c>
      <c r="AL37" t="str">
        <f>IF(COUNTIF($B$4:$AI$4,"&lt;&gt;")=0,"",IFERROR(MATCH(31,$AK$6:$AK$42,0),""))</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 ca="1">CK36+IF(AND(Lists!$EJ$37&lt;&gt;"",ISNUMBER(SEARCH($AA$4,Lists!$EJ$37))),1,0)</f>
        <v>34</v>
      </c>
      <c r="CL37">
        <f ca="1">IF(ROW()-3&gt;MAX($CK$4:$CK$42),"",INDEX(Lists!$EJ$4:$EJ$42,MATCH(ROW()-3,$CK$4:$CK$42,0)))</f>
        <v>41258.699999999997</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f>CS36+IF(AND(Lists!$FD$37&lt;&gt;"",ISNUMBER(SEARCH($AE$4,Lists!$FD$37))),1,0)</f>
        <v>11</v>
      </c>
      <c r="CT37" t="str">
        <f>IF(ROW()-3&gt;MAX($CS$4:$CS$42),"",INDEX(Lists!$FD$4:$FD$42,MATCH(ROW()-3,$CS$4:$CS$42,0)))</f>
        <v/>
      </c>
      <c r="CU37" t="e">
        <f>CU36+IF(AND(Lists!$FI$37&lt;&gt;"",ISNUMBER(SEARCH($AG$4,Lists!$FI$37))),1,0)</f>
        <v>#N/A</v>
      </c>
      <c r="CV37" t="e">
        <f>IF(ROW()-3&gt;MAX($CU$4:$CU$42),"",INDEX(Lists!$FI$4:$FI$42,MATCH(ROW()-3,$CU$4:$CU$42,0)))</f>
        <v>#N/A</v>
      </c>
      <c r="CW37" t="e">
        <f>CW36+IF(AND(Lists!$FN$37&lt;&gt;"",ISNUMBER(SEARCH($AH$4,Lists!$FN$37))),1,0)</f>
        <v>#N/A</v>
      </c>
      <c r="CX37" t="e">
        <f>IF(ROW()-3&gt;MAX($CW$4:$CW$42),"",INDEX(Lists!$FN$4:$FN$42,MATCH(ROW()-3,$CW$4:$CW$42,0)))</f>
        <v>#N/A</v>
      </c>
      <c r="CY37" t="e">
        <f>CY36+IF(AND(Lists!$FS$37&lt;&gt;"",ISNUMBER(SEARCH($AI$4,Lists!$FS$37))),1,0)</f>
        <v>#N/A</v>
      </c>
      <c r="CZ37" t="e">
        <f>IF(ROW()-3&gt;MAX($CY$4:$CY$42),"",INDEX(Lists!$FS$4:$FS$42,MATCH(ROW()-3,$CY$4:$CY$42,0)))</f>
        <v>#N/A</v>
      </c>
      <c r="DA37">
        <f>DA36+IF(AND(Lists!$FX$37&lt;&gt;"",ISNUMBER(SEARCH($AF$4,Lists!$FX$37))),1,0)</f>
        <v>2</v>
      </c>
      <c r="DB37" t="str">
        <f>IF(ROW()-3&gt;MAX($DA$4:$DA$42),"",INDEX(Lists!$FX$4:$FX$42,MATCH(ROW()-3,$DA$4:$DA$42,0)))</f>
        <v/>
      </c>
      <c r="DG37">
        <f>IF($B$4="",1,IF($B$4="(blank)",--('Final Calculation Sheet'!$F$35=""),IF($B$4="(nonblank)",--('Final Calculation Sheet'!$F$35&lt;&gt;""),--ISNUMBER(SEARCH($B$4,'Final Calculation Sheet'!$F$35)))))</f>
        <v>1</v>
      </c>
      <c r="DH37">
        <f>IF($C$4="",1,IF($C$4="(blank)",--('Final Calculation Sheet'!$G$35=""),IF($C$4="(nonblank)",--('Final Calculation Sheet'!$G$35&lt;&gt;""),--ISNUMBER(SEARCH($C$4,'Final Calculation Sheet'!$G$35)))))</f>
        <v>1</v>
      </c>
      <c r="DI37">
        <f>IF($D$4="",1,IF($D$4="(blank)",--('Final Calculation Sheet'!$B$35=""),IF($D$4="(nonblank)",--('Final Calculation Sheet'!$B$35&lt;&gt;""),--ISNUMBER(SEARCH($D$4,'Final Calculation Sheet'!$B$35)))))</f>
        <v>1</v>
      </c>
      <c r="DJ37">
        <f>IF($E$4="",1,IF($E$4="(blank)",--('Final Calculation Sheet'!$D$35=""),IF($E$4="(nonblank)",--('Final Calculation Sheet'!$D$35&lt;&gt;""),--ISNUMBER(SEARCH($E$4,'Final Calculation Sheet'!$D$35)))))</f>
        <v>1</v>
      </c>
      <c r="DK37">
        <f>IF($F$4="",1,IF($F$4="(blank)",--('Final Calculation Sheet'!$A$35=""),IF($F$4="(nonblank)",--('Final Calculation Sheet'!$A$35&lt;&gt;""),--ISNUMBER(SEARCH($F$4,'Final Calculation Sheet'!$A$35)))))</f>
        <v>1</v>
      </c>
      <c r="DL37">
        <f>IF($G$4="",1,IF($G$4="(blank)",--('Final Calculation Sheet'!$E$35=""),IF($G$4="(nonblank)",--('Final Calculation Sheet'!$E$35&lt;&gt;""),--ISNUMBER(SEARCH($G$4,'Final Calculation Sheet'!$E$35)))))</f>
        <v>1</v>
      </c>
      <c r="DM37">
        <f>IF($H$4="",1,IF($H$4="(blank)",--('Final Calculation Sheet'!$C$35=""),IF($H$4="(nonblank)",--('Final Calculation Sheet'!$C$35&lt;&gt;""),--ISNUMBER(SEARCH($H$4,'Final Calculation Sheet'!$C$35)))))</f>
        <v>1</v>
      </c>
      <c r="DN37">
        <f>IF($I$4="",1,IF($I$4="(blank)",--('Final Calculation Sheet'!$H$35=""),IF($I$4="(nonblank)",--('Final Calculation Sheet'!$H$35&lt;&gt;""),--ISNUMBER(SEARCH($I$4,'Final Calculation Sheet'!$H$35)))))</f>
        <v>1</v>
      </c>
      <c r="DO37">
        <f>IF($J$4="",1,IF($J$4="(blank)",--('Final Calculation Sheet'!$I$35=""),IF($J$4="(nonblank)",--('Final Calculation Sheet'!$I$35&lt;&gt;""),--ISNUMBER(SEARCH($J$4,'Final Calculation Sheet'!$I$35)))))</f>
        <v>1</v>
      </c>
      <c r="DP37">
        <f>IF($K$4="",1,IF($K$4="(blank)",--('Final Calculation Sheet'!$J$35=""),IF($K$4="(nonblank)",--('Final Calculation Sheet'!$J$35&lt;&gt;""),--ISNUMBER(SEARCH($K$4,'Final Calculation Sheet'!$J$35)))))</f>
        <v>1</v>
      </c>
      <c r="DQ37">
        <f>IF($L$4="",1,IF($L$4="(blank)",--('Final Calculation Sheet'!$K$35=""),IF($L$4="(nonblank)",--('Final Calculation Sheet'!$K$35&lt;&gt;""),--ISNUMBER(SEARCH($L$4,'Final Calculation Sheet'!$K$35)))))</f>
        <v>1</v>
      </c>
      <c r="DR37">
        <f>IF($M$4="",1,IF($M$4="(blank)",--('Final Calculation Sheet'!$L$35=""),IF($M$4="(nonblank)",--('Final Calculation Sheet'!$L$35&lt;&gt;""),--ISNUMBER(SEARCH($M$4,'Final Calculation Sheet'!$L$35)))))</f>
        <v>1</v>
      </c>
      <c r="DS37">
        <f>IF($N$4="",1,IF($N$4="(blank)",--('Final Calculation Sheet'!$M$35=""),IF($N$4="(nonblank)",--('Final Calculation Sheet'!$M$35&lt;&gt;""),--ISNUMBER(SEARCH($N$4,'Final Calculation Sheet'!$M$35)))))</f>
        <v>1</v>
      </c>
      <c r="DT37">
        <f>IF($O$4="",1,IF($O$4="(blank)",--('Final Calculation Sheet'!$N$35=""),IF($O$4="(nonblank)",--('Final Calculation Sheet'!$N$35&lt;&gt;""),--ISNUMBER(SEARCH($O$4,'Final Calculation Sheet'!$N$35)))))</f>
        <v>1</v>
      </c>
      <c r="DU37">
        <f>IF($P$4="",1,IF($P$4="(blank)",--('Final Calculation Sheet'!$O$35=""),IF($P$4="(nonblank)",--('Final Calculation Sheet'!$O$35&lt;&gt;""),--ISNUMBER(SEARCH($P$4,'Final Calculation Sheet'!$O$35)))))</f>
        <v>1</v>
      </c>
      <c r="DV37">
        <f>IF($Q$4="",1,IF($Q$4="(blank)",--('Final Calculation Sheet'!$P$35=""),IF($Q$4="(nonblank)",--('Final Calculation Sheet'!$P$35&lt;&gt;""),--ISNUMBER(SEARCH($Q$4,'Final Calculation Sheet'!$P$35)))))</f>
        <v>1</v>
      </c>
      <c r="DW37">
        <f>IF($R$4="",1,IF($R$4="(blank)",--('Final Calculation Sheet'!$Q$35=""),IF($R$4="(nonblank)",--('Final Calculation Sheet'!$Q$35&lt;&gt;""),--ISNUMBER(SEARCH($R$4,'Final Calculation Sheet'!$Q$35)))))</f>
        <v>1</v>
      </c>
      <c r="DX37">
        <f>IF($S$4="",1,IF($S$4="(blank)",--('Final Calculation Sheet'!$R$35=""),IF($S$4="(nonblank)",--('Final Calculation Sheet'!$R$35&lt;&gt;""),--ISNUMBER(SEARCH($S$4,'Final Calculation Sheet'!$R$35)))))</f>
        <v>1</v>
      </c>
      <c r="DY37">
        <f>IF($T$4="",1,IF($T$4="(blank)",--('Final Calculation Sheet'!$S$35=""),IF($T$4="(nonblank)",--('Final Calculation Sheet'!$S$35&lt;&gt;""),--ISNUMBER(SEARCH($T$4,'Final Calculation Sheet'!$S$35)))))</f>
        <v>1</v>
      </c>
      <c r="DZ37">
        <f>IF($U$4="",1,IF($U$4="(blank)",--('Final Calculation Sheet'!$T$35=""),IF($U$4="(nonblank)",--('Final Calculation Sheet'!$T$35&lt;&gt;""),--ISNUMBER(SEARCH($U$4,'Final Calculation Sheet'!$T$35)))))</f>
        <v>1</v>
      </c>
      <c r="EA37">
        <f>IF($V$4="",1,IF($V$4="(blank)",--('Final Calculation Sheet'!$U$35=""),IF($V$4="(nonblank)",--('Final Calculation Sheet'!$U$35&lt;&gt;""),--ISNUMBER(SEARCH($V$4,'Final Calculation Sheet'!$U$35)))))</f>
        <v>1</v>
      </c>
      <c r="EB37">
        <f>IF($W$4="",1,IF($W$4="(blank)",--('Final Calculation Sheet'!$V$35=""),IF($W$4="(nonblank)",--('Final Calculation Sheet'!$V$35&lt;&gt;""),--ISNUMBER(SEARCH($W$4,'Final Calculation Sheet'!$V$35)))))</f>
        <v>1</v>
      </c>
      <c r="EC37">
        <f>IF($X$4="",1,IF($X$4="(blank)",--('Final Calculation Sheet'!$W$35=""),IF($X$4="(nonblank)",--('Final Calculation Sheet'!$W$35&lt;&gt;""),--ISNUMBER(SEARCH($X$4,'Final Calculation Sheet'!$W$35)))))</f>
        <v>1</v>
      </c>
      <c r="ED37">
        <f>IF($Y$4="",1,IF($Y$4="(blank)",--('Final Calculation Sheet'!$X$35=""),IF($Y$4="(nonblank)",--('Final Calculation Sheet'!$X$35&lt;&gt;""),--ISNUMBER(SEARCH($Y$4,'Final Calculation Sheet'!$X$35)))))</f>
        <v>1</v>
      </c>
      <c r="EE37">
        <f>IF($Z$4="",1,IF($Z$4="(blank)",--('Final Calculation Sheet'!$Y$35=""),IF($Z$4="(nonblank)",--('Final Calculation Sheet'!$Y$35&lt;&gt;""),--ISNUMBER(SEARCH($Z$4,'Final Calculation Sheet'!$Y$35)))))</f>
        <v>1</v>
      </c>
      <c r="EF37">
        <f>IF($AA$4="",1,IF($AA$4="(blank)",--('Final Calculation Sheet'!$Z$35=""),IF($AA$4="(nonblank)",--('Final Calculation Sheet'!$Z$35&lt;&gt;""),--ISNUMBER(SEARCH($AA$4,'Final Calculation Sheet'!$Z$35)))))</f>
        <v>1</v>
      </c>
      <c r="EG37">
        <f>IF($AB$4="",1,IF($AB$4="(blank)",--('Final Calculation Sheet'!$AA$35=""),IF($AB$4="(nonblank)",--('Final Calculation Sheet'!$AA$35&lt;&gt;""),--ISNUMBER(SEARCH($AB$4,'Final Calculation Sheet'!$AA$35)))))</f>
        <v>1</v>
      </c>
      <c r="EH37">
        <f>IF($AC$4="",1,IF($AC$4="(blank)",--('Final Calculation Sheet'!$AB$35=""),IF($AC$4="(nonblank)",--('Final Calculation Sheet'!$AB$35&lt;&gt;""),--ISNUMBER(SEARCH($AC$4,'Final Calculation Sheet'!$AB$35)))))</f>
        <v>1</v>
      </c>
      <c r="EI37">
        <f>IF($AD$4="",1,IF($AD$4="(blank)",--('Final Calculation Sheet'!$AC$35=""),IF($AD$4="(nonblank)",--('Final Calculation Sheet'!$AC$35&lt;&gt;""),--ISNUMBER(SEARCH($AD$4,'Final Calculation Sheet'!$AC$35)))))</f>
        <v>1</v>
      </c>
      <c r="EJ37">
        <f>IF($AE$4="",1,IF($AE$4="(blank)",--('Final Calculation Sheet'!$AD$35=""),IF($AE$4="(nonblank)",--('Final Calculation Sheet'!$AD$35&lt;&gt;""),--ISNUMBER(SEARCH($AE$4,'Final Calculation Sheet'!$AD$35)))))</f>
        <v>1</v>
      </c>
      <c r="EK37">
        <f>IF($AF$4="",1,IF($AF$4="(blank)",--(IF('Final Calculation Sheet'!$AD$35&lt;=5,"SETTLED","OUTSTANDING")=""),IF($AF$4="(nonblank)",--(IF('Final Calculation Sheet'!$AD$35&lt;=5,"SETTLED","OUTSTANDING")&lt;&gt;""),--ISNUMBER(SEARCH($AF$4,IF('Final Calculation Sheet'!$AD$35&lt;=5,"SETTLED","OUTSTANDING"))))))</f>
        <v>1</v>
      </c>
      <c r="EL37">
        <f>IF($AG$4="",1,IF($AG$4="(blank)",--('Final Calculation Sheet'!$AF$35=""),IF($AG$4="(nonblank)",--('Final Calculation Sheet'!$AF$35&lt;&gt;""),--ISNUMBER(SEARCH($AG$4,'Final Calculation Sheet'!$AF$35)))))</f>
        <v>1</v>
      </c>
      <c r="EM37">
        <f>IF($AH$4="",1,IF($AH$4="(blank)",--('Final Calculation Sheet'!$AG$35=""),IF($AH$4="(nonblank)",--('Final Calculation Sheet'!$AG$35&lt;&gt;""),--ISNUMBER(SEARCH($AH$4,'Final Calculation Sheet'!$AG$35)))))</f>
        <v>1</v>
      </c>
      <c r="EN37">
        <f>IF($AI$4="",1,IF($AI$4="(blank)",--('Final Calculation Sheet'!$AH$35=""),IF($AI$4="(nonblank)",--('Final Calculation Sheet'!$AH$35&lt;&gt;""),--ISNUMBER(SEARCH($AI$4,'Final Calculation Sheet'!$AH$35)))))</f>
        <v>1</v>
      </c>
    </row>
    <row r="38" spans="1:144" hidden="1" outlineLevel="1" x14ac:dyDescent="0.3">
      <c r="A38" s="117" t="str">
        <f>IF($AL$38="","",32)</f>
        <v/>
      </c>
      <c r="B38" s="118" t="str">
        <f>IF($AL$38="","",IF(INDEX('Final Calculation Sheet'!$F$4:$F$40,$AL$38)="","",INDEX('Final Calculation Sheet'!$F$4:$F$40,$AL$38)))</f>
        <v/>
      </c>
      <c r="C38" s="118" t="str">
        <f>IF($AL$38="","",IF(INDEX('Final Calculation Sheet'!$G$4:$G$40,$AL$38)="","",INDEX('Final Calculation Sheet'!$G$4:$G$40,$AL$38)))</f>
        <v/>
      </c>
      <c r="D38" s="119" t="str">
        <f>IF($AL$38="","",IF(INDEX('Final Calculation Sheet'!$B$4:$B$40,$AL$38)="","",INDEX('Final Calculation Sheet'!$B$4:$B$40,$AL$38)))</f>
        <v/>
      </c>
      <c r="E38" s="119" t="str">
        <f>IF($AL$38="","",IF(INDEX('Final Calculation Sheet'!$D$4:$D$40,$AL$38)="","",INDEX('Final Calculation Sheet'!$D$4:$D$40,$AL$38)))</f>
        <v/>
      </c>
      <c r="F38" s="119" t="str">
        <f>IF($AL$38="","",IF(INDEX('Final Calculation Sheet'!$A$4:$A$40,$AL$38)="","",INDEX('Final Calculation Sheet'!$A$4:$A$40,$AL$38)))</f>
        <v/>
      </c>
      <c r="G38" s="119" t="str">
        <f>IF($AL$38="","",IF(INDEX('Final Calculation Sheet'!$E$4:$E$40,$AL$38)="","",INDEX('Final Calculation Sheet'!$E$4:$E$40,$AL$38)))</f>
        <v/>
      </c>
      <c r="H38" s="120" t="str">
        <f>IF($AL$38="","",IF(INDEX('Final Calculation Sheet'!$C$4:$C$40,$AL$38)="","",INDEX('Final Calculation Sheet'!$C$4:$C$40,$AL$38)))</f>
        <v/>
      </c>
      <c r="I38" s="120" t="str">
        <f>IF($AL$38="","",IF(INDEX('Final Calculation Sheet'!$H$4:$H$40,$AL$38)="","",INDEX('Final Calculation Sheet'!$H$4:$H$40,$AL$38)))</f>
        <v/>
      </c>
      <c r="J38" s="120" t="str">
        <f>IF($AL$38="","",IF(INDEX('Final Calculation Sheet'!$I$4:$I$40,$AL$38)="","",INDEX('Final Calculation Sheet'!$I$4:$I$40,$AL$38)))</f>
        <v/>
      </c>
      <c r="K38" s="120" t="str">
        <f>IF($AL$38="","",IF(INDEX('Final Calculation Sheet'!$J$4:$J$40,$AL$38)="","",INDEX('Final Calculation Sheet'!$J$4:$J$40,$AL$38)))</f>
        <v/>
      </c>
      <c r="L38" s="120" t="str">
        <f>IF($AL$38="","",IF(INDEX('Final Calculation Sheet'!$K$4:$K$40,$AL$38)="","",INDEX('Final Calculation Sheet'!$K$4:$K$40,$AL$38)))</f>
        <v/>
      </c>
      <c r="M38" s="120" t="str">
        <f>IF($AL$38="","",IF(INDEX('Final Calculation Sheet'!$L$4:$L$40,$AL$38)="","",INDEX('Final Calculation Sheet'!$L$4:$L$40,$AL$38)))</f>
        <v/>
      </c>
      <c r="N38" s="120" t="str">
        <f>IF($AL$38="","",IF(INDEX('Final Calculation Sheet'!$M$4:$M$40,$AL$38)="","",INDEX('Final Calculation Sheet'!$M$4:$M$40,$AL$38)))</f>
        <v/>
      </c>
      <c r="O38" s="121" t="str">
        <f>IF($AL$38="","",IF(INDEX('Final Calculation Sheet'!$N$4:$N$40,$AL$38)="","",INDEX('Final Calculation Sheet'!$N$4:$N$40,$AL$38)))</f>
        <v/>
      </c>
      <c r="P38" s="120" t="str">
        <f>IF($AL$38="","",IF(INDEX('Final Calculation Sheet'!$O$4:$O$40,$AL$38)="","",INDEX('Final Calculation Sheet'!$O$4:$O$40,$AL$38)))</f>
        <v/>
      </c>
      <c r="Q38" s="120" t="str">
        <f>IF($AL$38="","",IF(INDEX('Final Calculation Sheet'!$P$4:$P$40,$AL$38)="","",INDEX('Final Calculation Sheet'!$P$4:$P$40,$AL$38)))</f>
        <v/>
      </c>
      <c r="R38" s="122" t="str">
        <f>IF($AL$38="","",IF(INDEX('Final Calculation Sheet'!$Q$4:$Q$40,$AL$38)="","",INDEX('Final Calculation Sheet'!$Q$4:$Q$40,$AL$38)))</f>
        <v/>
      </c>
      <c r="S38" s="120" t="str">
        <f>IF($AL$38="","",IF(INDEX('Final Calculation Sheet'!$R$4:$R$40,$AL$38)="","",INDEX('Final Calculation Sheet'!$R$4:$R$40,$AL$38)))</f>
        <v/>
      </c>
      <c r="T38" s="120" t="str">
        <f>IF($AL$38="","",IF(INDEX('Final Calculation Sheet'!$S$4:$S$40,$AL$38)="","",INDEX('Final Calculation Sheet'!$S$4:$S$40,$AL$38)))</f>
        <v/>
      </c>
      <c r="U38" s="120" t="str">
        <f>IF($AL$38="","",IF(INDEX('Final Calculation Sheet'!$T$4:$T$40,$AL$38)="","",INDEX('Final Calculation Sheet'!$T$4:$T$40,$AL$38)))</f>
        <v/>
      </c>
      <c r="V38" s="123" t="str">
        <f>IF($AL$38="","",IF(INDEX('Final Calculation Sheet'!$U$4:$U$40,$AL$38)="","",INDEX('Final Calculation Sheet'!$U$4:$U$40,$AL$38)))</f>
        <v/>
      </c>
      <c r="W38" s="120" t="str">
        <f>IF($AL$38="","",IF(INDEX('Final Calculation Sheet'!$V$4:$V$40,$AL$38)="","",INDEX('Final Calculation Sheet'!$V$4:$V$40,$AL$38)))</f>
        <v/>
      </c>
      <c r="X38" s="120" t="str">
        <f>IF($AL$38="","",IF(INDEX('Final Calculation Sheet'!$W$4:$W$40,$AL$38)="","",INDEX('Final Calculation Sheet'!$W$4:$W$40,$AL$38)))</f>
        <v/>
      </c>
      <c r="Y38" s="120" t="str">
        <f>IF($AL$38="","",IF(INDEX('Final Calculation Sheet'!$X$4:$X$40,$AL$38)="","",INDEX('Final Calculation Sheet'!$X$4:$X$40,$AL$38)))</f>
        <v/>
      </c>
      <c r="Z38" s="120" t="str">
        <f>IF($AL$38="","",IF(INDEX('Final Calculation Sheet'!$Y$4:$Y$40,$AL$38)="","",INDEX('Final Calculation Sheet'!$Y$4:$Y$40,$AL$38)))</f>
        <v/>
      </c>
      <c r="AA38" s="120" t="str">
        <f>IF($AL$38="","",IF(INDEX('Final Calculation Sheet'!$Z$4:$Z$40,$AL$38)="","",INDEX('Final Calculation Sheet'!$Z$4:$Z$40,$AL$38)))</f>
        <v/>
      </c>
      <c r="AB38" s="120" t="str">
        <f>IF($AL$38="","",IF(INDEX('Final Calculation Sheet'!$AA$4:$AA$40,$AL$38)="","",INDEX('Final Calculation Sheet'!$AA$4:$AA$40,$AL$38)))</f>
        <v/>
      </c>
      <c r="AC38" s="120" t="str">
        <f>IF($AL$38="","",IF(INDEX('Final Calculation Sheet'!$AB$4:$AB$40,$AL$38)="","",INDEX('Final Calculation Sheet'!$AB$4:$AB$40,$AL$38)))</f>
        <v/>
      </c>
      <c r="AD38" s="120" t="str">
        <f>IF($AL$38="","",IF(INDEX('Final Calculation Sheet'!$AC$4:$AC$40,$AL$38)="","",INDEX('Final Calculation Sheet'!$AC$4:$AC$40,$AL$38)))</f>
        <v/>
      </c>
      <c r="AE38" s="120" t="str">
        <f>IF($AL$38="","",IF(INDEX('Final Calculation Sheet'!$AD$4:$AD$40,$AL$38)="","",INDEX('Final Calculation Sheet'!$AD$4:$AD$40,$AL$38)))</f>
        <v/>
      </c>
      <c r="AF38" s="125" t="str">
        <f>IF($AL$38="","",IF(INDEX('Final Calculation Sheet'!$AD$4:$AD$40,$AL$38)&lt;=5,"SETTLED","OUTSTANDING"))</f>
        <v/>
      </c>
      <c r="AG38" s="120" t="str">
        <f>IF($AL$38="","",IF(INDEX('Final Calculation Sheet'!$AF$4:$AF$40,$AL$38)="","",INDEX('Final Calculation Sheet'!$AF$4:$AF$40,$AL$38)))</f>
        <v/>
      </c>
      <c r="AH38" s="124" t="str">
        <f>IF($AL$38="","",IF(INDEX('Final Calculation Sheet'!$AG$4:$AG$40,$AL$38)="","",INDEX('Final Calculation Sheet'!$AG$4:$AG$40,$AL$38)))</f>
        <v/>
      </c>
      <c r="AI38" s="120" t="str">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v>1</v>
      </c>
      <c r="AK38">
        <f>IF(AJ38=1,COUNTIF(AJ$6:AJ38,1),"")</f>
        <v>33</v>
      </c>
      <c r="AL38" t="str">
        <f>IF(COUNTIF($B$4:$AI$4,"&lt;&gt;")=0,"",IFERROR(MATCH(32,$AK$6:$AK$42,0),""))</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 ca="1">CK37+IF(AND(Lists!$EJ$38&lt;&gt;"",ISNUMBER(SEARCH($AA$4,Lists!$EJ$38))),1,0)</f>
        <v>35</v>
      </c>
      <c r="CL38">
        <f ca="1">IF(ROW()-3&gt;MAX($CK$4:$CK$42),"",INDEX(Lists!$EJ$4:$EJ$42,MATCH(ROW()-3,$CK$4:$CK$42,0)))</f>
        <v>58283.657399999996</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f>CS37+IF(AND(Lists!$FD$38&lt;&gt;"",ISNUMBER(SEARCH($AE$4,Lists!$FD$38))),1,0)</f>
        <v>11</v>
      </c>
      <c r="CT38" t="str">
        <f>IF(ROW()-3&gt;MAX($CS$4:$CS$42),"",INDEX(Lists!$FD$4:$FD$42,MATCH(ROW()-3,$CS$4:$CS$42,0)))</f>
        <v/>
      </c>
      <c r="CU38" t="e">
        <f>CU37+IF(AND(Lists!$FI$38&lt;&gt;"",ISNUMBER(SEARCH($AG$4,Lists!$FI$38))),1,0)</f>
        <v>#N/A</v>
      </c>
      <c r="CV38" t="e">
        <f>IF(ROW()-3&gt;MAX($CU$4:$CU$42),"",INDEX(Lists!$FI$4:$FI$42,MATCH(ROW()-3,$CU$4:$CU$42,0)))</f>
        <v>#N/A</v>
      </c>
      <c r="CW38" t="e">
        <f>CW37+IF(AND(Lists!$FN$38&lt;&gt;"",ISNUMBER(SEARCH($AH$4,Lists!$FN$38))),1,0)</f>
        <v>#N/A</v>
      </c>
      <c r="CX38" t="e">
        <f>IF(ROW()-3&gt;MAX($CW$4:$CW$42),"",INDEX(Lists!$FN$4:$FN$42,MATCH(ROW()-3,$CW$4:$CW$42,0)))</f>
        <v>#N/A</v>
      </c>
      <c r="CY38" t="e">
        <f>CY37+IF(AND(Lists!$FS$38&lt;&gt;"",ISNUMBER(SEARCH($AI$4,Lists!$FS$38))),1,0)</f>
        <v>#N/A</v>
      </c>
      <c r="CZ38" t="e">
        <f>IF(ROW()-3&gt;MAX($CY$4:$CY$42),"",INDEX(Lists!$FS$4:$FS$42,MATCH(ROW()-3,$CY$4:$CY$42,0)))</f>
        <v>#N/A</v>
      </c>
      <c r="DA38">
        <f>DA37+IF(AND(Lists!$FX$38&lt;&gt;"",ISNUMBER(SEARCH($AF$4,Lists!$FX$38))),1,0)</f>
        <v>2</v>
      </c>
      <c r="DB38" t="str">
        <f>IF(ROW()-3&gt;MAX($DA$4:$DA$42),"",INDEX(Lists!$FX$4:$FX$42,MATCH(ROW()-3,$DA$4:$DA$42,0)))</f>
        <v/>
      </c>
      <c r="DG38">
        <f>IF($B$4="",1,IF($B$4="(blank)",--('Final Calculation Sheet'!$F$36=""),IF($B$4="(nonblank)",--('Final Calculation Sheet'!$F$36&lt;&gt;""),--ISNUMBER(SEARCH($B$4,'Final Calculation Sheet'!$F$36)))))</f>
        <v>1</v>
      </c>
      <c r="DH38">
        <f>IF($C$4="",1,IF($C$4="(blank)",--('Final Calculation Sheet'!$G$36=""),IF($C$4="(nonblank)",--('Final Calculation Sheet'!$G$36&lt;&gt;""),--ISNUMBER(SEARCH($C$4,'Final Calculation Sheet'!$G$36)))))</f>
        <v>1</v>
      </c>
      <c r="DI38">
        <f>IF($D$4="",1,IF($D$4="(blank)",--('Final Calculation Sheet'!$B$36=""),IF($D$4="(nonblank)",--('Final Calculation Sheet'!$B$36&lt;&gt;""),--ISNUMBER(SEARCH($D$4,'Final Calculation Sheet'!$B$36)))))</f>
        <v>1</v>
      </c>
      <c r="DJ38">
        <f>IF($E$4="",1,IF($E$4="(blank)",--('Final Calculation Sheet'!$D$36=""),IF($E$4="(nonblank)",--('Final Calculation Sheet'!$D$36&lt;&gt;""),--ISNUMBER(SEARCH($E$4,'Final Calculation Sheet'!$D$36)))))</f>
        <v>1</v>
      </c>
      <c r="DK38">
        <f>IF($F$4="",1,IF($F$4="(blank)",--('Final Calculation Sheet'!$A$36=""),IF($F$4="(nonblank)",--('Final Calculation Sheet'!$A$36&lt;&gt;""),--ISNUMBER(SEARCH($F$4,'Final Calculation Sheet'!$A$36)))))</f>
        <v>1</v>
      </c>
      <c r="DL38">
        <f>IF($G$4="",1,IF($G$4="(blank)",--('Final Calculation Sheet'!$E$36=""),IF($G$4="(nonblank)",--('Final Calculation Sheet'!$E$36&lt;&gt;""),--ISNUMBER(SEARCH($G$4,'Final Calculation Sheet'!$E$36)))))</f>
        <v>1</v>
      </c>
      <c r="DM38">
        <f>IF($H$4="",1,IF($H$4="(blank)",--('Final Calculation Sheet'!$C$36=""),IF($H$4="(nonblank)",--('Final Calculation Sheet'!$C$36&lt;&gt;""),--ISNUMBER(SEARCH($H$4,'Final Calculation Sheet'!$C$36)))))</f>
        <v>1</v>
      </c>
      <c r="DN38">
        <f>IF($I$4="",1,IF($I$4="(blank)",--('Final Calculation Sheet'!$H$36=""),IF($I$4="(nonblank)",--('Final Calculation Sheet'!$H$36&lt;&gt;""),--ISNUMBER(SEARCH($I$4,'Final Calculation Sheet'!$H$36)))))</f>
        <v>1</v>
      </c>
      <c r="DO38">
        <f>IF($J$4="",1,IF($J$4="(blank)",--('Final Calculation Sheet'!$I$36=""),IF($J$4="(nonblank)",--('Final Calculation Sheet'!$I$36&lt;&gt;""),--ISNUMBER(SEARCH($J$4,'Final Calculation Sheet'!$I$36)))))</f>
        <v>1</v>
      </c>
      <c r="DP38">
        <f>IF($K$4="",1,IF($K$4="(blank)",--('Final Calculation Sheet'!$J$36=""),IF($K$4="(nonblank)",--('Final Calculation Sheet'!$J$36&lt;&gt;""),--ISNUMBER(SEARCH($K$4,'Final Calculation Sheet'!$J$36)))))</f>
        <v>1</v>
      </c>
      <c r="DQ38">
        <f>IF($L$4="",1,IF($L$4="(blank)",--('Final Calculation Sheet'!$K$36=""),IF($L$4="(nonblank)",--('Final Calculation Sheet'!$K$36&lt;&gt;""),--ISNUMBER(SEARCH($L$4,'Final Calculation Sheet'!$K$36)))))</f>
        <v>1</v>
      </c>
      <c r="DR38">
        <f>IF($M$4="",1,IF($M$4="(blank)",--('Final Calculation Sheet'!$L$36=""),IF($M$4="(nonblank)",--('Final Calculation Sheet'!$L$36&lt;&gt;""),--ISNUMBER(SEARCH($M$4,'Final Calculation Sheet'!$L$36)))))</f>
        <v>1</v>
      </c>
      <c r="DS38">
        <f>IF($N$4="",1,IF($N$4="(blank)",--('Final Calculation Sheet'!$M$36=""),IF($N$4="(nonblank)",--('Final Calculation Sheet'!$M$36&lt;&gt;""),--ISNUMBER(SEARCH($N$4,'Final Calculation Sheet'!$M$36)))))</f>
        <v>1</v>
      </c>
      <c r="DT38">
        <f>IF($O$4="",1,IF($O$4="(blank)",--('Final Calculation Sheet'!$N$36=""),IF($O$4="(nonblank)",--('Final Calculation Sheet'!$N$36&lt;&gt;""),--ISNUMBER(SEARCH($O$4,'Final Calculation Sheet'!$N$36)))))</f>
        <v>1</v>
      </c>
      <c r="DU38">
        <f>IF($P$4="",1,IF($P$4="(blank)",--('Final Calculation Sheet'!$O$36=""),IF($P$4="(nonblank)",--('Final Calculation Sheet'!$O$36&lt;&gt;""),--ISNUMBER(SEARCH($P$4,'Final Calculation Sheet'!$O$36)))))</f>
        <v>1</v>
      </c>
      <c r="DV38">
        <f>IF($Q$4="",1,IF($Q$4="(blank)",--('Final Calculation Sheet'!$P$36=""),IF($Q$4="(nonblank)",--('Final Calculation Sheet'!$P$36&lt;&gt;""),--ISNUMBER(SEARCH($Q$4,'Final Calculation Sheet'!$P$36)))))</f>
        <v>1</v>
      </c>
      <c r="DW38">
        <f>IF($R$4="",1,IF($R$4="(blank)",--('Final Calculation Sheet'!$Q$36=""),IF($R$4="(nonblank)",--('Final Calculation Sheet'!$Q$36&lt;&gt;""),--ISNUMBER(SEARCH($R$4,'Final Calculation Sheet'!$Q$36)))))</f>
        <v>1</v>
      </c>
      <c r="DX38">
        <f>IF($S$4="",1,IF($S$4="(blank)",--('Final Calculation Sheet'!$R$36=""),IF($S$4="(nonblank)",--('Final Calculation Sheet'!$R$36&lt;&gt;""),--ISNUMBER(SEARCH($S$4,'Final Calculation Sheet'!$R$36)))))</f>
        <v>1</v>
      </c>
      <c r="DY38">
        <f>IF($T$4="",1,IF($T$4="(blank)",--('Final Calculation Sheet'!$S$36=""),IF($T$4="(nonblank)",--('Final Calculation Sheet'!$S$36&lt;&gt;""),--ISNUMBER(SEARCH($T$4,'Final Calculation Sheet'!$S$36)))))</f>
        <v>1</v>
      </c>
      <c r="DZ38">
        <f>IF($U$4="",1,IF($U$4="(blank)",--('Final Calculation Sheet'!$T$36=""),IF($U$4="(nonblank)",--('Final Calculation Sheet'!$T$36&lt;&gt;""),--ISNUMBER(SEARCH($U$4,'Final Calculation Sheet'!$T$36)))))</f>
        <v>1</v>
      </c>
      <c r="EA38">
        <f>IF($V$4="",1,IF($V$4="(blank)",--('Final Calculation Sheet'!$U$36=""),IF($V$4="(nonblank)",--('Final Calculation Sheet'!$U$36&lt;&gt;""),--ISNUMBER(SEARCH($V$4,'Final Calculation Sheet'!$U$36)))))</f>
        <v>1</v>
      </c>
      <c r="EB38">
        <f>IF($W$4="",1,IF($W$4="(blank)",--('Final Calculation Sheet'!$V$36=""),IF($W$4="(nonblank)",--('Final Calculation Sheet'!$V$36&lt;&gt;""),--ISNUMBER(SEARCH($W$4,'Final Calculation Sheet'!$V$36)))))</f>
        <v>1</v>
      </c>
      <c r="EC38">
        <f>IF($X$4="",1,IF($X$4="(blank)",--('Final Calculation Sheet'!$W$36=""),IF($X$4="(nonblank)",--('Final Calculation Sheet'!$W$36&lt;&gt;""),--ISNUMBER(SEARCH($X$4,'Final Calculation Sheet'!$W$36)))))</f>
        <v>1</v>
      </c>
      <c r="ED38">
        <f>IF($Y$4="",1,IF($Y$4="(blank)",--('Final Calculation Sheet'!$X$36=""),IF($Y$4="(nonblank)",--('Final Calculation Sheet'!$X$36&lt;&gt;""),--ISNUMBER(SEARCH($Y$4,'Final Calculation Sheet'!$X$36)))))</f>
        <v>1</v>
      </c>
      <c r="EE38">
        <f>IF($Z$4="",1,IF($Z$4="(blank)",--('Final Calculation Sheet'!$Y$36=""),IF($Z$4="(nonblank)",--('Final Calculation Sheet'!$Y$36&lt;&gt;""),--ISNUMBER(SEARCH($Z$4,'Final Calculation Sheet'!$Y$36)))))</f>
        <v>1</v>
      </c>
      <c r="EF38">
        <f>IF($AA$4="",1,IF($AA$4="(blank)",--('Final Calculation Sheet'!$Z$36=""),IF($AA$4="(nonblank)",--('Final Calculation Sheet'!$Z$36&lt;&gt;""),--ISNUMBER(SEARCH($AA$4,'Final Calculation Sheet'!$Z$36)))))</f>
        <v>1</v>
      </c>
      <c r="EG38">
        <f>IF($AB$4="",1,IF($AB$4="(blank)",--('Final Calculation Sheet'!$AA$36=""),IF($AB$4="(nonblank)",--('Final Calculation Sheet'!$AA$36&lt;&gt;""),--ISNUMBER(SEARCH($AB$4,'Final Calculation Sheet'!$AA$36)))))</f>
        <v>1</v>
      </c>
      <c r="EH38">
        <f>IF($AC$4="",1,IF($AC$4="(blank)",--('Final Calculation Sheet'!$AB$36=""),IF($AC$4="(nonblank)",--('Final Calculation Sheet'!$AB$36&lt;&gt;""),--ISNUMBER(SEARCH($AC$4,'Final Calculation Sheet'!$AB$36)))))</f>
        <v>1</v>
      </c>
      <c r="EI38">
        <f>IF($AD$4="",1,IF($AD$4="(blank)",--('Final Calculation Sheet'!$AC$36=""),IF($AD$4="(nonblank)",--('Final Calculation Sheet'!$AC$36&lt;&gt;""),--ISNUMBER(SEARCH($AD$4,'Final Calculation Sheet'!$AC$36)))))</f>
        <v>1</v>
      </c>
      <c r="EJ38">
        <f>IF($AE$4="",1,IF($AE$4="(blank)",--('Final Calculation Sheet'!$AD$36=""),IF($AE$4="(nonblank)",--('Final Calculation Sheet'!$AD$36&lt;&gt;""),--ISNUMBER(SEARCH($AE$4,'Final Calculation Sheet'!$AD$36)))))</f>
        <v>1</v>
      </c>
      <c r="EK38">
        <f>IF($AF$4="",1,IF($AF$4="(blank)",--(IF('Final Calculation Sheet'!$AD$36&lt;=5,"SETTLED","OUTSTANDING")=""),IF($AF$4="(nonblank)",--(IF('Final Calculation Sheet'!$AD$36&lt;=5,"SETTLED","OUTSTANDING")&lt;&gt;""),--ISNUMBER(SEARCH($AF$4,IF('Final Calculation Sheet'!$AD$36&lt;=5,"SETTLED","OUTSTANDING"))))))</f>
        <v>1</v>
      </c>
      <c r="EL38">
        <f>IF($AG$4="",1,IF($AG$4="(blank)",--('Final Calculation Sheet'!$AF$36=""),IF($AG$4="(nonblank)",--('Final Calculation Sheet'!$AF$36&lt;&gt;""),--ISNUMBER(SEARCH($AG$4,'Final Calculation Sheet'!$AF$36)))))</f>
        <v>1</v>
      </c>
      <c r="EM38">
        <f>IF($AH$4="",1,IF($AH$4="(blank)",--('Final Calculation Sheet'!$AG$36=""),IF($AH$4="(nonblank)",--('Final Calculation Sheet'!$AG$36&lt;&gt;""),--ISNUMBER(SEARCH($AH$4,'Final Calculation Sheet'!$AG$36)))))</f>
        <v>1</v>
      </c>
      <c r="EN38">
        <f>IF($AI$4="",1,IF($AI$4="(blank)",--('Final Calculation Sheet'!$AH$36=""),IF($AI$4="(nonblank)",--('Final Calculation Sheet'!$AH$36&lt;&gt;""),--ISNUMBER(SEARCH($AI$4,'Final Calculation Sheet'!$AH$36)))))</f>
        <v>1</v>
      </c>
    </row>
    <row r="39" spans="1:144" hidden="1" outlineLevel="1" x14ac:dyDescent="0.3">
      <c r="A39" s="107" t="str">
        <f>IF($AL$39="","",33)</f>
        <v/>
      </c>
      <c r="B39" s="108" t="str">
        <f>IF($AL$39="","",IF(INDEX('Final Calculation Sheet'!$F$4:$F$40,$AL$39)="","",INDEX('Final Calculation Sheet'!$F$4:$F$40,$AL$39)))</f>
        <v/>
      </c>
      <c r="C39" s="108" t="str">
        <f>IF($AL$39="","",IF(INDEX('Final Calculation Sheet'!$G$4:$G$40,$AL$39)="","",INDEX('Final Calculation Sheet'!$G$4:$G$40,$AL$39)))</f>
        <v/>
      </c>
      <c r="D39" s="110" t="str">
        <f>IF($AL$39="","",IF(INDEX('Final Calculation Sheet'!$B$4:$B$40,$AL$39)="","",INDEX('Final Calculation Sheet'!$B$4:$B$40,$AL$39)))</f>
        <v/>
      </c>
      <c r="E39" s="110" t="str">
        <f>IF($AL$39="","",IF(INDEX('Final Calculation Sheet'!$D$4:$D$40,$AL$39)="","",INDEX('Final Calculation Sheet'!$D$4:$D$40,$AL$39)))</f>
        <v/>
      </c>
      <c r="F39" s="110" t="str">
        <f>IF($AL$39="","",IF(INDEX('Final Calculation Sheet'!$A$4:$A$40,$AL$39)="","",INDEX('Final Calculation Sheet'!$A$4:$A$40,$AL$39)))</f>
        <v/>
      </c>
      <c r="G39" s="110" t="str">
        <f>IF($AL$39="","",IF(INDEX('Final Calculation Sheet'!$E$4:$E$40,$AL$39)="","",INDEX('Final Calculation Sheet'!$E$4:$E$40,$AL$39)))</f>
        <v/>
      </c>
      <c r="H39" s="111" t="str">
        <f>IF($AL$39="","",IF(INDEX('Final Calculation Sheet'!$C$4:$C$40,$AL$39)="","",INDEX('Final Calculation Sheet'!$C$4:$C$40,$AL$39)))</f>
        <v/>
      </c>
      <c r="I39" s="111" t="str">
        <f>IF($AL$39="","",IF(INDEX('Final Calculation Sheet'!$H$4:$H$40,$AL$39)="","",INDEX('Final Calculation Sheet'!$H$4:$H$40,$AL$39)))</f>
        <v/>
      </c>
      <c r="J39" s="111" t="str">
        <f>IF($AL$39="","",IF(INDEX('Final Calculation Sheet'!$I$4:$I$40,$AL$39)="","",INDEX('Final Calculation Sheet'!$I$4:$I$40,$AL$39)))</f>
        <v/>
      </c>
      <c r="K39" s="111" t="str">
        <f>IF($AL$39="","",IF(INDEX('Final Calculation Sheet'!$J$4:$J$40,$AL$39)="","",INDEX('Final Calculation Sheet'!$J$4:$J$40,$AL$39)))</f>
        <v/>
      </c>
      <c r="L39" s="111" t="str">
        <f>IF($AL$39="","",IF(INDEX('Final Calculation Sheet'!$K$4:$K$40,$AL$39)="","",INDEX('Final Calculation Sheet'!$K$4:$K$40,$AL$39)))</f>
        <v/>
      </c>
      <c r="M39" s="111" t="str">
        <f>IF($AL$39="","",IF(INDEX('Final Calculation Sheet'!$L$4:$L$40,$AL$39)="","",INDEX('Final Calculation Sheet'!$L$4:$L$40,$AL$39)))</f>
        <v/>
      </c>
      <c r="N39" s="111" t="str">
        <f>IF($AL$39="","",IF(INDEX('Final Calculation Sheet'!$M$4:$M$40,$AL$39)="","",INDEX('Final Calculation Sheet'!$M$4:$M$40,$AL$39)))</f>
        <v/>
      </c>
      <c r="O39" s="112" t="str">
        <f>IF($AL$39="","",IF(INDEX('Final Calculation Sheet'!$N$4:$N$40,$AL$39)="","",INDEX('Final Calculation Sheet'!$N$4:$N$40,$AL$39)))</f>
        <v/>
      </c>
      <c r="P39" s="111" t="str">
        <f>IF($AL$39="","",IF(INDEX('Final Calculation Sheet'!$O$4:$O$40,$AL$39)="","",INDEX('Final Calculation Sheet'!$O$4:$O$40,$AL$39)))</f>
        <v/>
      </c>
      <c r="Q39" s="111" t="str">
        <f>IF($AL$39="","",IF(INDEX('Final Calculation Sheet'!$P$4:$P$40,$AL$39)="","",INDEX('Final Calculation Sheet'!$P$4:$P$40,$AL$39)))</f>
        <v/>
      </c>
      <c r="R39" s="113" t="str">
        <f>IF($AL$39="","",IF(INDEX('Final Calculation Sheet'!$Q$4:$Q$40,$AL$39)="","",INDEX('Final Calculation Sheet'!$Q$4:$Q$40,$AL$39)))</f>
        <v/>
      </c>
      <c r="S39" s="111" t="str">
        <f>IF($AL$39="","",IF(INDEX('Final Calculation Sheet'!$R$4:$R$40,$AL$39)="","",INDEX('Final Calculation Sheet'!$R$4:$R$40,$AL$39)))</f>
        <v/>
      </c>
      <c r="T39" s="111" t="str">
        <f>IF($AL$39="","",IF(INDEX('Final Calculation Sheet'!$S$4:$S$40,$AL$39)="","",INDEX('Final Calculation Sheet'!$S$4:$S$40,$AL$39)))</f>
        <v/>
      </c>
      <c r="U39" s="111" t="str">
        <f>IF($AL$39="","",IF(INDEX('Final Calculation Sheet'!$T$4:$T$40,$AL$39)="","",INDEX('Final Calculation Sheet'!$T$4:$T$40,$AL$39)))</f>
        <v/>
      </c>
      <c r="V39" s="114" t="str">
        <f>IF($AL$39="","",IF(INDEX('Final Calculation Sheet'!$U$4:$U$40,$AL$39)="","",INDEX('Final Calculation Sheet'!$U$4:$U$40,$AL$39)))</f>
        <v/>
      </c>
      <c r="W39" s="111" t="str">
        <f>IF($AL$39="","",IF(INDEX('Final Calculation Sheet'!$V$4:$V$40,$AL$39)="","",INDEX('Final Calculation Sheet'!$V$4:$V$40,$AL$39)))</f>
        <v/>
      </c>
      <c r="X39" s="111" t="str">
        <f>IF($AL$39="","",IF(INDEX('Final Calculation Sheet'!$W$4:$W$40,$AL$39)="","",INDEX('Final Calculation Sheet'!$W$4:$W$40,$AL$39)))</f>
        <v/>
      </c>
      <c r="Y39" s="111" t="str">
        <f>IF($AL$39="","",IF(INDEX('Final Calculation Sheet'!$X$4:$X$40,$AL$39)="","",INDEX('Final Calculation Sheet'!$X$4:$X$40,$AL$39)))</f>
        <v/>
      </c>
      <c r="Z39" s="111" t="str">
        <f>IF($AL$39="","",IF(INDEX('Final Calculation Sheet'!$Y$4:$Y$40,$AL$39)="","",INDEX('Final Calculation Sheet'!$Y$4:$Y$40,$AL$39)))</f>
        <v/>
      </c>
      <c r="AA39" s="111" t="str">
        <f>IF($AL$39="","",IF(INDEX('Final Calculation Sheet'!$Z$4:$Z$40,$AL$39)="","",INDEX('Final Calculation Sheet'!$Z$4:$Z$40,$AL$39)))</f>
        <v/>
      </c>
      <c r="AB39" s="111" t="str">
        <f>IF($AL$39="","",IF(INDEX('Final Calculation Sheet'!$AA$4:$AA$40,$AL$39)="","",INDEX('Final Calculation Sheet'!$AA$4:$AA$40,$AL$39)))</f>
        <v/>
      </c>
      <c r="AC39" s="111" t="str">
        <f>IF($AL$39="","",IF(INDEX('Final Calculation Sheet'!$AB$4:$AB$40,$AL$39)="","",INDEX('Final Calculation Sheet'!$AB$4:$AB$40,$AL$39)))</f>
        <v/>
      </c>
      <c r="AD39" s="111" t="str">
        <f>IF($AL$39="","",IF(INDEX('Final Calculation Sheet'!$AC$4:$AC$40,$AL$39)="","",INDEX('Final Calculation Sheet'!$AC$4:$AC$40,$AL$39)))</f>
        <v/>
      </c>
      <c r="AE39" s="111" t="str">
        <f>IF($AL$39="","",IF(INDEX('Final Calculation Sheet'!$AD$4:$AD$40,$AL$39)="","",INDEX('Final Calculation Sheet'!$AD$4:$AD$40,$AL$39)))</f>
        <v/>
      </c>
      <c r="AF39" s="116" t="str">
        <f>IF($AL$39="","",IF(INDEX('Final Calculation Sheet'!$AD$4:$AD$40,$AL$39)&lt;=5,"SETTLED","OUTSTANDING"))</f>
        <v/>
      </c>
      <c r="AG39" s="111" t="str">
        <f>IF($AL$39="","",IF(INDEX('Final Calculation Sheet'!$AF$4:$AF$40,$AL$39)="","",INDEX('Final Calculation Sheet'!$AF$4:$AF$40,$AL$39)))</f>
        <v/>
      </c>
      <c r="AH39" s="115" t="str">
        <f>IF($AL$39="","",IF(INDEX('Final Calculation Sheet'!$AG$4:$AG$40,$AL$39)="","",INDEX('Final Calculation Sheet'!$AG$4:$AG$40,$AL$39)))</f>
        <v/>
      </c>
      <c r="AI39" s="111" t="str">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v>1</v>
      </c>
      <c r="AK39">
        <f>IF(AJ39=1,COUNTIF(AJ$6:AJ39,1),"")</f>
        <v>34</v>
      </c>
      <c r="AL39" t="str">
        <f>IF(COUNTIF($B$4:$AI$4,"&lt;&gt;")=0,"",IFERROR(MATCH(33,$AK$6:$AK$42,0),""))</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 ca="1">CK38+IF(AND(Lists!$EJ$39&lt;&gt;"",ISNUMBER(SEARCH($AA$4,Lists!$EJ$39))),1,0)</f>
        <v>36</v>
      </c>
      <c r="CL39">
        <f ca="1">IF(ROW()-3&gt;MAX($CK$4:$CK$42),"",INDEX(Lists!$EJ$4:$EJ$42,MATCH(ROW()-3,$CK$4:$CK$42,0)))</f>
        <v>98670.915600000008</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f>CS38+IF(AND(Lists!$FD$39&lt;&gt;"",ISNUMBER(SEARCH($AE$4,Lists!$FD$39))),1,0)</f>
        <v>11</v>
      </c>
      <c r="CT39" t="str">
        <f>IF(ROW()-3&gt;MAX($CS$4:$CS$42),"",INDEX(Lists!$FD$4:$FD$42,MATCH(ROW()-3,$CS$4:$CS$42,0)))</f>
        <v/>
      </c>
      <c r="CU39" t="e">
        <f>CU38+IF(AND(Lists!$FI$39&lt;&gt;"",ISNUMBER(SEARCH($AG$4,Lists!$FI$39))),1,0)</f>
        <v>#N/A</v>
      </c>
      <c r="CV39" t="e">
        <f>IF(ROW()-3&gt;MAX($CU$4:$CU$42),"",INDEX(Lists!$FI$4:$FI$42,MATCH(ROW()-3,$CU$4:$CU$42,0)))</f>
        <v>#N/A</v>
      </c>
      <c r="CW39" t="e">
        <f>CW38+IF(AND(Lists!$FN$39&lt;&gt;"",ISNUMBER(SEARCH($AH$4,Lists!$FN$39))),1,0)</f>
        <v>#N/A</v>
      </c>
      <c r="CX39" t="e">
        <f>IF(ROW()-3&gt;MAX($CW$4:$CW$42),"",INDEX(Lists!$FN$4:$FN$42,MATCH(ROW()-3,$CW$4:$CW$42,0)))</f>
        <v>#N/A</v>
      </c>
      <c r="CY39" t="e">
        <f>CY38+IF(AND(Lists!$FS$39&lt;&gt;"",ISNUMBER(SEARCH($AI$4,Lists!$FS$39))),1,0)</f>
        <v>#N/A</v>
      </c>
      <c r="CZ39" t="e">
        <f>IF(ROW()-3&gt;MAX($CY$4:$CY$42),"",INDEX(Lists!$FS$4:$FS$42,MATCH(ROW()-3,$CY$4:$CY$42,0)))</f>
        <v>#N/A</v>
      </c>
      <c r="DA39">
        <f>DA38+IF(AND(Lists!$FX$39&lt;&gt;"",ISNUMBER(SEARCH($AF$4,Lists!$FX$39))),1,0)</f>
        <v>2</v>
      </c>
      <c r="DB39" t="str">
        <f>IF(ROW()-3&gt;MAX($DA$4:$DA$42),"",INDEX(Lists!$FX$4:$FX$42,MATCH(ROW()-3,$DA$4:$DA$42,0)))</f>
        <v/>
      </c>
      <c r="DG39">
        <f>IF($B$4="",1,IF($B$4="(blank)",--('Final Calculation Sheet'!$F$37=""),IF($B$4="(nonblank)",--('Final Calculation Sheet'!$F$37&lt;&gt;""),--ISNUMBER(SEARCH($B$4,'Final Calculation Sheet'!$F$37)))))</f>
        <v>1</v>
      </c>
      <c r="DH39">
        <f>IF($C$4="",1,IF($C$4="(blank)",--('Final Calculation Sheet'!$G$37=""),IF($C$4="(nonblank)",--('Final Calculation Sheet'!$G$37&lt;&gt;""),--ISNUMBER(SEARCH($C$4,'Final Calculation Sheet'!$G$37)))))</f>
        <v>1</v>
      </c>
      <c r="DI39">
        <f>IF($D$4="",1,IF($D$4="(blank)",--('Final Calculation Sheet'!$B$37=""),IF($D$4="(nonblank)",--('Final Calculation Sheet'!$B$37&lt;&gt;""),--ISNUMBER(SEARCH($D$4,'Final Calculation Sheet'!$B$37)))))</f>
        <v>1</v>
      </c>
      <c r="DJ39">
        <f>IF($E$4="",1,IF($E$4="(blank)",--('Final Calculation Sheet'!$D$37=""),IF($E$4="(nonblank)",--('Final Calculation Sheet'!$D$37&lt;&gt;""),--ISNUMBER(SEARCH($E$4,'Final Calculation Sheet'!$D$37)))))</f>
        <v>1</v>
      </c>
      <c r="DK39">
        <f>IF($F$4="",1,IF($F$4="(blank)",--('Final Calculation Sheet'!$A$37=""),IF($F$4="(nonblank)",--('Final Calculation Sheet'!$A$37&lt;&gt;""),--ISNUMBER(SEARCH($F$4,'Final Calculation Sheet'!$A$37)))))</f>
        <v>1</v>
      </c>
      <c r="DL39">
        <f>IF($G$4="",1,IF($G$4="(blank)",--('Final Calculation Sheet'!$E$37=""),IF($G$4="(nonblank)",--('Final Calculation Sheet'!$E$37&lt;&gt;""),--ISNUMBER(SEARCH($G$4,'Final Calculation Sheet'!$E$37)))))</f>
        <v>1</v>
      </c>
      <c r="DM39">
        <f>IF($H$4="",1,IF($H$4="(blank)",--('Final Calculation Sheet'!$C$37=""),IF($H$4="(nonblank)",--('Final Calculation Sheet'!$C$37&lt;&gt;""),--ISNUMBER(SEARCH($H$4,'Final Calculation Sheet'!$C$37)))))</f>
        <v>1</v>
      </c>
      <c r="DN39">
        <f>IF($I$4="",1,IF($I$4="(blank)",--('Final Calculation Sheet'!$H$37=""),IF($I$4="(nonblank)",--('Final Calculation Sheet'!$H$37&lt;&gt;""),--ISNUMBER(SEARCH($I$4,'Final Calculation Sheet'!$H$37)))))</f>
        <v>1</v>
      </c>
      <c r="DO39">
        <f>IF($J$4="",1,IF($J$4="(blank)",--('Final Calculation Sheet'!$I$37=""),IF($J$4="(nonblank)",--('Final Calculation Sheet'!$I$37&lt;&gt;""),--ISNUMBER(SEARCH($J$4,'Final Calculation Sheet'!$I$37)))))</f>
        <v>1</v>
      </c>
      <c r="DP39">
        <f>IF($K$4="",1,IF($K$4="(blank)",--('Final Calculation Sheet'!$J$37=""),IF($K$4="(nonblank)",--('Final Calculation Sheet'!$J$37&lt;&gt;""),--ISNUMBER(SEARCH($K$4,'Final Calculation Sheet'!$J$37)))))</f>
        <v>1</v>
      </c>
      <c r="DQ39">
        <f>IF($L$4="",1,IF($L$4="(blank)",--('Final Calculation Sheet'!$K$37=""),IF($L$4="(nonblank)",--('Final Calculation Sheet'!$K$37&lt;&gt;""),--ISNUMBER(SEARCH($L$4,'Final Calculation Sheet'!$K$37)))))</f>
        <v>1</v>
      </c>
      <c r="DR39">
        <f>IF($M$4="",1,IF($M$4="(blank)",--('Final Calculation Sheet'!$L$37=""),IF($M$4="(nonblank)",--('Final Calculation Sheet'!$L$37&lt;&gt;""),--ISNUMBER(SEARCH($M$4,'Final Calculation Sheet'!$L$37)))))</f>
        <v>1</v>
      </c>
      <c r="DS39">
        <f>IF($N$4="",1,IF($N$4="(blank)",--('Final Calculation Sheet'!$M$37=""),IF($N$4="(nonblank)",--('Final Calculation Sheet'!$M$37&lt;&gt;""),--ISNUMBER(SEARCH($N$4,'Final Calculation Sheet'!$M$37)))))</f>
        <v>1</v>
      </c>
      <c r="DT39">
        <f>IF($O$4="",1,IF($O$4="(blank)",--('Final Calculation Sheet'!$N$37=""),IF($O$4="(nonblank)",--('Final Calculation Sheet'!$N$37&lt;&gt;""),--ISNUMBER(SEARCH($O$4,'Final Calculation Sheet'!$N$37)))))</f>
        <v>1</v>
      </c>
      <c r="DU39">
        <f>IF($P$4="",1,IF($P$4="(blank)",--('Final Calculation Sheet'!$O$37=""),IF($P$4="(nonblank)",--('Final Calculation Sheet'!$O$37&lt;&gt;""),--ISNUMBER(SEARCH($P$4,'Final Calculation Sheet'!$O$37)))))</f>
        <v>1</v>
      </c>
      <c r="DV39">
        <f>IF($Q$4="",1,IF($Q$4="(blank)",--('Final Calculation Sheet'!$P$37=""),IF($Q$4="(nonblank)",--('Final Calculation Sheet'!$P$37&lt;&gt;""),--ISNUMBER(SEARCH($Q$4,'Final Calculation Sheet'!$P$37)))))</f>
        <v>1</v>
      </c>
      <c r="DW39">
        <f>IF($R$4="",1,IF($R$4="(blank)",--('Final Calculation Sheet'!$Q$37=""),IF($R$4="(nonblank)",--('Final Calculation Sheet'!$Q$37&lt;&gt;""),--ISNUMBER(SEARCH($R$4,'Final Calculation Sheet'!$Q$37)))))</f>
        <v>1</v>
      </c>
      <c r="DX39">
        <f>IF($S$4="",1,IF($S$4="(blank)",--('Final Calculation Sheet'!$R$37=""),IF($S$4="(nonblank)",--('Final Calculation Sheet'!$R$37&lt;&gt;""),--ISNUMBER(SEARCH($S$4,'Final Calculation Sheet'!$R$37)))))</f>
        <v>1</v>
      </c>
      <c r="DY39">
        <f>IF($T$4="",1,IF($T$4="(blank)",--('Final Calculation Sheet'!$S$37=""),IF($T$4="(nonblank)",--('Final Calculation Sheet'!$S$37&lt;&gt;""),--ISNUMBER(SEARCH($T$4,'Final Calculation Sheet'!$S$37)))))</f>
        <v>1</v>
      </c>
      <c r="DZ39">
        <f>IF($U$4="",1,IF($U$4="(blank)",--('Final Calculation Sheet'!$T$37=""),IF($U$4="(nonblank)",--('Final Calculation Sheet'!$T$37&lt;&gt;""),--ISNUMBER(SEARCH($U$4,'Final Calculation Sheet'!$T$37)))))</f>
        <v>1</v>
      </c>
      <c r="EA39">
        <f>IF($V$4="",1,IF($V$4="(blank)",--('Final Calculation Sheet'!$U$37=""),IF($V$4="(nonblank)",--('Final Calculation Sheet'!$U$37&lt;&gt;""),--ISNUMBER(SEARCH($V$4,'Final Calculation Sheet'!$U$37)))))</f>
        <v>1</v>
      </c>
      <c r="EB39">
        <f>IF($W$4="",1,IF($W$4="(blank)",--('Final Calculation Sheet'!$V$37=""),IF($W$4="(nonblank)",--('Final Calculation Sheet'!$V$37&lt;&gt;""),--ISNUMBER(SEARCH($W$4,'Final Calculation Sheet'!$V$37)))))</f>
        <v>1</v>
      </c>
      <c r="EC39">
        <f>IF($X$4="",1,IF($X$4="(blank)",--('Final Calculation Sheet'!$W$37=""),IF($X$4="(nonblank)",--('Final Calculation Sheet'!$W$37&lt;&gt;""),--ISNUMBER(SEARCH($X$4,'Final Calculation Sheet'!$W$37)))))</f>
        <v>1</v>
      </c>
      <c r="ED39">
        <f>IF($Y$4="",1,IF($Y$4="(blank)",--('Final Calculation Sheet'!$X$37=""),IF($Y$4="(nonblank)",--('Final Calculation Sheet'!$X$37&lt;&gt;""),--ISNUMBER(SEARCH($Y$4,'Final Calculation Sheet'!$X$37)))))</f>
        <v>1</v>
      </c>
      <c r="EE39">
        <f>IF($Z$4="",1,IF($Z$4="(blank)",--('Final Calculation Sheet'!$Y$37=""),IF($Z$4="(nonblank)",--('Final Calculation Sheet'!$Y$37&lt;&gt;""),--ISNUMBER(SEARCH($Z$4,'Final Calculation Sheet'!$Y$37)))))</f>
        <v>1</v>
      </c>
      <c r="EF39">
        <f>IF($AA$4="",1,IF($AA$4="(blank)",--('Final Calculation Sheet'!$Z$37=""),IF($AA$4="(nonblank)",--('Final Calculation Sheet'!$Z$37&lt;&gt;""),--ISNUMBER(SEARCH($AA$4,'Final Calculation Sheet'!$Z$37)))))</f>
        <v>1</v>
      </c>
      <c r="EG39">
        <f>IF($AB$4="",1,IF($AB$4="(blank)",--('Final Calculation Sheet'!$AA$37=""),IF($AB$4="(nonblank)",--('Final Calculation Sheet'!$AA$37&lt;&gt;""),--ISNUMBER(SEARCH($AB$4,'Final Calculation Sheet'!$AA$37)))))</f>
        <v>1</v>
      </c>
      <c r="EH39">
        <f>IF($AC$4="",1,IF($AC$4="(blank)",--('Final Calculation Sheet'!$AB$37=""),IF($AC$4="(nonblank)",--('Final Calculation Sheet'!$AB$37&lt;&gt;""),--ISNUMBER(SEARCH($AC$4,'Final Calculation Sheet'!$AB$37)))))</f>
        <v>1</v>
      </c>
      <c r="EI39">
        <f>IF($AD$4="",1,IF($AD$4="(blank)",--('Final Calculation Sheet'!$AC$37=""),IF($AD$4="(nonblank)",--('Final Calculation Sheet'!$AC$37&lt;&gt;""),--ISNUMBER(SEARCH($AD$4,'Final Calculation Sheet'!$AC$37)))))</f>
        <v>1</v>
      </c>
      <c r="EJ39">
        <f>IF($AE$4="",1,IF($AE$4="(blank)",--('Final Calculation Sheet'!$AD$37=""),IF($AE$4="(nonblank)",--('Final Calculation Sheet'!$AD$37&lt;&gt;""),--ISNUMBER(SEARCH($AE$4,'Final Calculation Sheet'!$AD$37)))))</f>
        <v>1</v>
      </c>
      <c r="EK39">
        <f>IF($AF$4="",1,IF($AF$4="(blank)",--(IF('Final Calculation Sheet'!$AD$37&lt;=5,"SETTLED","OUTSTANDING")=""),IF($AF$4="(nonblank)",--(IF('Final Calculation Sheet'!$AD$37&lt;=5,"SETTLED","OUTSTANDING")&lt;&gt;""),--ISNUMBER(SEARCH($AF$4,IF('Final Calculation Sheet'!$AD$37&lt;=5,"SETTLED","OUTSTANDING"))))))</f>
        <v>1</v>
      </c>
      <c r="EL39">
        <f>IF($AG$4="",1,IF($AG$4="(blank)",--('Final Calculation Sheet'!$AF$37=""),IF($AG$4="(nonblank)",--('Final Calculation Sheet'!$AF$37&lt;&gt;""),--ISNUMBER(SEARCH($AG$4,'Final Calculation Sheet'!$AF$37)))))</f>
        <v>1</v>
      </c>
      <c r="EM39">
        <f>IF($AH$4="",1,IF($AH$4="(blank)",--('Final Calculation Sheet'!$AG$37=""),IF($AH$4="(nonblank)",--('Final Calculation Sheet'!$AG$37&lt;&gt;""),--ISNUMBER(SEARCH($AH$4,'Final Calculation Sheet'!$AG$37)))))</f>
        <v>1</v>
      </c>
      <c r="EN39">
        <f>IF($AI$4="",1,IF($AI$4="(blank)",--('Final Calculation Sheet'!$AH$37=""),IF($AI$4="(nonblank)",--('Final Calculation Sheet'!$AH$37&lt;&gt;""),--ISNUMBER(SEARCH($AI$4,'Final Calculation Sheet'!$AH$37)))))</f>
        <v>1</v>
      </c>
    </row>
    <row r="40" spans="1:144" hidden="1" outlineLevel="1" x14ac:dyDescent="0.3">
      <c r="A40" s="117" t="str">
        <f>IF($AL$40="","",34)</f>
        <v/>
      </c>
      <c r="B40" s="118" t="str">
        <f>IF($AL$40="","",IF(INDEX('Final Calculation Sheet'!$F$4:$F$40,$AL$40)="","",INDEX('Final Calculation Sheet'!$F$4:$F$40,$AL$40)))</f>
        <v/>
      </c>
      <c r="C40" s="118" t="str">
        <f>IF($AL$40="","",IF(INDEX('Final Calculation Sheet'!$G$4:$G$40,$AL$40)="","",INDEX('Final Calculation Sheet'!$G$4:$G$40,$AL$40)))</f>
        <v/>
      </c>
      <c r="D40" s="119" t="str">
        <f>IF($AL$40="","",IF(INDEX('Final Calculation Sheet'!$B$4:$B$40,$AL$40)="","",INDEX('Final Calculation Sheet'!$B$4:$B$40,$AL$40)))</f>
        <v/>
      </c>
      <c r="E40" s="119" t="str">
        <f>IF($AL$40="","",IF(INDEX('Final Calculation Sheet'!$D$4:$D$40,$AL$40)="","",INDEX('Final Calculation Sheet'!$D$4:$D$40,$AL$40)))</f>
        <v/>
      </c>
      <c r="F40" s="119" t="str">
        <f>IF($AL$40="","",IF(INDEX('Final Calculation Sheet'!$A$4:$A$40,$AL$40)="","",INDEX('Final Calculation Sheet'!$A$4:$A$40,$AL$40)))</f>
        <v/>
      </c>
      <c r="G40" s="119" t="str">
        <f>IF($AL$40="","",IF(INDEX('Final Calculation Sheet'!$E$4:$E$40,$AL$40)="","",INDEX('Final Calculation Sheet'!$E$4:$E$40,$AL$40)))</f>
        <v/>
      </c>
      <c r="H40" s="120" t="str">
        <f>IF($AL$40="","",IF(INDEX('Final Calculation Sheet'!$C$4:$C$40,$AL$40)="","",INDEX('Final Calculation Sheet'!$C$4:$C$40,$AL$40)))</f>
        <v/>
      </c>
      <c r="I40" s="120" t="str">
        <f>IF($AL$40="","",IF(INDEX('Final Calculation Sheet'!$H$4:$H$40,$AL$40)="","",INDEX('Final Calculation Sheet'!$H$4:$H$40,$AL$40)))</f>
        <v/>
      </c>
      <c r="J40" s="120" t="str">
        <f>IF($AL$40="","",IF(INDEX('Final Calculation Sheet'!$I$4:$I$40,$AL$40)="","",INDEX('Final Calculation Sheet'!$I$4:$I$40,$AL$40)))</f>
        <v/>
      </c>
      <c r="K40" s="120" t="str">
        <f>IF($AL$40="","",IF(INDEX('Final Calculation Sheet'!$J$4:$J$40,$AL$40)="","",INDEX('Final Calculation Sheet'!$J$4:$J$40,$AL$40)))</f>
        <v/>
      </c>
      <c r="L40" s="120" t="str">
        <f>IF($AL$40="","",IF(INDEX('Final Calculation Sheet'!$K$4:$K$40,$AL$40)="","",INDEX('Final Calculation Sheet'!$K$4:$K$40,$AL$40)))</f>
        <v/>
      </c>
      <c r="M40" s="120" t="str">
        <f>IF($AL$40="","",IF(INDEX('Final Calculation Sheet'!$L$4:$L$40,$AL$40)="","",INDEX('Final Calculation Sheet'!$L$4:$L$40,$AL$40)))</f>
        <v/>
      </c>
      <c r="N40" s="120" t="str">
        <f>IF($AL$40="","",IF(INDEX('Final Calculation Sheet'!$M$4:$M$40,$AL$40)="","",INDEX('Final Calculation Sheet'!$M$4:$M$40,$AL$40)))</f>
        <v/>
      </c>
      <c r="O40" s="121" t="str">
        <f>IF($AL$40="","",IF(INDEX('Final Calculation Sheet'!$N$4:$N$40,$AL$40)="","",INDEX('Final Calculation Sheet'!$N$4:$N$40,$AL$40)))</f>
        <v/>
      </c>
      <c r="P40" s="120" t="str">
        <f>IF($AL$40="","",IF(INDEX('Final Calculation Sheet'!$O$4:$O$40,$AL$40)="","",INDEX('Final Calculation Sheet'!$O$4:$O$40,$AL$40)))</f>
        <v/>
      </c>
      <c r="Q40" s="120" t="str">
        <f>IF($AL$40="","",IF(INDEX('Final Calculation Sheet'!$P$4:$P$40,$AL$40)="","",INDEX('Final Calculation Sheet'!$P$4:$P$40,$AL$40)))</f>
        <v/>
      </c>
      <c r="R40" s="122" t="str">
        <f>IF($AL$40="","",IF(INDEX('Final Calculation Sheet'!$Q$4:$Q$40,$AL$40)="","",INDEX('Final Calculation Sheet'!$Q$4:$Q$40,$AL$40)))</f>
        <v/>
      </c>
      <c r="S40" s="120" t="str">
        <f>IF($AL$40="","",IF(INDEX('Final Calculation Sheet'!$R$4:$R$40,$AL$40)="","",INDEX('Final Calculation Sheet'!$R$4:$R$40,$AL$40)))</f>
        <v/>
      </c>
      <c r="T40" s="120" t="str">
        <f>IF($AL$40="","",IF(INDEX('Final Calculation Sheet'!$S$4:$S$40,$AL$40)="","",INDEX('Final Calculation Sheet'!$S$4:$S$40,$AL$40)))</f>
        <v/>
      </c>
      <c r="U40" s="120" t="str">
        <f>IF($AL$40="","",IF(INDEX('Final Calculation Sheet'!$T$4:$T$40,$AL$40)="","",INDEX('Final Calculation Sheet'!$T$4:$T$40,$AL$40)))</f>
        <v/>
      </c>
      <c r="V40" s="123" t="str">
        <f>IF($AL$40="","",IF(INDEX('Final Calculation Sheet'!$U$4:$U$40,$AL$40)="","",INDEX('Final Calculation Sheet'!$U$4:$U$40,$AL$40)))</f>
        <v/>
      </c>
      <c r="W40" s="120" t="str">
        <f>IF($AL$40="","",IF(INDEX('Final Calculation Sheet'!$V$4:$V$40,$AL$40)="","",INDEX('Final Calculation Sheet'!$V$4:$V$40,$AL$40)))</f>
        <v/>
      </c>
      <c r="X40" s="120" t="str">
        <f>IF($AL$40="","",IF(INDEX('Final Calculation Sheet'!$W$4:$W$40,$AL$40)="","",INDEX('Final Calculation Sheet'!$W$4:$W$40,$AL$40)))</f>
        <v/>
      </c>
      <c r="Y40" s="120" t="str">
        <f>IF($AL$40="","",IF(INDEX('Final Calculation Sheet'!$X$4:$X$40,$AL$40)="","",INDEX('Final Calculation Sheet'!$X$4:$X$40,$AL$40)))</f>
        <v/>
      </c>
      <c r="Z40" s="120" t="str">
        <f>IF($AL$40="","",IF(INDEX('Final Calculation Sheet'!$Y$4:$Y$40,$AL$40)="","",INDEX('Final Calculation Sheet'!$Y$4:$Y$40,$AL$40)))</f>
        <v/>
      </c>
      <c r="AA40" s="120" t="str">
        <f>IF($AL$40="","",IF(INDEX('Final Calculation Sheet'!$Z$4:$Z$40,$AL$40)="","",INDEX('Final Calculation Sheet'!$Z$4:$Z$40,$AL$40)))</f>
        <v/>
      </c>
      <c r="AB40" s="120" t="str">
        <f>IF($AL$40="","",IF(INDEX('Final Calculation Sheet'!$AA$4:$AA$40,$AL$40)="","",INDEX('Final Calculation Sheet'!$AA$4:$AA$40,$AL$40)))</f>
        <v/>
      </c>
      <c r="AC40" s="120" t="str">
        <f>IF($AL$40="","",IF(INDEX('Final Calculation Sheet'!$AB$4:$AB$40,$AL$40)="","",INDEX('Final Calculation Sheet'!$AB$4:$AB$40,$AL$40)))</f>
        <v/>
      </c>
      <c r="AD40" s="120" t="str">
        <f>IF($AL$40="","",IF(INDEX('Final Calculation Sheet'!$AC$4:$AC$40,$AL$40)="","",INDEX('Final Calculation Sheet'!$AC$4:$AC$40,$AL$40)))</f>
        <v/>
      </c>
      <c r="AE40" s="120" t="str">
        <f>IF($AL$40="","",IF(INDEX('Final Calculation Sheet'!$AD$4:$AD$40,$AL$40)="","",INDEX('Final Calculation Sheet'!$AD$4:$AD$40,$AL$40)))</f>
        <v/>
      </c>
      <c r="AF40" s="125" t="str">
        <f>IF($AL$40="","",IF(INDEX('Final Calculation Sheet'!$AD$4:$AD$40,$AL$40)&lt;=5,"SETTLED","OUTSTANDING"))</f>
        <v/>
      </c>
      <c r="AG40" s="120" t="str">
        <f>IF($AL$40="","",IF(INDEX('Final Calculation Sheet'!$AF$4:$AF$40,$AL$40)="","",INDEX('Final Calculation Sheet'!$AF$4:$AF$40,$AL$40)))</f>
        <v/>
      </c>
      <c r="AH40" s="124" t="str">
        <f>IF($AL$40="","",IF(INDEX('Final Calculation Sheet'!$AG$4:$AG$40,$AL$40)="","",INDEX('Final Calculation Sheet'!$AG$4:$AG$40,$AL$40)))</f>
        <v/>
      </c>
      <c r="AI40" s="120" t="str">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v>1</v>
      </c>
      <c r="AK40">
        <f>IF(AJ40=1,COUNTIF(AJ$6:AJ40,1),"")</f>
        <v>35</v>
      </c>
      <c r="AL40" t="str">
        <f>IF(COUNTIF($B$4:$AI$4,"&lt;&gt;")=0,"",IFERROR(MATCH(34,$AK$6:$AK$42,0),""))</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 ca="1">CK39+IF(AND(Lists!$EJ$40&lt;&gt;"",ISNUMBER(SEARCH($AA$4,Lists!$EJ$40))),1,0)</f>
        <v>37</v>
      </c>
      <c r="CL40">
        <f ca="1">IF(ROW()-3&gt;MAX($CK$4:$CK$42),"",INDEX(Lists!$EJ$4:$EJ$42,MATCH(ROW()-3,$CK$4:$CK$42,0)))</f>
        <v>136541.90640000001</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f>CS39+IF(AND(Lists!$FD$40&lt;&gt;"",ISNUMBER(SEARCH($AE$4,Lists!$FD$40))),1,0)</f>
        <v>11</v>
      </c>
      <c r="CT40" t="str">
        <f>IF(ROW()-3&gt;MAX($CS$4:$CS$42),"",INDEX(Lists!$FD$4:$FD$42,MATCH(ROW()-3,$CS$4:$CS$42,0)))</f>
        <v/>
      </c>
      <c r="CU40" t="e">
        <f>CU39+IF(AND(Lists!$FI$40&lt;&gt;"",ISNUMBER(SEARCH($AG$4,Lists!$FI$40))),1,0)</f>
        <v>#N/A</v>
      </c>
      <c r="CV40" t="e">
        <f>IF(ROW()-3&gt;MAX($CU$4:$CU$42),"",INDEX(Lists!$FI$4:$FI$42,MATCH(ROW()-3,$CU$4:$CU$42,0)))</f>
        <v>#N/A</v>
      </c>
      <c r="CW40" t="e">
        <f>CW39+IF(AND(Lists!$FN$40&lt;&gt;"",ISNUMBER(SEARCH($AH$4,Lists!$FN$40))),1,0)</f>
        <v>#N/A</v>
      </c>
      <c r="CX40" t="e">
        <f>IF(ROW()-3&gt;MAX($CW$4:$CW$42),"",INDEX(Lists!$FN$4:$FN$42,MATCH(ROW()-3,$CW$4:$CW$42,0)))</f>
        <v>#N/A</v>
      </c>
      <c r="CY40" t="e">
        <f>CY39+IF(AND(Lists!$FS$40&lt;&gt;"",ISNUMBER(SEARCH($AI$4,Lists!$FS$40))),1,0)</f>
        <v>#N/A</v>
      </c>
      <c r="CZ40" t="e">
        <f>IF(ROW()-3&gt;MAX($CY$4:$CY$42),"",INDEX(Lists!$FS$4:$FS$42,MATCH(ROW()-3,$CY$4:$CY$42,0)))</f>
        <v>#N/A</v>
      </c>
      <c r="DA40">
        <f>DA39+IF(AND(Lists!$FX$40&lt;&gt;"",ISNUMBER(SEARCH($AF$4,Lists!$FX$40))),1,0)</f>
        <v>2</v>
      </c>
      <c r="DB40" t="str">
        <f>IF(ROW()-3&gt;MAX($DA$4:$DA$42),"",INDEX(Lists!$FX$4:$FX$42,MATCH(ROW()-3,$DA$4:$DA$42,0)))</f>
        <v/>
      </c>
      <c r="DG40">
        <f>IF($B$4="",1,IF($B$4="(blank)",--('Final Calculation Sheet'!$F$38=""),IF($B$4="(nonblank)",--('Final Calculation Sheet'!$F$38&lt;&gt;""),--ISNUMBER(SEARCH($B$4,'Final Calculation Sheet'!$F$38)))))</f>
        <v>1</v>
      </c>
      <c r="DH40">
        <f>IF($C$4="",1,IF($C$4="(blank)",--('Final Calculation Sheet'!$G$38=""),IF($C$4="(nonblank)",--('Final Calculation Sheet'!$G$38&lt;&gt;""),--ISNUMBER(SEARCH($C$4,'Final Calculation Sheet'!$G$38)))))</f>
        <v>1</v>
      </c>
      <c r="DI40">
        <f>IF($D$4="",1,IF($D$4="(blank)",--('Final Calculation Sheet'!$B$38=""),IF($D$4="(nonblank)",--('Final Calculation Sheet'!$B$38&lt;&gt;""),--ISNUMBER(SEARCH($D$4,'Final Calculation Sheet'!$B$38)))))</f>
        <v>1</v>
      </c>
      <c r="DJ40">
        <f>IF($E$4="",1,IF($E$4="(blank)",--('Final Calculation Sheet'!$D$38=""),IF($E$4="(nonblank)",--('Final Calculation Sheet'!$D$38&lt;&gt;""),--ISNUMBER(SEARCH($E$4,'Final Calculation Sheet'!$D$38)))))</f>
        <v>1</v>
      </c>
      <c r="DK40">
        <f>IF($F$4="",1,IF($F$4="(blank)",--('Final Calculation Sheet'!$A$38=""),IF($F$4="(nonblank)",--('Final Calculation Sheet'!$A$38&lt;&gt;""),--ISNUMBER(SEARCH($F$4,'Final Calculation Sheet'!$A$38)))))</f>
        <v>1</v>
      </c>
      <c r="DL40">
        <f>IF($G$4="",1,IF($G$4="(blank)",--('Final Calculation Sheet'!$E$38=""),IF($G$4="(nonblank)",--('Final Calculation Sheet'!$E$38&lt;&gt;""),--ISNUMBER(SEARCH($G$4,'Final Calculation Sheet'!$E$38)))))</f>
        <v>1</v>
      </c>
      <c r="DM40">
        <f>IF($H$4="",1,IF($H$4="(blank)",--('Final Calculation Sheet'!$C$38=""),IF($H$4="(nonblank)",--('Final Calculation Sheet'!$C$38&lt;&gt;""),--ISNUMBER(SEARCH($H$4,'Final Calculation Sheet'!$C$38)))))</f>
        <v>1</v>
      </c>
      <c r="DN40">
        <f>IF($I$4="",1,IF($I$4="(blank)",--('Final Calculation Sheet'!$H$38=""),IF($I$4="(nonblank)",--('Final Calculation Sheet'!$H$38&lt;&gt;""),--ISNUMBER(SEARCH($I$4,'Final Calculation Sheet'!$H$38)))))</f>
        <v>1</v>
      </c>
      <c r="DO40">
        <f>IF($J$4="",1,IF($J$4="(blank)",--('Final Calculation Sheet'!$I$38=""),IF($J$4="(nonblank)",--('Final Calculation Sheet'!$I$38&lt;&gt;""),--ISNUMBER(SEARCH($J$4,'Final Calculation Sheet'!$I$38)))))</f>
        <v>1</v>
      </c>
      <c r="DP40">
        <f>IF($K$4="",1,IF($K$4="(blank)",--('Final Calculation Sheet'!$J$38=""),IF($K$4="(nonblank)",--('Final Calculation Sheet'!$J$38&lt;&gt;""),--ISNUMBER(SEARCH($K$4,'Final Calculation Sheet'!$J$38)))))</f>
        <v>1</v>
      </c>
      <c r="DQ40">
        <f>IF($L$4="",1,IF($L$4="(blank)",--('Final Calculation Sheet'!$K$38=""),IF($L$4="(nonblank)",--('Final Calculation Sheet'!$K$38&lt;&gt;""),--ISNUMBER(SEARCH($L$4,'Final Calculation Sheet'!$K$38)))))</f>
        <v>1</v>
      </c>
      <c r="DR40">
        <f>IF($M$4="",1,IF($M$4="(blank)",--('Final Calculation Sheet'!$L$38=""),IF($M$4="(nonblank)",--('Final Calculation Sheet'!$L$38&lt;&gt;""),--ISNUMBER(SEARCH($M$4,'Final Calculation Sheet'!$L$38)))))</f>
        <v>1</v>
      </c>
      <c r="DS40">
        <f>IF($N$4="",1,IF($N$4="(blank)",--('Final Calculation Sheet'!$M$38=""),IF($N$4="(nonblank)",--('Final Calculation Sheet'!$M$38&lt;&gt;""),--ISNUMBER(SEARCH($N$4,'Final Calculation Sheet'!$M$38)))))</f>
        <v>1</v>
      </c>
      <c r="DT40">
        <f>IF($O$4="",1,IF($O$4="(blank)",--('Final Calculation Sheet'!$N$38=""),IF($O$4="(nonblank)",--('Final Calculation Sheet'!$N$38&lt;&gt;""),--ISNUMBER(SEARCH($O$4,'Final Calculation Sheet'!$N$38)))))</f>
        <v>1</v>
      </c>
      <c r="DU40">
        <f>IF($P$4="",1,IF($P$4="(blank)",--('Final Calculation Sheet'!$O$38=""),IF($P$4="(nonblank)",--('Final Calculation Sheet'!$O$38&lt;&gt;""),--ISNUMBER(SEARCH($P$4,'Final Calculation Sheet'!$O$38)))))</f>
        <v>1</v>
      </c>
      <c r="DV40">
        <f>IF($Q$4="",1,IF($Q$4="(blank)",--('Final Calculation Sheet'!$P$38=""),IF($Q$4="(nonblank)",--('Final Calculation Sheet'!$P$38&lt;&gt;""),--ISNUMBER(SEARCH($Q$4,'Final Calculation Sheet'!$P$38)))))</f>
        <v>1</v>
      </c>
      <c r="DW40">
        <f>IF($R$4="",1,IF($R$4="(blank)",--('Final Calculation Sheet'!$Q$38=""),IF($R$4="(nonblank)",--('Final Calculation Sheet'!$Q$38&lt;&gt;""),--ISNUMBER(SEARCH($R$4,'Final Calculation Sheet'!$Q$38)))))</f>
        <v>1</v>
      </c>
      <c r="DX40">
        <f>IF($S$4="",1,IF($S$4="(blank)",--('Final Calculation Sheet'!$R$38=""),IF($S$4="(nonblank)",--('Final Calculation Sheet'!$R$38&lt;&gt;""),--ISNUMBER(SEARCH($S$4,'Final Calculation Sheet'!$R$38)))))</f>
        <v>1</v>
      </c>
      <c r="DY40">
        <f>IF($T$4="",1,IF($T$4="(blank)",--('Final Calculation Sheet'!$S$38=""),IF($T$4="(nonblank)",--('Final Calculation Sheet'!$S$38&lt;&gt;""),--ISNUMBER(SEARCH($T$4,'Final Calculation Sheet'!$S$38)))))</f>
        <v>1</v>
      </c>
      <c r="DZ40">
        <f>IF($U$4="",1,IF($U$4="(blank)",--('Final Calculation Sheet'!$T$38=""),IF($U$4="(nonblank)",--('Final Calculation Sheet'!$T$38&lt;&gt;""),--ISNUMBER(SEARCH($U$4,'Final Calculation Sheet'!$T$38)))))</f>
        <v>1</v>
      </c>
      <c r="EA40">
        <f>IF($V$4="",1,IF($V$4="(blank)",--('Final Calculation Sheet'!$U$38=""),IF($V$4="(nonblank)",--('Final Calculation Sheet'!$U$38&lt;&gt;""),--ISNUMBER(SEARCH($V$4,'Final Calculation Sheet'!$U$38)))))</f>
        <v>1</v>
      </c>
      <c r="EB40">
        <f>IF($W$4="",1,IF($W$4="(blank)",--('Final Calculation Sheet'!$V$38=""),IF($W$4="(nonblank)",--('Final Calculation Sheet'!$V$38&lt;&gt;""),--ISNUMBER(SEARCH($W$4,'Final Calculation Sheet'!$V$38)))))</f>
        <v>1</v>
      </c>
      <c r="EC40">
        <f>IF($X$4="",1,IF($X$4="(blank)",--('Final Calculation Sheet'!$W$38=""),IF($X$4="(nonblank)",--('Final Calculation Sheet'!$W$38&lt;&gt;""),--ISNUMBER(SEARCH($X$4,'Final Calculation Sheet'!$W$38)))))</f>
        <v>1</v>
      </c>
      <c r="ED40">
        <f>IF($Y$4="",1,IF($Y$4="(blank)",--('Final Calculation Sheet'!$X$38=""),IF($Y$4="(nonblank)",--('Final Calculation Sheet'!$X$38&lt;&gt;""),--ISNUMBER(SEARCH($Y$4,'Final Calculation Sheet'!$X$38)))))</f>
        <v>1</v>
      </c>
      <c r="EE40">
        <f>IF($Z$4="",1,IF($Z$4="(blank)",--('Final Calculation Sheet'!$Y$38=""),IF($Z$4="(nonblank)",--('Final Calculation Sheet'!$Y$38&lt;&gt;""),--ISNUMBER(SEARCH($Z$4,'Final Calculation Sheet'!$Y$38)))))</f>
        <v>1</v>
      </c>
      <c r="EF40">
        <f>IF($AA$4="",1,IF($AA$4="(blank)",--('Final Calculation Sheet'!$Z$38=""),IF($AA$4="(nonblank)",--('Final Calculation Sheet'!$Z$38&lt;&gt;""),--ISNUMBER(SEARCH($AA$4,'Final Calculation Sheet'!$Z$38)))))</f>
        <v>1</v>
      </c>
      <c r="EG40">
        <f>IF($AB$4="",1,IF($AB$4="(blank)",--('Final Calculation Sheet'!$AA$38=""),IF($AB$4="(nonblank)",--('Final Calculation Sheet'!$AA$38&lt;&gt;""),--ISNUMBER(SEARCH($AB$4,'Final Calculation Sheet'!$AA$38)))))</f>
        <v>1</v>
      </c>
      <c r="EH40">
        <f>IF($AC$4="",1,IF($AC$4="(blank)",--('Final Calculation Sheet'!$AB$38=""),IF($AC$4="(nonblank)",--('Final Calculation Sheet'!$AB$38&lt;&gt;""),--ISNUMBER(SEARCH($AC$4,'Final Calculation Sheet'!$AB$38)))))</f>
        <v>1</v>
      </c>
      <c r="EI40">
        <f>IF($AD$4="",1,IF($AD$4="(blank)",--('Final Calculation Sheet'!$AC$38=""),IF($AD$4="(nonblank)",--('Final Calculation Sheet'!$AC$38&lt;&gt;""),--ISNUMBER(SEARCH($AD$4,'Final Calculation Sheet'!$AC$38)))))</f>
        <v>1</v>
      </c>
      <c r="EJ40">
        <f>IF($AE$4="",1,IF($AE$4="(blank)",--('Final Calculation Sheet'!$AD$38=""),IF($AE$4="(nonblank)",--('Final Calculation Sheet'!$AD$38&lt;&gt;""),--ISNUMBER(SEARCH($AE$4,'Final Calculation Sheet'!$AD$38)))))</f>
        <v>1</v>
      </c>
      <c r="EK40">
        <f>IF($AF$4="",1,IF($AF$4="(blank)",--(IF('Final Calculation Sheet'!$AD$38&lt;=5,"SETTLED","OUTSTANDING")=""),IF($AF$4="(nonblank)",--(IF('Final Calculation Sheet'!$AD$38&lt;=5,"SETTLED","OUTSTANDING")&lt;&gt;""),--ISNUMBER(SEARCH($AF$4,IF('Final Calculation Sheet'!$AD$38&lt;=5,"SETTLED","OUTSTANDING"))))))</f>
        <v>1</v>
      </c>
      <c r="EL40">
        <f>IF($AG$4="",1,IF($AG$4="(blank)",--('Final Calculation Sheet'!$AF$38=""),IF($AG$4="(nonblank)",--('Final Calculation Sheet'!$AF$38&lt;&gt;""),--ISNUMBER(SEARCH($AG$4,'Final Calculation Sheet'!$AF$38)))))</f>
        <v>1</v>
      </c>
      <c r="EM40">
        <f>IF($AH$4="",1,IF($AH$4="(blank)",--('Final Calculation Sheet'!$AG$38=""),IF($AH$4="(nonblank)",--('Final Calculation Sheet'!$AG$38&lt;&gt;""),--ISNUMBER(SEARCH($AH$4,'Final Calculation Sheet'!$AG$38)))))</f>
        <v>1</v>
      </c>
      <c r="EN40">
        <f>IF($AI$4="",1,IF($AI$4="(blank)",--('Final Calculation Sheet'!$AH$38=""),IF($AI$4="(nonblank)",--('Final Calculation Sheet'!$AH$38&lt;&gt;""),--ISNUMBER(SEARCH($AI$4,'Final Calculation Sheet'!$AH$38)))))</f>
        <v>1</v>
      </c>
    </row>
    <row r="41" spans="1:144" hidden="1" outlineLevel="1" x14ac:dyDescent="0.3">
      <c r="A41" s="107" t="str">
        <f>IF($AL$41="","",35)</f>
        <v/>
      </c>
      <c r="B41" s="108" t="str">
        <f>IF($AL$41="","",IF(INDEX('Final Calculation Sheet'!$F$4:$F$40,$AL$41)="","",INDEX('Final Calculation Sheet'!$F$4:$F$40,$AL$41)))</f>
        <v/>
      </c>
      <c r="C41" s="108" t="str">
        <f>IF($AL$41="","",IF(INDEX('Final Calculation Sheet'!$G$4:$G$40,$AL$41)="","",INDEX('Final Calculation Sheet'!$G$4:$G$40,$AL$41)))</f>
        <v/>
      </c>
      <c r="D41" s="110" t="str">
        <f>IF($AL$41="","",IF(INDEX('Final Calculation Sheet'!$B$4:$B$40,$AL$41)="","",INDEX('Final Calculation Sheet'!$B$4:$B$40,$AL$41)))</f>
        <v/>
      </c>
      <c r="E41" s="110" t="str">
        <f>IF($AL$41="","",IF(INDEX('Final Calculation Sheet'!$D$4:$D$40,$AL$41)="","",INDEX('Final Calculation Sheet'!$D$4:$D$40,$AL$41)))</f>
        <v/>
      </c>
      <c r="F41" s="110" t="str">
        <f>IF($AL$41="","",IF(INDEX('Final Calculation Sheet'!$A$4:$A$40,$AL$41)="","",INDEX('Final Calculation Sheet'!$A$4:$A$40,$AL$41)))</f>
        <v/>
      </c>
      <c r="G41" s="110" t="str">
        <f>IF($AL$41="","",IF(INDEX('Final Calculation Sheet'!$E$4:$E$40,$AL$41)="","",INDEX('Final Calculation Sheet'!$E$4:$E$40,$AL$41)))</f>
        <v/>
      </c>
      <c r="H41" s="111" t="str">
        <f>IF($AL$41="","",IF(INDEX('Final Calculation Sheet'!$C$4:$C$40,$AL$41)="","",INDEX('Final Calculation Sheet'!$C$4:$C$40,$AL$41)))</f>
        <v/>
      </c>
      <c r="I41" s="111" t="str">
        <f>IF($AL$41="","",IF(INDEX('Final Calculation Sheet'!$H$4:$H$40,$AL$41)="","",INDEX('Final Calculation Sheet'!$H$4:$H$40,$AL$41)))</f>
        <v/>
      </c>
      <c r="J41" s="111" t="str">
        <f>IF($AL$41="","",IF(INDEX('Final Calculation Sheet'!$I$4:$I$40,$AL$41)="","",INDEX('Final Calculation Sheet'!$I$4:$I$40,$AL$41)))</f>
        <v/>
      </c>
      <c r="K41" s="111" t="str">
        <f>IF($AL$41="","",IF(INDEX('Final Calculation Sheet'!$J$4:$J$40,$AL$41)="","",INDEX('Final Calculation Sheet'!$J$4:$J$40,$AL$41)))</f>
        <v/>
      </c>
      <c r="L41" s="111" t="str">
        <f>IF($AL$41="","",IF(INDEX('Final Calculation Sheet'!$K$4:$K$40,$AL$41)="","",INDEX('Final Calculation Sheet'!$K$4:$K$40,$AL$41)))</f>
        <v/>
      </c>
      <c r="M41" s="111" t="str">
        <f>IF($AL$41="","",IF(INDEX('Final Calculation Sheet'!$L$4:$L$40,$AL$41)="","",INDEX('Final Calculation Sheet'!$L$4:$L$40,$AL$41)))</f>
        <v/>
      </c>
      <c r="N41" s="111" t="str">
        <f>IF($AL$41="","",IF(INDEX('Final Calculation Sheet'!$M$4:$M$40,$AL$41)="","",INDEX('Final Calculation Sheet'!$M$4:$M$40,$AL$41)))</f>
        <v/>
      </c>
      <c r="O41" s="112" t="str">
        <f>IF($AL$41="","",IF(INDEX('Final Calculation Sheet'!$N$4:$N$40,$AL$41)="","",INDEX('Final Calculation Sheet'!$N$4:$N$40,$AL$41)))</f>
        <v/>
      </c>
      <c r="P41" s="111" t="str">
        <f>IF($AL$41="","",IF(INDEX('Final Calculation Sheet'!$O$4:$O$40,$AL$41)="","",INDEX('Final Calculation Sheet'!$O$4:$O$40,$AL$41)))</f>
        <v/>
      </c>
      <c r="Q41" s="111" t="str">
        <f>IF($AL$41="","",IF(INDEX('Final Calculation Sheet'!$P$4:$P$40,$AL$41)="","",INDEX('Final Calculation Sheet'!$P$4:$P$40,$AL$41)))</f>
        <v/>
      </c>
      <c r="R41" s="113" t="str">
        <f>IF($AL$41="","",IF(INDEX('Final Calculation Sheet'!$Q$4:$Q$40,$AL$41)="","",INDEX('Final Calculation Sheet'!$Q$4:$Q$40,$AL$41)))</f>
        <v/>
      </c>
      <c r="S41" s="111" t="str">
        <f>IF($AL$41="","",IF(INDEX('Final Calculation Sheet'!$R$4:$R$40,$AL$41)="","",INDEX('Final Calculation Sheet'!$R$4:$R$40,$AL$41)))</f>
        <v/>
      </c>
      <c r="T41" s="111" t="str">
        <f>IF($AL$41="","",IF(INDEX('Final Calculation Sheet'!$S$4:$S$40,$AL$41)="","",INDEX('Final Calculation Sheet'!$S$4:$S$40,$AL$41)))</f>
        <v/>
      </c>
      <c r="U41" s="111" t="str">
        <f>IF($AL$41="","",IF(INDEX('Final Calculation Sheet'!$T$4:$T$40,$AL$41)="","",INDEX('Final Calculation Sheet'!$T$4:$T$40,$AL$41)))</f>
        <v/>
      </c>
      <c r="V41" s="114" t="str">
        <f>IF($AL$41="","",IF(INDEX('Final Calculation Sheet'!$U$4:$U$40,$AL$41)="","",INDEX('Final Calculation Sheet'!$U$4:$U$40,$AL$41)))</f>
        <v/>
      </c>
      <c r="W41" s="111" t="str">
        <f>IF($AL$41="","",IF(INDEX('Final Calculation Sheet'!$V$4:$V$40,$AL$41)="","",INDEX('Final Calculation Sheet'!$V$4:$V$40,$AL$41)))</f>
        <v/>
      </c>
      <c r="X41" s="111" t="str">
        <f>IF($AL$41="","",IF(INDEX('Final Calculation Sheet'!$W$4:$W$40,$AL$41)="","",INDEX('Final Calculation Sheet'!$W$4:$W$40,$AL$41)))</f>
        <v/>
      </c>
      <c r="Y41" s="111" t="str">
        <f>IF($AL$41="","",IF(INDEX('Final Calculation Sheet'!$X$4:$X$40,$AL$41)="","",INDEX('Final Calculation Sheet'!$X$4:$X$40,$AL$41)))</f>
        <v/>
      </c>
      <c r="Z41" s="111" t="str">
        <f>IF($AL$41="","",IF(INDEX('Final Calculation Sheet'!$Y$4:$Y$40,$AL$41)="","",INDEX('Final Calculation Sheet'!$Y$4:$Y$40,$AL$41)))</f>
        <v/>
      </c>
      <c r="AA41" s="111" t="str">
        <f>IF($AL$41="","",IF(INDEX('Final Calculation Sheet'!$Z$4:$Z$40,$AL$41)="","",INDEX('Final Calculation Sheet'!$Z$4:$Z$40,$AL$41)))</f>
        <v/>
      </c>
      <c r="AB41" s="111" t="str">
        <f>IF($AL$41="","",IF(INDEX('Final Calculation Sheet'!$AA$4:$AA$40,$AL$41)="","",INDEX('Final Calculation Sheet'!$AA$4:$AA$40,$AL$41)))</f>
        <v/>
      </c>
      <c r="AC41" s="111" t="str">
        <f>IF($AL$41="","",IF(INDEX('Final Calculation Sheet'!$AB$4:$AB$40,$AL$41)="","",INDEX('Final Calculation Sheet'!$AB$4:$AB$40,$AL$41)))</f>
        <v/>
      </c>
      <c r="AD41" s="111" t="str">
        <f>IF($AL$41="","",IF(INDEX('Final Calculation Sheet'!$AC$4:$AC$40,$AL$41)="","",INDEX('Final Calculation Sheet'!$AC$4:$AC$40,$AL$41)))</f>
        <v/>
      </c>
      <c r="AE41" s="111" t="str">
        <f>IF($AL$41="","",IF(INDEX('Final Calculation Sheet'!$AD$4:$AD$40,$AL$41)="","",INDEX('Final Calculation Sheet'!$AD$4:$AD$40,$AL$41)))</f>
        <v/>
      </c>
      <c r="AF41" s="116" t="str">
        <f>IF($AL$41="","",IF(INDEX('Final Calculation Sheet'!$AD$4:$AD$40,$AL$41)&lt;=5,"SETTLED","OUTSTANDING"))</f>
        <v/>
      </c>
      <c r="AG41" s="111" t="str">
        <f>IF($AL$41="","",IF(INDEX('Final Calculation Sheet'!$AF$4:$AF$40,$AL$41)="","",INDEX('Final Calculation Sheet'!$AF$4:$AF$40,$AL$41)))</f>
        <v/>
      </c>
      <c r="AH41" s="115" t="str">
        <f>IF($AL$41="","",IF(INDEX('Final Calculation Sheet'!$AG$4:$AG$40,$AL$41)="","",INDEX('Final Calculation Sheet'!$AG$4:$AG$40,$AL$41)))</f>
        <v/>
      </c>
      <c r="AI41" s="111" t="str">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v>1</v>
      </c>
      <c r="AK41">
        <f>IF(AJ41=1,COUNTIF(AJ$6:AJ41,1),"")</f>
        <v>36</v>
      </c>
      <c r="AL41" t="str">
        <f>IF(COUNTIF($B$4:$AI$4,"&lt;&gt;")=0,"",IFERROR(MATCH(35,$AK$6:$AK$42,0),""))</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 ca="1">CK40+IF(AND(Lists!$EJ$41&lt;&gt;"",ISNUMBER(SEARCH($AA$4,Lists!$EJ$41))),1,0)</f>
        <v>38</v>
      </c>
      <c r="CL41" t="str">
        <f ca="1">IF(ROW()-3&gt;MAX($CK$4:$CK$42),"",INDEX(Lists!$EJ$4:$EJ$42,MATCH(ROW()-3,$CK$4:$CK$42,0)))</f>
        <v>(blank)</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f>CS40+IF(AND(Lists!$FD$41&lt;&gt;"",ISNUMBER(SEARCH($AE$4,Lists!$FD$41))),1,0)</f>
        <v>12</v>
      </c>
      <c r="CT41" t="str">
        <f>IF(ROW()-3&gt;MAX($CS$4:$CS$42),"",INDEX(Lists!$FD$4:$FD$42,MATCH(ROW()-3,$CS$4:$CS$42,0)))</f>
        <v/>
      </c>
      <c r="CU41" t="e">
        <f>CU40+IF(AND(Lists!$FI$41&lt;&gt;"",ISNUMBER(SEARCH($AG$4,Lists!$FI$41))),1,0)</f>
        <v>#N/A</v>
      </c>
      <c r="CV41" t="e">
        <f>IF(ROW()-3&gt;MAX($CU$4:$CU$42),"",INDEX(Lists!$FI$4:$FI$42,MATCH(ROW()-3,$CU$4:$CU$42,0)))</f>
        <v>#N/A</v>
      </c>
      <c r="CW41" t="e">
        <f>CW40+IF(AND(Lists!$FN$41&lt;&gt;"",ISNUMBER(SEARCH($AH$4,Lists!$FN$41))),1,0)</f>
        <v>#N/A</v>
      </c>
      <c r="CX41" t="e">
        <f>IF(ROW()-3&gt;MAX($CW$4:$CW$42),"",INDEX(Lists!$FN$4:$FN$42,MATCH(ROW()-3,$CW$4:$CW$42,0)))</f>
        <v>#N/A</v>
      </c>
      <c r="CY41" t="e">
        <f>CY40+IF(AND(Lists!$FS$41&lt;&gt;"",ISNUMBER(SEARCH($AI$4,Lists!$FS$41))),1,0)</f>
        <v>#N/A</v>
      </c>
      <c r="CZ41" t="e">
        <f>IF(ROW()-3&gt;MAX($CY$4:$CY$42),"",INDEX(Lists!$FS$4:$FS$42,MATCH(ROW()-3,$CY$4:$CY$42,0)))</f>
        <v>#N/A</v>
      </c>
      <c r="DA41">
        <f>DA40+IF(AND(Lists!$FX$41&lt;&gt;"",ISNUMBER(SEARCH($AF$4,Lists!$FX$41))),1,0)</f>
        <v>2</v>
      </c>
      <c r="DB41" t="str">
        <f>IF(ROW()-3&gt;MAX($DA$4:$DA$42),"",INDEX(Lists!$FX$4:$FX$42,MATCH(ROW()-3,$DA$4:$DA$42,0)))</f>
        <v/>
      </c>
      <c r="DG41">
        <f>IF($B$4="",1,IF($B$4="(blank)",--('Final Calculation Sheet'!$F$39=""),IF($B$4="(nonblank)",--('Final Calculation Sheet'!$F$39&lt;&gt;""),--ISNUMBER(SEARCH($B$4,'Final Calculation Sheet'!$F$39)))))</f>
        <v>1</v>
      </c>
      <c r="DH41">
        <f>IF($C$4="",1,IF($C$4="(blank)",--('Final Calculation Sheet'!$G$39=""),IF($C$4="(nonblank)",--('Final Calculation Sheet'!$G$39&lt;&gt;""),--ISNUMBER(SEARCH($C$4,'Final Calculation Sheet'!$G$39)))))</f>
        <v>1</v>
      </c>
      <c r="DI41">
        <f>IF($D$4="",1,IF($D$4="(blank)",--('Final Calculation Sheet'!$B$39=""),IF($D$4="(nonblank)",--('Final Calculation Sheet'!$B$39&lt;&gt;""),--ISNUMBER(SEARCH($D$4,'Final Calculation Sheet'!$B$39)))))</f>
        <v>1</v>
      </c>
      <c r="DJ41">
        <f>IF($E$4="",1,IF($E$4="(blank)",--('Final Calculation Sheet'!$D$39=""),IF($E$4="(nonblank)",--('Final Calculation Sheet'!$D$39&lt;&gt;""),--ISNUMBER(SEARCH($E$4,'Final Calculation Sheet'!$D$39)))))</f>
        <v>1</v>
      </c>
      <c r="DK41">
        <f>IF($F$4="",1,IF($F$4="(blank)",--('Final Calculation Sheet'!$A$39=""),IF($F$4="(nonblank)",--('Final Calculation Sheet'!$A$39&lt;&gt;""),--ISNUMBER(SEARCH($F$4,'Final Calculation Sheet'!$A$39)))))</f>
        <v>1</v>
      </c>
      <c r="DL41">
        <f>IF($G$4="",1,IF($G$4="(blank)",--('Final Calculation Sheet'!$E$39=""),IF($G$4="(nonblank)",--('Final Calculation Sheet'!$E$39&lt;&gt;""),--ISNUMBER(SEARCH($G$4,'Final Calculation Sheet'!$E$39)))))</f>
        <v>1</v>
      </c>
      <c r="DM41">
        <f>IF($H$4="",1,IF($H$4="(blank)",--('Final Calculation Sheet'!$C$39=""),IF($H$4="(nonblank)",--('Final Calculation Sheet'!$C$39&lt;&gt;""),--ISNUMBER(SEARCH($H$4,'Final Calculation Sheet'!$C$39)))))</f>
        <v>1</v>
      </c>
      <c r="DN41">
        <f>IF($I$4="",1,IF($I$4="(blank)",--('Final Calculation Sheet'!$H$39=""),IF($I$4="(nonblank)",--('Final Calculation Sheet'!$H$39&lt;&gt;""),--ISNUMBER(SEARCH($I$4,'Final Calculation Sheet'!$H$39)))))</f>
        <v>1</v>
      </c>
      <c r="DO41">
        <f>IF($J$4="",1,IF($J$4="(blank)",--('Final Calculation Sheet'!$I$39=""),IF($J$4="(nonblank)",--('Final Calculation Sheet'!$I$39&lt;&gt;""),--ISNUMBER(SEARCH($J$4,'Final Calculation Sheet'!$I$39)))))</f>
        <v>1</v>
      </c>
      <c r="DP41">
        <f>IF($K$4="",1,IF($K$4="(blank)",--('Final Calculation Sheet'!$J$39=""),IF($K$4="(nonblank)",--('Final Calculation Sheet'!$J$39&lt;&gt;""),--ISNUMBER(SEARCH($K$4,'Final Calculation Sheet'!$J$39)))))</f>
        <v>1</v>
      </c>
      <c r="DQ41">
        <f>IF($L$4="",1,IF($L$4="(blank)",--('Final Calculation Sheet'!$K$39=""),IF($L$4="(nonblank)",--('Final Calculation Sheet'!$K$39&lt;&gt;""),--ISNUMBER(SEARCH($L$4,'Final Calculation Sheet'!$K$39)))))</f>
        <v>1</v>
      </c>
      <c r="DR41">
        <f>IF($M$4="",1,IF($M$4="(blank)",--('Final Calculation Sheet'!$L$39=""),IF($M$4="(nonblank)",--('Final Calculation Sheet'!$L$39&lt;&gt;""),--ISNUMBER(SEARCH($M$4,'Final Calculation Sheet'!$L$39)))))</f>
        <v>1</v>
      </c>
      <c r="DS41">
        <f>IF($N$4="",1,IF($N$4="(blank)",--('Final Calculation Sheet'!$M$39=""),IF($N$4="(nonblank)",--('Final Calculation Sheet'!$M$39&lt;&gt;""),--ISNUMBER(SEARCH($N$4,'Final Calculation Sheet'!$M$39)))))</f>
        <v>1</v>
      </c>
      <c r="DT41">
        <f>IF($O$4="",1,IF($O$4="(blank)",--('Final Calculation Sheet'!$N$39=""),IF($O$4="(nonblank)",--('Final Calculation Sheet'!$N$39&lt;&gt;""),--ISNUMBER(SEARCH($O$4,'Final Calculation Sheet'!$N$39)))))</f>
        <v>1</v>
      </c>
      <c r="DU41">
        <f>IF($P$4="",1,IF($P$4="(blank)",--('Final Calculation Sheet'!$O$39=""),IF($P$4="(nonblank)",--('Final Calculation Sheet'!$O$39&lt;&gt;""),--ISNUMBER(SEARCH($P$4,'Final Calculation Sheet'!$O$39)))))</f>
        <v>1</v>
      </c>
      <c r="DV41">
        <f>IF($Q$4="",1,IF($Q$4="(blank)",--('Final Calculation Sheet'!$P$39=""),IF($Q$4="(nonblank)",--('Final Calculation Sheet'!$P$39&lt;&gt;""),--ISNUMBER(SEARCH($Q$4,'Final Calculation Sheet'!$P$39)))))</f>
        <v>1</v>
      </c>
      <c r="DW41">
        <f>IF($R$4="",1,IF($R$4="(blank)",--('Final Calculation Sheet'!$Q$39=""),IF($R$4="(nonblank)",--('Final Calculation Sheet'!$Q$39&lt;&gt;""),--ISNUMBER(SEARCH($R$4,'Final Calculation Sheet'!$Q$39)))))</f>
        <v>1</v>
      </c>
      <c r="DX41">
        <f>IF($S$4="",1,IF($S$4="(blank)",--('Final Calculation Sheet'!$R$39=""),IF($S$4="(nonblank)",--('Final Calculation Sheet'!$R$39&lt;&gt;""),--ISNUMBER(SEARCH($S$4,'Final Calculation Sheet'!$R$39)))))</f>
        <v>1</v>
      </c>
      <c r="DY41">
        <f>IF($T$4="",1,IF($T$4="(blank)",--('Final Calculation Sheet'!$S$39=""),IF($T$4="(nonblank)",--('Final Calculation Sheet'!$S$39&lt;&gt;""),--ISNUMBER(SEARCH($T$4,'Final Calculation Sheet'!$S$39)))))</f>
        <v>1</v>
      </c>
      <c r="DZ41">
        <f>IF($U$4="",1,IF($U$4="(blank)",--('Final Calculation Sheet'!$T$39=""),IF($U$4="(nonblank)",--('Final Calculation Sheet'!$T$39&lt;&gt;""),--ISNUMBER(SEARCH($U$4,'Final Calculation Sheet'!$T$39)))))</f>
        <v>1</v>
      </c>
      <c r="EA41">
        <f>IF($V$4="",1,IF($V$4="(blank)",--('Final Calculation Sheet'!$U$39=""),IF($V$4="(nonblank)",--('Final Calculation Sheet'!$U$39&lt;&gt;""),--ISNUMBER(SEARCH($V$4,'Final Calculation Sheet'!$U$39)))))</f>
        <v>1</v>
      </c>
      <c r="EB41">
        <f>IF($W$4="",1,IF($W$4="(blank)",--('Final Calculation Sheet'!$V$39=""),IF($W$4="(nonblank)",--('Final Calculation Sheet'!$V$39&lt;&gt;""),--ISNUMBER(SEARCH($W$4,'Final Calculation Sheet'!$V$39)))))</f>
        <v>1</v>
      </c>
      <c r="EC41">
        <f>IF($X$4="",1,IF($X$4="(blank)",--('Final Calculation Sheet'!$W$39=""),IF($X$4="(nonblank)",--('Final Calculation Sheet'!$W$39&lt;&gt;""),--ISNUMBER(SEARCH($X$4,'Final Calculation Sheet'!$W$39)))))</f>
        <v>1</v>
      </c>
      <c r="ED41">
        <f>IF($Y$4="",1,IF($Y$4="(blank)",--('Final Calculation Sheet'!$X$39=""),IF($Y$4="(nonblank)",--('Final Calculation Sheet'!$X$39&lt;&gt;""),--ISNUMBER(SEARCH($Y$4,'Final Calculation Sheet'!$X$39)))))</f>
        <v>1</v>
      </c>
      <c r="EE41">
        <f>IF($Z$4="",1,IF($Z$4="(blank)",--('Final Calculation Sheet'!$Y$39=""),IF($Z$4="(nonblank)",--('Final Calculation Sheet'!$Y$39&lt;&gt;""),--ISNUMBER(SEARCH($Z$4,'Final Calculation Sheet'!$Y$39)))))</f>
        <v>1</v>
      </c>
      <c r="EF41">
        <f>IF($AA$4="",1,IF($AA$4="(blank)",--('Final Calculation Sheet'!$Z$39=""),IF($AA$4="(nonblank)",--('Final Calculation Sheet'!$Z$39&lt;&gt;""),--ISNUMBER(SEARCH($AA$4,'Final Calculation Sheet'!$Z$39)))))</f>
        <v>1</v>
      </c>
      <c r="EG41">
        <f>IF($AB$4="",1,IF($AB$4="(blank)",--('Final Calculation Sheet'!$AA$39=""),IF($AB$4="(nonblank)",--('Final Calculation Sheet'!$AA$39&lt;&gt;""),--ISNUMBER(SEARCH($AB$4,'Final Calculation Sheet'!$AA$39)))))</f>
        <v>1</v>
      </c>
      <c r="EH41">
        <f>IF($AC$4="",1,IF($AC$4="(blank)",--('Final Calculation Sheet'!$AB$39=""),IF($AC$4="(nonblank)",--('Final Calculation Sheet'!$AB$39&lt;&gt;""),--ISNUMBER(SEARCH($AC$4,'Final Calculation Sheet'!$AB$39)))))</f>
        <v>1</v>
      </c>
      <c r="EI41">
        <f>IF($AD$4="",1,IF($AD$4="(blank)",--('Final Calculation Sheet'!$AC$39=""),IF($AD$4="(nonblank)",--('Final Calculation Sheet'!$AC$39&lt;&gt;""),--ISNUMBER(SEARCH($AD$4,'Final Calculation Sheet'!$AC$39)))))</f>
        <v>1</v>
      </c>
      <c r="EJ41">
        <f>IF($AE$4="",1,IF($AE$4="(blank)",--('Final Calculation Sheet'!$AD$39=""),IF($AE$4="(nonblank)",--('Final Calculation Sheet'!$AD$39&lt;&gt;""),--ISNUMBER(SEARCH($AE$4,'Final Calculation Sheet'!$AD$39)))))</f>
        <v>1</v>
      </c>
      <c r="EK41">
        <f>IF($AF$4="",1,IF($AF$4="(blank)",--(IF('Final Calculation Sheet'!$AD$39&lt;=5,"SETTLED","OUTSTANDING")=""),IF($AF$4="(nonblank)",--(IF('Final Calculation Sheet'!$AD$39&lt;=5,"SETTLED","OUTSTANDING")&lt;&gt;""),--ISNUMBER(SEARCH($AF$4,IF('Final Calculation Sheet'!$AD$39&lt;=5,"SETTLED","OUTSTANDING"))))))</f>
        <v>1</v>
      </c>
      <c r="EL41">
        <f>IF($AG$4="",1,IF($AG$4="(blank)",--('Final Calculation Sheet'!$AF$39=""),IF($AG$4="(nonblank)",--('Final Calculation Sheet'!$AF$39&lt;&gt;""),--ISNUMBER(SEARCH($AG$4,'Final Calculation Sheet'!$AF$39)))))</f>
        <v>1</v>
      </c>
      <c r="EM41">
        <f>IF($AH$4="",1,IF($AH$4="(blank)",--('Final Calculation Sheet'!$AG$39=""),IF($AH$4="(nonblank)",--('Final Calculation Sheet'!$AG$39&lt;&gt;""),--ISNUMBER(SEARCH($AH$4,'Final Calculation Sheet'!$AG$39)))))</f>
        <v>1</v>
      </c>
      <c r="EN41">
        <f>IF($AI$4="",1,IF($AI$4="(blank)",--('Final Calculation Sheet'!$AH$39=""),IF($AI$4="(nonblank)",--('Final Calculation Sheet'!$AH$39&lt;&gt;""),--ISNUMBER(SEARCH($AI$4,'Final Calculation Sheet'!$AH$39)))))</f>
        <v>1</v>
      </c>
    </row>
    <row r="42" spans="1:144" hidden="1" outlineLevel="1" x14ac:dyDescent="0.3">
      <c r="A42" s="117" t="str">
        <f>IF($AL$42="","",36)</f>
        <v/>
      </c>
      <c r="B42" s="118" t="str">
        <f>IF($AL$42="","",IF(INDEX('Final Calculation Sheet'!$F$4:$F$40,$AL$42)="","",INDEX('Final Calculation Sheet'!$F$4:$F$40,$AL$42)))</f>
        <v/>
      </c>
      <c r="C42" s="118" t="str">
        <f>IF($AL$42="","",IF(INDEX('Final Calculation Sheet'!$G$4:$G$40,$AL$42)="","",INDEX('Final Calculation Sheet'!$G$4:$G$40,$AL$42)))</f>
        <v/>
      </c>
      <c r="D42" s="119" t="str">
        <f>IF($AL$42="","",IF(INDEX('Final Calculation Sheet'!$B$4:$B$40,$AL$42)="","",INDEX('Final Calculation Sheet'!$B$4:$B$40,$AL$42)))</f>
        <v/>
      </c>
      <c r="E42" s="119" t="str">
        <f>IF($AL$42="","",IF(INDEX('Final Calculation Sheet'!$D$4:$D$40,$AL$42)="","",INDEX('Final Calculation Sheet'!$D$4:$D$40,$AL$42)))</f>
        <v/>
      </c>
      <c r="F42" s="119" t="str">
        <f>IF($AL$42="","",IF(INDEX('Final Calculation Sheet'!$A$4:$A$40,$AL$42)="","",INDEX('Final Calculation Sheet'!$A$4:$A$40,$AL$42)))</f>
        <v/>
      </c>
      <c r="G42" s="119" t="str">
        <f>IF($AL$42="","",IF(INDEX('Final Calculation Sheet'!$E$4:$E$40,$AL$42)="","",INDEX('Final Calculation Sheet'!$E$4:$E$40,$AL$42)))</f>
        <v/>
      </c>
      <c r="H42" s="120" t="str">
        <f>IF($AL$42="","",IF(INDEX('Final Calculation Sheet'!$C$4:$C$40,$AL$42)="","",INDEX('Final Calculation Sheet'!$C$4:$C$40,$AL$42)))</f>
        <v/>
      </c>
      <c r="I42" s="120" t="str">
        <f>IF($AL$42="","",IF(INDEX('Final Calculation Sheet'!$H$4:$H$40,$AL$42)="","",INDEX('Final Calculation Sheet'!$H$4:$H$40,$AL$42)))</f>
        <v/>
      </c>
      <c r="J42" s="120" t="str">
        <f>IF($AL$42="","",IF(INDEX('Final Calculation Sheet'!$I$4:$I$40,$AL$42)="","",INDEX('Final Calculation Sheet'!$I$4:$I$40,$AL$42)))</f>
        <v/>
      </c>
      <c r="K42" s="120" t="str">
        <f>IF($AL$42="","",IF(INDEX('Final Calculation Sheet'!$J$4:$J$40,$AL$42)="","",INDEX('Final Calculation Sheet'!$J$4:$J$40,$AL$42)))</f>
        <v/>
      </c>
      <c r="L42" s="120" t="str">
        <f>IF($AL$42="","",IF(INDEX('Final Calculation Sheet'!$K$4:$K$40,$AL$42)="","",INDEX('Final Calculation Sheet'!$K$4:$K$40,$AL$42)))</f>
        <v/>
      </c>
      <c r="M42" s="120" t="str">
        <f>IF($AL$42="","",IF(INDEX('Final Calculation Sheet'!$L$4:$L$40,$AL$42)="","",INDEX('Final Calculation Sheet'!$L$4:$L$40,$AL$42)))</f>
        <v/>
      </c>
      <c r="N42" s="120" t="str">
        <f>IF($AL$42="","",IF(INDEX('Final Calculation Sheet'!$M$4:$M$40,$AL$42)="","",INDEX('Final Calculation Sheet'!$M$4:$M$40,$AL$42)))</f>
        <v/>
      </c>
      <c r="O42" s="121" t="str">
        <f>IF($AL$42="","",IF(INDEX('Final Calculation Sheet'!$N$4:$N$40,$AL$42)="","",INDEX('Final Calculation Sheet'!$N$4:$N$40,$AL$42)))</f>
        <v/>
      </c>
      <c r="P42" s="120" t="str">
        <f>IF($AL$42="","",IF(INDEX('Final Calculation Sheet'!$O$4:$O$40,$AL$42)="","",INDEX('Final Calculation Sheet'!$O$4:$O$40,$AL$42)))</f>
        <v/>
      </c>
      <c r="Q42" s="120" t="str">
        <f>IF($AL$42="","",IF(INDEX('Final Calculation Sheet'!$P$4:$P$40,$AL$42)="","",INDEX('Final Calculation Sheet'!$P$4:$P$40,$AL$42)))</f>
        <v/>
      </c>
      <c r="R42" s="122" t="str">
        <f>IF($AL$42="","",IF(INDEX('Final Calculation Sheet'!$Q$4:$Q$40,$AL$42)="","",INDEX('Final Calculation Sheet'!$Q$4:$Q$40,$AL$42)))</f>
        <v/>
      </c>
      <c r="S42" s="120" t="str">
        <f>IF($AL$42="","",IF(INDEX('Final Calculation Sheet'!$R$4:$R$40,$AL$42)="","",INDEX('Final Calculation Sheet'!$R$4:$R$40,$AL$42)))</f>
        <v/>
      </c>
      <c r="T42" s="120" t="str">
        <f>IF($AL$42="","",IF(INDEX('Final Calculation Sheet'!$S$4:$S$40,$AL$42)="","",INDEX('Final Calculation Sheet'!$S$4:$S$40,$AL$42)))</f>
        <v/>
      </c>
      <c r="U42" s="120" t="str">
        <f>IF($AL$42="","",IF(INDEX('Final Calculation Sheet'!$T$4:$T$40,$AL$42)="","",INDEX('Final Calculation Sheet'!$T$4:$T$40,$AL$42)))</f>
        <v/>
      </c>
      <c r="V42" s="123" t="str">
        <f>IF($AL$42="","",IF(INDEX('Final Calculation Sheet'!$U$4:$U$40,$AL$42)="","",INDEX('Final Calculation Sheet'!$U$4:$U$40,$AL$42)))</f>
        <v/>
      </c>
      <c r="W42" s="120" t="str">
        <f>IF($AL$42="","",IF(INDEX('Final Calculation Sheet'!$V$4:$V$40,$AL$42)="","",INDEX('Final Calculation Sheet'!$V$4:$V$40,$AL$42)))</f>
        <v/>
      </c>
      <c r="X42" s="120" t="str">
        <f>IF($AL$42="","",IF(INDEX('Final Calculation Sheet'!$W$4:$W$40,$AL$42)="","",INDEX('Final Calculation Sheet'!$W$4:$W$40,$AL$42)))</f>
        <v/>
      </c>
      <c r="Y42" s="120" t="str">
        <f>IF($AL$42="","",IF(INDEX('Final Calculation Sheet'!$X$4:$X$40,$AL$42)="","",INDEX('Final Calculation Sheet'!$X$4:$X$40,$AL$42)))</f>
        <v/>
      </c>
      <c r="Z42" s="120" t="str">
        <f>IF($AL$42="","",IF(INDEX('Final Calculation Sheet'!$Y$4:$Y$40,$AL$42)="","",INDEX('Final Calculation Sheet'!$Y$4:$Y$40,$AL$42)))</f>
        <v/>
      </c>
      <c r="AA42" s="120" t="str">
        <f>IF($AL$42="","",IF(INDEX('Final Calculation Sheet'!$Z$4:$Z$40,$AL$42)="","",INDEX('Final Calculation Sheet'!$Z$4:$Z$40,$AL$42)))</f>
        <v/>
      </c>
      <c r="AB42" s="120" t="str">
        <f>IF($AL$42="","",IF(INDEX('Final Calculation Sheet'!$AA$4:$AA$40,$AL$42)="","",INDEX('Final Calculation Sheet'!$AA$4:$AA$40,$AL$42)))</f>
        <v/>
      </c>
      <c r="AC42" s="120" t="str">
        <f>IF($AL$42="","",IF(INDEX('Final Calculation Sheet'!$AB$4:$AB$40,$AL$42)="","",INDEX('Final Calculation Sheet'!$AB$4:$AB$40,$AL$42)))</f>
        <v/>
      </c>
      <c r="AD42" s="120" t="str">
        <f>IF($AL$42="","",IF(INDEX('Final Calculation Sheet'!$AC$4:$AC$40,$AL$42)="","",INDEX('Final Calculation Sheet'!$AC$4:$AC$40,$AL$42)))</f>
        <v/>
      </c>
      <c r="AE42" s="120" t="str">
        <f>IF($AL$42="","",IF(INDEX('Final Calculation Sheet'!$AD$4:$AD$40,$AL$42)="","",INDEX('Final Calculation Sheet'!$AD$4:$AD$40,$AL$42)))</f>
        <v/>
      </c>
      <c r="AF42" s="125" t="str">
        <f>IF($AL$42="","",IF(INDEX('Final Calculation Sheet'!$AD$4:$AD$40,$AL$42)&lt;=5,"SETTLED","OUTSTANDING"))</f>
        <v/>
      </c>
      <c r="AG42" s="120" t="str">
        <f>IF($AL$42="","",IF(INDEX('Final Calculation Sheet'!$AF$4:$AF$40,$AL$42)="","",INDEX('Final Calculation Sheet'!$AF$4:$AF$40,$AL$42)))</f>
        <v/>
      </c>
      <c r="AH42" s="124" t="str">
        <f>IF($AL$42="","",IF(INDEX('Final Calculation Sheet'!$AG$4:$AG$40,$AL$42)="","",INDEX('Final Calculation Sheet'!$AG$4:$AG$40,$AL$42)))</f>
        <v/>
      </c>
      <c r="AI42" s="120" t="str">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v>1</v>
      </c>
      <c r="AK42">
        <f>IF(AJ42=1,COUNTIF(AJ$6:AJ42,1),"")</f>
        <v>37</v>
      </c>
      <c r="AL42" t="str">
        <f>IF(COUNTIF($B$4:$AI$4,"&lt;&gt;")=0,"",IFERROR(MATCH(36,$AK$6:$AK$42,0),""))</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 ca="1">CK41+IF(AND(Lists!$EJ$42&lt;&gt;"",ISNUMBER(SEARCH($AA$4,Lists!$EJ$42))),1,0)</f>
        <v>39</v>
      </c>
      <c r="CL42" t="str">
        <f ca="1">IF(ROW()-3&gt;MAX($CK$4:$CK$42),"",INDEX(Lists!$EJ$4:$EJ$42,MATCH(ROW()-3,$CK$4:$CK$42,0)))</f>
        <v>(nonblank)</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f>CS41+IF(AND(Lists!$FD$42&lt;&gt;"",ISNUMBER(SEARCH($AE$4,Lists!$FD$42))),1,0)</f>
        <v>13</v>
      </c>
      <c r="CT42" t="str">
        <f>IF(ROW()-3&gt;MAX($CS$4:$CS$42),"",INDEX(Lists!$FD$4:$FD$42,MATCH(ROW()-3,$CS$4:$CS$42,0)))</f>
        <v/>
      </c>
      <c r="CU42" t="e">
        <f>CU41+IF(AND(Lists!$FI$42&lt;&gt;"",ISNUMBER(SEARCH($AG$4,Lists!$FI$42))),1,0)</f>
        <v>#N/A</v>
      </c>
      <c r="CV42" t="e">
        <f>IF(ROW()-3&gt;MAX($CU$4:$CU$42),"",INDEX(Lists!$FI$4:$FI$42,MATCH(ROW()-3,$CU$4:$CU$42,0)))</f>
        <v>#N/A</v>
      </c>
      <c r="CW42" t="e">
        <f>CW41+IF(AND(Lists!$FN$42&lt;&gt;"",ISNUMBER(SEARCH($AH$4,Lists!$FN$42))),1,0)</f>
        <v>#N/A</v>
      </c>
      <c r="CX42" t="e">
        <f>IF(ROW()-3&gt;MAX($CW$4:$CW$42),"",INDEX(Lists!$FN$4:$FN$42,MATCH(ROW()-3,$CW$4:$CW$42,0)))</f>
        <v>#N/A</v>
      </c>
      <c r="CY42" t="e">
        <f>CY41+IF(AND(Lists!$FS$42&lt;&gt;"",ISNUMBER(SEARCH($AI$4,Lists!$FS$42))),1,0)</f>
        <v>#N/A</v>
      </c>
      <c r="CZ42" t="e">
        <f>IF(ROW()-3&gt;MAX($CY$4:$CY$42),"",INDEX(Lists!$FS$4:$FS$42,MATCH(ROW()-3,$CY$4:$CY$42,0)))</f>
        <v>#N/A</v>
      </c>
      <c r="DA42">
        <f>DA41+IF(AND(Lists!$FX$42&lt;&gt;"",ISNUMBER(SEARCH($AF$4,Lists!$FX$42))),1,0)</f>
        <v>2</v>
      </c>
      <c r="DB42" t="str">
        <f>IF(ROW()-3&gt;MAX($DA$4:$DA$42),"",INDEX(Lists!$FX$4:$FX$42,MATCH(ROW()-3,$DA$4:$DA$42,0)))</f>
        <v/>
      </c>
      <c r="DG42">
        <f>IF($B$4="",1,IF($B$4="(blank)",--('Final Calculation Sheet'!$F$40=""),IF($B$4="(nonblank)",--('Final Calculation Sheet'!$F$40&lt;&gt;""),--ISNUMBER(SEARCH($B$4,'Final Calculation Sheet'!$F$40)))))</f>
        <v>1</v>
      </c>
      <c r="DH42">
        <f>IF($C$4="",1,IF($C$4="(blank)",--('Final Calculation Sheet'!$G$40=""),IF($C$4="(nonblank)",--('Final Calculation Sheet'!$G$40&lt;&gt;""),--ISNUMBER(SEARCH($C$4,'Final Calculation Sheet'!$G$40)))))</f>
        <v>1</v>
      </c>
      <c r="DI42">
        <f>IF($D$4="",1,IF($D$4="(blank)",--('Final Calculation Sheet'!$B$40=""),IF($D$4="(nonblank)",--('Final Calculation Sheet'!$B$40&lt;&gt;""),--ISNUMBER(SEARCH($D$4,'Final Calculation Sheet'!$B$40)))))</f>
        <v>1</v>
      </c>
      <c r="DJ42">
        <f>IF($E$4="",1,IF($E$4="(blank)",--('Final Calculation Sheet'!$D$40=""),IF($E$4="(nonblank)",--('Final Calculation Sheet'!$D$40&lt;&gt;""),--ISNUMBER(SEARCH($E$4,'Final Calculation Sheet'!$D$40)))))</f>
        <v>1</v>
      </c>
      <c r="DK42">
        <f>IF($F$4="",1,IF($F$4="(blank)",--('Final Calculation Sheet'!$A$40=""),IF($F$4="(nonblank)",--('Final Calculation Sheet'!$A$40&lt;&gt;""),--ISNUMBER(SEARCH($F$4,'Final Calculation Sheet'!$A$40)))))</f>
        <v>1</v>
      </c>
      <c r="DL42">
        <f>IF($G$4="",1,IF($G$4="(blank)",--('Final Calculation Sheet'!$E$40=""),IF($G$4="(nonblank)",--('Final Calculation Sheet'!$E$40&lt;&gt;""),--ISNUMBER(SEARCH($G$4,'Final Calculation Sheet'!$E$40)))))</f>
        <v>1</v>
      </c>
      <c r="DM42">
        <f>IF($H$4="",1,IF($H$4="(blank)",--('Final Calculation Sheet'!$C$40=""),IF($H$4="(nonblank)",--('Final Calculation Sheet'!$C$40&lt;&gt;""),--ISNUMBER(SEARCH($H$4,'Final Calculation Sheet'!$C$40)))))</f>
        <v>1</v>
      </c>
      <c r="DN42">
        <f>IF($I$4="",1,IF($I$4="(blank)",--('Final Calculation Sheet'!$H$40=""),IF($I$4="(nonblank)",--('Final Calculation Sheet'!$H$40&lt;&gt;""),--ISNUMBER(SEARCH($I$4,'Final Calculation Sheet'!$H$40)))))</f>
        <v>1</v>
      </c>
      <c r="DO42">
        <f>IF($J$4="",1,IF($J$4="(blank)",--('Final Calculation Sheet'!$I$40=""),IF($J$4="(nonblank)",--('Final Calculation Sheet'!$I$40&lt;&gt;""),--ISNUMBER(SEARCH($J$4,'Final Calculation Sheet'!$I$40)))))</f>
        <v>1</v>
      </c>
      <c r="DP42">
        <f>IF($K$4="",1,IF($K$4="(blank)",--('Final Calculation Sheet'!$J$40=""),IF($K$4="(nonblank)",--('Final Calculation Sheet'!$J$40&lt;&gt;""),--ISNUMBER(SEARCH($K$4,'Final Calculation Sheet'!$J$40)))))</f>
        <v>1</v>
      </c>
      <c r="DQ42">
        <f>IF($L$4="",1,IF($L$4="(blank)",--('Final Calculation Sheet'!$K$40=""),IF($L$4="(nonblank)",--('Final Calculation Sheet'!$K$40&lt;&gt;""),--ISNUMBER(SEARCH($L$4,'Final Calculation Sheet'!$K$40)))))</f>
        <v>1</v>
      </c>
      <c r="DR42">
        <f>IF($M$4="",1,IF($M$4="(blank)",--('Final Calculation Sheet'!$L$40=""),IF($M$4="(nonblank)",--('Final Calculation Sheet'!$L$40&lt;&gt;""),--ISNUMBER(SEARCH($M$4,'Final Calculation Sheet'!$L$40)))))</f>
        <v>1</v>
      </c>
      <c r="DS42">
        <f>IF($N$4="",1,IF($N$4="(blank)",--('Final Calculation Sheet'!$M$40=""),IF($N$4="(nonblank)",--('Final Calculation Sheet'!$M$40&lt;&gt;""),--ISNUMBER(SEARCH($N$4,'Final Calculation Sheet'!$M$40)))))</f>
        <v>1</v>
      </c>
      <c r="DT42">
        <f>IF($O$4="",1,IF($O$4="(blank)",--('Final Calculation Sheet'!$N$40=""),IF($O$4="(nonblank)",--('Final Calculation Sheet'!$N$40&lt;&gt;""),--ISNUMBER(SEARCH($O$4,'Final Calculation Sheet'!$N$40)))))</f>
        <v>1</v>
      </c>
      <c r="DU42">
        <f>IF($P$4="",1,IF($P$4="(blank)",--('Final Calculation Sheet'!$O$40=""),IF($P$4="(nonblank)",--('Final Calculation Sheet'!$O$40&lt;&gt;""),--ISNUMBER(SEARCH($P$4,'Final Calculation Sheet'!$O$40)))))</f>
        <v>1</v>
      </c>
      <c r="DV42">
        <f>IF($Q$4="",1,IF($Q$4="(blank)",--('Final Calculation Sheet'!$P$40=""),IF($Q$4="(nonblank)",--('Final Calculation Sheet'!$P$40&lt;&gt;""),--ISNUMBER(SEARCH($Q$4,'Final Calculation Sheet'!$P$40)))))</f>
        <v>1</v>
      </c>
      <c r="DW42">
        <f>IF($R$4="",1,IF($R$4="(blank)",--('Final Calculation Sheet'!$Q$40=""),IF($R$4="(nonblank)",--('Final Calculation Sheet'!$Q$40&lt;&gt;""),--ISNUMBER(SEARCH($R$4,'Final Calculation Sheet'!$Q$40)))))</f>
        <v>1</v>
      </c>
      <c r="DX42">
        <f>IF($S$4="",1,IF($S$4="(blank)",--('Final Calculation Sheet'!$R$40=""),IF($S$4="(nonblank)",--('Final Calculation Sheet'!$R$40&lt;&gt;""),--ISNUMBER(SEARCH($S$4,'Final Calculation Sheet'!$R$40)))))</f>
        <v>1</v>
      </c>
      <c r="DY42">
        <f>IF($T$4="",1,IF($T$4="(blank)",--('Final Calculation Sheet'!$S$40=""),IF($T$4="(nonblank)",--('Final Calculation Sheet'!$S$40&lt;&gt;""),--ISNUMBER(SEARCH($T$4,'Final Calculation Sheet'!$S$40)))))</f>
        <v>1</v>
      </c>
      <c r="DZ42">
        <f>IF($U$4="",1,IF($U$4="(blank)",--('Final Calculation Sheet'!$T$40=""),IF($U$4="(nonblank)",--('Final Calculation Sheet'!$T$40&lt;&gt;""),--ISNUMBER(SEARCH($U$4,'Final Calculation Sheet'!$T$40)))))</f>
        <v>1</v>
      </c>
      <c r="EA42">
        <f>IF($V$4="",1,IF($V$4="(blank)",--('Final Calculation Sheet'!$U$40=""),IF($V$4="(nonblank)",--('Final Calculation Sheet'!$U$40&lt;&gt;""),--ISNUMBER(SEARCH($V$4,'Final Calculation Sheet'!$U$40)))))</f>
        <v>1</v>
      </c>
      <c r="EB42">
        <f>IF($W$4="",1,IF($W$4="(blank)",--('Final Calculation Sheet'!$V$40=""),IF($W$4="(nonblank)",--('Final Calculation Sheet'!$V$40&lt;&gt;""),--ISNUMBER(SEARCH($W$4,'Final Calculation Sheet'!$V$40)))))</f>
        <v>1</v>
      </c>
      <c r="EC42">
        <f>IF($X$4="",1,IF($X$4="(blank)",--('Final Calculation Sheet'!$W$40=""),IF($X$4="(nonblank)",--('Final Calculation Sheet'!$W$40&lt;&gt;""),--ISNUMBER(SEARCH($X$4,'Final Calculation Sheet'!$W$40)))))</f>
        <v>1</v>
      </c>
      <c r="ED42">
        <f>IF($Y$4="",1,IF($Y$4="(blank)",--('Final Calculation Sheet'!$X$40=""),IF($Y$4="(nonblank)",--('Final Calculation Sheet'!$X$40&lt;&gt;""),--ISNUMBER(SEARCH($Y$4,'Final Calculation Sheet'!$X$40)))))</f>
        <v>1</v>
      </c>
      <c r="EE42">
        <f>IF($Z$4="",1,IF($Z$4="(blank)",--('Final Calculation Sheet'!$Y$40=""),IF($Z$4="(nonblank)",--('Final Calculation Sheet'!$Y$40&lt;&gt;""),--ISNUMBER(SEARCH($Z$4,'Final Calculation Sheet'!$Y$40)))))</f>
        <v>1</v>
      </c>
      <c r="EF42">
        <f>IF($AA$4="",1,IF($AA$4="(blank)",--('Final Calculation Sheet'!$Z$40=""),IF($AA$4="(nonblank)",--('Final Calculation Sheet'!$Z$40&lt;&gt;""),--ISNUMBER(SEARCH($AA$4,'Final Calculation Sheet'!$Z$40)))))</f>
        <v>1</v>
      </c>
      <c r="EG42">
        <f>IF($AB$4="",1,IF($AB$4="(blank)",--('Final Calculation Sheet'!$AA$40=""),IF($AB$4="(nonblank)",--('Final Calculation Sheet'!$AA$40&lt;&gt;""),--ISNUMBER(SEARCH($AB$4,'Final Calculation Sheet'!$AA$40)))))</f>
        <v>1</v>
      </c>
      <c r="EH42">
        <f>IF($AC$4="",1,IF($AC$4="(blank)",--('Final Calculation Sheet'!$AB$40=""),IF($AC$4="(nonblank)",--('Final Calculation Sheet'!$AB$40&lt;&gt;""),--ISNUMBER(SEARCH($AC$4,'Final Calculation Sheet'!$AB$40)))))</f>
        <v>1</v>
      </c>
      <c r="EI42">
        <f>IF($AD$4="",1,IF($AD$4="(blank)",--('Final Calculation Sheet'!$AC$40=""),IF($AD$4="(nonblank)",--('Final Calculation Sheet'!$AC$40&lt;&gt;""),--ISNUMBER(SEARCH($AD$4,'Final Calculation Sheet'!$AC$40)))))</f>
        <v>1</v>
      </c>
      <c r="EJ42">
        <f>IF($AE$4="",1,IF($AE$4="(blank)",--('Final Calculation Sheet'!$AD$40=""),IF($AE$4="(nonblank)",--('Final Calculation Sheet'!$AD$40&lt;&gt;""),--ISNUMBER(SEARCH($AE$4,'Final Calculation Sheet'!$AD$40)))))</f>
        <v>1</v>
      </c>
      <c r="EK42">
        <f>IF($AF$4="",1,IF($AF$4="(blank)",--(IF('Final Calculation Sheet'!$AD$40&lt;=5,"SETTLED","OUTSTANDING")=""),IF($AF$4="(nonblank)",--(IF('Final Calculation Sheet'!$AD$40&lt;=5,"SETTLED","OUTSTANDING")&lt;&gt;""),--ISNUMBER(SEARCH($AF$4,IF('Final Calculation Sheet'!$AD$40&lt;=5,"SETTLED","OUTSTANDING"))))))</f>
        <v>1</v>
      </c>
      <c r="EL42">
        <f>IF($AG$4="",1,IF($AG$4="(blank)",--('Final Calculation Sheet'!$AF$40=""),IF($AG$4="(nonblank)",--('Final Calculation Sheet'!$AF$40&lt;&gt;""),--ISNUMBER(SEARCH($AG$4,'Final Calculation Sheet'!$AF$40)))))</f>
        <v>1</v>
      </c>
      <c r="EM42">
        <f>IF($AH$4="",1,IF($AH$4="(blank)",--('Final Calculation Sheet'!$AG$40=""),IF($AH$4="(nonblank)",--('Final Calculation Sheet'!$AG$40&lt;&gt;""),--ISNUMBER(SEARCH($AH$4,'Final Calculation Sheet'!$AG$40)))))</f>
        <v>1</v>
      </c>
      <c r="EN42">
        <f>IF($AI$4="",1,IF($AI$4="(blank)",--('Final Calculation Sheet'!$AH$40=""),IF($AI$4="(nonblank)",--('Final Calculation Sheet'!$AH$40&lt;&gt;""),--ISNUMBER(SEARCH($AI$4,'Final Calculation Sheet'!$AH$40)))))</f>
        <v>1</v>
      </c>
    </row>
    <row r="43" spans="1:144" hidden="1" outlineLevel="1" x14ac:dyDescent="0.3">
      <c r="A43" s="107" t="str">
        <f>IF($AL$43="","",37)</f>
        <v/>
      </c>
      <c r="B43" s="108" t="str">
        <f>IF($AL$43="","",IF(INDEX('Final Calculation Sheet'!$F$4:$F$40,$AL$43)="","",INDEX('Final Calculation Sheet'!$F$4:$F$40,$AL$43)))</f>
        <v/>
      </c>
      <c r="C43" s="108" t="str">
        <f>IF($AL$43="","",IF(INDEX('Final Calculation Sheet'!$G$4:$G$40,$AL$43)="","",INDEX('Final Calculation Sheet'!$G$4:$G$40,$AL$43)))</f>
        <v/>
      </c>
      <c r="D43" s="110" t="str">
        <f>IF($AL$43="","",IF(INDEX('Final Calculation Sheet'!$B$4:$B$40,$AL$43)="","",INDEX('Final Calculation Sheet'!$B$4:$B$40,$AL$43)))</f>
        <v/>
      </c>
      <c r="E43" s="110" t="str">
        <f>IF($AL$43="","",IF(INDEX('Final Calculation Sheet'!$D$4:$D$40,$AL$43)="","",INDEX('Final Calculation Sheet'!$D$4:$D$40,$AL$43)))</f>
        <v/>
      </c>
      <c r="F43" s="110" t="str">
        <f>IF($AL$43="","",IF(INDEX('Final Calculation Sheet'!$A$4:$A$40,$AL$43)="","",INDEX('Final Calculation Sheet'!$A$4:$A$40,$AL$43)))</f>
        <v/>
      </c>
      <c r="G43" s="110" t="str">
        <f>IF($AL$43="","",IF(INDEX('Final Calculation Sheet'!$E$4:$E$40,$AL$43)="","",INDEX('Final Calculation Sheet'!$E$4:$E$40,$AL$43)))</f>
        <v/>
      </c>
      <c r="H43" s="111" t="str">
        <f>IF($AL$43="","",IF(INDEX('Final Calculation Sheet'!$C$4:$C$40,$AL$43)="","",INDEX('Final Calculation Sheet'!$C$4:$C$40,$AL$43)))</f>
        <v/>
      </c>
      <c r="I43" s="111" t="str">
        <f>IF($AL$43="","",IF(INDEX('Final Calculation Sheet'!$H$4:$H$40,$AL$43)="","",INDEX('Final Calculation Sheet'!$H$4:$H$40,$AL$43)))</f>
        <v/>
      </c>
      <c r="J43" s="111" t="str">
        <f>IF($AL$43="","",IF(INDEX('Final Calculation Sheet'!$I$4:$I$40,$AL$43)="","",INDEX('Final Calculation Sheet'!$I$4:$I$40,$AL$43)))</f>
        <v/>
      </c>
      <c r="K43" s="111" t="str">
        <f>IF($AL$43="","",IF(INDEX('Final Calculation Sheet'!$J$4:$J$40,$AL$43)="","",INDEX('Final Calculation Sheet'!$J$4:$J$40,$AL$43)))</f>
        <v/>
      </c>
      <c r="L43" s="111" t="str">
        <f>IF($AL$43="","",IF(INDEX('Final Calculation Sheet'!$K$4:$K$40,$AL$43)="","",INDEX('Final Calculation Sheet'!$K$4:$K$40,$AL$43)))</f>
        <v/>
      </c>
      <c r="M43" s="111" t="str">
        <f>IF($AL$43="","",IF(INDEX('Final Calculation Sheet'!$L$4:$L$40,$AL$43)="","",INDEX('Final Calculation Sheet'!$L$4:$L$40,$AL$43)))</f>
        <v/>
      </c>
      <c r="N43" s="111" t="str">
        <f>IF($AL$43="","",IF(INDEX('Final Calculation Sheet'!$M$4:$M$40,$AL$43)="","",INDEX('Final Calculation Sheet'!$M$4:$M$40,$AL$43)))</f>
        <v/>
      </c>
      <c r="O43" s="112" t="str">
        <f>IF($AL$43="","",IF(INDEX('Final Calculation Sheet'!$N$4:$N$40,$AL$43)="","",INDEX('Final Calculation Sheet'!$N$4:$N$40,$AL$43)))</f>
        <v/>
      </c>
      <c r="P43" s="111" t="str">
        <f>IF($AL$43="","",IF(INDEX('Final Calculation Sheet'!$O$4:$O$40,$AL$43)="","",INDEX('Final Calculation Sheet'!$O$4:$O$40,$AL$43)))</f>
        <v/>
      </c>
      <c r="Q43" s="111" t="str">
        <f>IF($AL$43="","",IF(INDEX('Final Calculation Sheet'!$P$4:$P$40,$AL$43)="","",INDEX('Final Calculation Sheet'!$P$4:$P$40,$AL$43)))</f>
        <v/>
      </c>
      <c r="R43" s="113" t="str">
        <f>IF($AL$43="","",IF(INDEX('Final Calculation Sheet'!$Q$4:$Q$40,$AL$43)="","",INDEX('Final Calculation Sheet'!$Q$4:$Q$40,$AL$43)))</f>
        <v/>
      </c>
      <c r="S43" s="111" t="str">
        <f>IF($AL$43="","",IF(INDEX('Final Calculation Sheet'!$R$4:$R$40,$AL$43)="","",INDEX('Final Calculation Sheet'!$R$4:$R$40,$AL$43)))</f>
        <v/>
      </c>
      <c r="T43" s="111" t="str">
        <f>IF($AL$43="","",IF(INDEX('Final Calculation Sheet'!$S$4:$S$40,$AL$43)="","",INDEX('Final Calculation Sheet'!$S$4:$S$40,$AL$43)))</f>
        <v/>
      </c>
      <c r="U43" s="111" t="str">
        <f>IF($AL$43="","",IF(INDEX('Final Calculation Sheet'!$T$4:$T$40,$AL$43)="","",INDEX('Final Calculation Sheet'!$T$4:$T$40,$AL$43)))</f>
        <v/>
      </c>
      <c r="V43" s="114" t="str">
        <f>IF($AL$43="","",IF(INDEX('Final Calculation Sheet'!$U$4:$U$40,$AL$43)="","",INDEX('Final Calculation Sheet'!$U$4:$U$40,$AL$43)))</f>
        <v/>
      </c>
      <c r="W43" s="111" t="str">
        <f>IF($AL$43="","",IF(INDEX('Final Calculation Sheet'!$V$4:$V$40,$AL$43)="","",INDEX('Final Calculation Sheet'!$V$4:$V$40,$AL$43)))</f>
        <v/>
      </c>
      <c r="X43" s="111" t="str">
        <f>IF($AL$43="","",IF(INDEX('Final Calculation Sheet'!$W$4:$W$40,$AL$43)="","",INDEX('Final Calculation Sheet'!$W$4:$W$40,$AL$43)))</f>
        <v/>
      </c>
      <c r="Y43" s="111" t="str">
        <f>IF($AL$43="","",IF(INDEX('Final Calculation Sheet'!$X$4:$X$40,$AL$43)="","",INDEX('Final Calculation Sheet'!$X$4:$X$40,$AL$43)))</f>
        <v/>
      </c>
      <c r="Z43" s="111" t="str">
        <f>IF($AL$43="","",IF(INDEX('Final Calculation Sheet'!$Y$4:$Y$40,$AL$43)="","",INDEX('Final Calculation Sheet'!$Y$4:$Y$40,$AL$43)))</f>
        <v/>
      </c>
      <c r="AA43" s="111" t="str">
        <f>IF($AL$43="","",IF(INDEX('Final Calculation Sheet'!$Z$4:$Z$40,$AL$43)="","",INDEX('Final Calculation Sheet'!$Z$4:$Z$40,$AL$43)))</f>
        <v/>
      </c>
      <c r="AB43" s="111" t="str">
        <f>IF($AL$43="","",IF(INDEX('Final Calculation Sheet'!$AA$4:$AA$40,$AL$43)="","",INDEX('Final Calculation Sheet'!$AA$4:$AA$40,$AL$43)))</f>
        <v/>
      </c>
      <c r="AC43" s="111" t="str">
        <f>IF($AL$43="","",IF(INDEX('Final Calculation Sheet'!$AB$4:$AB$40,$AL$43)="","",INDEX('Final Calculation Sheet'!$AB$4:$AB$40,$AL$43)))</f>
        <v/>
      </c>
      <c r="AD43" s="111" t="str">
        <f>IF($AL$43="","",IF(INDEX('Final Calculation Sheet'!$AC$4:$AC$40,$AL$43)="","",INDEX('Final Calculation Sheet'!$AC$4:$AC$40,$AL$43)))</f>
        <v/>
      </c>
      <c r="AE43" s="111" t="str">
        <f>IF($AL$43="","",IF(INDEX('Final Calculation Sheet'!$AD$4:$AD$40,$AL$43)="","",INDEX('Final Calculation Sheet'!$AD$4:$AD$40,$AL$43)))</f>
        <v/>
      </c>
      <c r="AF43" s="116" t="str">
        <f>IF($AL$43="","",IF(INDEX('Final Calculation Sheet'!$AD$4:$AD$40,$AL$43)&lt;=5,"SETTLED","OUTSTANDING"))</f>
        <v/>
      </c>
      <c r="AG43" s="111" t="str">
        <f>IF($AL$43="","",IF(INDEX('Final Calculation Sheet'!$AF$4:$AF$40,$AL$43)="","",INDEX('Final Calculation Sheet'!$AF$4:$AF$40,$AL$43)))</f>
        <v/>
      </c>
      <c r="AH43" s="115" t="str">
        <f>IF($AL$43="","",IF(INDEX('Final Calculation Sheet'!$AG$4:$AG$40,$AL$43)="","",INDEX('Final Calculation Sheet'!$AG$4:$AG$40,$AL$43)))</f>
        <v/>
      </c>
      <c r="AI43" s="111" t="str">
        <f>IF($AL$43="","",IF(INDEX('Final Calculation Sheet'!$AH$4:$AH$40,$AL$43)="","",INDEX('Final Calculation Sheet'!$AH$4:$AH$40,$AL$43)))</f>
        <v/>
      </c>
      <c r="AL43" t="str">
        <f>IF(COUNTIF($B$4:$AI$4,"&lt;&gt;")=0,"",IFERROR(MATCH(37,$AK$6:$AK$42,0),""))</f>
        <v/>
      </c>
    </row>
    <row r="45" spans="1:144" ht="15" customHeight="1" outlineLevel="1" x14ac:dyDescent="0.3">
      <c r="A45" s="62">
        <v>1</v>
      </c>
      <c r="B45" s="63">
        <f>IF('Final Calculation Sheet'!$F$4="","",'Final Calculation Sheet'!$F$4)</f>
        <v>1763</v>
      </c>
      <c r="C45" s="63" t="str">
        <f>IF('Final Calculation Sheet'!$G$4="","",'Final Calculation Sheet'!$G$4)</f>
        <v>AL HAMD TRADE CORPORATION</v>
      </c>
      <c r="D45" s="64" t="str">
        <f>IF('Final Calculation Sheet'!$B$4="","",'Final Calculation Sheet'!$B$4)</f>
        <v>SCRAP COPPER OF T/F WINDING (Oil impregnated paper insulated T/F winding)</v>
      </c>
      <c r="E45" s="64">
        <f>IF('Final Calculation Sheet'!$D$4="","",'Final Calculation Sheet'!$D$4)</f>
        <v>21980</v>
      </c>
      <c r="F45" s="64">
        <f>IF('Final Calculation Sheet'!$A$4="","",'Final Calculation Sheet'!$A$4)</f>
        <v>669</v>
      </c>
      <c r="G45" s="64" t="str">
        <f>IF('Final Calculation Sheet'!$E$4="","",'Final Calculation Sheet'!$E$4)</f>
        <v>KG</v>
      </c>
      <c r="H45" s="65">
        <f>IF('Final Calculation Sheet'!$C$4="","",'Final Calculation Sheet'!$C$4)</f>
        <v>1181</v>
      </c>
      <c r="I45" s="65">
        <f>IF('Final Calculation Sheet'!$H$4="","",'Final Calculation Sheet'!$H$4)</f>
        <v>790089</v>
      </c>
      <c r="J45" s="65">
        <f>IF('Final Calculation Sheet'!$I$4="","",'Final Calculation Sheet'!$I$4)</f>
        <v>142216</v>
      </c>
      <c r="K45" s="65">
        <f>IF('Final Calculation Sheet'!$J$4="","",'Final Calculation Sheet'!$J$4)</f>
        <v>932305</v>
      </c>
      <c r="L45" s="65">
        <f>IF('Final Calculation Sheet'!$K$4="","",'Final Calculation Sheet'!$K$4)</f>
        <v>18646</v>
      </c>
      <c r="M45" s="65">
        <f>IF('Final Calculation Sheet'!$L$4="","",'Final Calculation Sheet'!$L$4)</f>
        <v>790.08900000000006</v>
      </c>
      <c r="N45" s="65">
        <f>IF('Final Calculation Sheet'!$M$4="","",'Final Calculation Sheet'!$M$4)</f>
        <v>20976.862949999999</v>
      </c>
      <c r="O45" s="66">
        <f>IF('Final Calculation Sheet'!$N$4="","",'Final Calculation Sheet'!$N$4)</f>
        <v>355.54005000000001</v>
      </c>
      <c r="P45" s="65">
        <f>IF('Final Calculation Sheet'!$O$4="","",'Final Calculation Sheet'!$O$4)</f>
        <v>20621.322899999999</v>
      </c>
      <c r="Q45" s="65">
        <f>IF('Final Calculation Sheet'!$P$4="","",'Final Calculation Sheet'!$P$4)</f>
        <v>21411</v>
      </c>
      <c r="R45" s="67">
        <f>IF('Final Calculation Sheet'!$Q$4="","",'Final Calculation Sheet'!$Q$4)</f>
        <v>0.02</v>
      </c>
      <c r="S45" s="65">
        <f>IF('Final Calculation Sheet'!$R$4="","",'Final Calculation Sheet'!$R$4)</f>
        <v>15802</v>
      </c>
      <c r="T45" s="65">
        <f>IF('Final Calculation Sheet'!$S$4="","",'Final Calculation Sheet'!$S$4)</f>
        <v>913738</v>
      </c>
      <c r="U45" s="65">
        <f>IF('Final Calculation Sheet'!$T$4="","",'Final Calculation Sheet'!$T$4)</f>
        <v>197522</v>
      </c>
      <c r="V45" s="68">
        <f>IF('Final Calculation Sheet'!$U$4="","",'Final Calculation Sheet'!$U$4)</f>
        <v>197522</v>
      </c>
      <c r="W45" s="65" t="str">
        <f>IF('Final Calculation Sheet'!$V$4="","",'Final Calculation Sheet'!$V$4)</f>
        <v>24.08.2026</v>
      </c>
      <c r="X45" s="65">
        <f>IF('Final Calculation Sheet'!$W$4="","",'Final Calculation Sheet'!$W$4)</f>
        <v>716215</v>
      </c>
      <c r="Y45" s="65">
        <f>IF('Final Calculation Sheet'!$X$4="","",'Final Calculation Sheet'!$X$4)</f>
        <v>716216</v>
      </c>
      <c r="Z45" s="65" t="str">
        <f>IF('Final Calculation Sheet'!$Y$4="","",'Final Calculation Sheet'!$Y$4)</f>
        <v>18.08.2026</v>
      </c>
      <c r="AA45" s="65">
        <f ca="1">IF('Final Calculation Sheet'!$Z$4="","",'Final Calculation Sheet'!$Z$4)</f>
        <v>27969.150600000001</v>
      </c>
      <c r="AB45" s="65" t="str">
        <f>IF('Final Calculation Sheet'!$AA$4="","",'Final Calculation Sheet'!$AA$4)</f>
        <v/>
      </c>
      <c r="AC45" s="65" t="str">
        <f>IF('Final Calculation Sheet'!$AB$4="","",'Final Calculation Sheet'!$AB$4)</f>
        <v/>
      </c>
      <c r="AD45" s="65">
        <f>IF('Final Calculation Sheet'!$AC$4="","",'Final Calculation Sheet'!$AC$4)</f>
        <v>913738</v>
      </c>
      <c r="AE45" s="65">
        <f>IF('Final Calculation Sheet'!$AD$4="","",'Final Calculation Sheet'!$AD$4)</f>
        <v>0</v>
      </c>
      <c r="AF45" s="70" t="str">
        <f>IF('Final Calculation Sheet'!$AD$4="","",IF('Final Calculation Sheet'!$AD$4&lt;=5,"SETTLED","OUTSTANDING"))</f>
        <v>SETTLED</v>
      </c>
      <c r="AG45" s="65" t="str">
        <f>IF('Final Calculation Sheet'!$AF$4="","",'Final Calculation Sheet'!$AF$4)</f>
        <v>DR2640100029</v>
      </c>
      <c r="AH45" s="69">
        <f>IF('Final Calculation Sheet'!$AG$4="","",'Final Calculation Sheet'!$AG$4)</f>
        <v>1800003271</v>
      </c>
      <c r="AI45" s="65" t="str">
        <f>IF('Final Calculation Sheet'!$AH$4="","",'Final Calculation Sheet'!$AH$4)</f>
        <v>24.08.2026</v>
      </c>
    </row>
    <row r="46" spans="1:144" ht="15" customHeight="1" x14ac:dyDescent="0.3">
      <c r="A46" s="73" t="s">
        <v>182</v>
      </c>
      <c r="B46" s="74"/>
      <c r="C46" s="74" t="str">
        <f>ROWS($C$45:$C$45)&amp;" lot(s)"</f>
        <v>1 lot(s)</v>
      </c>
      <c r="D46" s="74" t="s">
        <v>183</v>
      </c>
      <c r="E46" s="74" t="s">
        <v>184</v>
      </c>
      <c r="F46" s="74">
        <f>SUM(F45:F45)</f>
        <v>669</v>
      </c>
      <c r="G46" s="74" t="s">
        <v>184</v>
      </c>
      <c r="H46" s="75" t="s">
        <v>184</v>
      </c>
      <c r="I46" s="75">
        <f t="shared" ref="I46:Q46" si="0">SUM(I45:I45)</f>
        <v>790089</v>
      </c>
      <c r="J46" s="75">
        <f t="shared" si="0"/>
        <v>142216</v>
      </c>
      <c r="K46" s="75">
        <f t="shared" si="0"/>
        <v>932305</v>
      </c>
      <c r="L46" s="75">
        <f t="shared" si="0"/>
        <v>18646</v>
      </c>
      <c r="M46" s="75">
        <f t="shared" si="0"/>
        <v>790.08900000000006</v>
      </c>
      <c r="N46" s="75">
        <f t="shared" si="0"/>
        <v>20976.862949999999</v>
      </c>
      <c r="O46" s="76">
        <f t="shared" si="0"/>
        <v>355.54005000000001</v>
      </c>
      <c r="P46" s="75">
        <f t="shared" si="0"/>
        <v>20621.322899999999</v>
      </c>
      <c r="Q46" s="75">
        <f t="shared" si="0"/>
        <v>21411</v>
      </c>
      <c r="R46" s="77" t="s">
        <v>184</v>
      </c>
      <c r="S46" s="75">
        <f>SUM(S45:S45)</f>
        <v>15802</v>
      </c>
      <c r="T46" s="75">
        <f>SUM(T45:T45)</f>
        <v>913738</v>
      </c>
      <c r="U46" s="75">
        <f>SUM(U45:U45)</f>
        <v>197522</v>
      </c>
      <c r="V46" s="78">
        <f>SUM(V45:V45)</f>
        <v>197522</v>
      </c>
      <c r="W46" s="75" t="s">
        <v>184</v>
      </c>
      <c r="X46" s="75">
        <f>SUM(X45:X45)</f>
        <v>716215</v>
      </c>
      <c r="Y46" s="75">
        <f>SUM(Y45:Y45)</f>
        <v>716216</v>
      </c>
      <c r="Z46" s="75" t="s">
        <v>184</v>
      </c>
      <c r="AA46" s="75">
        <f ca="1">SUM(AA45:AA45)</f>
        <v>27969.150600000001</v>
      </c>
      <c r="AB46" s="75">
        <f>SUM(AB45:AB45)</f>
        <v>0</v>
      </c>
      <c r="AC46" s="75" t="s">
        <v>184</v>
      </c>
      <c r="AD46" s="75">
        <f>SUM(AD45:AD45)</f>
        <v>913738</v>
      </c>
      <c r="AE46" s="75">
        <f>SUM(AE45:AE45)</f>
        <v>0</v>
      </c>
      <c r="AF46" s="80" t="str">
        <f>IF(AE46&lt;=5,"SETTLED","OUTSTANDING")</f>
        <v>SETTLED</v>
      </c>
      <c r="AG46" s="75" t="s">
        <v>184</v>
      </c>
      <c r="AH46" s="79" t="s">
        <v>184</v>
      </c>
      <c r="AI46" s="75" t="s">
        <v>184</v>
      </c>
    </row>
    <row r="47" spans="1:144" ht="15" customHeight="1" outlineLevel="1" x14ac:dyDescent="0.3">
      <c r="A47" s="62">
        <v>1</v>
      </c>
      <c r="B47" s="63">
        <f>IF('Final Calculation Sheet'!$F$6="","",'Final Calculation Sheet'!$F$6)</f>
        <v>1875</v>
      </c>
      <c r="C47" s="63" t="str">
        <f>IF('Final Calculation Sheet'!$G$6="","",'Final Calculation Sheet'!$G$6)</f>
        <v>F R KHANS ENTERPRISES</v>
      </c>
      <c r="D47" s="64" t="str">
        <f>IF('Final Calculation Sheet'!$B$6="","",'Final Calculation Sheet'!$B$6)</f>
        <v>Scrap of Copper of faulty AC compressor</v>
      </c>
      <c r="E47" s="64">
        <f>IF('Final Calculation Sheet'!$D$6="","",'Final Calculation Sheet'!$D$6)</f>
        <v>21977</v>
      </c>
      <c r="F47" s="64">
        <f>IF('Final Calculation Sheet'!$A$6="","",'Final Calculation Sheet'!$A$6)</f>
        <v>28</v>
      </c>
      <c r="G47" s="64" t="str">
        <f>IF('Final Calculation Sheet'!$E$6="","",'Final Calculation Sheet'!$E$6)</f>
        <v>KG</v>
      </c>
      <c r="H47" s="65">
        <f>IF('Final Calculation Sheet'!$C$6="","",'Final Calculation Sheet'!$C$6)</f>
        <v>1456</v>
      </c>
      <c r="I47" s="65">
        <f>IF('Final Calculation Sheet'!$H$6="","",'Final Calculation Sheet'!$H$6)</f>
        <v>40768</v>
      </c>
      <c r="J47" s="65">
        <f>IF('Final Calculation Sheet'!$I$6="","",'Final Calculation Sheet'!$I$6)</f>
        <v>7338</v>
      </c>
      <c r="K47" s="65">
        <f>IF('Final Calculation Sheet'!$J$6="","",'Final Calculation Sheet'!$J$6)</f>
        <v>48106</v>
      </c>
      <c r="L47" s="65">
        <f>IF('Final Calculation Sheet'!$K$6="","",'Final Calculation Sheet'!$K$6)</f>
        <v>962</v>
      </c>
      <c r="M47" s="65">
        <f>IF('Final Calculation Sheet'!$L$6="","",'Final Calculation Sheet'!$L$6)</f>
        <v>40.768000000000001</v>
      </c>
      <c r="N47" s="65">
        <f>IF('Final Calculation Sheet'!$M$6="","",'Final Calculation Sheet'!$M$6)</f>
        <v>1082.3904</v>
      </c>
      <c r="O47" s="66">
        <f>IF('Final Calculation Sheet'!$N$6="","",'Final Calculation Sheet'!$N$6)</f>
        <v>18.345600000000001</v>
      </c>
      <c r="P47" s="65">
        <f>IF('Final Calculation Sheet'!$O$6="","",'Final Calculation Sheet'!$O$6)</f>
        <v>1064.0447999999999</v>
      </c>
      <c r="Q47" s="65">
        <f>IF('Final Calculation Sheet'!$P$6="","",'Final Calculation Sheet'!$P$6)</f>
        <v>1105</v>
      </c>
      <c r="R47" s="67">
        <f>IF('Final Calculation Sheet'!$Q$6="","",'Final Calculation Sheet'!$Q$6)</f>
        <v>0</v>
      </c>
      <c r="S47" s="65">
        <f>IF('Final Calculation Sheet'!$R$6="","",'Final Calculation Sheet'!$R$6)</f>
        <v>0</v>
      </c>
      <c r="T47" s="65">
        <f>IF('Final Calculation Sheet'!$S$6="","",'Final Calculation Sheet'!$S$6)</f>
        <v>47964</v>
      </c>
      <c r="U47" s="65">
        <f>IF('Final Calculation Sheet'!$T$6="","",'Final Calculation Sheet'!$T$6)</f>
        <v>10192</v>
      </c>
      <c r="V47" s="68">
        <f>IF('Final Calculation Sheet'!$U$6="","",'Final Calculation Sheet'!$U$6)</f>
        <v>10192</v>
      </c>
      <c r="W47" s="65" t="str">
        <f>IF('Final Calculation Sheet'!$V$6="","",'Final Calculation Sheet'!$V$6)</f>
        <v>11.08.2026</v>
      </c>
      <c r="X47" s="65">
        <f>IF('Final Calculation Sheet'!$W$6="","",'Final Calculation Sheet'!$W$6)</f>
        <v>37772</v>
      </c>
      <c r="Y47" s="65">
        <f>IF('Final Calculation Sheet'!$X$6="","",'Final Calculation Sheet'!$X$6)</f>
        <v>37772</v>
      </c>
      <c r="Z47" s="65" t="str">
        <f>IF('Final Calculation Sheet'!$Y$6="","",'Final Calculation Sheet'!$Y$6)</f>
        <v>20.08.2026</v>
      </c>
      <c r="AA47" s="65">
        <f ca="1">IF('Final Calculation Sheet'!$Z$6="","",'Final Calculation Sheet'!$Z$6)</f>
        <v>1443.1871999999998</v>
      </c>
      <c r="AB47" s="65" t="str">
        <f>IF('Final Calculation Sheet'!$AA$6="","",'Final Calculation Sheet'!$AA$6)</f>
        <v/>
      </c>
      <c r="AC47" s="65" t="str">
        <f>IF('Final Calculation Sheet'!$AB$6="","",'Final Calculation Sheet'!$AB$6)</f>
        <v/>
      </c>
      <c r="AD47" s="65">
        <f>IF('Final Calculation Sheet'!$AC$6="","",'Final Calculation Sheet'!$AC$6)</f>
        <v>47964</v>
      </c>
      <c r="AE47" s="65">
        <f>IF('Final Calculation Sheet'!$AD$6="","",'Final Calculation Sheet'!$AD$6)</f>
        <v>0</v>
      </c>
      <c r="AF47" s="70" t="str">
        <f>IF('Final Calculation Sheet'!$AD$6="","",IF('Final Calculation Sheet'!$AD$6&lt;=5,"SETTLED","OUTSTANDING"))</f>
        <v>SETTLED</v>
      </c>
      <c r="AG47" s="65" t="str">
        <f>IF('Final Calculation Sheet'!$AF$6="","",'Final Calculation Sheet'!$AF$6)</f>
        <v>DR2640100047</v>
      </c>
      <c r="AH47" s="69">
        <f>IF('Final Calculation Sheet'!$AG$6="","",'Final Calculation Sheet'!$AG$6)</f>
        <v>1800003346</v>
      </c>
      <c r="AI47" s="65" t="str">
        <f>IF('Final Calculation Sheet'!$AH$6="","",'Final Calculation Sheet'!$AH$6)</f>
        <v>27.08.2026</v>
      </c>
    </row>
    <row r="48" spans="1:144" ht="15" customHeight="1" outlineLevel="1" x14ac:dyDescent="0.3">
      <c r="A48" s="81">
        <v>2</v>
      </c>
      <c r="B48" s="82">
        <f>IF('Final Calculation Sheet'!$F$7="","",'Final Calculation Sheet'!$F$7)</f>
        <v>1876</v>
      </c>
      <c r="C48" s="82" t="str">
        <f>IF('Final Calculation Sheet'!$G$7="","",'Final Calculation Sheet'!$G$7)</f>
        <v>F R KHANS ENTERPRISES</v>
      </c>
      <c r="D48" s="83" t="str">
        <f>IF('Final Calculation Sheet'!$B$7="","",'Final Calculation Sheet'!$B$7)</f>
        <v>Scrap of MS (extracted from equip cage and empty Sf6 gas cylinder)</v>
      </c>
      <c r="E48" s="83">
        <f>IF('Final Calculation Sheet'!$D$7="","",'Final Calculation Sheet'!$D$7)</f>
        <v>21977</v>
      </c>
      <c r="F48" s="83">
        <f>IF('Final Calculation Sheet'!$A$7="","",'Final Calculation Sheet'!$A$7)</f>
        <v>3000</v>
      </c>
      <c r="G48" s="83" t="str">
        <f>IF('Final Calculation Sheet'!$E$7="","",'Final Calculation Sheet'!$E$7)</f>
        <v>KG</v>
      </c>
      <c r="H48" s="84">
        <f>IF('Final Calculation Sheet'!$C$7="","",'Final Calculation Sheet'!$C$7)</f>
        <v>66</v>
      </c>
      <c r="I48" s="84">
        <f>IF('Final Calculation Sheet'!$H$7="","",'Final Calculation Sheet'!$H$7)</f>
        <v>198000</v>
      </c>
      <c r="J48" s="84">
        <f>IF('Final Calculation Sheet'!$I$7="","",'Final Calculation Sheet'!$I$7)</f>
        <v>35640</v>
      </c>
      <c r="K48" s="84">
        <f>IF('Final Calculation Sheet'!$J$7="","",'Final Calculation Sheet'!$J$7)</f>
        <v>233640</v>
      </c>
      <c r="L48" s="84">
        <f>IF('Final Calculation Sheet'!$K$7="","",'Final Calculation Sheet'!$K$7)</f>
        <v>4673</v>
      </c>
      <c r="M48" s="84">
        <f>IF('Final Calculation Sheet'!$L$7="","",'Final Calculation Sheet'!$L$7)</f>
        <v>198</v>
      </c>
      <c r="N48" s="84">
        <f>IF('Final Calculation Sheet'!$M$7="","",'Final Calculation Sheet'!$M$7)</f>
        <v>5256.9</v>
      </c>
      <c r="O48" s="85">
        <f>IF('Final Calculation Sheet'!$N$7="","",'Final Calculation Sheet'!$N$7)</f>
        <v>89.100000000000009</v>
      </c>
      <c r="P48" s="84">
        <f>IF('Final Calculation Sheet'!$O$7="","",'Final Calculation Sheet'!$O$7)</f>
        <v>5167.7999999999993</v>
      </c>
      <c r="Q48" s="84">
        <f>IF('Final Calculation Sheet'!$P$7="","",'Final Calculation Sheet'!$P$7)</f>
        <v>5366</v>
      </c>
      <c r="R48" s="86">
        <f>IF('Final Calculation Sheet'!$Q$7="","",'Final Calculation Sheet'!$Q$7)</f>
        <v>0</v>
      </c>
      <c r="S48" s="84">
        <f>IF('Final Calculation Sheet'!$R$7="","",'Final Calculation Sheet'!$R$7)</f>
        <v>0</v>
      </c>
      <c r="T48" s="84">
        <f>IF('Final Calculation Sheet'!$S$7="","",'Final Calculation Sheet'!$S$7)</f>
        <v>232947</v>
      </c>
      <c r="U48" s="84">
        <f>IF('Final Calculation Sheet'!$T$7="","",'Final Calculation Sheet'!$T$7)</f>
        <v>49500</v>
      </c>
      <c r="V48" s="87">
        <f>IF('Final Calculation Sheet'!$U$7="","",'Final Calculation Sheet'!$U$7)</f>
        <v>49500</v>
      </c>
      <c r="W48" s="84" t="str">
        <f>IF('Final Calculation Sheet'!$V$7="","",'Final Calculation Sheet'!$V$7)</f>
        <v>11.08.2026</v>
      </c>
      <c r="X48" s="84">
        <f>IF('Final Calculation Sheet'!$W$7="","",'Final Calculation Sheet'!$W$7)</f>
        <v>183447</v>
      </c>
      <c r="Y48" s="84">
        <f>IF('Final Calculation Sheet'!$X$7="","",'Final Calculation Sheet'!$X$7)</f>
        <v>183446</v>
      </c>
      <c r="Z48" s="84" t="str">
        <f>IF('Final Calculation Sheet'!$Y$7="","",'Final Calculation Sheet'!$Y$7)</f>
        <v>20.08.2026</v>
      </c>
      <c r="AA48" s="84">
        <f ca="1">IF('Final Calculation Sheet'!$Z$7="","",'Final Calculation Sheet'!$Z$7)</f>
        <v>7009.2000000000007</v>
      </c>
      <c r="AB48" s="84" t="str">
        <f>IF('Final Calculation Sheet'!$AA$7="","",'Final Calculation Sheet'!$AA$7)</f>
        <v/>
      </c>
      <c r="AC48" s="84" t="str">
        <f>IF('Final Calculation Sheet'!$AB$7="","",'Final Calculation Sheet'!$AB$7)</f>
        <v/>
      </c>
      <c r="AD48" s="84">
        <f>IF('Final Calculation Sheet'!$AC$7="","",'Final Calculation Sheet'!$AC$7)</f>
        <v>232946</v>
      </c>
      <c r="AE48" s="84">
        <f>IF('Final Calculation Sheet'!$AD$7="","",'Final Calculation Sheet'!$AD$7)</f>
        <v>1</v>
      </c>
      <c r="AF48" s="89" t="str">
        <f>IF('Final Calculation Sheet'!$AD$7="","",IF('Final Calculation Sheet'!$AD$7&lt;=5,"SETTLED","OUTSTANDING"))</f>
        <v>SETTLED</v>
      </c>
      <c r="AG48" s="84" t="str">
        <f>IF('Final Calculation Sheet'!$AF$7="","",'Final Calculation Sheet'!$AF$7)</f>
        <v>DR2640100048</v>
      </c>
      <c r="AH48" s="88">
        <f>IF('Final Calculation Sheet'!$AG$7="","",'Final Calculation Sheet'!$AG$7)</f>
        <v>1800003347</v>
      </c>
      <c r="AI48" s="84" t="str">
        <f>IF('Final Calculation Sheet'!$AH$7="","",'Final Calculation Sheet'!$AH$7)</f>
        <v>27.08.2026</v>
      </c>
    </row>
    <row r="49" spans="1:35" ht="15" customHeight="1" x14ac:dyDescent="0.3">
      <c r="A49" s="73" t="s">
        <v>182</v>
      </c>
      <c r="B49" s="74"/>
      <c r="C49" s="74" t="str">
        <f>ROWS($C$47:$C$48)&amp;" lot(s)"</f>
        <v>2 lot(s)</v>
      </c>
      <c r="D49" s="74" t="s">
        <v>185</v>
      </c>
      <c r="E49" s="74" t="s">
        <v>184</v>
      </c>
      <c r="F49" s="74">
        <f>SUM(F47:F48)</f>
        <v>3028</v>
      </c>
      <c r="G49" s="74" t="s">
        <v>184</v>
      </c>
      <c r="H49" s="75" t="s">
        <v>184</v>
      </c>
      <c r="I49" s="75">
        <f t="shared" ref="I49:Q49" si="1">SUM(I47:I48)</f>
        <v>238768</v>
      </c>
      <c r="J49" s="75">
        <f t="shared" si="1"/>
        <v>42978</v>
      </c>
      <c r="K49" s="75">
        <f t="shared" si="1"/>
        <v>281746</v>
      </c>
      <c r="L49" s="75">
        <f t="shared" si="1"/>
        <v>5635</v>
      </c>
      <c r="M49" s="75">
        <f t="shared" si="1"/>
        <v>238.768</v>
      </c>
      <c r="N49" s="75">
        <f t="shared" si="1"/>
        <v>6339.2903999999999</v>
      </c>
      <c r="O49" s="76">
        <f t="shared" si="1"/>
        <v>107.44560000000001</v>
      </c>
      <c r="P49" s="75">
        <f t="shared" si="1"/>
        <v>6231.8447999999989</v>
      </c>
      <c r="Q49" s="75">
        <f t="shared" si="1"/>
        <v>6471</v>
      </c>
      <c r="R49" s="77" t="s">
        <v>184</v>
      </c>
      <c r="S49" s="75">
        <f>SUM(S47:S48)</f>
        <v>0</v>
      </c>
      <c r="T49" s="75">
        <f>SUM(T47:T48)</f>
        <v>280911</v>
      </c>
      <c r="U49" s="75">
        <f>SUM(U47:U48)</f>
        <v>59692</v>
      </c>
      <c r="V49" s="78">
        <f>SUM(V47:V48)</f>
        <v>59692</v>
      </c>
      <c r="W49" s="75" t="s">
        <v>184</v>
      </c>
      <c r="X49" s="75">
        <f>SUM(X47:X48)</f>
        <v>221219</v>
      </c>
      <c r="Y49" s="75">
        <f>SUM(Y47:Y48)</f>
        <v>221218</v>
      </c>
      <c r="Z49" s="75" t="s">
        <v>184</v>
      </c>
      <c r="AA49" s="75">
        <f ca="1">SUM(AA47:AA48)</f>
        <v>8452.387200000001</v>
      </c>
      <c r="AB49" s="75">
        <f>SUM(AB47:AB48)</f>
        <v>0</v>
      </c>
      <c r="AC49" s="75" t="s">
        <v>184</v>
      </c>
      <c r="AD49" s="75">
        <f>SUM(AD47:AD48)</f>
        <v>280910</v>
      </c>
      <c r="AE49" s="75">
        <f>SUM(AE47:AE48)</f>
        <v>1</v>
      </c>
      <c r="AF49" s="80" t="str">
        <f>IF(AE49&lt;=5,"SETTLED","OUTSTANDING")</f>
        <v>SETTLED</v>
      </c>
      <c r="AG49" s="75" t="s">
        <v>184</v>
      </c>
      <c r="AH49" s="79" t="s">
        <v>184</v>
      </c>
      <c r="AI49" s="75" t="s">
        <v>184</v>
      </c>
    </row>
    <row r="50" spans="1:35" ht="15" customHeight="1" outlineLevel="1" x14ac:dyDescent="0.3">
      <c r="A50" s="62">
        <v>1</v>
      </c>
      <c r="B50" s="63">
        <f>IF('Final Calculation Sheet'!$F$15="","",'Final Calculation Sheet'!$F$15)</f>
        <v>2008</v>
      </c>
      <c r="C50" s="63" t="str">
        <f>IF('Final Calculation Sheet'!$G$15="","",'Final Calculation Sheet'!$G$15)</f>
        <v>HIND TRADERS</v>
      </c>
      <c r="D50" s="64" t="str">
        <f>IF('Final Calculation Sheet'!$B$15="","",'Final Calculation Sheet'!$B$15)</f>
        <v>Scrap of empty oil Druam</v>
      </c>
      <c r="E50" s="64">
        <f>IF('Final Calculation Sheet'!$D$15="","",'Final Calculation Sheet'!$D$15)</f>
        <v>21977</v>
      </c>
      <c r="F50" s="64">
        <f>IF('Final Calculation Sheet'!$A$15="","",'Final Calculation Sheet'!$A$15)</f>
        <v>250</v>
      </c>
      <c r="G50" s="64" t="str">
        <f>IF('Final Calculation Sheet'!$E$15="","",'Final Calculation Sheet'!$E$15)</f>
        <v>NO</v>
      </c>
      <c r="H50" s="65">
        <f>IF('Final Calculation Sheet'!$C$15="","",'Final Calculation Sheet'!$C$15)</f>
        <v>543</v>
      </c>
      <c r="I50" s="65">
        <f>IF('Final Calculation Sheet'!$H$15="","",'Final Calculation Sheet'!$H$15)</f>
        <v>135750</v>
      </c>
      <c r="J50" s="65">
        <f>IF('Final Calculation Sheet'!$I$15="","",'Final Calculation Sheet'!$I$15)</f>
        <v>24435</v>
      </c>
      <c r="K50" s="65">
        <f>IF('Final Calculation Sheet'!$J$15="","",'Final Calculation Sheet'!$J$15)</f>
        <v>160185</v>
      </c>
      <c r="L50" s="65">
        <f>IF('Final Calculation Sheet'!$K$15="","",'Final Calculation Sheet'!$K$15)</f>
        <v>3204</v>
      </c>
      <c r="M50" s="65">
        <f>IF('Final Calculation Sheet'!$L$15="","",'Final Calculation Sheet'!$L$15)</f>
        <v>135.75</v>
      </c>
      <c r="N50" s="65">
        <f>IF('Final Calculation Sheet'!$M$15="","",'Final Calculation Sheet'!$M$15)</f>
        <v>3604.1624999999999</v>
      </c>
      <c r="O50" s="66">
        <f>IF('Final Calculation Sheet'!$N$15="","",'Final Calculation Sheet'!$N$15)</f>
        <v>61.087499999999999</v>
      </c>
      <c r="P50" s="65">
        <f>IF('Final Calculation Sheet'!$O$15="","",'Final Calculation Sheet'!$O$15)</f>
        <v>3543.0749999999998</v>
      </c>
      <c r="Q50" s="65">
        <f>IF('Final Calculation Sheet'!$P$15="","",'Final Calculation Sheet'!$P$15)</f>
        <v>3679</v>
      </c>
      <c r="R50" s="67">
        <f>IF('Final Calculation Sheet'!$Q$15="","",'Final Calculation Sheet'!$Q$15)</f>
        <v>0</v>
      </c>
      <c r="S50" s="65">
        <f>IF('Final Calculation Sheet'!$R$15="","",'Final Calculation Sheet'!$R$15)</f>
        <v>0</v>
      </c>
      <c r="T50" s="65">
        <f>IF('Final Calculation Sheet'!$S$15="","",'Final Calculation Sheet'!$S$15)</f>
        <v>159710</v>
      </c>
      <c r="U50" s="65">
        <f>IF('Final Calculation Sheet'!$T$15="","",'Final Calculation Sheet'!$T$15)</f>
        <v>33938</v>
      </c>
      <c r="V50" s="68">
        <f>IF('Final Calculation Sheet'!$U$15="","",'Final Calculation Sheet'!$U$15)</f>
        <v>33938</v>
      </c>
      <c r="W50" s="65" t="str">
        <f>IF('Final Calculation Sheet'!$V$15="","",'Final Calculation Sheet'!$V$15)</f>
        <v>14.08.2026</v>
      </c>
      <c r="X50" s="65">
        <f>IF('Final Calculation Sheet'!$W$15="","",'Final Calculation Sheet'!$W$15)</f>
        <v>125772</v>
      </c>
      <c r="Y50" s="65">
        <f>IF('Final Calculation Sheet'!$X$15="","",'Final Calculation Sheet'!$X$15)</f>
        <v>125772</v>
      </c>
      <c r="Z50" s="65" t="str">
        <f>IF('Final Calculation Sheet'!$Y$15="","",'Final Calculation Sheet'!$Y$15)</f>
        <v>18.08.2026</v>
      </c>
      <c r="AA50" s="65">
        <f ca="1">IF('Final Calculation Sheet'!$Z$15="","",'Final Calculation Sheet'!$Z$15)</f>
        <v>4805.5499999999993</v>
      </c>
      <c r="AB50" s="65" t="str">
        <f>IF('Final Calculation Sheet'!$AA$15="","",'Final Calculation Sheet'!$AA$15)</f>
        <v/>
      </c>
      <c r="AC50" s="65" t="str">
        <f>IF('Final Calculation Sheet'!$AB$15="","",'Final Calculation Sheet'!$AB$15)</f>
        <v/>
      </c>
      <c r="AD50" s="65">
        <f>IF('Final Calculation Sheet'!$AC$15="","",'Final Calculation Sheet'!$AC$15)</f>
        <v>159710</v>
      </c>
      <c r="AE50" s="65">
        <f>IF('Final Calculation Sheet'!$AD$15="","",'Final Calculation Sheet'!$AD$15)</f>
        <v>0</v>
      </c>
      <c r="AF50" s="70" t="str">
        <f>IF('Final Calculation Sheet'!$AD$15="","",IF('Final Calculation Sheet'!$AD$15&lt;=5,"SETTLED","OUTSTANDING"))</f>
        <v>SETTLED</v>
      </c>
      <c r="AG50" s="65" t="str">
        <f>IF('Final Calculation Sheet'!$AF$15="","",'Final Calculation Sheet'!$AF$15)</f>
        <v>DR2640100026</v>
      </c>
      <c r="AH50" s="69">
        <f>IF('Final Calculation Sheet'!$AG$15="","",'Final Calculation Sheet'!$AG$15)</f>
        <v>1800003247</v>
      </c>
      <c r="AI50" s="65" t="str">
        <f>IF('Final Calculation Sheet'!$AH$15="","",'Final Calculation Sheet'!$AH$15)</f>
        <v>20.08.2026</v>
      </c>
    </row>
    <row r="51" spans="1:35" ht="15" customHeight="1" x14ac:dyDescent="0.3">
      <c r="A51" s="73" t="s">
        <v>182</v>
      </c>
      <c r="B51" s="74"/>
      <c r="C51" s="74" t="str">
        <f>ROWS($C$50:$C$50)&amp;" lot(s)"</f>
        <v>1 lot(s)</v>
      </c>
      <c r="D51" s="74" t="s">
        <v>186</v>
      </c>
      <c r="E51" s="74" t="s">
        <v>184</v>
      </c>
      <c r="F51" s="74">
        <f>SUM(F50:F50)</f>
        <v>250</v>
      </c>
      <c r="G51" s="74" t="s">
        <v>184</v>
      </c>
      <c r="H51" s="75" t="s">
        <v>184</v>
      </c>
      <c r="I51" s="75">
        <f t="shared" ref="I51:Q51" si="2">SUM(I50:I50)</f>
        <v>135750</v>
      </c>
      <c r="J51" s="75">
        <f t="shared" si="2"/>
        <v>24435</v>
      </c>
      <c r="K51" s="75">
        <f t="shared" si="2"/>
        <v>160185</v>
      </c>
      <c r="L51" s="75">
        <f t="shared" si="2"/>
        <v>3204</v>
      </c>
      <c r="M51" s="75">
        <f t="shared" si="2"/>
        <v>135.75</v>
      </c>
      <c r="N51" s="75">
        <f t="shared" si="2"/>
        <v>3604.1624999999999</v>
      </c>
      <c r="O51" s="76">
        <f t="shared" si="2"/>
        <v>61.087499999999999</v>
      </c>
      <c r="P51" s="75">
        <f t="shared" si="2"/>
        <v>3543.0749999999998</v>
      </c>
      <c r="Q51" s="75">
        <f t="shared" si="2"/>
        <v>3679</v>
      </c>
      <c r="R51" s="77" t="s">
        <v>184</v>
      </c>
      <c r="S51" s="75">
        <f>SUM(S50:S50)</f>
        <v>0</v>
      </c>
      <c r="T51" s="75">
        <f>SUM(T50:T50)</f>
        <v>159710</v>
      </c>
      <c r="U51" s="75">
        <f>SUM(U50:U50)</f>
        <v>33938</v>
      </c>
      <c r="V51" s="78">
        <f>SUM(V50:V50)</f>
        <v>33938</v>
      </c>
      <c r="W51" s="75" t="s">
        <v>184</v>
      </c>
      <c r="X51" s="75">
        <f>SUM(X50:X50)</f>
        <v>125772</v>
      </c>
      <c r="Y51" s="75">
        <f>SUM(Y50:Y50)</f>
        <v>125772</v>
      </c>
      <c r="Z51" s="75" t="s">
        <v>184</v>
      </c>
      <c r="AA51" s="75">
        <f ca="1">SUM(AA50:AA50)</f>
        <v>4805.5499999999993</v>
      </c>
      <c r="AB51" s="75">
        <f>SUM(AB50:AB50)</f>
        <v>0</v>
      </c>
      <c r="AC51" s="75" t="s">
        <v>184</v>
      </c>
      <c r="AD51" s="75">
        <f>SUM(AD50:AD50)</f>
        <v>159710</v>
      </c>
      <c r="AE51" s="75">
        <f>SUM(AE50:AE50)</f>
        <v>0</v>
      </c>
      <c r="AF51" s="80" t="str">
        <f>IF(AE51&lt;=5,"SETTLED","OUTSTANDING")</f>
        <v>SETTLED</v>
      </c>
      <c r="AG51" s="75" t="s">
        <v>184</v>
      </c>
      <c r="AH51" s="79" t="s">
        <v>184</v>
      </c>
      <c r="AI51" s="75" t="s">
        <v>184</v>
      </c>
    </row>
    <row r="52" spans="1:35" ht="15" customHeight="1" outlineLevel="1" x14ac:dyDescent="0.3">
      <c r="A52" s="62">
        <v>1</v>
      </c>
      <c r="B52" s="63">
        <f>IF('Final Calculation Sheet'!$F$38="","",'Final Calculation Sheet'!$F$38)</f>
        <v>2086</v>
      </c>
      <c r="C52" s="63" t="str">
        <f>IF('Final Calculation Sheet'!$G$38="","",'Final Calculation Sheet'!$G$38)</f>
        <v>KASHYAP TRADING CO</v>
      </c>
      <c r="D52" s="64" t="str">
        <f>IF('Final Calculation Sheet'!$B$38="","",'Final Calculation Sheet'!$B$38)</f>
        <v>Scrap of 132 KV CT</v>
      </c>
      <c r="E52" s="64">
        <f>IF('Final Calculation Sheet'!$D$38="","",'Final Calculation Sheet'!$D$38)</f>
        <v>21980</v>
      </c>
      <c r="F52" s="64">
        <f>IF('Final Calculation Sheet'!$A$38="","",'Final Calculation Sheet'!$A$38)</f>
        <v>3</v>
      </c>
      <c r="G52" s="64" t="str">
        <f>IF('Final Calculation Sheet'!$E$38="","",'Final Calculation Sheet'!$E$38)</f>
        <v>NO</v>
      </c>
      <c r="H52" s="65">
        <f>IF('Final Calculation Sheet'!$C$38="","",'Final Calculation Sheet'!$C$38)</f>
        <v>70001</v>
      </c>
      <c r="I52" s="65">
        <f>IF('Final Calculation Sheet'!$H$38="","",'Final Calculation Sheet'!$H$38)</f>
        <v>210003</v>
      </c>
      <c r="J52" s="65">
        <f>IF('Final Calculation Sheet'!$I$38="","",'Final Calculation Sheet'!$I$38)</f>
        <v>37801</v>
      </c>
      <c r="K52" s="65">
        <f>IF('Final Calculation Sheet'!$J$38="","",'Final Calculation Sheet'!$J$38)</f>
        <v>247804</v>
      </c>
      <c r="L52" s="65">
        <f>IF('Final Calculation Sheet'!$K$38="","",'Final Calculation Sheet'!$K$38)</f>
        <v>4956</v>
      </c>
      <c r="M52" s="65">
        <f>IF('Final Calculation Sheet'!$L$38="","",'Final Calculation Sheet'!$L$38)</f>
        <v>210.00300000000001</v>
      </c>
      <c r="N52" s="65">
        <f>IF('Final Calculation Sheet'!$M$38="","",'Final Calculation Sheet'!$M$38)</f>
        <v>5575.5796499999997</v>
      </c>
      <c r="O52" s="66">
        <f>IF('Final Calculation Sheet'!$N$38="","",'Final Calculation Sheet'!$N$38)</f>
        <v>94.501350000000002</v>
      </c>
      <c r="P52" s="65">
        <f>IF('Final Calculation Sheet'!$O$38="","",'Final Calculation Sheet'!$O$38)</f>
        <v>5481.0782999999992</v>
      </c>
      <c r="Q52" s="65">
        <f>IF('Final Calculation Sheet'!$P$38="","",'Final Calculation Sheet'!$P$38)</f>
        <v>5691</v>
      </c>
      <c r="R52" s="67">
        <f>IF('Final Calculation Sheet'!$Q$38="","",'Final Calculation Sheet'!$Q$38)</f>
        <v>0</v>
      </c>
      <c r="S52" s="65">
        <f>IF('Final Calculation Sheet'!$R$38="","",'Final Calculation Sheet'!$R$38)</f>
        <v>0</v>
      </c>
      <c r="T52" s="65">
        <f>IF('Final Calculation Sheet'!$S$38="","",'Final Calculation Sheet'!$S$38)</f>
        <v>247069</v>
      </c>
      <c r="U52" s="65">
        <f>IF('Final Calculation Sheet'!$T$38="","",'Final Calculation Sheet'!$T$38)</f>
        <v>52501</v>
      </c>
      <c r="V52" s="68">
        <f>IF('Final Calculation Sheet'!$U$38="","",'Final Calculation Sheet'!$U$38)</f>
        <v>52501</v>
      </c>
      <c r="W52" s="65" t="str">
        <f>IF('Final Calculation Sheet'!$V$38="","",'Final Calculation Sheet'!$V$38)</f>
        <v>17.08.2026</v>
      </c>
      <c r="X52" s="65">
        <f>IF('Final Calculation Sheet'!$W$38="","",'Final Calculation Sheet'!$W$38)</f>
        <v>194568</v>
      </c>
      <c r="Y52" s="65">
        <f>IF('Final Calculation Sheet'!$X$38="","",'Final Calculation Sheet'!$X$38)</f>
        <v>194568</v>
      </c>
      <c r="Z52" s="65" t="str">
        <f>IF('Final Calculation Sheet'!$Y$38="","",'Final Calculation Sheet'!$Y$38)</f>
        <v>17.08.2026</v>
      </c>
      <c r="AA52" s="65">
        <f ca="1">IF('Final Calculation Sheet'!$Z$38="","",'Final Calculation Sheet'!$Z$38)</f>
        <v>7434.1061999999993</v>
      </c>
      <c r="AB52" s="65" t="str">
        <f>IF('Final Calculation Sheet'!$AA$38="","",'Final Calculation Sheet'!$AA$38)</f>
        <v/>
      </c>
      <c r="AC52" s="65" t="str">
        <f>IF('Final Calculation Sheet'!$AB$38="","",'Final Calculation Sheet'!$AB$38)</f>
        <v/>
      </c>
      <c r="AD52" s="65">
        <f>IF('Final Calculation Sheet'!$AC$38="","",'Final Calculation Sheet'!$AC$38)</f>
        <v>247069</v>
      </c>
      <c r="AE52" s="65">
        <f>IF('Final Calculation Sheet'!$AD$38="","",'Final Calculation Sheet'!$AD$38)</f>
        <v>0</v>
      </c>
      <c r="AF52" s="70" t="str">
        <f>IF('Final Calculation Sheet'!$AD$38="","",IF('Final Calculation Sheet'!$AD$38&lt;=5,"SETTLED","OUTSTANDING"))</f>
        <v>SETTLED</v>
      </c>
      <c r="AG52" s="65" t="str">
        <f>IF('Final Calculation Sheet'!$AF$38="","",'Final Calculation Sheet'!$AF$38)</f>
        <v>DR2640100025</v>
      </c>
      <c r="AH52" s="69">
        <f>IF('Final Calculation Sheet'!$AG$38="","",'Final Calculation Sheet'!$AG$38)</f>
        <v>1800003226</v>
      </c>
      <c r="AI52" s="65" t="str">
        <f>IF('Final Calculation Sheet'!$AH$38="","",'Final Calculation Sheet'!$AH$38)</f>
        <v>19.08.2026</v>
      </c>
    </row>
    <row r="53" spans="1:35" ht="15" customHeight="1" x14ac:dyDescent="0.3">
      <c r="A53" s="73" t="s">
        <v>182</v>
      </c>
      <c r="B53" s="74"/>
      <c r="C53" s="74" t="str">
        <f>ROWS($C$52:$C$52)&amp;" lot(s)"</f>
        <v>1 lot(s)</v>
      </c>
      <c r="D53" s="74" t="s">
        <v>187</v>
      </c>
      <c r="E53" s="74" t="s">
        <v>184</v>
      </c>
      <c r="F53" s="74">
        <f>SUM(F52:F52)</f>
        <v>3</v>
      </c>
      <c r="G53" s="74" t="s">
        <v>184</v>
      </c>
      <c r="H53" s="75" t="s">
        <v>184</v>
      </c>
      <c r="I53" s="75">
        <f t="shared" ref="I53:Q53" si="3">SUM(I52:I52)</f>
        <v>210003</v>
      </c>
      <c r="J53" s="75">
        <f t="shared" si="3"/>
        <v>37801</v>
      </c>
      <c r="K53" s="75">
        <f t="shared" si="3"/>
        <v>247804</v>
      </c>
      <c r="L53" s="75">
        <f t="shared" si="3"/>
        <v>4956</v>
      </c>
      <c r="M53" s="75">
        <f t="shared" si="3"/>
        <v>210.00300000000001</v>
      </c>
      <c r="N53" s="75">
        <f t="shared" si="3"/>
        <v>5575.5796499999997</v>
      </c>
      <c r="O53" s="76">
        <f t="shared" si="3"/>
        <v>94.501350000000002</v>
      </c>
      <c r="P53" s="75">
        <f t="shared" si="3"/>
        <v>5481.0782999999992</v>
      </c>
      <c r="Q53" s="75">
        <f t="shared" si="3"/>
        <v>5691</v>
      </c>
      <c r="R53" s="77" t="s">
        <v>184</v>
      </c>
      <c r="S53" s="75">
        <f>SUM(S52:S52)</f>
        <v>0</v>
      </c>
      <c r="T53" s="75">
        <f>SUM(T52:T52)</f>
        <v>247069</v>
      </c>
      <c r="U53" s="75">
        <f>SUM(U52:U52)</f>
        <v>52501</v>
      </c>
      <c r="V53" s="78">
        <f>SUM(V52:V52)</f>
        <v>52501</v>
      </c>
      <c r="W53" s="75" t="s">
        <v>184</v>
      </c>
      <c r="X53" s="75">
        <f>SUM(X52:X52)</f>
        <v>194568</v>
      </c>
      <c r="Y53" s="75">
        <f>SUM(Y52:Y52)</f>
        <v>194568</v>
      </c>
      <c r="Z53" s="75" t="s">
        <v>184</v>
      </c>
      <c r="AA53" s="75">
        <f ca="1">SUM(AA52:AA52)</f>
        <v>7434.1061999999993</v>
      </c>
      <c r="AB53" s="75">
        <f>SUM(AB52:AB52)</f>
        <v>0</v>
      </c>
      <c r="AC53" s="75" t="s">
        <v>184</v>
      </c>
      <c r="AD53" s="75">
        <f>SUM(AD52:AD52)</f>
        <v>247069</v>
      </c>
      <c r="AE53" s="75">
        <f>SUM(AE52:AE52)</f>
        <v>0</v>
      </c>
      <c r="AF53" s="80" t="str">
        <f>IF(AE53&lt;=5,"SETTLED","OUTSTANDING")</f>
        <v>SETTLED</v>
      </c>
      <c r="AG53" s="75" t="s">
        <v>184</v>
      </c>
      <c r="AH53" s="79" t="s">
        <v>184</v>
      </c>
      <c r="AI53" s="75" t="s">
        <v>184</v>
      </c>
    </row>
    <row r="54" spans="1:35" ht="15" customHeight="1" outlineLevel="1" x14ac:dyDescent="0.3">
      <c r="A54" s="62">
        <v>1</v>
      </c>
      <c r="B54" s="63">
        <f>IF('Final Calculation Sheet'!$F$27="","",'Final Calculation Sheet'!$F$27)</f>
        <v>2036</v>
      </c>
      <c r="C54" s="63" t="str">
        <f>IF('Final Calculation Sheet'!$G$27="","",'Final Calculation Sheet'!$G$27)</f>
        <v>M I SCRAP TRADERS</v>
      </c>
      <c r="D54" s="64" t="str">
        <f>IF('Final Calculation Sheet'!$B$27="","",'Final Calculation Sheet'!$B$27)</f>
        <v>Mix Scrap (Tower angles &amp; 0.2 ACSR Condutor pieces)</v>
      </c>
      <c r="E54" s="64">
        <f>IF('Final Calculation Sheet'!$D$27="","",'Final Calculation Sheet'!$D$27)</f>
        <v>21978</v>
      </c>
      <c r="F54" s="64">
        <f>IF('Final Calculation Sheet'!$A$27="","",'Final Calculation Sheet'!$A$27)</f>
        <v>8.1999999999999993</v>
      </c>
      <c r="G54" s="64" t="str">
        <f>IF('Final Calculation Sheet'!$E$27="","",'Final Calculation Sheet'!$E$27)</f>
        <v>MT</v>
      </c>
      <c r="H54" s="65">
        <f>IF('Final Calculation Sheet'!$C$27="","",'Final Calculation Sheet'!$C$27)</f>
        <v>67000</v>
      </c>
      <c r="I54" s="65">
        <f>IF('Final Calculation Sheet'!$H$27="","",'Final Calculation Sheet'!$H$27)</f>
        <v>549400</v>
      </c>
      <c r="J54" s="65">
        <f>IF('Final Calculation Sheet'!$I$27="","",'Final Calculation Sheet'!$I$27)</f>
        <v>98892</v>
      </c>
      <c r="K54" s="65">
        <f>IF('Final Calculation Sheet'!$J$27="","",'Final Calculation Sheet'!$J$27)</f>
        <v>648292</v>
      </c>
      <c r="L54" s="65">
        <f>IF('Final Calculation Sheet'!$K$27="","",'Final Calculation Sheet'!$K$27)</f>
        <v>12966</v>
      </c>
      <c r="M54" s="65">
        <f>IF('Final Calculation Sheet'!$L$27="","",'Final Calculation Sheet'!$L$27)</f>
        <v>549.4</v>
      </c>
      <c r="N54" s="65">
        <f>IF('Final Calculation Sheet'!$M$27="","",'Final Calculation Sheet'!$M$27)</f>
        <v>14586.57</v>
      </c>
      <c r="O54" s="66">
        <f>IF('Final Calculation Sheet'!$N$27="","",'Final Calculation Sheet'!$N$27)</f>
        <v>247.23000000000002</v>
      </c>
      <c r="P54" s="65">
        <f>IF('Final Calculation Sheet'!$O$27="","",'Final Calculation Sheet'!$O$27)</f>
        <v>14339.34</v>
      </c>
      <c r="Q54" s="65">
        <f>IF('Final Calculation Sheet'!$P$27="","",'Final Calculation Sheet'!$P$27)</f>
        <v>14889</v>
      </c>
      <c r="R54" s="67">
        <f>IF('Final Calculation Sheet'!$Q$27="","",'Final Calculation Sheet'!$Q$27)</f>
        <v>0.02</v>
      </c>
      <c r="S54" s="65">
        <f>IF('Final Calculation Sheet'!$R$27="","",'Final Calculation Sheet'!$R$27)</f>
        <v>10988</v>
      </c>
      <c r="T54" s="65">
        <f>IF('Final Calculation Sheet'!$S$27="","",'Final Calculation Sheet'!$S$27)</f>
        <v>635381</v>
      </c>
      <c r="U54" s="65">
        <f>IF('Final Calculation Sheet'!$T$27="","",'Final Calculation Sheet'!$T$27)</f>
        <v>137350</v>
      </c>
      <c r="V54" s="68">
        <f>IF('Final Calculation Sheet'!$U$27="","",'Final Calculation Sheet'!$U$27)</f>
        <v>137350</v>
      </c>
      <c r="W54" s="65" t="str">
        <f>IF('Final Calculation Sheet'!$V$27="","",'Final Calculation Sheet'!$V$27)</f>
        <v>14.08.2026</v>
      </c>
      <c r="X54" s="65">
        <f>IF('Final Calculation Sheet'!$W$27="","",'Final Calculation Sheet'!$W$27)</f>
        <v>498031</v>
      </c>
      <c r="Y54" s="65" t="str">
        <f>IF('Final Calculation Sheet'!$X$27="","",'Final Calculation Sheet'!$X$27)</f>
        <v/>
      </c>
      <c r="Z54" s="65">
        <f>IF('Final Calculation Sheet'!$Y$27="","",'Final Calculation Sheet'!$Y$27)</f>
        <v>0</v>
      </c>
      <c r="AA54" s="65">
        <f ca="1">IF('Final Calculation Sheet'!$Z$27="","",'Final Calculation Sheet'!$Z$27)</f>
        <v>19448.760000000002</v>
      </c>
      <c r="AB54" s="65" t="str">
        <f>IF('Final Calculation Sheet'!$AA$27="","",'Final Calculation Sheet'!$AA$27)</f>
        <v/>
      </c>
      <c r="AC54" s="65" t="str">
        <f>IF('Final Calculation Sheet'!$AB$27="","",'Final Calculation Sheet'!$AB$27)</f>
        <v/>
      </c>
      <c r="AD54" s="65">
        <f>IF('Final Calculation Sheet'!$AC$27="","",'Final Calculation Sheet'!$AC$27)</f>
        <v>137350</v>
      </c>
      <c r="AE54" s="65">
        <f>IF('Final Calculation Sheet'!$AD$27="","",'Final Calculation Sheet'!$AD$27)</f>
        <v>498031</v>
      </c>
      <c r="AF54" s="70" t="str">
        <f>IF('Final Calculation Sheet'!$AD$27="","",IF('Final Calculation Sheet'!$AD$27&lt;=5,"SETTLED","OUTSTANDING"))</f>
        <v>OUTSTANDING</v>
      </c>
      <c r="AG54" s="65" t="str">
        <f>IF('Final Calculation Sheet'!$AF$27="","",'Final Calculation Sheet'!$AF$27)</f>
        <v/>
      </c>
      <c r="AH54" s="69" t="str">
        <f>IF('Final Calculation Sheet'!$AG$27="","",'Final Calculation Sheet'!$AG$27)</f>
        <v/>
      </c>
      <c r="AI54" s="65" t="str">
        <f>IF('Final Calculation Sheet'!$AH$27="","",'Final Calculation Sheet'!$AH$27)</f>
        <v/>
      </c>
    </row>
    <row r="55" spans="1:35" ht="15" customHeight="1" x14ac:dyDescent="0.3">
      <c r="A55" s="73" t="s">
        <v>182</v>
      </c>
      <c r="B55" s="74"/>
      <c r="C55" s="74" t="str">
        <f>ROWS($C$54:$C$54)&amp;" lot(s)"</f>
        <v>1 lot(s)</v>
      </c>
      <c r="D55" s="74" t="s">
        <v>188</v>
      </c>
      <c r="E55" s="74" t="s">
        <v>184</v>
      </c>
      <c r="F55" s="74">
        <f>SUM(F54:F54)</f>
        <v>8.1999999999999993</v>
      </c>
      <c r="G55" s="74" t="s">
        <v>184</v>
      </c>
      <c r="H55" s="75" t="s">
        <v>184</v>
      </c>
      <c r="I55" s="75">
        <f t="shared" ref="I55:Q55" si="4">SUM(I54:I54)</f>
        <v>549400</v>
      </c>
      <c r="J55" s="75">
        <f t="shared" si="4"/>
        <v>98892</v>
      </c>
      <c r="K55" s="75">
        <f t="shared" si="4"/>
        <v>648292</v>
      </c>
      <c r="L55" s="75">
        <f t="shared" si="4"/>
        <v>12966</v>
      </c>
      <c r="M55" s="75">
        <f t="shared" si="4"/>
        <v>549.4</v>
      </c>
      <c r="N55" s="75">
        <f t="shared" si="4"/>
        <v>14586.57</v>
      </c>
      <c r="O55" s="76">
        <f t="shared" si="4"/>
        <v>247.23000000000002</v>
      </c>
      <c r="P55" s="75">
        <f t="shared" si="4"/>
        <v>14339.34</v>
      </c>
      <c r="Q55" s="75">
        <f t="shared" si="4"/>
        <v>14889</v>
      </c>
      <c r="R55" s="77" t="s">
        <v>184</v>
      </c>
      <c r="S55" s="75">
        <f>SUM(S54:S54)</f>
        <v>10988</v>
      </c>
      <c r="T55" s="75">
        <f>SUM(T54:T54)</f>
        <v>635381</v>
      </c>
      <c r="U55" s="75">
        <f>SUM(U54:U54)</f>
        <v>137350</v>
      </c>
      <c r="V55" s="78">
        <f>SUM(V54:V54)</f>
        <v>137350</v>
      </c>
      <c r="W55" s="75" t="s">
        <v>184</v>
      </c>
      <c r="X55" s="75">
        <f>SUM(X54:X54)</f>
        <v>498031</v>
      </c>
      <c r="Y55" s="75">
        <f>SUM(Y54:Y54)</f>
        <v>0</v>
      </c>
      <c r="Z55" s="75" t="s">
        <v>184</v>
      </c>
      <c r="AA55" s="75">
        <f ca="1">SUM(AA54:AA54)</f>
        <v>19448.760000000002</v>
      </c>
      <c r="AB55" s="75">
        <f>SUM(AB54:AB54)</f>
        <v>0</v>
      </c>
      <c r="AC55" s="75" t="s">
        <v>184</v>
      </c>
      <c r="AD55" s="75">
        <f>SUM(AD54:AD54)</f>
        <v>137350</v>
      </c>
      <c r="AE55" s="75">
        <f>SUM(AE54:AE54)</f>
        <v>498031</v>
      </c>
      <c r="AF55" s="80" t="str">
        <f>IF(AE55&lt;=5,"SETTLED","OUTSTANDING")</f>
        <v>OUTSTANDING</v>
      </c>
      <c r="AG55" s="75" t="s">
        <v>184</v>
      </c>
      <c r="AH55" s="79" t="s">
        <v>184</v>
      </c>
      <c r="AI55" s="75" t="s">
        <v>184</v>
      </c>
    </row>
    <row r="56" spans="1:35" ht="15" customHeight="1" outlineLevel="1" x14ac:dyDescent="0.3">
      <c r="A56" s="62">
        <v>1</v>
      </c>
      <c r="B56" s="63">
        <f>IF('Final Calculation Sheet'!$F$5="","",'Final Calculation Sheet'!$F$5)</f>
        <v>1874</v>
      </c>
      <c r="C56" s="63" t="str">
        <f>IF('Final Calculation Sheet'!$G$5="","",'Final Calculation Sheet'!$G$5)</f>
        <v>NATIONAL ENTERPRISES</v>
      </c>
      <c r="D56" s="64" t="str">
        <f>IF('Final Calculation Sheet'!$B$5="","",'Final Calculation Sheet'!$B$5)</f>
        <v>Scrap of Empty oil drum</v>
      </c>
      <c r="E56" s="64">
        <f>IF('Final Calculation Sheet'!$D$5="","",'Final Calculation Sheet'!$D$5)</f>
        <v>21977</v>
      </c>
      <c r="F56" s="64">
        <f>IF('Final Calculation Sheet'!$A$5="","",'Final Calculation Sheet'!$A$5)</f>
        <v>270</v>
      </c>
      <c r="G56" s="64" t="str">
        <f>IF('Final Calculation Sheet'!$E$5="","",'Final Calculation Sheet'!$E$5)</f>
        <v>NO</v>
      </c>
      <c r="H56" s="65">
        <f>IF('Final Calculation Sheet'!$C$5="","",'Final Calculation Sheet'!$C$5)</f>
        <v>580</v>
      </c>
      <c r="I56" s="65">
        <f>IF('Final Calculation Sheet'!$H$5="","",'Final Calculation Sheet'!$H$5)</f>
        <v>156600</v>
      </c>
      <c r="J56" s="65">
        <f>IF('Final Calculation Sheet'!$I$5="","",'Final Calculation Sheet'!$I$5)</f>
        <v>28188</v>
      </c>
      <c r="K56" s="65">
        <f>IF('Final Calculation Sheet'!$J$5="","",'Final Calculation Sheet'!$J$5)</f>
        <v>184788</v>
      </c>
      <c r="L56" s="65">
        <f>IF('Final Calculation Sheet'!$K$5="","",'Final Calculation Sheet'!$K$5)</f>
        <v>3696</v>
      </c>
      <c r="M56" s="65">
        <f>IF('Final Calculation Sheet'!$L$5="","",'Final Calculation Sheet'!$L$5)</f>
        <v>156.6</v>
      </c>
      <c r="N56" s="65">
        <f>IF('Final Calculation Sheet'!$M$5="","",'Final Calculation Sheet'!$M$5)</f>
        <v>4157.7299999999996</v>
      </c>
      <c r="O56" s="66">
        <f>IF('Final Calculation Sheet'!$N$5="","",'Final Calculation Sheet'!$N$5)</f>
        <v>70.47</v>
      </c>
      <c r="P56" s="65">
        <f>IF('Final Calculation Sheet'!$O$5="","",'Final Calculation Sheet'!$O$5)</f>
        <v>4087.2599999999998</v>
      </c>
      <c r="Q56" s="65">
        <f>IF('Final Calculation Sheet'!$P$5="","",'Final Calculation Sheet'!$P$5)</f>
        <v>4244</v>
      </c>
      <c r="R56" s="67">
        <f>IF('Final Calculation Sheet'!$Q$5="","",'Final Calculation Sheet'!$Q$5)</f>
        <v>0</v>
      </c>
      <c r="S56" s="65">
        <f>IF('Final Calculation Sheet'!$R$5="","",'Final Calculation Sheet'!$R$5)</f>
        <v>0</v>
      </c>
      <c r="T56" s="65">
        <f>IF('Final Calculation Sheet'!$S$5="","",'Final Calculation Sheet'!$S$5)</f>
        <v>184240</v>
      </c>
      <c r="U56" s="65">
        <f>IF('Final Calculation Sheet'!$T$5="","",'Final Calculation Sheet'!$T$5)</f>
        <v>39150</v>
      </c>
      <c r="V56" s="68">
        <f>IF('Final Calculation Sheet'!$U$5="","",'Final Calculation Sheet'!$U$5)</f>
        <v>39150</v>
      </c>
      <c r="W56" s="65" t="str">
        <f>IF('Final Calculation Sheet'!$V$5="","",'Final Calculation Sheet'!$V$5)</f>
        <v>13.08.2026</v>
      </c>
      <c r="X56" s="65">
        <f>IF('Final Calculation Sheet'!$W$5="","",'Final Calculation Sheet'!$W$5)</f>
        <v>145090</v>
      </c>
      <c r="Y56" s="65">
        <f>IF('Final Calculation Sheet'!$X$5="","",'Final Calculation Sheet'!$X$5)</f>
        <v>145090</v>
      </c>
      <c r="Z56" s="65" t="str">
        <f>IF('Final Calculation Sheet'!$Y$5="","",'Final Calculation Sheet'!$Y$5)</f>
        <v>24.08.2026</v>
      </c>
      <c r="AA56" s="65">
        <f ca="1">IF('Final Calculation Sheet'!$Z$5="","",'Final Calculation Sheet'!$Z$5)</f>
        <v>5543.6399999999994</v>
      </c>
      <c r="AB56" s="65" t="str">
        <f>IF('Final Calculation Sheet'!$AA$5="","",'Final Calculation Sheet'!$AA$5)</f>
        <v/>
      </c>
      <c r="AC56" s="65" t="str">
        <f>IF('Final Calculation Sheet'!$AB$5="","",'Final Calculation Sheet'!$AB$5)</f>
        <v/>
      </c>
      <c r="AD56" s="65">
        <f>IF('Final Calculation Sheet'!$AC$5="","",'Final Calculation Sheet'!$AC$5)</f>
        <v>184240</v>
      </c>
      <c r="AE56" s="65">
        <f>IF('Final Calculation Sheet'!$AD$5="","",'Final Calculation Sheet'!$AD$5)</f>
        <v>0</v>
      </c>
      <c r="AF56" s="70" t="str">
        <f>IF('Final Calculation Sheet'!$AD$5="","",IF('Final Calculation Sheet'!$AD$5&lt;=5,"SETTLED","OUTSTANDING"))</f>
        <v>SETTLED</v>
      </c>
      <c r="AG56" s="65" t="str">
        <f>IF('Final Calculation Sheet'!$AF$5="","",'Final Calculation Sheet'!$AF$5)</f>
        <v>DR2640100030</v>
      </c>
      <c r="AH56" s="69">
        <f>IF('Final Calculation Sheet'!$AG$5="","",'Final Calculation Sheet'!$AG$5)</f>
        <v>1800003302</v>
      </c>
      <c r="AI56" s="65" t="str">
        <f>IF('Final Calculation Sheet'!$AH$5="","",'Final Calculation Sheet'!$AH$5)</f>
        <v>27.08.2026</v>
      </c>
    </row>
    <row r="57" spans="1:35" ht="15" customHeight="1" outlineLevel="1" x14ac:dyDescent="0.3">
      <c r="A57" s="81">
        <v>2</v>
      </c>
      <c r="B57" s="82">
        <f>IF('Final Calculation Sheet'!$F$10="","",'Final Calculation Sheet'!$F$10)</f>
        <v>2002</v>
      </c>
      <c r="C57" s="82" t="str">
        <f>IF('Final Calculation Sheet'!$G$10="","",'Final Calculation Sheet'!$G$10)</f>
        <v>NATIONAL ENTERPRISES</v>
      </c>
      <c r="D57" s="83" t="str">
        <f>IF('Final Calculation Sheet'!$B$10="","",'Final Calculation Sheet'!$B$10)</f>
        <v>Scrap of 132 KV CT</v>
      </c>
      <c r="E57" s="83">
        <f>IF('Final Calculation Sheet'!$D$10="","",'Final Calculation Sheet'!$D$10)</f>
        <v>21977</v>
      </c>
      <c r="F57" s="83">
        <f>IF('Final Calculation Sheet'!$A$10="","",'Final Calculation Sheet'!$A$10)</f>
        <v>4</v>
      </c>
      <c r="G57" s="83" t="str">
        <f>IF('Final Calculation Sheet'!$E$10="","",'Final Calculation Sheet'!$E$10)</f>
        <v>NO</v>
      </c>
      <c r="H57" s="84">
        <f>IF('Final Calculation Sheet'!$C$10="","",'Final Calculation Sheet'!$C$10)</f>
        <v>51511</v>
      </c>
      <c r="I57" s="84">
        <f>IF('Final Calculation Sheet'!$H$10="","",'Final Calculation Sheet'!$H$10)</f>
        <v>206044</v>
      </c>
      <c r="J57" s="84">
        <f>IF('Final Calculation Sheet'!$I$10="","",'Final Calculation Sheet'!$I$10)</f>
        <v>37088</v>
      </c>
      <c r="K57" s="84">
        <f>IF('Final Calculation Sheet'!$J$10="","",'Final Calculation Sheet'!$J$10)</f>
        <v>243132</v>
      </c>
      <c r="L57" s="84">
        <f>IF('Final Calculation Sheet'!$K$10="","",'Final Calculation Sheet'!$K$10)</f>
        <v>4863</v>
      </c>
      <c r="M57" s="84">
        <f>IF('Final Calculation Sheet'!$L$10="","",'Final Calculation Sheet'!$L$10)</f>
        <v>206.04400000000001</v>
      </c>
      <c r="N57" s="84">
        <f>IF('Final Calculation Sheet'!$M$10="","",'Final Calculation Sheet'!$M$10)</f>
        <v>5470.4681999999993</v>
      </c>
      <c r="O57" s="85">
        <f>IF('Final Calculation Sheet'!$N$10="","",'Final Calculation Sheet'!$N$10)</f>
        <v>92.719799999999992</v>
      </c>
      <c r="P57" s="84">
        <f>IF('Final Calculation Sheet'!$O$10="","",'Final Calculation Sheet'!$O$10)</f>
        <v>5377.7483999999995</v>
      </c>
      <c r="Q57" s="84">
        <f>IF('Final Calculation Sheet'!$P$10="","",'Final Calculation Sheet'!$P$10)</f>
        <v>5584</v>
      </c>
      <c r="R57" s="86">
        <f>IF('Final Calculation Sheet'!$Q$10="","",'Final Calculation Sheet'!$Q$10)</f>
        <v>0</v>
      </c>
      <c r="S57" s="84">
        <f>IF('Final Calculation Sheet'!$R$10="","",'Final Calculation Sheet'!$R$10)</f>
        <v>0</v>
      </c>
      <c r="T57" s="84">
        <f>IF('Final Calculation Sheet'!$S$10="","",'Final Calculation Sheet'!$S$10)</f>
        <v>242411</v>
      </c>
      <c r="U57" s="84">
        <f>IF('Final Calculation Sheet'!$T$10="","",'Final Calculation Sheet'!$T$10)</f>
        <v>51511</v>
      </c>
      <c r="V57" s="87">
        <f>IF('Final Calculation Sheet'!$U$10="","",'Final Calculation Sheet'!$U$10)</f>
        <v>51511</v>
      </c>
      <c r="W57" s="84" t="str">
        <f>IF('Final Calculation Sheet'!$V$10="","",'Final Calculation Sheet'!$V$10)</f>
        <v>13.08.2026</v>
      </c>
      <c r="X57" s="84">
        <f>IF('Final Calculation Sheet'!$W$10="","",'Final Calculation Sheet'!$W$10)</f>
        <v>190900</v>
      </c>
      <c r="Y57" s="84">
        <f>IF('Final Calculation Sheet'!$X$10="","",'Final Calculation Sheet'!$X$10)</f>
        <v>190900</v>
      </c>
      <c r="Z57" s="84" t="str">
        <f>IF('Final Calculation Sheet'!$Y$10="","",'Final Calculation Sheet'!$Y$10)</f>
        <v>24.08.2026</v>
      </c>
      <c r="AA57" s="84">
        <f ca="1">IF('Final Calculation Sheet'!$Z$10="","",'Final Calculation Sheet'!$Z$10)</f>
        <v>7293.9575999999997</v>
      </c>
      <c r="AB57" s="84" t="str">
        <f>IF('Final Calculation Sheet'!$AA$10="","",'Final Calculation Sheet'!$AA$10)</f>
        <v/>
      </c>
      <c r="AC57" s="84" t="str">
        <f>IF('Final Calculation Sheet'!$AB$10="","",'Final Calculation Sheet'!$AB$10)</f>
        <v/>
      </c>
      <c r="AD57" s="84">
        <f>IF('Final Calculation Sheet'!$AC$10="","",'Final Calculation Sheet'!$AC$10)</f>
        <v>242411</v>
      </c>
      <c r="AE57" s="84">
        <f>IF('Final Calculation Sheet'!$AD$10="","",'Final Calculation Sheet'!$AD$10)</f>
        <v>0</v>
      </c>
      <c r="AF57" s="89" t="str">
        <f>IF('Final Calculation Sheet'!$AD$10="","",IF('Final Calculation Sheet'!$AD$10&lt;=5,"SETTLED","OUTSTANDING"))</f>
        <v>SETTLED</v>
      </c>
      <c r="AG57" s="84" t="str">
        <f>IF('Final Calculation Sheet'!$AF$10="","",'Final Calculation Sheet'!$AF$10)</f>
        <v>DR2640100031</v>
      </c>
      <c r="AH57" s="88">
        <f>IF('Final Calculation Sheet'!$AG$10="","",'Final Calculation Sheet'!$AG$10)</f>
        <v>1800003303</v>
      </c>
      <c r="AI57" s="84" t="str">
        <f>IF('Final Calculation Sheet'!$AH$10="","",'Final Calculation Sheet'!$AH$10)</f>
        <v>27.08.2026</v>
      </c>
    </row>
    <row r="58" spans="1:35" ht="15" customHeight="1" outlineLevel="1" x14ac:dyDescent="0.3">
      <c r="A58" s="62">
        <v>3</v>
      </c>
      <c r="B58" s="63">
        <f>IF('Final Calculation Sheet'!$F$11="","",'Final Calculation Sheet'!$F$11)</f>
        <v>2003</v>
      </c>
      <c r="C58" s="63" t="str">
        <f>IF('Final Calculation Sheet'!$G$11="","",'Final Calculation Sheet'!$G$11)</f>
        <v>NATIONAL ENTERPRISES</v>
      </c>
      <c r="D58" s="64" t="str">
        <f>IF('Final Calculation Sheet'!$B$11="","",'Final Calculation Sheet'!$B$11)</f>
        <v>Scrap of 145 KV CB</v>
      </c>
      <c r="E58" s="64">
        <f>IF('Final Calculation Sheet'!$D$11="","",'Final Calculation Sheet'!$D$11)</f>
        <v>21977</v>
      </c>
      <c r="F58" s="64">
        <f>IF('Final Calculation Sheet'!$A$11="","",'Final Calculation Sheet'!$A$11)</f>
        <v>1</v>
      </c>
      <c r="G58" s="64" t="str">
        <f>IF('Final Calculation Sheet'!$E$11="","",'Final Calculation Sheet'!$E$11)</f>
        <v>NO</v>
      </c>
      <c r="H58" s="65">
        <f>IF('Final Calculation Sheet'!$C$11="","",'Final Calculation Sheet'!$C$11)</f>
        <v>65007</v>
      </c>
      <c r="I58" s="65">
        <f>IF('Final Calculation Sheet'!$H$11="","",'Final Calculation Sheet'!$H$11)</f>
        <v>65007</v>
      </c>
      <c r="J58" s="65">
        <f>IF('Final Calculation Sheet'!$I$11="","",'Final Calculation Sheet'!$I$11)</f>
        <v>11701</v>
      </c>
      <c r="K58" s="65">
        <f>IF('Final Calculation Sheet'!$J$11="","",'Final Calculation Sheet'!$J$11)</f>
        <v>76708</v>
      </c>
      <c r="L58" s="65">
        <f>IF('Final Calculation Sheet'!$K$11="","",'Final Calculation Sheet'!$K$11)</f>
        <v>1534</v>
      </c>
      <c r="M58" s="65">
        <f>IF('Final Calculation Sheet'!$L$11="","",'Final Calculation Sheet'!$L$11)</f>
        <v>65.007000000000005</v>
      </c>
      <c r="N58" s="65">
        <f>IF('Final Calculation Sheet'!$M$11="","",'Final Calculation Sheet'!$M$11)</f>
        <v>1725.9358499999998</v>
      </c>
      <c r="O58" s="66">
        <f>IF('Final Calculation Sheet'!$N$11="","",'Final Calculation Sheet'!$N$11)</f>
        <v>29.253150000000002</v>
      </c>
      <c r="P58" s="65">
        <f>IF('Final Calculation Sheet'!$O$11="","",'Final Calculation Sheet'!$O$11)</f>
        <v>1696.6826999999998</v>
      </c>
      <c r="Q58" s="65">
        <f>IF('Final Calculation Sheet'!$P$11="","",'Final Calculation Sheet'!$P$11)</f>
        <v>1762</v>
      </c>
      <c r="R58" s="67">
        <f>IF('Final Calculation Sheet'!$Q$11="","",'Final Calculation Sheet'!$Q$11)</f>
        <v>0</v>
      </c>
      <c r="S58" s="65">
        <f>IF('Final Calculation Sheet'!$R$11="","",'Final Calculation Sheet'!$R$11)</f>
        <v>0</v>
      </c>
      <c r="T58" s="65">
        <f>IF('Final Calculation Sheet'!$S$11="","",'Final Calculation Sheet'!$S$11)</f>
        <v>76481</v>
      </c>
      <c r="U58" s="65">
        <f>IF('Final Calculation Sheet'!$T$11="","",'Final Calculation Sheet'!$T$11)</f>
        <v>16252</v>
      </c>
      <c r="V58" s="68">
        <f>IF('Final Calculation Sheet'!$U$11="","",'Final Calculation Sheet'!$U$11)</f>
        <v>16252</v>
      </c>
      <c r="W58" s="65" t="str">
        <f>IF('Final Calculation Sheet'!$V$11="","",'Final Calculation Sheet'!$V$11)</f>
        <v>13.08.2026</v>
      </c>
      <c r="X58" s="65">
        <f>IF('Final Calculation Sheet'!$W$11="","",'Final Calculation Sheet'!$W$11)</f>
        <v>60229</v>
      </c>
      <c r="Y58" s="65">
        <f>IF('Final Calculation Sheet'!$X$11="","",'Final Calculation Sheet'!$X$11)</f>
        <v>60229</v>
      </c>
      <c r="Z58" s="65" t="str">
        <f>IF('Final Calculation Sheet'!$Y$11="","",'Final Calculation Sheet'!$Y$11)</f>
        <v>24.08.2026</v>
      </c>
      <c r="AA58" s="65">
        <f ca="1">IF('Final Calculation Sheet'!$Z$11="","",'Final Calculation Sheet'!$Z$11)</f>
        <v>2301.2478000000001</v>
      </c>
      <c r="AB58" s="65" t="str">
        <f>IF('Final Calculation Sheet'!$AA$11="","",'Final Calculation Sheet'!$AA$11)</f>
        <v/>
      </c>
      <c r="AC58" s="65" t="str">
        <f>IF('Final Calculation Sheet'!$AB$11="","",'Final Calculation Sheet'!$AB$11)</f>
        <v/>
      </c>
      <c r="AD58" s="65">
        <f>IF('Final Calculation Sheet'!$AC$11="","",'Final Calculation Sheet'!$AC$11)</f>
        <v>76481</v>
      </c>
      <c r="AE58" s="65">
        <f>IF('Final Calculation Sheet'!$AD$11="","",'Final Calculation Sheet'!$AD$11)</f>
        <v>0</v>
      </c>
      <c r="AF58" s="70" t="str">
        <f>IF('Final Calculation Sheet'!$AD$11="","",IF('Final Calculation Sheet'!$AD$11&lt;=5,"SETTLED","OUTSTANDING"))</f>
        <v>SETTLED</v>
      </c>
      <c r="AG58" s="65" t="str">
        <f>IF('Final Calculation Sheet'!$AF$11="","",'Final Calculation Sheet'!$AF$11)</f>
        <v>DR2640100032</v>
      </c>
      <c r="AH58" s="69">
        <f>IF('Final Calculation Sheet'!$AG$11="","",'Final Calculation Sheet'!$AG$11)</f>
        <v>1800003304</v>
      </c>
      <c r="AI58" s="65" t="str">
        <f>IF('Final Calculation Sheet'!$AH$11="","",'Final Calculation Sheet'!$AH$11)</f>
        <v>27.08.2026</v>
      </c>
    </row>
    <row r="59" spans="1:35" ht="15" customHeight="1" outlineLevel="1" x14ac:dyDescent="0.3">
      <c r="A59" s="81">
        <v>4</v>
      </c>
      <c r="B59" s="82">
        <f>IF('Final Calculation Sheet'!$F$12="","",'Final Calculation Sheet'!$F$12)</f>
        <v>2005</v>
      </c>
      <c r="C59" s="82" t="str">
        <f>IF('Final Calculation Sheet'!$G$12="","",'Final Calculation Sheet'!$G$12)</f>
        <v>NATIONAL ENTERPRISES</v>
      </c>
      <c r="D59" s="83" t="str">
        <f>IF('Final Calculation Sheet'!$B$12="","",'Final Calculation Sheet'!$B$12)</f>
        <v>Scrap of 220KV CT</v>
      </c>
      <c r="E59" s="83">
        <f>IF('Final Calculation Sheet'!$D$12="","",'Final Calculation Sheet'!$D$12)</f>
        <v>21977</v>
      </c>
      <c r="F59" s="83">
        <f>IF('Final Calculation Sheet'!$A$12="","",'Final Calculation Sheet'!$A$12)</f>
        <v>1</v>
      </c>
      <c r="G59" s="83" t="str">
        <f>IF('Final Calculation Sheet'!$E$12="","",'Final Calculation Sheet'!$E$12)</f>
        <v>NO</v>
      </c>
      <c r="H59" s="84">
        <f>IF('Final Calculation Sheet'!$C$12="","",'Final Calculation Sheet'!$C$12)</f>
        <v>70006</v>
      </c>
      <c r="I59" s="84">
        <f>IF('Final Calculation Sheet'!$H$12="","",'Final Calculation Sheet'!$H$12)</f>
        <v>70006</v>
      </c>
      <c r="J59" s="84">
        <f>IF('Final Calculation Sheet'!$I$12="","",'Final Calculation Sheet'!$I$12)</f>
        <v>12601</v>
      </c>
      <c r="K59" s="84">
        <f>IF('Final Calculation Sheet'!$J$12="","",'Final Calculation Sheet'!$J$12)</f>
        <v>82607</v>
      </c>
      <c r="L59" s="84">
        <f>IF('Final Calculation Sheet'!$K$12="","",'Final Calculation Sheet'!$K$12)</f>
        <v>1652</v>
      </c>
      <c r="M59" s="84">
        <f>IF('Final Calculation Sheet'!$L$12="","",'Final Calculation Sheet'!$L$12)</f>
        <v>70.006</v>
      </c>
      <c r="N59" s="84">
        <f>IF('Final Calculation Sheet'!$M$12="","",'Final Calculation Sheet'!$M$12)</f>
        <v>1858.6592999999998</v>
      </c>
      <c r="O59" s="85">
        <f>IF('Final Calculation Sheet'!$N$12="","",'Final Calculation Sheet'!$N$12)</f>
        <v>31.502700000000001</v>
      </c>
      <c r="P59" s="84">
        <f>IF('Final Calculation Sheet'!$O$12="","",'Final Calculation Sheet'!$O$12)</f>
        <v>1827.1565999999998</v>
      </c>
      <c r="Q59" s="84">
        <f>IF('Final Calculation Sheet'!$P$12="","",'Final Calculation Sheet'!$P$12)</f>
        <v>1897</v>
      </c>
      <c r="R59" s="86">
        <f>IF('Final Calculation Sheet'!$Q$12="","",'Final Calculation Sheet'!$Q$12)</f>
        <v>0</v>
      </c>
      <c r="S59" s="84">
        <f>IF('Final Calculation Sheet'!$R$12="","",'Final Calculation Sheet'!$R$12)</f>
        <v>0</v>
      </c>
      <c r="T59" s="84">
        <f>IF('Final Calculation Sheet'!$S$12="","",'Final Calculation Sheet'!$S$12)</f>
        <v>82362</v>
      </c>
      <c r="U59" s="84">
        <f>IF('Final Calculation Sheet'!$T$12="","",'Final Calculation Sheet'!$T$12)</f>
        <v>17502</v>
      </c>
      <c r="V59" s="87">
        <f>IF('Final Calculation Sheet'!$U$12="","",'Final Calculation Sheet'!$U$12)</f>
        <v>17502</v>
      </c>
      <c r="W59" s="84" t="str">
        <f>IF('Final Calculation Sheet'!$V$12="","",'Final Calculation Sheet'!$V$12)</f>
        <v>13.08.2026</v>
      </c>
      <c r="X59" s="84">
        <f>IF('Final Calculation Sheet'!$W$12="","",'Final Calculation Sheet'!$W$12)</f>
        <v>64861</v>
      </c>
      <c r="Y59" s="84">
        <f>IF('Final Calculation Sheet'!$X$12="","",'Final Calculation Sheet'!$X$12)</f>
        <v>64859</v>
      </c>
      <c r="Z59" s="84" t="str">
        <f>IF('Final Calculation Sheet'!$Y$12="","",'Final Calculation Sheet'!$Y$12)</f>
        <v>24.08.2026</v>
      </c>
      <c r="AA59" s="84">
        <f ca="1">IF('Final Calculation Sheet'!$Z$12="","",'Final Calculation Sheet'!$Z$12)</f>
        <v>2478.2123999999999</v>
      </c>
      <c r="AB59" s="84" t="str">
        <f>IF('Final Calculation Sheet'!$AA$12="","",'Final Calculation Sheet'!$AA$12)</f>
        <v/>
      </c>
      <c r="AC59" s="84" t="str">
        <f>IF('Final Calculation Sheet'!$AB$12="","",'Final Calculation Sheet'!$AB$12)</f>
        <v/>
      </c>
      <c r="AD59" s="84">
        <f>IF('Final Calculation Sheet'!$AC$12="","",'Final Calculation Sheet'!$AC$12)</f>
        <v>82361</v>
      </c>
      <c r="AE59" s="84">
        <f>IF('Final Calculation Sheet'!$AD$12="","",'Final Calculation Sheet'!$AD$12)</f>
        <v>1</v>
      </c>
      <c r="AF59" s="89" t="str">
        <f>IF('Final Calculation Sheet'!$AD$12="","",IF('Final Calculation Sheet'!$AD$12&lt;=5,"SETTLED","OUTSTANDING"))</f>
        <v>SETTLED</v>
      </c>
      <c r="AG59" s="84" t="str">
        <f>IF('Final Calculation Sheet'!$AF$12="","",'Final Calculation Sheet'!$AF$12)</f>
        <v>DR2640100033</v>
      </c>
      <c r="AH59" s="88">
        <f>IF('Final Calculation Sheet'!$AG$12="","",'Final Calculation Sheet'!$AG$12)</f>
        <v>1800003305</v>
      </c>
      <c r="AI59" s="84" t="str">
        <f>IF('Final Calculation Sheet'!$AH$12="","",'Final Calculation Sheet'!$AH$12)</f>
        <v>27.08.2026</v>
      </c>
    </row>
    <row r="60" spans="1:35" ht="15" customHeight="1" outlineLevel="1" x14ac:dyDescent="0.3">
      <c r="A60" s="62">
        <v>5</v>
      </c>
      <c r="B60" s="63">
        <f>IF('Final Calculation Sheet'!$F$18="","",'Final Calculation Sheet'!$F$18)</f>
        <v>2018</v>
      </c>
      <c r="C60" s="63" t="str">
        <f>IF('Final Calculation Sheet'!$G$18="","",'Final Calculation Sheet'!$G$18)</f>
        <v>NATIONAL ENTERPRISES</v>
      </c>
      <c r="D60" s="64" t="str">
        <f>IF('Final Calculation Sheet'!$B$18="","",'Final Calculation Sheet'!$B$18)</f>
        <v>Scrap of 220 KV Circuit Breaker</v>
      </c>
      <c r="E60" s="64">
        <f>IF('Final Calculation Sheet'!$D$18="","",'Final Calculation Sheet'!$D$18)</f>
        <v>21978</v>
      </c>
      <c r="F60" s="64">
        <f>IF('Final Calculation Sheet'!$A$18="","",'Final Calculation Sheet'!$A$18)</f>
        <v>1</v>
      </c>
      <c r="G60" s="64" t="str">
        <f>IF('Final Calculation Sheet'!$E$18="","",'Final Calculation Sheet'!$E$18)</f>
        <v>NO</v>
      </c>
      <c r="H60" s="65">
        <f>IF('Final Calculation Sheet'!$C$18="","",'Final Calculation Sheet'!$C$18)</f>
        <v>220001</v>
      </c>
      <c r="I60" s="65">
        <f>IF('Final Calculation Sheet'!$H$18="","",'Final Calculation Sheet'!$H$18)</f>
        <v>220001</v>
      </c>
      <c r="J60" s="65">
        <f>IF('Final Calculation Sheet'!$I$18="","",'Final Calculation Sheet'!$I$18)</f>
        <v>39600</v>
      </c>
      <c r="K60" s="65">
        <f>IF('Final Calculation Sheet'!$J$18="","",'Final Calculation Sheet'!$J$18)</f>
        <v>259601</v>
      </c>
      <c r="L60" s="65">
        <f>IF('Final Calculation Sheet'!$K$18="","",'Final Calculation Sheet'!$K$18)</f>
        <v>5192</v>
      </c>
      <c r="M60" s="65">
        <f>IF('Final Calculation Sheet'!$L$18="","",'Final Calculation Sheet'!$L$18)</f>
        <v>220.001</v>
      </c>
      <c r="N60" s="65">
        <f>IF('Final Calculation Sheet'!$M$18="","",'Final Calculation Sheet'!$M$18)</f>
        <v>5841.0265499999996</v>
      </c>
      <c r="O60" s="66">
        <f>IF('Final Calculation Sheet'!$N$18="","",'Final Calculation Sheet'!$N$18)</f>
        <v>99.000450000000001</v>
      </c>
      <c r="P60" s="65">
        <f>IF('Final Calculation Sheet'!$O$18="","",'Final Calculation Sheet'!$O$18)</f>
        <v>5742.0260999999991</v>
      </c>
      <c r="Q60" s="65">
        <f>IF('Final Calculation Sheet'!$P$18="","",'Final Calculation Sheet'!$P$18)</f>
        <v>5962</v>
      </c>
      <c r="R60" s="67">
        <f>IF('Final Calculation Sheet'!$Q$18="","",'Final Calculation Sheet'!$Q$18)</f>
        <v>0</v>
      </c>
      <c r="S60" s="65">
        <f>IF('Final Calculation Sheet'!$R$18="","",'Final Calculation Sheet'!$R$18)</f>
        <v>0</v>
      </c>
      <c r="T60" s="65">
        <f>IF('Final Calculation Sheet'!$S$18="","",'Final Calculation Sheet'!$S$18)</f>
        <v>258831</v>
      </c>
      <c r="U60" s="65">
        <f>IF('Final Calculation Sheet'!$T$18="","",'Final Calculation Sheet'!$T$18)</f>
        <v>55000</v>
      </c>
      <c r="V60" s="68">
        <f>IF('Final Calculation Sheet'!$U$18="","",'Final Calculation Sheet'!$U$18)</f>
        <v>55000</v>
      </c>
      <c r="W60" s="65" t="str">
        <f>IF('Final Calculation Sheet'!$V$18="","",'Final Calculation Sheet'!$V$18)</f>
        <v>13.08.2026</v>
      </c>
      <c r="X60" s="65">
        <f>IF('Final Calculation Sheet'!$W$18="","",'Final Calculation Sheet'!$W$18)</f>
        <v>203831</v>
      </c>
      <c r="Y60" s="65">
        <f>IF('Final Calculation Sheet'!$X$18="","",'Final Calculation Sheet'!$X$18)</f>
        <v>203831</v>
      </c>
      <c r="Z60" s="65" t="str">
        <f>IF('Final Calculation Sheet'!$Y$18="","",'Final Calculation Sheet'!$Y$18)</f>
        <v>24.08.2026</v>
      </c>
      <c r="AA60" s="65">
        <f ca="1">IF('Final Calculation Sheet'!$Z$18="","",'Final Calculation Sheet'!$Z$18)</f>
        <v>7788.0353999999988</v>
      </c>
      <c r="AB60" s="65" t="str">
        <f>IF('Final Calculation Sheet'!$AA$18="","",'Final Calculation Sheet'!$AA$18)</f>
        <v/>
      </c>
      <c r="AC60" s="65" t="str">
        <f>IF('Final Calculation Sheet'!$AB$18="","",'Final Calculation Sheet'!$AB$18)</f>
        <v/>
      </c>
      <c r="AD60" s="65">
        <f>IF('Final Calculation Sheet'!$AC$18="","",'Final Calculation Sheet'!$AC$18)</f>
        <v>258831</v>
      </c>
      <c r="AE60" s="65">
        <f>IF('Final Calculation Sheet'!$AD$18="","",'Final Calculation Sheet'!$AD$18)</f>
        <v>0</v>
      </c>
      <c r="AF60" s="70" t="str">
        <f>IF('Final Calculation Sheet'!$AD$18="","",IF('Final Calculation Sheet'!$AD$18&lt;=5,"SETTLED","OUTSTANDING"))</f>
        <v>SETTLED</v>
      </c>
      <c r="AG60" s="65" t="str">
        <f>IF('Final Calculation Sheet'!$AF$18="","",'Final Calculation Sheet'!$AF$18)</f>
        <v>DR2640100034</v>
      </c>
      <c r="AH60" s="69">
        <f>IF('Final Calculation Sheet'!$AG$18="","",'Final Calculation Sheet'!$AG$18)</f>
        <v>1800003306</v>
      </c>
      <c r="AI60" s="65" t="str">
        <f>IF('Final Calculation Sheet'!$AH$18="","",'Final Calculation Sheet'!$AH$18)</f>
        <v>27.08.2026</v>
      </c>
    </row>
    <row r="61" spans="1:35" ht="15" customHeight="1" outlineLevel="1" x14ac:dyDescent="0.3">
      <c r="A61" s="81">
        <v>6</v>
      </c>
      <c r="B61" s="82">
        <f>IF('Final Calculation Sheet'!$F$19="","",'Final Calculation Sheet'!$F$19)</f>
        <v>2019</v>
      </c>
      <c r="C61" s="82" t="str">
        <f>IF('Final Calculation Sheet'!$G$19="","",'Final Calculation Sheet'!$G$19)</f>
        <v>NATIONAL ENTERPRISES</v>
      </c>
      <c r="D61" s="83" t="str">
        <f>IF('Final Calculation Sheet'!$B$19="","",'Final Calculation Sheet'!$B$19)</f>
        <v>Scrap of 220 KV Circuit Breaker</v>
      </c>
      <c r="E61" s="83">
        <f>IF('Final Calculation Sheet'!$D$19="","",'Final Calculation Sheet'!$D$19)</f>
        <v>21978</v>
      </c>
      <c r="F61" s="83">
        <f>IF('Final Calculation Sheet'!$A$19="","",'Final Calculation Sheet'!$A$19)</f>
        <v>1</v>
      </c>
      <c r="G61" s="83" t="str">
        <f>IF('Final Calculation Sheet'!$E$19="","",'Final Calculation Sheet'!$E$19)</f>
        <v>NO</v>
      </c>
      <c r="H61" s="84">
        <f>IF('Final Calculation Sheet'!$C$19="","",'Final Calculation Sheet'!$C$19)</f>
        <v>210001</v>
      </c>
      <c r="I61" s="84">
        <f>IF('Final Calculation Sheet'!$H$19="","",'Final Calculation Sheet'!$H$19)</f>
        <v>210001</v>
      </c>
      <c r="J61" s="84">
        <f>IF('Final Calculation Sheet'!$I$19="","",'Final Calculation Sheet'!$I$19)</f>
        <v>37800</v>
      </c>
      <c r="K61" s="84">
        <f>IF('Final Calculation Sheet'!$J$19="","",'Final Calculation Sheet'!$J$19)</f>
        <v>247801</v>
      </c>
      <c r="L61" s="84">
        <f>IF('Final Calculation Sheet'!$K$19="","",'Final Calculation Sheet'!$K$19)</f>
        <v>4956</v>
      </c>
      <c r="M61" s="84">
        <f>IF('Final Calculation Sheet'!$L$19="","",'Final Calculation Sheet'!$L$19)</f>
        <v>210.001</v>
      </c>
      <c r="N61" s="84">
        <f>IF('Final Calculation Sheet'!$M$19="","",'Final Calculation Sheet'!$M$19)</f>
        <v>5575.5265499999996</v>
      </c>
      <c r="O61" s="85">
        <f>IF('Final Calculation Sheet'!$N$19="","",'Final Calculation Sheet'!$N$19)</f>
        <v>94.500450000000001</v>
      </c>
      <c r="P61" s="84">
        <f>IF('Final Calculation Sheet'!$O$19="","",'Final Calculation Sheet'!$O$19)</f>
        <v>5481.0260999999991</v>
      </c>
      <c r="Q61" s="84">
        <f>IF('Final Calculation Sheet'!$P$19="","",'Final Calculation Sheet'!$P$19)</f>
        <v>5691</v>
      </c>
      <c r="R61" s="86">
        <f>IF('Final Calculation Sheet'!$Q$19="","",'Final Calculation Sheet'!$Q$19)</f>
        <v>0</v>
      </c>
      <c r="S61" s="84">
        <f>IF('Final Calculation Sheet'!$R$19="","",'Final Calculation Sheet'!$R$19)</f>
        <v>0</v>
      </c>
      <c r="T61" s="84">
        <f>IF('Final Calculation Sheet'!$S$19="","",'Final Calculation Sheet'!$S$19)</f>
        <v>247066</v>
      </c>
      <c r="U61" s="84">
        <f>IF('Final Calculation Sheet'!$T$19="","",'Final Calculation Sheet'!$T$19)</f>
        <v>52500</v>
      </c>
      <c r="V61" s="87">
        <f>IF('Final Calculation Sheet'!$U$19="","",'Final Calculation Sheet'!$U$19)</f>
        <v>52500</v>
      </c>
      <c r="W61" s="84" t="str">
        <f>IF('Final Calculation Sheet'!$V$19="","",'Final Calculation Sheet'!$V$19)</f>
        <v>13.08.2026</v>
      </c>
      <c r="X61" s="84">
        <f>IF('Final Calculation Sheet'!$W$19="","",'Final Calculation Sheet'!$W$19)</f>
        <v>194566</v>
      </c>
      <c r="Y61" s="84">
        <f>IF('Final Calculation Sheet'!$X$19="","",'Final Calculation Sheet'!$X$19)</f>
        <v>194566</v>
      </c>
      <c r="Z61" s="84" t="str">
        <f>IF('Final Calculation Sheet'!$Y$19="","",'Final Calculation Sheet'!$Y$19)</f>
        <v>24.08.2026</v>
      </c>
      <c r="AA61" s="84">
        <f ca="1">IF('Final Calculation Sheet'!$Z$19="","",'Final Calculation Sheet'!$Z$19)</f>
        <v>7434.0353999999988</v>
      </c>
      <c r="AB61" s="84" t="str">
        <f>IF('Final Calculation Sheet'!$AA$19="","",'Final Calculation Sheet'!$AA$19)</f>
        <v/>
      </c>
      <c r="AC61" s="84" t="str">
        <f>IF('Final Calculation Sheet'!$AB$19="","",'Final Calculation Sheet'!$AB$19)</f>
        <v/>
      </c>
      <c r="AD61" s="84">
        <f>IF('Final Calculation Sheet'!$AC$19="","",'Final Calculation Sheet'!$AC$19)</f>
        <v>247066</v>
      </c>
      <c r="AE61" s="84">
        <f>IF('Final Calculation Sheet'!$AD$19="","",'Final Calculation Sheet'!$AD$19)</f>
        <v>0</v>
      </c>
      <c r="AF61" s="89" t="str">
        <f>IF('Final Calculation Sheet'!$AD$19="","",IF('Final Calculation Sheet'!$AD$19&lt;=5,"SETTLED","OUTSTANDING"))</f>
        <v>SETTLED</v>
      </c>
      <c r="AG61" s="84" t="str">
        <f>IF('Final Calculation Sheet'!$AF$19="","",'Final Calculation Sheet'!$AF$19)</f>
        <v>DR2640100035</v>
      </c>
      <c r="AH61" s="88">
        <f>IF('Final Calculation Sheet'!$AG$19="","",'Final Calculation Sheet'!$AG$19)</f>
        <v>1800003307</v>
      </c>
      <c r="AI61" s="84" t="str">
        <f>IF('Final Calculation Sheet'!$AH$19="","",'Final Calculation Sheet'!$AH$19)</f>
        <v>27.08.2026</v>
      </c>
    </row>
    <row r="62" spans="1:35" ht="15" customHeight="1" outlineLevel="1" x14ac:dyDescent="0.3">
      <c r="A62" s="62">
        <v>7</v>
      </c>
      <c r="B62" s="63">
        <f>IF('Final Calculation Sheet'!$F$22="","",'Final Calculation Sheet'!$F$22)</f>
        <v>2023</v>
      </c>
      <c r="C62" s="63" t="str">
        <f>IF('Final Calculation Sheet'!$G$22="","",'Final Calculation Sheet'!$G$22)</f>
        <v>NATIONAL ENTERPRISES</v>
      </c>
      <c r="D62" s="64" t="str">
        <f>IF('Final Calculation Sheet'!$B$22="","",'Final Calculation Sheet'!$B$22)</f>
        <v>Scrap of 132 KV CT</v>
      </c>
      <c r="E62" s="64">
        <f>IF('Final Calculation Sheet'!$D$22="","",'Final Calculation Sheet'!$D$22)</f>
        <v>21978</v>
      </c>
      <c r="F62" s="64">
        <f>IF('Final Calculation Sheet'!$A$22="","",'Final Calculation Sheet'!$A$22)</f>
        <v>3</v>
      </c>
      <c r="G62" s="64" t="str">
        <f>IF('Final Calculation Sheet'!$E$22="","",'Final Calculation Sheet'!$E$22)</f>
        <v>NO</v>
      </c>
      <c r="H62" s="65">
        <f>IF('Final Calculation Sheet'!$C$22="","",'Final Calculation Sheet'!$C$22)</f>
        <v>83743</v>
      </c>
      <c r="I62" s="65">
        <f>IF('Final Calculation Sheet'!$H$22="","",'Final Calculation Sheet'!$H$22)</f>
        <v>251229</v>
      </c>
      <c r="J62" s="65">
        <f>IF('Final Calculation Sheet'!$I$22="","",'Final Calculation Sheet'!$I$22)</f>
        <v>45221</v>
      </c>
      <c r="K62" s="65">
        <f>IF('Final Calculation Sheet'!$J$22="","",'Final Calculation Sheet'!$J$22)</f>
        <v>296450</v>
      </c>
      <c r="L62" s="65">
        <f>IF('Final Calculation Sheet'!$K$22="","",'Final Calculation Sheet'!$K$22)</f>
        <v>5929</v>
      </c>
      <c r="M62" s="65">
        <f>IF('Final Calculation Sheet'!$L$22="","",'Final Calculation Sheet'!$L$22)</f>
        <v>251.22900000000001</v>
      </c>
      <c r="N62" s="65">
        <f>IF('Final Calculation Sheet'!$M$22="","",'Final Calculation Sheet'!$M$22)</f>
        <v>6670.1299499999996</v>
      </c>
      <c r="O62" s="66">
        <f>IF('Final Calculation Sheet'!$N$22="","",'Final Calculation Sheet'!$N$22)</f>
        <v>113.05305</v>
      </c>
      <c r="P62" s="65">
        <f>IF('Final Calculation Sheet'!$O$22="","",'Final Calculation Sheet'!$O$22)</f>
        <v>6557.0768999999991</v>
      </c>
      <c r="Q62" s="65">
        <f>IF('Final Calculation Sheet'!$P$22="","",'Final Calculation Sheet'!$P$22)</f>
        <v>6808</v>
      </c>
      <c r="R62" s="67">
        <f>IF('Final Calculation Sheet'!$Q$22="","",'Final Calculation Sheet'!$Q$22)</f>
        <v>0</v>
      </c>
      <c r="S62" s="65">
        <f>IF('Final Calculation Sheet'!$R$22="","",'Final Calculation Sheet'!$R$22)</f>
        <v>0</v>
      </c>
      <c r="T62" s="65">
        <f>IF('Final Calculation Sheet'!$S$22="","",'Final Calculation Sheet'!$S$22)</f>
        <v>295571</v>
      </c>
      <c r="U62" s="65">
        <f>IF('Final Calculation Sheet'!$T$22="","",'Final Calculation Sheet'!$T$22)</f>
        <v>62807</v>
      </c>
      <c r="V62" s="68">
        <f>IF('Final Calculation Sheet'!$U$22="","",'Final Calculation Sheet'!$U$22)</f>
        <v>62807</v>
      </c>
      <c r="W62" s="65" t="str">
        <f>IF('Final Calculation Sheet'!$V$22="","",'Final Calculation Sheet'!$V$22)</f>
        <v>13.08.2026</v>
      </c>
      <c r="X62" s="65">
        <f>IF('Final Calculation Sheet'!$W$22="","",'Final Calculation Sheet'!$W$22)</f>
        <v>232764</v>
      </c>
      <c r="Y62" s="65">
        <f>IF('Final Calculation Sheet'!$X$22="","",'Final Calculation Sheet'!$X$22)</f>
        <v>232764</v>
      </c>
      <c r="Z62" s="65" t="str">
        <f>IF('Final Calculation Sheet'!$Y$22="","",'Final Calculation Sheet'!$Y$22)</f>
        <v>24.08.2026</v>
      </c>
      <c r="AA62" s="65">
        <f ca="1">IF('Final Calculation Sheet'!$Z$22="","",'Final Calculation Sheet'!$Z$22)</f>
        <v>8893.5066000000006</v>
      </c>
      <c r="AB62" s="65" t="str">
        <f>IF('Final Calculation Sheet'!$AA$22="","",'Final Calculation Sheet'!$AA$22)</f>
        <v/>
      </c>
      <c r="AC62" s="65" t="str">
        <f>IF('Final Calculation Sheet'!$AB$22="","",'Final Calculation Sheet'!$AB$22)</f>
        <v/>
      </c>
      <c r="AD62" s="65">
        <f>IF('Final Calculation Sheet'!$AC$22="","",'Final Calculation Sheet'!$AC$22)</f>
        <v>295571</v>
      </c>
      <c r="AE62" s="65">
        <f>IF('Final Calculation Sheet'!$AD$22="","",'Final Calculation Sheet'!$AD$22)</f>
        <v>0</v>
      </c>
      <c r="AF62" s="70" t="str">
        <f>IF('Final Calculation Sheet'!$AD$22="","",IF('Final Calculation Sheet'!$AD$22&lt;=5,"SETTLED","OUTSTANDING"))</f>
        <v>SETTLED</v>
      </c>
      <c r="AG62" s="65" t="str">
        <f>IF('Final Calculation Sheet'!$AF$22="","",'Final Calculation Sheet'!$AF$22)</f>
        <v>DR2640100044</v>
      </c>
      <c r="AH62" s="69">
        <f>IF('Final Calculation Sheet'!$AG$22="","",'Final Calculation Sheet'!$AG$22)</f>
        <v>1800003308</v>
      </c>
      <c r="AI62" s="65" t="str">
        <f>IF('Final Calculation Sheet'!$AH$22="","",'Final Calculation Sheet'!$AH$22)</f>
        <v>27.08.2026</v>
      </c>
    </row>
    <row r="63" spans="1:35" ht="15" customHeight="1" outlineLevel="1" x14ac:dyDescent="0.3">
      <c r="A63" s="81">
        <v>8</v>
      </c>
      <c r="B63" s="82">
        <f>IF('Final Calculation Sheet'!$F$24="","",'Final Calculation Sheet'!$F$24)</f>
        <v>2027</v>
      </c>
      <c r="C63" s="82" t="str">
        <f>IF('Final Calculation Sheet'!$G$24="","",'Final Calculation Sheet'!$G$24)</f>
        <v>NATIONAL ENTERPRISES</v>
      </c>
      <c r="D63" s="83" t="str">
        <f>IF('Final Calculation Sheet'!$B$24="","",'Final Calculation Sheet'!$B$24)</f>
        <v>Scrap of 132 KV CT</v>
      </c>
      <c r="E63" s="83">
        <f>IF('Final Calculation Sheet'!$D$24="","",'Final Calculation Sheet'!$D$24)</f>
        <v>21978</v>
      </c>
      <c r="F63" s="83">
        <f>IF('Final Calculation Sheet'!$A$24="","",'Final Calculation Sheet'!$A$24)</f>
        <v>1</v>
      </c>
      <c r="G63" s="83" t="str">
        <f>IF('Final Calculation Sheet'!$E$24="","",'Final Calculation Sheet'!$E$24)</f>
        <v>NO</v>
      </c>
      <c r="H63" s="84">
        <f>IF('Final Calculation Sheet'!$C$24="","",'Final Calculation Sheet'!$C$24)</f>
        <v>50003</v>
      </c>
      <c r="I63" s="84">
        <f>IF('Final Calculation Sheet'!$H$24="","",'Final Calculation Sheet'!$H$24)</f>
        <v>50003</v>
      </c>
      <c r="J63" s="84">
        <f>IF('Final Calculation Sheet'!$I$24="","",'Final Calculation Sheet'!$I$24)</f>
        <v>9001</v>
      </c>
      <c r="K63" s="84">
        <f>IF('Final Calculation Sheet'!$J$24="","",'Final Calculation Sheet'!$J$24)</f>
        <v>59004</v>
      </c>
      <c r="L63" s="84">
        <f>IF('Final Calculation Sheet'!$K$24="","",'Final Calculation Sheet'!$K$24)</f>
        <v>1180</v>
      </c>
      <c r="M63" s="84">
        <f>IF('Final Calculation Sheet'!$L$24="","",'Final Calculation Sheet'!$L$24)</f>
        <v>50.003</v>
      </c>
      <c r="N63" s="84">
        <f>IF('Final Calculation Sheet'!$M$24="","",'Final Calculation Sheet'!$M$24)</f>
        <v>1327.5796499999999</v>
      </c>
      <c r="O63" s="85">
        <f>IF('Final Calculation Sheet'!$N$24="","",'Final Calculation Sheet'!$N$24)</f>
        <v>22.501349999999999</v>
      </c>
      <c r="P63" s="84">
        <f>IF('Final Calculation Sheet'!$O$24="","",'Final Calculation Sheet'!$O$24)</f>
        <v>1305.0782999999999</v>
      </c>
      <c r="Q63" s="84">
        <f>IF('Final Calculation Sheet'!$P$24="","",'Final Calculation Sheet'!$P$24)</f>
        <v>1355</v>
      </c>
      <c r="R63" s="86">
        <f>IF('Final Calculation Sheet'!$Q$24="","",'Final Calculation Sheet'!$Q$24)</f>
        <v>0</v>
      </c>
      <c r="S63" s="84">
        <f>IF('Final Calculation Sheet'!$R$24="","",'Final Calculation Sheet'!$R$24)</f>
        <v>0</v>
      </c>
      <c r="T63" s="84">
        <f>IF('Final Calculation Sheet'!$S$24="","",'Final Calculation Sheet'!$S$24)</f>
        <v>58829</v>
      </c>
      <c r="U63" s="84">
        <f>IF('Final Calculation Sheet'!$T$24="","",'Final Calculation Sheet'!$T$24)</f>
        <v>12501</v>
      </c>
      <c r="V63" s="87">
        <f>IF('Final Calculation Sheet'!$U$24="","",'Final Calculation Sheet'!$U$24)</f>
        <v>12501</v>
      </c>
      <c r="W63" s="84" t="str">
        <f>IF('Final Calculation Sheet'!$V$24="","",'Final Calculation Sheet'!$V$24)</f>
        <v>13.08.2026</v>
      </c>
      <c r="X63" s="84">
        <f>IF('Final Calculation Sheet'!$W$24="","",'Final Calculation Sheet'!$W$24)</f>
        <v>46328</v>
      </c>
      <c r="Y63" s="84">
        <f>IF('Final Calculation Sheet'!$X$24="","",'Final Calculation Sheet'!$X$24)</f>
        <v>46328</v>
      </c>
      <c r="Z63" s="84" t="str">
        <f>IF('Final Calculation Sheet'!$Y$24="","",'Final Calculation Sheet'!$Y$24)</f>
        <v>24.08.2026</v>
      </c>
      <c r="AA63" s="84">
        <f ca="1">IF('Final Calculation Sheet'!$Z$24="","",'Final Calculation Sheet'!$Z$24)</f>
        <v>1770.1061999999999</v>
      </c>
      <c r="AB63" s="84" t="str">
        <f>IF('Final Calculation Sheet'!$AA$24="","",'Final Calculation Sheet'!$AA$24)</f>
        <v/>
      </c>
      <c r="AC63" s="84" t="str">
        <f>IF('Final Calculation Sheet'!$AB$24="","",'Final Calculation Sheet'!$AB$24)</f>
        <v/>
      </c>
      <c r="AD63" s="84">
        <f>IF('Final Calculation Sheet'!$AC$24="","",'Final Calculation Sheet'!$AC$24)</f>
        <v>58829</v>
      </c>
      <c r="AE63" s="84">
        <f>IF('Final Calculation Sheet'!$AD$24="","",'Final Calculation Sheet'!$AD$24)</f>
        <v>0</v>
      </c>
      <c r="AF63" s="89" t="str">
        <f>IF('Final Calculation Sheet'!$AD$24="","",IF('Final Calculation Sheet'!$AD$24&lt;=5,"SETTLED","OUTSTANDING"))</f>
        <v>SETTLED</v>
      </c>
      <c r="AG63" s="84" t="str">
        <f>IF('Final Calculation Sheet'!$AF$24="","",'Final Calculation Sheet'!$AF$24)</f>
        <v>DR2640100036</v>
      </c>
      <c r="AH63" s="88">
        <f>IF('Final Calculation Sheet'!$AG$24="","",'Final Calculation Sheet'!$AG$24)</f>
        <v>1800003309</v>
      </c>
      <c r="AI63" s="84" t="str">
        <f>IF('Final Calculation Sheet'!$AH$24="","",'Final Calculation Sheet'!$AH$24)</f>
        <v>27.08.2026</v>
      </c>
    </row>
    <row r="64" spans="1:35" ht="15" customHeight="1" outlineLevel="1" x14ac:dyDescent="0.3">
      <c r="A64" s="62">
        <v>9</v>
      </c>
      <c r="B64" s="63">
        <f>IF('Final Calculation Sheet'!$F$26="","",'Final Calculation Sheet'!$F$26)</f>
        <v>2035</v>
      </c>
      <c r="C64" s="63" t="str">
        <f>IF('Final Calculation Sheet'!$G$26="","",'Final Calculation Sheet'!$G$26)</f>
        <v>NATIONAL ENTERPRISES</v>
      </c>
      <c r="D64" s="64" t="str">
        <f>IF('Final Calculation Sheet'!$B$26="","",'Final Calculation Sheet'!$B$26)</f>
        <v>Scrap of 132 KV Wave Trap</v>
      </c>
      <c r="E64" s="64">
        <f>IF('Final Calculation Sheet'!$D$26="","",'Final Calculation Sheet'!$D$26)</f>
        <v>21978</v>
      </c>
      <c r="F64" s="64">
        <f>IF('Final Calculation Sheet'!$A$26="","",'Final Calculation Sheet'!$A$26)</f>
        <v>2</v>
      </c>
      <c r="G64" s="64" t="str">
        <f>IF('Final Calculation Sheet'!$E$26="","",'Final Calculation Sheet'!$E$26)</f>
        <v>NO</v>
      </c>
      <c r="H64" s="65">
        <f>IF('Final Calculation Sheet'!$C$26="","",'Final Calculation Sheet'!$C$26)</f>
        <v>14001</v>
      </c>
      <c r="I64" s="65">
        <f>IF('Final Calculation Sheet'!$H$26="","",'Final Calculation Sheet'!$H$26)</f>
        <v>28002</v>
      </c>
      <c r="J64" s="65">
        <f>IF('Final Calculation Sheet'!$I$26="","",'Final Calculation Sheet'!$I$26)</f>
        <v>5040</v>
      </c>
      <c r="K64" s="65">
        <f>IF('Final Calculation Sheet'!$J$26="","",'Final Calculation Sheet'!$J$26)</f>
        <v>33042</v>
      </c>
      <c r="L64" s="65">
        <f>IF('Final Calculation Sheet'!$K$26="","",'Final Calculation Sheet'!$K$26)</f>
        <v>661</v>
      </c>
      <c r="M64" s="65">
        <f>IF('Final Calculation Sheet'!$L$26="","",'Final Calculation Sheet'!$L$26)</f>
        <v>28.001999999999999</v>
      </c>
      <c r="N64" s="65">
        <f>IF('Final Calculation Sheet'!$M$26="","",'Final Calculation Sheet'!$M$26)</f>
        <v>743.45309999999995</v>
      </c>
      <c r="O64" s="66">
        <f>IF('Final Calculation Sheet'!$N$26="","",'Final Calculation Sheet'!$N$26)</f>
        <v>12.600899999999999</v>
      </c>
      <c r="P64" s="65">
        <f>IF('Final Calculation Sheet'!$O$26="","",'Final Calculation Sheet'!$O$26)</f>
        <v>730.85219999999993</v>
      </c>
      <c r="Q64" s="65">
        <f>IF('Final Calculation Sheet'!$P$26="","",'Final Calculation Sheet'!$P$26)</f>
        <v>759</v>
      </c>
      <c r="R64" s="67">
        <f>IF('Final Calculation Sheet'!$Q$26="","",'Final Calculation Sheet'!$Q$26)</f>
        <v>0</v>
      </c>
      <c r="S64" s="65">
        <f>IF('Final Calculation Sheet'!$R$26="","",'Final Calculation Sheet'!$R$26)</f>
        <v>0</v>
      </c>
      <c r="T64" s="65">
        <f>IF('Final Calculation Sheet'!$S$26="","",'Final Calculation Sheet'!$S$26)</f>
        <v>32944</v>
      </c>
      <c r="U64" s="65">
        <f>IF('Final Calculation Sheet'!$T$26="","",'Final Calculation Sheet'!$T$26)</f>
        <v>7001</v>
      </c>
      <c r="V64" s="68">
        <f>IF('Final Calculation Sheet'!$U$26="","",'Final Calculation Sheet'!$U$26)</f>
        <v>7001</v>
      </c>
      <c r="W64" s="65" t="str">
        <f>IF('Final Calculation Sheet'!$V$26="","",'Final Calculation Sheet'!$V$26)</f>
        <v>13.08.2026</v>
      </c>
      <c r="X64" s="65">
        <f>IF('Final Calculation Sheet'!$W$26="","",'Final Calculation Sheet'!$W$26)</f>
        <v>25944</v>
      </c>
      <c r="Y64" s="65">
        <f>IF('Final Calculation Sheet'!$X$26="","",'Final Calculation Sheet'!$X$26)</f>
        <v>25943</v>
      </c>
      <c r="Z64" s="65" t="str">
        <f>IF('Final Calculation Sheet'!$Y$26="","",'Final Calculation Sheet'!$Y$26)</f>
        <v>24.08.2026</v>
      </c>
      <c r="AA64" s="65">
        <f ca="1">IF('Final Calculation Sheet'!$Z$26="","",'Final Calculation Sheet'!$Z$26)</f>
        <v>991.27079999999989</v>
      </c>
      <c r="AB64" s="65" t="str">
        <f>IF('Final Calculation Sheet'!$AA$26="","",'Final Calculation Sheet'!$AA$26)</f>
        <v/>
      </c>
      <c r="AC64" s="65" t="str">
        <f>IF('Final Calculation Sheet'!$AB$26="","",'Final Calculation Sheet'!$AB$26)</f>
        <v/>
      </c>
      <c r="AD64" s="65">
        <f>IF('Final Calculation Sheet'!$AC$26="","",'Final Calculation Sheet'!$AC$26)</f>
        <v>32944</v>
      </c>
      <c r="AE64" s="65">
        <f>IF('Final Calculation Sheet'!$AD$26="","",'Final Calculation Sheet'!$AD$26)</f>
        <v>0</v>
      </c>
      <c r="AF64" s="70" t="str">
        <f>IF('Final Calculation Sheet'!$AD$26="","",IF('Final Calculation Sheet'!$AD$26&lt;=5,"SETTLED","OUTSTANDING"))</f>
        <v>SETTLED</v>
      </c>
      <c r="AG64" s="65" t="str">
        <f>IF('Final Calculation Sheet'!$AF$26="","",'Final Calculation Sheet'!$AF$26)</f>
        <v>DR2640100037</v>
      </c>
      <c r="AH64" s="69">
        <f>IF('Final Calculation Sheet'!$AG$26="","",'Final Calculation Sheet'!$AG$26)</f>
        <v>1800003310</v>
      </c>
      <c r="AI64" s="65" t="str">
        <f>IF('Final Calculation Sheet'!$AH$26="","",'Final Calculation Sheet'!$AH$26)</f>
        <v>27.08.2026</v>
      </c>
    </row>
    <row r="65" spans="1:35" ht="15" customHeight="1" outlineLevel="1" x14ac:dyDescent="0.3">
      <c r="A65" s="81">
        <v>10</v>
      </c>
      <c r="B65" s="82">
        <f>IF('Final Calculation Sheet'!$F$30="","",'Final Calculation Sheet'!$F$30)</f>
        <v>2043</v>
      </c>
      <c r="C65" s="82" t="str">
        <f>IF('Final Calculation Sheet'!$G$30="","",'Final Calculation Sheet'!$G$30)</f>
        <v>NATIONAL ENTERPRISES</v>
      </c>
      <c r="D65" s="83" t="str">
        <f>IF('Final Calculation Sheet'!$B$30="","",'Final Calculation Sheet'!$B$30)</f>
        <v>Scrap of 132 KV CT</v>
      </c>
      <c r="E65" s="83">
        <f>IF('Final Calculation Sheet'!$D$30="","",'Final Calculation Sheet'!$D$30)</f>
        <v>21979</v>
      </c>
      <c r="F65" s="83">
        <f>IF('Final Calculation Sheet'!$A$30="","",'Final Calculation Sheet'!$A$30)</f>
        <v>5</v>
      </c>
      <c r="G65" s="83" t="str">
        <f>IF('Final Calculation Sheet'!$E$30="","",'Final Calculation Sheet'!$E$30)</f>
        <v>NO</v>
      </c>
      <c r="H65" s="84">
        <f>IF('Final Calculation Sheet'!$C$30="","",'Final Calculation Sheet'!$C$30)</f>
        <v>80000</v>
      </c>
      <c r="I65" s="84">
        <f>IF('Final Calculation Sheet'!$H$30="","",'Final Calculation Sheet'!$H$30)</f>
        <v>400000</v>
      </c>
      <c r="J65" s="84">
        <f>IF('Final Calculation Sheet'!$I$30="","",'Final Calculation Sheet'!$I$30)</f>
        <v>72000</v>
      </c>
      <c r="K65" s="84">
        <f>IF('Final Calculation Sheet'!$J$30="","",'Final Calculation Sheet'!$J$30)</f>
        <v>472000</v>
      </c>
      <c r="L65" s="84">
        <f>IF('Final Calculation Sheet'!$K$30="","",'Final Calculation Sheet'!$K$30)</f>
        <v>9440</v>
      </c>
      <c r="M65" s="84">
        <f>IF('Final Calculation Sheet'!$L$30="","",'Final Calculation Sheet'!$L$30)</f>
        <v>400</v>
      </c>
      <c r="N65" s="84">
        <f>IF('Final Calculation Sheet'!$M$30="","",'Final Calculation Sheet'!$M$30)</f>
        <v>10620</v>
      </c>
      <c r="O65" s="85">
        <f>IF('Final Calculation Sheet'!$N$30="","",'Final Calculation Sheet'!$N$30)</f>
        <v>180</v>
      </c>
      <c r="P65" s="84">
        <f>IF('Final Calculation Sheet'!$O$30="","",'Final Calculation Sheet'!$O$30)</f>
        <v>10440</v>
      </c>
      <c r="Q65" s="84">
        <f>IF('Final Calculation Sheet'!$P$30="","",'Final Calculation Sheet'!$P$30)</f>
        <v>10840</v>
      </c>
      <c r="R65" s="86">
        <f>IF('Final Calculation Sheet'!$Q$30="","",'Final Calculation Sheet'!$Q$30)</f>
        <v>0</v>
      </c>
      <c r="S65" s="84">
        <f>IF('Final Calculation Sheet'!$R$30="","",'Final Calculation Sheet'!$R$30)</f>
        <v>0</v>
      </c>
      <c r="T65" s="84">
        <f>IF('Final Calculation Sheet'!$S$30="","",'Final Calculation Sheet'!$S$30)</f>
        <v>470600</v>
      </c>
      <c r="U65" s="84">
        <f>IF('Final Calculation Sheet'!$T$30="","",'Final Calculation Sheet'!$T$30)</f>
        <v>100000</v>
      </c>
      <c r="V65" s="87">
        <f>IF('Final Calculation Sheet'!$U$30="","",'Final Calculation Sheet'!$U$30)</f>
        <v>100000</v>
      </c>
      <c r="W65" s="84" t="str">
        <f>IF('Final Calculation Sheet'!$V$30="","",'Final Calculation Sheet'!$V$30)</f>
        <v>13.08.2026</v>
      </c>
      <c r="X65" s="84">
        <f>IF('Final Calculation Sheet'!$W$30="","",'Final Calculation Sheet'!$W$30)</f>
        <v>370600</v>
      </c>
      <c r="Y65" s="84">
        <f>IF('Final Calculation Sheet'!$X$30="","",'Final Calculation Sheet'!$X$30)</f>
        <v>370600</v>
      </c>
      <c r="Z65" s="84" t="str">
        <f>IF('Final Calculation Sheet'!$Y$30="","",'Final Calculation Sheet'!$Y$30)</f>
        <v>24.08.2026</v>
      </c>
      <c r="AA65" s="84">
        <f ca="1">IF('Final Calculation Sheet'!$Z$30="","",'Final Calculation Sheet'!$Z$30)</f>
        <v>14160</v>
      </c>
      <c r="AB65" s="84" t="str">
        <f>IF('Final Calculation Sheet'!$AA$30="","",'Final Calculation Sheet'!$AA$30)</f>
        <v/>
      </c>
      <c r="AC65" s="84" t="str">
        <f>IF('Final Calculation Sheet'!$AB$30="","",'Final Calculation Sheet'!$AB$30)</f>
        <v/>
      </c>
      <c r="AD65" s="84">
        <f>IF('Final Calculation Sheet'!$AC$30="","",'Final Calculation Sheet'!$AC$30)</f>
        <v>470600</v>
      </c>
      <c r="AE65" s="84">
        <f>IF('Final Calculation Sheet'!$AD$30="","",'Final Calculation Sheet'!$AD$30)</f>
        <v>0</v>
      </c>
      <c r="AF65" s="89" t="str">
        <f>IF('Final Calculation Sheet'!$AD$30="","",IF('Final Calculation Sheet'!$AD$30&lt;=5,"SETTLED","OUTSTANDING"))</f>
        <v>SETTLED</v>
      </c>
      <c r="AG65" s="84" t="str">
        <f>IF('Final Calculation Sheet'!$AF$30="","",'Final Calculation Sheet'!$AF$30)</f>
        <v>DR2640100038</v>
      </c>
      <c r="AH65" s="88">
        <f>IF('Final Calculation Sheet'!$AG$30="","",'Final Calculation Sheet'!$AG$30)</f>
        <v>1800003311</v>
      </c>
      <c r="AI65" s="84" t="str">
        <f>IF('Final Calculation Sheet'!$AH$30="","",'Final Calculation Sheet'!$AH$30)</f>
        <v>27.08.2026</v>
      </c>
    </row>
    <row r="66" spans="1:35" ht="15" customHeight="1" outlineLevel="1" x14ac:dyDescent="0.3">
      <c r="A66" s="62">
        <v>11</v>
      </c>
      <c r="B66" s="63">
        <f>IF('Final Calculation Sheet'!$F$32="","",'Final Calculation Sheet'!$F$32)</f>
        <v>2055</v>
      </c>
      <c r="C66" s="63" t="str">
        <f>IF('Final Calculation Sheet'!$G$32="","",'Final Calculation Sheet'!$G$32)</f>
        <v>NATIONAL ENTERPRISES</v>
      </c>
      <c r="D66" s="64" t="str">
        <f>IF('Final Calculation Sheet'!$B$32="","",'Final Calculation Sheet'!$B$32)</f>
        <v>Scrap of 220 KV CT</v>
      </c>
      <c r="E66" s="64">
        <f>IF('Final Calculation Sheet'!$D$32="","",'Final Calculation Sheet'!$D$32)</f>
        <v>21979</v>
      </c>
      <c r="F66" s="64">
        <f>IF('Final Calculation Sheet'!$A$32="","",'Final Calculation Sheet'!$A$32)</f>
        <v>2</v>
      </c>
      <c r="G66" s="64" t="str">
        <f>IF('Final Calculation Sheet'!$E$32="","",'Final Calculation Sheet'!$E$32)</f>
        <v>NO</v>
      </c>
      <c r="H66" s="65">
        <f>IF('Final Calculation Sheet'!$C$32="","",'Final Calculation Sheet'!$C$32)</f>
        <v>80006</v>
      </c>
      <c r="I66" s="65">
        <f>IF('Final Calculation Sheet'!$H$32="","",'Final Calculation Sheet'!$H$32)</f>
        <v>160012</v>
      </c>
      <c r="J66" s="65">
        <f>IF('Final Calculation Sheet'!$I$32="","",'Final Calculation Sheet'!$I$32)</f>
        <v>28802</v>
      </c>
      <c r="K66" s="65">
        <f>IF('Final Calculation Sheet'!$J$32="","",'Final Calculation Sheet'!$J$32)</f>
        <v>188814</v>
      </c>
      <c r="L66" s="65">
        <f>IF('Final Calculation Sheet'!$K$32="","",'Final Calculation Sheet'!$K$32)</f>
        <v>3776</v>
      </c>
      <c r="M66" s="65">
        <f>IF('Final Calculation Sheet'!$L$32="","",'Final Calculation Sheet'!$L$32)</f>
        <v>160.012</v>
      </c>
      <c r="N66" s="65">
        <f>IF('Final Calculation Sheet'!$M$32="","",'Final Calculation Sheet'!$M$32)</f>
        <v>4248.3185999999996</v>
      </c>
      <c r="O66" s="66">
        <f>IF('Final Calculation Sheet'!$N$32="","",'Final Calculation Sheet'!$N$32)</f>
        <v>72.005399999999995</v>
      </c>
      <c r="P66" s="65">
        <f>IF('Final Calculation Sheet'!$O$32="","",'Final Calculation Sheet'!$O$32)</f>
        <v>4176.3131999999996</v>
      </c>
      <c r="Q66" s="65">
        <f>IF('Final Calculation Sheet'!$P$32="","",'Final Calculation Sheet'!$P$32)</f>
        <v>4336</v>
      </c>
      <c r="R66" s="67">
        <f>IF('Final Calculation Sheet'!$Q$32="","",'Final Calculation Sheet'!$Q$32)</f>
        <v>0</v>
      </c>
      <c r="S66" s="65">
        <f>IF('Final Calculation Sheet'!$R$32="","",'Final Calculation Sheet'!$R$32)</f>
        <v>0</v>
      </c>
      <c r="T66" s="65">
        <f>IF('Final Calculation Sheet'!$S$32="","",'Final Calculation Sheet'!$S$32)</f>
        <v>188254</v>
      </c>
      <c r="U66" s="65">
        <f>IF('Final Calculation Sheet'!$T$32="","",'Final Calculation Sheet'!$T$32)</f>
        <v>40003</v>
      </c>
      <c r="V66" s="68">
        <f>IF('Final Calculation Sheet'!$U$32="","",'Final Calculation Sheet'!$U$32)</f>
        <v>40003</v>
      </c>
      <c r="W66" s="65" t="str">
        <f>IF('Final Calculation Sheet'!$V$32="","",'Final Calculation Sheet'!$V$32)</f>
        <v>13.08.2026</v>
      </c>
      <c r="X66" s="65">
        <f>IF('Final Calculation Sheet'!$W$32="","",'Final Calculation Sheet'!$W$32)</f>
        <v>148251</v>
      </c>
      <c r="Y66" s="65">
        <f>IF('Final Calculation Sheet'!$X$32="","",'Final Calculation Sheet'!$X$32)</f>
        <v>148251</v>
      </c>
      <c r="Z66" s="65" t="str">
        <f>IF('Final Calculation Sheet'!$Y$32="","",'Final Calculation Sheet'!$Y$32)</f>
        <v>24.08.2026</v>
      </c>
      <c r="AA66" s="65">
        <f ca="1">IF('Final Calculation Sheet'!$Z$32="","",'Final Calculation Sheet'!$Z$32)</f>
        <v>5664.4247999999998</v>
      </c>
      <c r="AB66" s="65" t="str">
        <f>IF('Final Calculation Sheet'!$AA$32="","",'Final Calculation Sheet'!$AA$32)</f>
        <v/>
      </c>
      <c r="AC66" s="65" t="str">
        <f>IF('Final Calculation Sheet'!$AB$32="","",'Final Calculation Sheet'!$AB$32)</f>
        <v/>
      </c>
      <c r="AD66" s="65">
        <f>IF('Final Calculation Sheet'!$AC$32="","",'Final Calculation Sheet'!$AC$32)</f>
        <v>188254</v>
      </c>
      <c r="AE66" s="65">
        <f>IF('Final Calculation Sheet'!$AD$32="","",'Final Calculation Sheet'!$AD$32)</f>
        <v>0</v>
      </c>
      <c r="AF66" s="70" t="str">
        <f>IF('Final Calculation Sheet'!$AD$32="","",IF('Final Calculation Sheet'!$AD$32&lt;=5,"SETTLED","OUTSTANDING"))</f>
        <v>SETTLED</v>
      </c>
      <c r="AG66" s="65" t="str">
        <f>IF('Final Calculation Sheet'!$AF$32="","",'Final Calculation Sheet'!$AF$32)</f>
        <v>DR2640100039</v>
      </c>
      <c r="AH66" s="69">
        <f>IF('Final Calculation Sheet'!$AG$32="","",'Final Calculation Sheet'!$AG$32)</f>
        <v>1800003312</v>
      </c>
      <c r="AI66" s="65" t="str">
        <f>IF('Final Calculation Sheet'!$AH$32="","",'Final Calculation Sheet'!$AH$32)</f>
        <v>27.08.2026</v>
      </c>
    </row>
    <row r="67" spans="1:35" ht="15" customHeight="1" outlineLevel="1" x14ac:dyDescent="0.3">
      <c r="A67" s="81">
        <v>12</v>
      </c>
      <c r="B67" s="82">
        <f>IF('Final Calculation Sheet'!$F$33="","",'Final Calculation Sheet'!$F$33)</f>
        <v>2059</v>
      </c>
      <c r="C67" s="82" t="str">
        <f>IF('Final Calculation Sheet'!$G$33="","",'Final Calculation Sheet'!$G$33)</f>
        <v>NATIONAL ENTERPRISES</v>
      </c>
      <c r="D67" s="83" t="str">
        <f>IF('Final Calculation Sheet'!$B$33="","",'Final Calculation Sheet'!$B$33)</f>
        <v>Scrap of 33 KV GCB</v>
      </c>
      <c r="E67" s="83">
        <f>IF('Final Calculation Sheet'!$D$33="","",'Final Calculation Sheet'!$D$33)</f>
        <v>21979</v>
      </c>
      <c r="F67" s="83">
        <f>IF('Final Calculation Sheet'!$A$33="","",'Final Calculation Sheet'!$A$33)</f>
        <v>1</v>
      </c>
      <c r="G67" s="83" t="str">
        <f>IF('Final Calculation Sheet'!$E$33="","",'Final Calculation Sheet'!$E$33)</f>
        <v>NO</v>
      </c>
      <c r="H67" s="84">
        <f>IF('Final Calculation Sheet'!$C$33="","",'Final Calculation Sheet'!$C$33)</f>
        <v>29502</v>
      </c>
      <c r="I67" s="84">
        <f>IF('Final Calculation Sheet'!$H$33="","",'Final Calculation Sheet'!$H$33)</f>
        <v>29502</v>
      </c>
      <c r="J67" s="84">
        <f>IF('Final Calculation Sheet'!$I$33="","",'Final Calculation Sheet'!$I$33)</f>
        <v>5310</v>
      </c>
      <c r="K67" s="84">
        <f>IF('Final Calculation Sheet'!$J$33="","",'Final Calculation Sheet'!$J$33)</f>
        <v>34812</v>
      </c>
      <c r="L67" s="84">
        <f>IF('Final Calculation Sheet'!$K$33="","",'Final Calculation Sheet'!$K$33)</f>
        <v>696</v>
      </c>
      <c r="M67" s="84">
        <f>IF('Final Calculation Sheet'!$L$33="","",'Final Calculation Sheet'!$L$33)</f>
        <v>29.501999999999999</v>
      </c>
      <c r="N67" s="84">
        <f>IF('Final Calculation Sheet'!$M$33="","",'Final Calculation Sheet'!$M$33)</f>
        <v>783.27809999999988</v>
      </c>
      <c r="O67" s="85">
        <f>IF('Final Calculation Sheet'!$N$33="","",'Final Calculation Sheet'!$N$33)</f>
        <v>13.2759</v>
      </c>
      <c r="P67" s="84">
        <f>IF('Final Calculation Sheet'!$O$33="","",'Final Calculation Sheet'!$O$33)</f>
        <v>770.0021999999999</v>
      </c>
      <c r="Q67" s="84">
        <f>IF('Final Calculation Sheet'!$P$33="","",'Final Calculation Sheet'!$P$33)</f>
        <v>800</v>
      </c>
      <c r="R67" s="86">
        <f>IF('Final Calculation Sheet'!$Q$33="","",'Final Calculation Sheet'!$Q$33)</f>
        <v>0</v>
      </c>
      <c r="S67" s="84">
        <f>IF('Final Calculation Sheet'!$R$33="","",'Final Calculation Sheet'!$R$33)</f>
        <v>0</v>
      </c>
      <c r="T67" s="84">
        <f>IF('Final Calculation Sheet'!$S$33="","",'Final Calculation Sheet'!$S$33)</f>
        <v>34709</v>
      </c>
      <c r="U67" s="84">
        <f>IF('Final Calculation Sheet'!$T$33="","",'Final Calculation Sheet'!$T$33)</f>
        <v>7376</v>
      </c>
      <c r="V67" s="87">
        <f>IF('Final Calculation Sheet'!$U$33="","",'Final Calculation Sheet'!$U$33)</f>
        <v>7376</v>
      </c>
      <c r="W67" s="84" t="str">
        <f>IF('Final Calculation Sheet'!$V$33="","",'Final Calculation Sheet'!$V$33)</f>
        <v>13.08.2026</v>
      </c>
      <c r="X67" s="84">
        <f>IF('Final Calculation Sheet'!$W$33="","",'Final Calculation Sheet'!$W$33)</f>
        <v>27334</v>
      </c>
      <c r="Y67" s="84">
        <f>IF('Final Calculation Sheet'!$X$33="","",'Final Calculation Sheet'!$X$33)</f>
        <v>27332</v>
      </c>
      <c r="Z67" s="84" t="str">
        <f>IF('Final Calculation Sheet'!$Y$33="","",'Final Calculation Sheet'!$Y$33)</f>
        <v>24.08.2026</v>
      </c>
      <c r="AA67" s="84">
        <f ca="1">IF('Final Calculation Sheet'!$Z$33="","",'Final Calculation Sheet'!$Z$33)</f>
        <v>1044.3708000000001</v>
      </c>
      <c r="AB67" s="84" t="str">
        <f>IF('Final Calculation Sheet'!$AA$33="","",'Final Calculation Sheet'!$AA$33)</f>
        <v/>
      </c>
      <c r="AC67" s="84" t="str">
        <f>IF('Final Calculation Sheet'!$AB$33="","",'Final Calculation Sheet'!$AB$33)</f>
        <v/>
      </c>
      <c r="AD67" s="84">
        <f>IF('Final Calculation Sheet'!$AC$33="","",'Final Calculation Sheet'!$AC$33)</f>
        <v>34708</v>
      </c>
      <c r="AE67" s="84">
        <f>IF('Final Calculation Sheet'!$AD$33="","",'Final Calculation Sheet'!$AD$33)</f>
        <v>1</v>
      </c>
      <c r="AF67" s="89" t="str">
        <f>IF('Final Calculation Sheet'!$AD$33="","",IF('Final Calculation Sheet'!$AD$33&lt;=5,"SETTLED","OUTSTANDING"))</f>
        <v>SETTLED</v>
      </c>
      <c r="AG67" s="84" t="str">
        <f>IF('Final Calculation Sheet'!$AF$33="","",'Final Calculation Sheet'!$AF$33)</f>
        <v>DR2640100046</v>
      </c>
      <c r="AH67" s="88">
        <f>IF('Final Calculation Sheet'!$AG$33="","",'Final Calculation Sheet'!$AG$33)</f>
        <v>1800003313</v>
      </c>
      <c r="AI67" s="84" t="str">
        <f>IF('Final Calculation Sheet'!$AH$33="","",'Final Calculation Sheet'!$AH$33)</f>
        <v>27.08.2026</v>
      </c>
    </row>
    <row r="68" spans="1:35" ht="15" customHeight="1" outlineLevel="1" x14ac:dyDescent="0.3">
      <c r="A68" s="62">
        <v>13</v>
      </c>
      <c r="B68" s="63">
        <f>IF('Final Calculation Sheet'!$F$37="","",'Final Calculation Sheet'!$F$37)</f>
        <v>2071</v>
      </c>
      <c r="C68" s="63" t="str">
        <f>IF('Final Calculation Sheet'!$G$37="","",'Final Calculation Sheet'!$G$37)</f>
        <v>NATIONAL ENTERPRISES</v>
      </c>
      <c r="D68" s="64" t="str">
        <f>IF('Final Calculation Sheet'!$B$37="","",'Final Calculation Sheet'!$B$37)</f>
        <v>Scrap of 66 KV Isolater</v>
      </c>
      <c r="E68" s="64">
        <f>IF('Final Calculation Sheet'!$D$37="","",'Final Calculation Sheet'!$D$37)</f>
        <v>21980</v>
      </c>
      <c r="F68" s="64">
        <f>IF('Final Calculation Sheet'!$A$37="","",'Final Calculation Sheet'!$A$37)</f>
        <v>3</v>
      </c>
      <c r="G68" s="64" t="str">
        <f>IF('Final Calculation Sheet'!$E$37="","",'Final Calculation Sheet'!$E$37)</f>
        <v>NO</v>
      </c>
      <c r="H68" s="65">
        <f>IF('Final Calculation Sheet'!$C$37="","",'Final Calculation Sheet'!$C$37)</f>
        <v>25001</v>
      </c>
      <c r="I68" s="65">
        <f>IF('Final Calculation Sheet'!$H$37="","",'Final Calculation Sheet'!$H$37)</f>
        <v>75003</v>
      </c>
      <c r="J68" s="65">
        <f>IF('Final Calculation Sheet'!$I$37="","",'Final Calculation Sheet'!$I$37)</f>
        <v>13501</v>
      </c>
      <c r="K68" s="65">
        <f>IF('Final Calculation Sheet'!$J$37="","",'Final Calculation Sheet'!$J$37)</f>
        <v>88504</v>
      </c>
      <c r="L68" s="65">
        <f>IF('Final Calculation Sheet'!$K$37="","",'Final Calculation Sheet'!$K$37)</f>
        <v>1770</v>
      </c>
      <c r="M68" s="65">
        <f>IF('Final Calculation Sheet'!$L$37="","",'Final Calculation Sheet'!$L$37)</f>
        <v>75.003</v>
      </c>
      <c r="N68" s="65">
        <f>IF('Final Calculation Sheet'!$M$37="","",'Final Calculation Sheet'!$M$37)</f>
        <v>1991.3296499999997</v>
      </c>
      <c r="O68" s="66">
        <f>IF('Final Calculation Sheet'!$N$37="","",'Final Calculation Sheet'!$N$37)</f>
        <v>33.751349999999995</v>
      </c>
      <c r="P68" s="65">
        <f>IF('Final Calculation Sheet'!$O$37="","",'Final Calculation Sheet'!$O$37)</f>
        <v>1957.5782999999997</v>
      </c>
      <c r="Q68" s="65">
        <f>IF('Final Calculation Sheet'!$P$37="","",'Final Calculation Sheet'!$P$37)</f>
        <v>2033</v>
      </c>
      <c r="R68" s="67">
        <f>IF('Final Calculation Sheet'!$Q$37="","",'Final Calculation Sheet'!$Q$37)</f>
        <v>0</v>
      </c>
      <c r="S68" s="65">
        <f>IF('Final Calculation Sheet'!$R$37="","",'Final Calculation Sheet'!$R$37)</f>
        <v>0</v>
      </c>
      <c r="T68" s="65">
        <f>IF('Final Calculation Sheet'!$S$37="","",'Final Calculation Sheet'!$S$37)</f>
        <v>88241</v>
      </c>
      <c r="U68" s="65">
        <f>IF('Final Calculation Sheet'!$T$37="","",'Final Calculation Sheet'!$T$37)</f>
        <v>18751</v>
      </c>
      <c r="V68" s="68">
        <f>IF('Final Calculation Sheet'!$U$37="","",'Final Calculation Sheet'!$U$37)</f>
        <v>18751</v>
      </c>
      <c r="W68" s="65" t="str">
        <f>IF('Final Calculation Sheet'!$V$37="","",'Final Calculation Sheet'!$V$37)</f>
        <v>13.08.2026</v>
      </c>
      <c r="X68" s="65">
        <f>IF('Final Calculation Sheet'!$W$37="","",'Final Calculation Sheet'!$W$37)</f>
        <v>69490</v>
      </c>
      <c r="Y68" s="65">
        <f>IF('Final Calculation Sheet'!$X$37="","",'Final Calculation Sheet'!$X$37)</f>
        <v>69491</v>
      </c>
      <c r="Z68" s="65" t="str">
        <f>IF('Final Calculation Sheet'!$Y$37="","",'Final Calculation Sheet'!$Y$37)</f>
        <v>24.08.2026</v>
      </c>
      <c r="AA68" s="65">
        <f ca="1">IF('Final Calculation Sheet'!$Z$37="","",'Final Calculation Sheet'!$Z$37)</f>
        <v>2655.1062000000002</v>
      </c>
      <c r="AB68" s="65" t="str">
        <f>IF('Final Calculation Sheet'!$AA$37="","",'Final Calculation Sheet'!$AA$37)</f>
        <v/>
      </c>
      <c r="AC68" s="65" t="str">
        <f>IF('Final Calculation Sheet'!$AB$37="","",'Final Calculation Sheet'!$AB$37)</f>
        <v/>
      </c>
      <c r="AD68" s="65">
        <f>IF('Final Calculation Sheet'!$AC$37="","",'Final Calculation Sheet'!$AC$37)</f>
        <v>88242</v>
      </c>
      <c r="AE68" s="65">
        <f>IF('Final Calculation Sheet'!$AD$37="","",'Final Calculation Sheet'!$AD$37)</f>
        <v>-1</v>
      </c>
      <c r="AF68" s="70" t="str">
        <f>IF('Final Calculation Sheet'!$AD$37="","",IF('Final Calculation Sheet'!$AD$37&lt;=5,"SETTLED","OUTSTANDING"))</f>
        <v>SETTLED</v>
      </c>
      <c r="AG68" s="65" t="str">
        <f>IF('Final Calculation Sheet'!$AF$37="","",'Final Calculation Sheet'!$AF$37)</f>
        <v>DR2640100040</v>
      </c>
      <c r="AH68" s="69">
        <f>IF('Final Calculation Sheet'!$AG$37="","",'Final Calculation Sheet'!$AG$37)</f>
        <v>1800003314</v>
      </c>
      <c r="AI68" s="65" t="str">
        <f>IF('Final Calculation Sheet'!$AH$37="","",'Final Calculation Sheet'!$AH$37)</f>
        <v>27.08.2026</v>
      </c>
    </row>
    <row r="69" spans="1:35" ht="15" customHeight="1" x14ac:dyDescent="0.3">
      <c r="A69" s="73" t="s">
        <v>182</v>
      </c>
      <c r="B69" s="74"/>
      <c r="C69" s="74" t="str">
        <f>ROWS($C$56:$C$68)&amp;" lot(s)"</f>
        <v>13 lot(s)</v>
      </c>
      <c r="D69" s="74" t="s">
        <v>189</v>
      </c>
      <c r="E69" s="74" t="s">
        <v>184</v>
      </c>
      <c r="F69" s="74">
        <f>SUM(F56:F68)</f>
        <v>295</v>
      </c>
      <c r="G69" s="74" t="s">
        <v>184</v>
      </c>
      <c r="H69" s="75" t="s">
        <v>184</v>
      </c>
      <c r="I69" s="75">
        <f t="shared" ref="I69:Q69" si="5">SUM(I56:I68)</f>
        <v>1921410</v>
      </c>
      <c r="J69" s="75">
        <f t="shared" si="5"/>
        <v>345853</v>
      </c>
      <c r="K69" s="75">
        <f t="shared" si="5"/>
        <v>2267263</v>
      </c>
      <c r="L69" s="75">
        <f t="shared" si="5"/>
        <v>45345</v>
      </c>
      <c r="M69" s="75">
        <f t="shared" si="5"/>
        <v>1921.4099999999996</v>
      </c>
      <c r="N69" s="75">
        <f t="shared" si="5"/>
        <v>51013.4355</v>
      </c>
      <c r="O69" s="76">
        <f t="shared" si="5"/>
        <v>864.6345</v>
      </c>
      <c r="P69" s="75">
        <f t="shared" si="5"/>
        <v>50148.800999999999</v>
      </c>
      <c r="Q69" s="75">
        <f t="shared" si="5"/>
        <v>52071</v>
      </c>
      <c r="R69" s="77" t="s">
        <v>184</v>
      </c>
      <c r="S69" s="75">
        <f>SUM(S56:S68)</f>
        <v>0</v>
      </c>
      <c r="T69" s="75">
        <f>SUM(T56:T68)</f>
        <v>2260539</v>
      </c>
      <c r="U69" s="75">
        <f>SUM(U56:U68)</f>
        <v>480354</v>
      </c>
      <c r="V69" s="78">
        <f>SUM(V56:V68)</f>
        <v>480354</v>
      </c>
      <c r="W69" s="75" t="s">
        <v>184</v>
      </c>
      <c r="X69" s="75">
        <f>SUM(X56:X68)</f>
        <v>1780188</v>
      </c>
      <c r="Y69" s="75">
        <f>SUM(Y56:Y68)</f>
        <v>1780184</v>
      </c>
      <c r="Z69" s="75" t="s">
        <v>184</v>
      </c>
      <c r="AA69" s="75">
        <f ca="1">SUM(AA56:AA68)</f>
        <v>68017.91399999999</v>
      </c>
      <c r="AB69" s="75">
        <f>SUM(AB56:AB68)</f>
        <v>0</v>
      </c>
      <c r="AC69" s="75" t="s">
        <v>184</v>
      </c>
      <c r="AD69" s="75">
        <f>SUM(AD56:AD68)</f>
        <v>2260538</v>
      </c>
      <c r="AE69" s="75">
        <f>SUM(AE56:AE68)</f>
        <v>1</v>
      </c>
      <c r="AF69" s="80" t="str">
        <f>IF(AE69&lt;=5,"SETTLED","OUTSTANDING")</f>
        <v>SETTLED</v>
      </c>
      <c r="AG69" s="75" t="s">
        <v>184</v>
      </c>
      <c r="AH69" s="79" t="s">
        <v>184</v>
      </c>
      <c r="AI69" s="75" t="s">
        <v>184</v>
      </c>
    </row>
    <row r="70" spans="1:35" ht="15" customHeight="1" outlineLevel="1" x14ac:dyDescent="0.3">
      <c r="A70" s="62">
        <v>1</v>
      </c>
      <c r="B70" s="63">
        <f>IF('Final Calculation Sheet'!$F$21="","",'Final Calculation Sheet'!$F$21)</f>
        <v>2022</v>
      </c>
      <c r="C70" s="63" t="str">
        <f>IF('Final Calculation Sheet'!$G$21="","",'Final Calculation Sheet'!$G$21)</f>
        <v>NATIONAL SCRAP AND BUILDING MATERIAL SUPPLIER</v>
      </c>
      <c r="D70" s="64" t="str">
        <f>IF('Final Calculation Sheet'!$B$21="","",'Final Calculation Sheet'!$B$21)</f>
        <v>Scrap of 132 KV CT</v>
      </c>
      <c r="E70" s="64">
        <f>IF('Final Calculation Sheet'!$D$21="","",'Final Calculation Sheet'!$D$21)</f>
        <v>21978</v>
      </c>
      <c r="F70" s="64">
        <f>IF('Final Calculation Sheet'!$A$21="","",'Final Calculation Sheet'!$A$21)</f>
        <v>3</v>
      </c>
      <c r="G70" s="64" t="str">
        <f>IF('Final Calculation Sheet'!$E$21="","",'Final Calculation Sheet'!$E$21)</f>
        <v>NO</v>
      </c>
      <c r="H70" s="65">
        <f>IF('Final Calculation Sheet'!$C$21="","",'Final Calculation Sheet'!$C$21)</f>
        <v>110200</v>
      </c>
      <c r="I70" s="65">
        <f>IF('Final Calculation Sheet'!$H$21="","",'Final Calculation Sheet'!$H$21)</f>
        <v>330600</v>
      </c>
      <c r="J70" s="65">
        <f>IF('Final Calculation Sheet'!$I$21="","",'Final Calculation Sheet'!$I$21)</f>
        <v>59508</v>
      </c>
      <c r="K70" s="65">
        <f>IF('Final Calculation Sheet'!$J$21="","",'Final Calculation Sheet'!$J$21)</f>
        <v>390108</v>
      </c>
      <c r="L70" s="65">
        <f>IF('Final Calculation Sheet'!$K$21="","",'Final Calculation Sheet'!$K$21)</f>
        <v>7802</v>
      </c>
      <c r="M70" s="65">
        <f>IF('Final Calculation Sheet'!$L$21="","",'Final Calculation Sheet'!$L$21)</f>
        <v>330.6</v>
      </c>
      <c r="N70" s="65">
        <f>IF('Final Calculation Sheet'!$M$21="","",'Final Calculation Sheet'!$M$21)</f>
        <v>8777.43</v>
      </c>
      <c r="O70" s="66">
        <f>IF('Final Calculation Sheet'!$N$21="","",'Final Calculation Sheet'!$N$21)</f>
        <v>148.77000000000001</v>
      </c>
      <c r="P70" s="65">
        <f>IF('Final Calculation Sheet'!$O$21="","",'Final Calculation Sheet'!$O$21)</f>
        <v>8628.66</v>
      </c>
      <c r="Q70" s="65">
        <f>IF('Final Calculation Sheet'!$P$21="","",'Final Calculation Sheet'!$P$21)</f>
        <v>8959</v>
      </c>
      <c r="R70" s="67">
        <f>IF('Final Calculation Sheet'!$Q$21="","",'Final Calculation Sheet'!$Q$21)</f>
        <v>0</v>
      </c>
      <c r="S70" s="65">
        <f>IF('Final Calculation Sheet'!$R$21="","",'Final Calculation Sheet'!$R$21)</f>
        <v>0</v>
      </c>
      <c r="T70" s="65">
        <f>IF('Final Calculation Sheet'!$S$21="","",'Final Calculation Sheet'!$S$21)</f>
        <v>388951</v>
      </c>
      <c r="U70" s="65">
        <f>IF('Final Calculation Sheet'!$T$21="","",'Final Calculation Sheet'!$T$21)</f>
        <v>82650</v>
      </c>
      <c r="V70" s="68">
        <f>IF('Final Calculation Sheet'!$U$21="","",'Final Calculation Sheet'!$U$21)</f>
        <v>82650</v>
      </c>
      <c r="W70" s="65" t="str">
        <f>IF('Final Calculation Sheet'!$V$21="","",'Final Calculation Sheet'!$V$21)</f>
        <v>14.08.2026</v>
      </c>
      <c r="X70" s="65">
        <f>IF('Final Calculation Sheet'!$W$21="","",'Final Calculation Sheet'!$W$21)</f>
        <v>306301</v>
      </c>
      <c r="Y70" s="65">
        <f>IF('Final Calculation Sheet'!$X$21="","",'Final Calculation Sheet'!$X$21)</f>
        <v>306301</v>
      </c>
      <c r="Z70" s="65" t="str">
        <f>IF('Final Calculation Sheet'!$Y$21="","",'Final Calculation Sheet'!$Y$21)</f>
        <v>21.08.2026</v>
      </c>
      <c r="AA70" s="65">
        <f ca="1">IF('Final Calculation Sheet'!$Z$21="","",'Final Calculation Sheet'!$Z$21)</f>
        <v>11703.24</v>
      </c>
      <c r="AB70" s="65" t="str">
        <f>IF('Final Calculation Sheet'!$AA$21="","",'Final Calculation Sheet'!$AA$21)</f>
        <v/>
      </c>
      <c r="AC70" s="65" t="str">
        <f>IF('Final Calculation Sheet'!$AB$21="","",'Final Calculation Sheet'!$AB$21)</f>
        <v/>
      </c>
      <c r="AD70" s="65">
        <f>IF('Final Calculation Sheet'!$AC$21="","",'Final Calculation Sheet'!$AC$21)</f>
        <v>388951</v>
      </c>
      <c r="AE70" s="65">
        <f>IF('Final Calculation Sheet'!$AD$21="","",'Final Calculation Sheet'!$AD$21)</f>
        <v>0</v>
      </c>
      <c r="AF70" s="70" t="str">
        <f>IF('Final Calculation Sheet'!$AD$21="","",IF('Final Calculation Sheet'!$AD$21&lt;=5,"SETTLED","OUTSTANDING"))</f>
        <v>SETTLED</v>
      </c>
      <c r="AG70" s="65" t="str">
        <f>IF('Final Calculation Sheet'!$AF$21="","",'Final Calculation Sheet'!$AF$21)</f>
        <v>DR2640100028</v>
      </c>
      <c r="AH70" s="69">
        <f>IF('Final Calculation Sheet'!$AG$21="","",'Final Calculation Sheet'!$AG$21)</f>
        <v>1800003269</v>
      </c>
      <c r="AI70" s="65" t="str">
        <f>IF('Final Calculation Sheet'!$AH$21="","",'Final Calculation Sheet'!$AH$21)</f>
        <v>24.08.2026</v>
      </c>
    </row>
    <row r="71" spans="1:35" ht="15" customHeight="1" x14ac:dyDescent="0.3">
      <c r="A71" s="73" t="s">
        <v>182</v>
      </c>
      <c r="B71" s="74"/>
      <c r="C71" s="74" t="str">
        <f>ROWS($C$70:$C$70)&amp;" lot(s)"</f>
        <v>1 lot(s)</v>
      </c>
      <c r="D71" s="74" t="s">
        <v>190</v>
      </c>
      <c r="E71" s="74" t="s">
        <v>184</v>
      </c>
      <c r="F71" s="74">
        <f>SUM(F70:F70)</f>
        <v>3</v>
      </c>
      <c r="G71" s="74" t="s">
        <v>184</v>
      </c>
      <c r="H71" s="75" t="s">
        <v>184</v>
      </c>
      <c r="I71" s="75">
        <f t="shared" ref="I71:Q71" si="6">SUM(I70:I70)</f>
        <v>330600</v>
      </c>
      <c r="J71" s="75">
        <f t="shared" si="6"/>
        <v>59508</v>
      </c>
      <c r="K71" s="75">
        <f t="shared" si="6"/>
        <v>390108</v>
      </c>
      <c r="L71" s="75">
        <f t="shared" si="6"/>
        <v>7802</v>
      </c>
      <c r="M71" s="75">
        <f t="shared" si="6"/>
        <v>330.6</v>
      </c>
      <c r="N71" s="75">
        <f t="shared" si="6"/>
        <v>8777.43</v>
      </c>
      <c r="O71" s="76">
        <f t="shared" si="6"/>
        <v>148.77000000000001</v>
      </c>
      <c r="P71" s="75">
        <f t="shared" si="6"/>
        <v>8628.66</v>
      </c>
      <c r="Q71" s="75">
        <f t="shared" si="6"/>
        <v>8959</v>
      </c>
      <c r="R71" s="77" t="s">
        <v>184</v>
      </c>
      <c r="S71" s="75">
        <f>SUM(S70:S70)</f>
        <v>0</v>
      </c>
      <c r="T71" s="75">
        <f>SUM(T70:T70)</f>
        <v>388951</v>
      </c>
      <c r="U71" s="75">
        <f>SUM(U70:U70)</f>
        <v>82650</v>
      </c>
      <c r="V71" s="78">
        <f>SUM(V70:V70)</f>
        <v>82650</v>
      </c>
      <c r="W71" s="75" t="s">
        <v>184</v>
      </c>
      <c r="X71" s="75">
        <f>SUM(X70:X70)</f>
        <v>306301</v>
      </c>
      <c r="Y71" s="75">
        <f>SUM(Y70:Y70)</f>
        <v>306301</v>
      </c>
      <c r="Z71" s="75" t="s">
        <v>184</v>
      </c>
      <c r="AA71" s="75">
        <f ca="1">SUM(AA70:AA70)</f>
        <v>11703.24</v>
      </c>
      <c r="AB71" s="75">
        <f>SUM(AB70:AB70)</f>
        <v>0</v>
      </c>
      <c r="AC71" s="75" t="s">
        <v>184</v>
      </c>
      <c r="AD71" s="75">
        <f>SUM(AD70:AD70)</f>
        <v>388951</v>
      </c>
      <c r="AE71" s="75">
        <f>SUM(AE70:AE70)</f>
        <v>0</v>
      </c>
      <c r="AF71" s="80" t="str">
        <f>IF(AE71&lt;=5,"SETTLED","OUTSTANDING")</f>
        <v>SETTLED</v>
      </c>
      <c r="AG71" s="75" t="s">
        <v>184</v>
      </c>
      <c r="AH71" s="79" t="s">
        <v>184</v>
      </c>
      <c r="AI71" s="75" t="s">
        <v>184</v>
      </c>
    </row>
    <row r="72" spans="1:35" ht="15" customHeight="1" outlineLevel="1" x14ac:dyDescent="0.3">
      <c r="A72" s="62">
        <v>1</v>
      </c>
      <c r="B72" s="63">
        <f>IF('Final Calculation Sheet'!$F$8="","",'Final Calculation Sheet'!$F$8)</f>
        <v>1923</v>
      </c>
      <c r="C72" s="63" t="str">
        <f>IF('Final Calculation Sheet'!$G$8="","",'Final Calculation Sheet'!$G$8)</f>
        <v>OMKAR STEELS</v>
      </c>
      <c r="D72" s="64" t="str">
        <f>IF('Final Calculation Sheet'!$B$8="","",'Final Calculation Sheet'!$B$8)</f>
        <v>SCRAP ACSR CONDUCTORS (Conductor Pieces)</v>
      </c>
      <c r="E72" s="64">
        <f>IF('Final Calculation Sheet'!$D$8="","",'Final Calculation Sheet'!$D$8)</f>
        <v>21980</v>
      </c>
      <c r="F72" s="64">
        <f>IF('Final Calculation Sheet'!$A$8="","",'Final Calculation Sheet'!$A$8)</f>
        <v>7253</v>
      </c>
      <c r="G72" s="64" t="str">
        <f>IF('Final Calculation Sheet'!$E$8="","",'Final Calculation Sheet'!$E$8)</f>
        <v>KG</v>
      </c>
      <c r="H72" s="65">
        <f>IF('Final Calculation Sheet'!$C$8="","",'Final Calculation Sheet'!$C$8)</f>
        <v>227</v>
      </c>
      <c r="I72" s="65">
        <f>IF('Final Calculation Sheet'!$H$8="","",'Final Calculation Sheet'!$H$8)</f>
        <v>1646431</v>
      </c>
      <c r="J72" s="65">
        <f>IF('Final Calculation Sheet'!$I$8="","",'Final Calculation Sheet'!$I$8)</f>
        <v>296358</v>
      </c>
      <c r="K72" s="65">
        <f>IF('Final Calculation Sheet'!$J$8="","",'Final Calculation Sheet'!$J$8)</f>
        <v>1942789</v>
      </c>
      <c r="L72" s="65">
        <f>IF('Final Calculation Sheet'!$K$8="","",'Final Calculation Sheet'!$K$8)</f>
        <v>38856</v>
      </c>
      <c r="M72" s="65">
        <f>IF('Final Calculation Sheet'!$L$8="","",'Final Calculation Sheet'!$L$8)</f>
        <v>1646.431</v>
      </c>
      <c r="N72" s="65">
        <f>IF('Final Calculation Sheet'!$M$8="","",'Final Calculation Sheet'!$M$8)</f>
        <v>43712.743049999997</v>
      </c>
      <c r="O72" s="66">
        <f>IF('Final Calculation Sheet'!$N$8="","",'Final Calculation Sheet'!$N$8)</f>
        <v>740.89395000000002</v>
      </c>
      <c r="P72" s="65">
        <f>IF('Final Calculation Sheet'!$O$8="","",'Final Calculation Sheet'!$O$8)</f>
        <v>42971.849099999999</v>
      </c>
      <c r="Q72" s="65">
        <f>IF('Final Calculation Sheet'!$P$8="","",'Final Calculation Sheet'!$P$8)</f>
        <v>44618</v>
      </c>
      <c r="R72" s="67">
        <f>IF('Final Calculation Sheet'!$Q$8="","",'Final Calculation Sheet'!$Q$8)</f>
        <v>0.02</v>
      </c>
      <c r="S72" s="65">
        <f>IF('Final Calculation Sheet'!$R$8="","",'Final Calculation Sheet'!$R$8)</f>
        <v>32929</v>
      </c>
      <c r="T72" s="65">
        <f>IF('Final Calculation Sheet'!$S$8="","",'Final Calculation Sheet'!$S$8)</f>
        <v>1904097</v>
      </c>
      <c r="U72" s="65">
        <f>IF('Final Calculation Sheet'!$T$8="","",'Final Calculation Sheet'!$T$8)</f>
        <v>411608</v>
      </c>
      <c r="V72" s="68">
        <f>IF('Final Calculation Sheet'!$U$8="","",'Final Calculation Sheet'!$U$8)</f>
        <v>411608</v>
      </c>
      <c r="W72" s="65" t="str">
        <f>IF('Final Calculation Sheet'!$V$8="","",'Final Calculation Sheet'!$V$8)</f>
        <v>14.08.2026</v>
      </c>
      <c r="X72" s="65">
        <f>IF('Final Calculation Sheet'!$W$8="","",'Final Calculation Sheet'!$W$8)</f>
        <v>1492489</v>
      </c>
      <c r="Y72" s="65">
        <f>IF('Final Calculation Sheet'!$X$8="","",'Final Calculation Sheet'!$X$8)</f>
        <v>1492490</v>
      </c>
      <c r="Z72" s="65" t="str">
        <f>IF('Final Calculation Sheet'!$Y$8="","",'Final Calculation Sheet'!$Y$8)</f>
        <v>24.08.2026</v>
      </c>
      <c r="AA72" s="65">
        <f ca="1">IF('Final Calculation Sheet'!$Z$8="","",'Final Calculation Sheet'!$Z$8)</f>
        <v>58283.657399999996</v>
      </c>
      <c r="AB72" s="65" t="str">
        <f>IF('Final Calculation Sheet'!$AA$8="","",'Final Calculation Sheet'!$AA$8)</f>
        <v/>
      </c>
      <c r="AC72" s="65" t="str">
        <f>IF('Final Calculation Sheet'!$AB$8="","",'Final Calculation Sheet'!$AB$8)</f>
        <v/>
      </c>
      <c r="AD72" s="65">
        <f>IF('Final Calculation Sheet'!$AC$8="","",'Final Calculation Sheet'!$AC$8)</f>
        <v>1904098</v>
      </c>
      <c r="AE72" s="65">
        <f>IF('Final Calculation Sheet'!$AD$8="","",'Final Calculation Sheet'!$AD$8)</f>
        <v>-1</v>
      </c>
      <c r="AF72" s="70" t="str">
        <f>IF('Final Calculation Sheet'!$AD$8="","",IF('Final Calculation Sheet'!$AD$8&lt;=5,"SETTLED","OUTSTANDING"))</f>
        <v>SETTLED</v>
      </c>
      <c r="AG72" s="65" t="str">
        <f>IF('Final Calculation Sheet'!$AF$8="","",'Final Calculation Sheet'!$AF$8)</f>
        <v>DR2640100045</v>
      </c>
      <c r="AH72" s="69">
        <f>IF('Final Calculation Sheet'!$AG$8="","",'Final Calculation Sheet'!$AG$8)</f>
        <v>1800003315</v>
      </c>
      <c r="AI72" s="65" t="str">
        <f>IF('Final Calculation Sheet'!$AH$8="","",'Final Calculation Sheet'!$AH$8)</f>
        <v>27.08.2026</v>
      </c>
    </row>
    <row r="73" spans="1:35" ht="15" customHeight="1" outlineLevel="1" x14ac:dyDescent="0.3">
      <c r="A73" s="81">
        <v>2</v>
      </c>
      <c r="B73" s="82">
        <f>IF('Final Calculation Sheet'!$F$20="","",'Final Calculation Sheet'!$F$20)</f>
        <v>2020</v>
      </c>
      <c r="C73" s="82" t="str">
        <f>IF('Final Calculation Sheet'!$G$20="","",'Final Calculation Sheet'!$G$20)</f>
        <v>OMKAR STEELS</v>
      </c>
      <c r="D73" s="83" t="str">
        <f>IF('Final Calculation Sheet'!$B$20="","",'Final Calculation Sheet'!$B$20)</f>
        <v>SCRAP 80MM² AAAC EARTHWIRE</v>
      </c>
      <c r="E73" s="83">
        <f>IF('Final Calculation Sheet'!$D$20="","",'Final Calculation Sheet'!$D$20)</f>
        <v>21978</v>
      </c>
      <c r="F73" s="83">
        <f>IF('Final Calculation Sheet'!$A$20="","",'Final Calculation Sheet'!$A$20)</f>
        <v>3500</v>
      </c>
      <c r="G73" s="83" t="str">
        <f>IF('Final Calculation Sheet'!$E$20="","",'Final Calculation Sheet'!$E$20)</f>
        <v>KG</v>
      </c>
      <c r="H73" s="84">
        <f>IF('Final Calculation Sheet'!$C$20="","",'Final Calculation Sheet'!$C$20)</f>
        <v>333</v>
      </c>
      <c r="I73" s="84">
        <f>IF('Final Calculation Sheet'!$H$20="","",'Final Calculation Sheet'!$H$20)</f>
        <v>1165500</v>
      </c>
      <c r="J73" s="84">
        <f>IF('Final Calculation Sheet'!$I$20="","",'Final Calculation Sheet'!$I$20)</f>
        <v>209790</v>
      </c>
      <c r="K73" s="84">
        <f>IF('Final Calculation Sheet'!$J$20="","",'Final Calculation Sheet'!$J$20)</f>
        <v>1375290</v>
      </c>
      <c r="L73" s="84">
        <f>IF('Final Calculation Sheet'!$K$20="","",'Final Calculation Sheet'!$K$20)</f>
        <v>27506</v>
      </c>
      <c r="M73" s="84">
        <f>IF('Final Calculation Sheet'!$L$20="","",'Final Calculation Sheet'!$L$20)</f>
        <v>1165.5</v>
      </c>
      <c r="N73" s="84">
        <f>IF('Final Calculation Sheet'!$M$20="","",'Final Calculation Sheet'!$M$20)</f>
        <v>30944.024999999998</v>
      </c>
      <c r="O73" s="85">
        <f>IF('Final Calculation Sheet'!$N$20="","",'Final Calculation Sheet'!$N$20)</f>
        <v>524.47500000000002</v>
      </c>
      <c r="P73" s="84">
        <f>IF('Final Calculation Sheet'!$O$20="","",'Final Calculation Sheet'!$O$20)</f>
        <v>30419.55</v>
      </c>
      <c r="Q73" s="84">
        <f>IF('Final Calculation Sheet'!$P$20="","",'Final Calculation Sheet'!$P$20)</f>
        <v>31585</v>
      </c>
      <c r="R73" s="86">
        <f>IF('Final Calculation Sheet'!$Q$20="","",'Final Calculation Sheet'!$Q$20)</f>
        <v>0.02</v>
      </c>
      <c r="S73" s="84">
        <f>IF('Final Calculation Sheet'!$R$20="","",'Final Calculation Sheet'!$R$20)</f>
        <v>23310</v>
      </c>
      <c r="T73" s="84">
        <f>IF('Final Calculation Sheet'!$S$20="","",'Final Calculation Sheet'!$S$20)</f>
        <v>1347901</v>
      </c>
      <c r="U73" s="84">
        <f>IF('Final Calculation Sheet'!$T$20="","",'Final Calculation Sheet'!$T$20)</f>
        <v>291375</v>
      </c>
      <c r="V73" s="87">
        <f>IF('Final Calculation Sheet'!$U$20="","",'Final Calculation Sheet'!$U$20)</f>
        <v>291375</v>
      </c>
      <c r="W73" s="84" t="str">
        <f>IF('Final Calculation Sheet'!$V$20="","",'Final Calculation Sheet'!$V$20)</f>
        <v>10.08.2026</v>
      </c>
      <c r="X73" s="84">
        <f>IF('Final Calculation Sheet'!$W$20="","",'Final Calculation Sheet'!$W$20)</f>
        <v>1056526</v>
      </c>
      <c r="Y73" s="84">
        <f>IF('Final Calculation Sheet'!$X$20="","",'Final Calculation Sheet'!$X$20)</f>
        <v>1056525</v>
      </c>
      <c r="Z73" s="84" t="str">
        <f>IF('Final Calculation Sheet'!$Y$20="","",'Final Calculation Sheet'!$Y$20)</f>
        <v>10.08.2026</v>
      </c>
      <c r="AA73" s="84">
        <f ca="1">IF('Final Calculation Sheet'!$Z$20="","",'Final Calculation Sheet'!$Z$20)</f>
        <v>41258.699999999997</v>
      </c>
      <c r="AB73" s="84" t="str">
        <f>IF('Final Calculation Sheet'!$AA$20="","",'Final Calculation Sheet'!$AA$20)</f>
        <v/>
      </c>
      <c r="AC73" s="84" t="str">
        <f>IF('Final Calculation Sheet'!$AB$20="","",'Final Calculation Sheet'!$AB$20)</f>
        <v/>
      </c>
      <c r="AD73" s="84">
        <f>IF('Final Calculation Sheet'!$AC$20="","",'Final Calculation Sheet'!$AC$20)</f>
        <v>1347900</v>
      </c>
      <c r="AE73" s="84">
        <f>IF('Final Calculation Sheet'!$AD$20="","",'Final Calculation Sheet'!$AD$20)</f>
        <v>1</v>
      </c>
      <c r="AF73" s="89" t="str">
        <f>IF('Final Calculation Sheet'!$AD$20="","",IF('Final Calculation Sheet'!$AD$20&lt;=5,"SETTLED","OUTSTANDING"))</f>
        <v>SETTLED</v>
      </c>
      <c r="AG73" s="84" t="str">
        <f>IF('Final Calculation Sheet'!$AF$20="","",'Final Calculation Sheet'!$AF$20)</f>
        <v>DR2640100017</v>
      </c>
      <c r="AH73" s="88">
        <f>IF('Final Calculation Sheet'!$AG$20="","",'Final Calculation Sheet'!$AG$20)</f>
        <v>1800003065</v>
      </c>
      <c r="AI73" s="84" t="str">
        <f>IF('Final Calculation Sheet'!$AH$20="","",'Final Calculation Sheet'!$AH$20)</f>
        <v>12.08.2026</v>
      </c>
    </row>
    <row r="74" spans="1:35" ht="15" customHeight="1" x14ac:dyDescent="0.3">
      <c r="A74" s="73" t="s">
        <v>182</v>
      </c>
      <c r="B74" s="74"/>
      <c r="C74" s="74" t="str">
        <f>ROWS($C$72:$C$73)&amp;" lot(s)"</f>
        <v>2 lot(s)</v>
      </c>
      <c r="D74" s="74" t="s">
        <v>191</v>
      </c>
      <c r="E74" s="74" t="s">
        <v>184</v>
      </c>
      <c r="F74" s="74">
        <f>SUM(F72:F73)</f>
        <v>10753</v>
      </c>
      <c r="G74" s="74" t="s">
        <v>184</v>
      </c>
      <c r="H74" s="75" t="s">
        <v>184</v>
      </c>
      <c r="I74" s="75">
        <f t="shared" ref="I74:Q74" si="7">SUM(I72:I73)</f>
        <v>2811931</v>
      </c>
      <c r="J74" s="75">
        <f t="shared" si="7"/>
        <v>506148</v>
      </c>
      <c r="K74" s="75">
        <f t="shared" si="7"/>
        <v>3318079</v>
      </c>
      <c r="L74" s="75">
        <f t="shared" si="7"/>
        <v>66362</v>
      </c>
      <c r="M74" s="75">
        <f t="shared" si="7"/>
        <v>2811.931</v>
      </c>
      <c r="N74" s="75">
        <f t="shared" si="7"/>
        <v>74656.768049999999</v>
      </c>
      <c r="O74" s="76">
        <f t="shared" si="7"/>
        <v>1265.36895</v>
      </c>
      <c r="P74" s="75">
        <f t="shared" si="7"/>
        <v>73391.399099999995</v>
      </c>
      <c r="Q74" s="75">
        <f t="shared" si="7"/>
        <v>76203</v>
      </c>
      <c r="R74" s="77" t="s">
        <v>184</v>
      </c>
      <c r="S74" s="75">
        <f>SUM(S72:S73)</f>
        <v>56239</v>
      </c>
      <c r="T74" s="75">
        <f>SUM(T72:T73)</f>
        <v>3251998</v>
      </c>
      <c r="U74" s="75">
        <f>SUM(U72:U73)</f>
        <v>702983</v>
      </c>
      <c r="V74" s="78">
        <f>SUM(V72:V73)</f>
        <v>702983</v>
      </c>
      <c r="W74" s="75" t="s">
        <v>184</v>
      </c>
      <c r="X74" s="75">
        <f>SUM(X72:X73)</f>
        <v>2549015</v>
      </c>
      <c r="Y74" s="75">
        <f>SUM(Y72:Y73)</f>
        <v>2549015</v>
      </c>
      <c r="Z74" s="75" t="s">
        <v>184</v>
      </c>
      <c r="AA74" s="75">
        <f ca="1">SUM(AA72:AA73)</f>
        <v>99542.357399999994</v>
      </c>
      <c r="AB74" s="75">
        <f>SUM(AB72:AB73)</f>
        <v>0</v>
      </c>
      <c r="AC74" s="75" t="s">
        <v>184</v>
      </c>
      <c r="AD74" s="75">
        <f>SUM(AD72:AD73)</f>
        <v>3251998</v>
      </c>
      <c r="AE74" s="75">
        <f>SUM(AE72:AE73)</f>
        <v>0</v>
      </c>
      <c r="AF74" s="80" t="str">
        <f>IF(AE74&lt;=5,"SETTLED","OUTSTANDING")</f>
        <v>SETTLED</v>
      </c>
      <c r="AG74" s="75" t="s">
        <v>184</v>
      </c>
      <c r="AH74" s="79" t="s">
        <v>184</v>
      </c>
      <c r="AI74" s="75" t="s">
        <v>184</v>
      </c>
    </row>
    <row r="75" spans="1:35" ht="15" customHeight="1" outlineLevel="1" x14ac:dyDescent="0.3">
      <c r="A75" s="62">
        <v>1</v>
      </c>
      <c r="B75" s="63">
        <f>IF('Final Calculation Sheet'!$F$39="","",'Final Calculation Sheet'!$F$39)</f>
        <v>2089</v>
      </c>
      <c r="C75" s="63" t="str">
        <f>IF('Final Calculation Sheet'!$G$39="","",'Final Calculation Sheet'!$G$39)</f>
        <v>S M ENTERPRISES</v>
      </c>
      <c r="D75" s="64" t="str">
        <f>IF('Final Calculation Sheet'!$B$39="","",'Final Calculation Sheet'!$B$39)</f>
        <v>Scrap of 66 kv TBC C &amp; R Panel</v>
      </c>
      <c r="E75" s="64">
        <f>IF('Final Calculation Sheet'!$D$39="","",'Final Calculation Sheet'!$D$39)</f>
        <v>21980</v>
      </c>
      <c r="F75" s="64">
        <f>IF('Final Calculation Sheet'!$A$39="","",'Final Calculation Sheet'!$A$39)</f>
        <v>2</v>
      </c>
      <c r="G75" s="64" t="str">
        <f>IF('Final Calculation Sheet'!$E$39="","",'Final Calculation Sheet'!$E$39)</f>
        <v>NO</v>
      </c>
      <c r="H75" s="65">
        <f>IF('Final Calculation Sheet'!$C$39="","",'Final Calculation Sheet'!$C$39)</f>
        <v>15006</v>
      </c>
      <c r="I75" s="65">
        <f>IF('Final Calculation Sheet'!$H$39="","",'Final Calculation Sheet'!$H$39)</f>
        <v>30012</v>
      </c>
      <c r="J75" s="65">
        <f>IF('Final Calculation Sheet'!$I$39="","",'Final Calculation Sheet'!$I$39)</f>
        <v>5402</v>
      </c>
      <c r="K75" s="65">
        <f>IF('Final Calculation Sheet'!$J$39="","",'Final Calculation Sheet'!$J$39)</f>
        <v>35414</v>
      </c>
      <c r="L75" s="65">
        <f>IF('Final Calculation Sheet'!$K$39="","",'Final Calculation Sheet'!$K$39)</f>
        <v>708</v>
      </c>
      <c r="M75" s="65">
        <f>IF('Final Calculation Sheet'!$L$39="","",'Final Calculation Sheet'!$L$39)</f>
        <v>30.012</v>
      </c>
      <c r="N75" s="65">
        <f>IF('Final Calculation Sheet'!$M$39="","",'Final Calculation Sheet'!$M$39)</f>
        <v>796.81859999999995</v>
      </c>
      <c r="O75" s="66">
        <f>IF('Final Calculation Sheet'!$N$39="","",'Final Calculation Sheet'!$N$39)</f>
        <v>13.5054</v>
      </c>
      <c r="P75" s="65">
        <f>IF('Final Calculation Sheet'!$O$39="","",'Final Calculation Sheet'!$O$39)</f>
        <v>783.31319999999994</v>
      </c>
      <c r="Q75" s="65">
        <f>IF('Final Calculation Sheet'!$P$39="","",'Final Calculation Sheet'!$P$39)</f>
        <v>813</v>
      </c>
      <c r="R75" s="67">
        <f>IF('Final Calculation Sheet'!$Q$39="","",'Final Calculation Sheet'!$Q$39)</f>
        <v>0</v>
      </c>
      <c r="S75" s="65">
        <f>IF('Final Calculation Sheet'!$R$39="","",'Final Calculation Sheet'!$R$39)</f>
        <v>0</v>
      </c>
      <c r="T75" s="65">
        <f>IF('Final Calculation Sheet'!$S$39="","",'Final Calculation Sheet'!$S$39)</f>
        <v>35309</v>
      </c>
      <c r="U75" s="65">
        <f>IF('Final Calculation Sheet'!$T$39="","",'Final Calculation Sheet'!$T$39)</f>
        <v>7503</v>
      </c>
      <c r="V75" s="68">
        <f>IF('Final Calculation Sheet'!$U$39="","",'Final Calculation Sheet'!$U$39)</f>
        <v>7503</v>
      </c>
      <c r="W75" s="65" t="str">
        <f>IF('Final Calculation Sheet'!$V$39="","",'Final Calculation Sheet'!$V$39)</f>
        <v>14.08.2026</v>
      </c>
      <c r="X75" s="65">
        <f>IF('Final Calculation Sheet'!$W$39="","",'Final Calculation Sheet'!$W$39)</f>
        <v>27806</v>
      </c>
      <c r="Y75" s="65">
        <f>IF('Final Calculation Sheet'!$X$39="","",'Final Calculation Sheet'!$X$39)</f>
        <v>27806</v>
      </c>
      <c r="Z75" s="65" t="str">
        <f>IF('Final Calculation Sheet'!$Y$39="","",'Final Calculation Sheet'!$Y$39)</f>
        <v>01.09.2026</v>
      </c>
      <c r="AA75" s="65">
        <f ca="1">IF('Final Calculation Sheet'!$Z$39="","",'Final Calculation Sheet'!$Z$39)</f>
        <v>708.28319999999997</v>
      </c>
      <c r="AB75" s="65">
        <f>IF('Final Calculation Sheet'!$AA$39="","",'Final Calculation Sheet'!$AA$39)</f>
        <v>708</v>
      </c>
      <c r="AC75" s="65" t="str">
        <f>IF('Final Calculation Sheet'!$AB$39="","",'Final Calculation Sheet'!$AB$39)</f>
        <v>01.09.2026</v>
      </c>
      <c r="AD75" s="65">
        <f>IF('Final Calculation Sheet'!$AC$39="","",'Final Calculation Sheet'!$AC$39)</f>
        <v>36017</v>
      </c>
      <c r="AE75" s="65">
        <f>IF('Final Calculation Sheet'!$AD$39="","",'Final Calculation Sheet'!$AD$39)</f>
        <v>-708</v>
      </c>
      <c r="AF75" s="70" t="str">
        <f>IF('Final Calculation Sheet'!$AD$39="","",IF('Final Calculation Sheet'!$AD$39&lt;=5,"SETTLED","OUTSTANDING"))</f>
        <v>SETTLED</v>
      </c>
      <c r="AG75" s="65" t="str">
        <f>IF('Final Calculation Sheet'!$AF$39="","",'Final Calculation Sheet'!$AF$39)</f>
        <v/>
      </c>
      <c r="AH75" s="69" t="str">
        <f>IF('Final Calculation Sheet'!$AG$39="","",'Final Calculation Sheet'!$AG$39)</f>
        <v/>
      </c>
      <c r="AI75" s="65" t="str">
        <f>IF('Final Calculation Sheet'!$AH$39="","",'Final Calculation Sheet'!$AH$39)</f>
        <v/>
      </c>
    </row>
    <row r="76" spans="1:35" ht="15" customHeight="1" outlineLevel="1" x14ac:dyDescent="0.3">
      <c r="A76" s="81">
        <v>2</v>
      </c>
      <c r="B76" s="82">
        <f>IF('Final Calculation Sheet'!$F$40="","",'Final Calculation Sheet'!$F$40)</f>
        <v>2091</v>
      </c>
      <c r="C76" s="82" t="str">
        <f>IF('Final Calculation Sheet'!$G$40="","",'Final Calculation Sheet'!$G$40)</f>
        <v>S M ENTERPRISES</v>
      </c>
      <c r="D76" s="83" t="str">
        <f>IF('Final Calculation Sheet'!$B$40="","",'Final Calculation Sheet'!$B$40)</f>
        <v>Scrap of 132 KV CT</v>
      </c>
      <c r="E76" s="83">
        <f>IF('Final Calculation Sheet'!$D$40="","",'Final Calculation Sheet'!$D$40)</f>
        <v>21980</v>
      </c>
      <c r="F76" s="83">
        <f>IF('Final Calculation Sheet'!$A$40="","",'Final Calculation Sheet'!$A$40)</f>
        <v>3</v>
      </c>
      <c r="G76" s="83" t="str">
        <f>IF('Final Calculation Sheet'!$E$40="","",'Final Calculation Sheet'!$E$40)</f>
        <v>NO</v>
      </c>
      <c r="H76" s="84">
        <f>IF('Final Calculation Sheet'!$C$40="","",'Final Calculation Sheet'!$C$40)</f>
        <v>40003</v>
      </c>
      <c r="I76" s="84">
        <f>IF('Final Calculation Sheet'!$H$40="","",'Final Calculation Sheet'!$H$40)</f>
        <v>120009</v>
      </c>
      <c r="J76" s="84">
        <f>IF('Final Calculation Sheet'!$I$40="","",'Final Calculation Sheet'!$I$40)</f>
        <v>21602</v>
      </c>
      <c r="K76" s="84">
        <f>IF('Final Calculation Sheet'!$J$40="","",'Final Calculation Sheet'!$J$40)</f>
        <v>141611</v>
      </c>
      <c r="L76" s="84">
        <f>IF('Final Calculation Sheet'!$K$40="","",'Final Calculation Sheet'!$K$40)</f>
        <v>2832</v>
      </c>
      <c r="M76" s="84">
        <f>IF('Final Calculation Sheet'!$L$40="","",'Final Calculation Sheet'!$L$40)</f>
        <v>120.009</v>
      </c>
      <c r="N76" s="84">
        <f>IF('Final Calculation Sheet'!$M$40="","",'Final Calculation Sheet'!$M$40)</f>
        <v>3186.2389499999995</v>
      </c>
      <c r="O76" s="85">
        <f>IF('Final Calculation Sheet'!$N$40="","",'Final Calculation Sheet'!$N$40)</f>
        <v>54.004049999999999</v>
      </c>
      <c r="P76" s="84">
        <f>IF('Final Calculation Sheet'!$O$40="","",'Final Calculation Sheet'!$O$40)</f>
        <v>3132.2348999999995</v>
      </c>
      <c r="Q76" s="84">
        <f>IF('Final Calculation Sheet'!$P$40="","",'Final Calculation Sheet'!$P$40)</f>
        <v>3252</v>
      </c>
      <c r="R76" s="86">
        <f>IF('Final Calculation Sheet'!$Q$40="","",'Final Calculation Sheet'!$Q$40)</f>
        <v>0</v>
      </c>
      <c r="S76" s="84">
        <f>IF('Final Calculation Sheet'!$R$40="","",'Final Calculation Sheet'!$R$40)</f>
        <v>0</v>
      </c>
      <c r="T76" s="84">
        <f>IF('Final Calculation Sheet'!$S$40="","",'Final Calculation Sheet'!$S$40)</f>
        <v>141191</v>
      </c>
      <c r="U76" s="84">
        <f>IF('Final Calculation Sheet'!$T$40="","",'Final Calculation Sheet'!$T$40)</f>
        <v>30002</v>
      </c>
      <c r="V76" s="87">
        <f>IF('Final Calculation Sheet'!$U$40="","",'Final Calculation Sheet'!$U$40)</f>
        <v>30002</v>
      </c>
      <c r="W76" s="84" t="str">
        <f>IF('Final Calculation Sheet'!$V$40="","",'Final Calculation Sheet'!$V$40)</f>
        <v>14.08.2026</v>
      </c>
      <c r="X76" s="84">
        <f>IF('Final Calculation Sheet'!$W$40="","",'Final Calculation Sheet'!$W$40)</f>
        <v>111188</v>
      </c>
      <c r="Y76" s="84">
        <f>IF('Final Calculation Sheet'!$X$40="","",'Final Calculation Sheet'!$X$40)</f>
        <v>111189</v>
      </c>
      <c r="Z76" s="84" t="str">
        <f>IF('Final Calculation Sheet'!$Y$40="","",'Final Calculation Sheet'!$Y$40)</f>
        <v>01.09.2026</v>
      </c>
      <c r="AA76" s="84">
        <f ca="1">IF('Final Calculation Sheet'!$Z$40="","",'Final Calculation Sheet'!$Z$40)</f>
        <v>2832.2123999999999</v>
      </c>
      <c r="AB76" s="84">
        <f>IF('Final Calculation Sheet'!$AA$40="","",'Final Calculation Sheet'!$AA$40)</f>
        <v>2832</v>
      </c>
      <c r="AC76" s="84" t="str">
        <f>IF('Final Calculation Sheet'!$AB$40="","",'Final Calculation Sheet'!$AB$40)</f>
        <v>01.09.2026</v>
      </c>
      <c r="AD76" s="84">
        <f>IF('Final Calculation Sheet'!$AC$40="","",'Final Calculation Sheet'!$AC$40)</f>
        <v>144023</v>
      </c>
      <c r="AE76" s="84">
        <f>IF('Final Calculation Sheet'!$AD$40="","",'Final Calculation Sheet'!$AD$40)</f>
        <v>-2832</v>
      </c>
      <c r="AF76" s="89" t="str">
        <f>IF('Final Calculation Sheet'!$AD$40="","",IF('Final Calculation Sheet'!$AD$40&lt;=5,"SETTLED","OUTSTANDING"))</f>
        <v>SETTLED</v>
      </c>
      <c r="AG76" s="84" t="str">
        <f>IF('Final Calculation Sheet'!$AF$40="","",'Final Calculation Sheet'!$AF$40)</f>
        <v/>
      </c>
      <c r="AH76" s="88" t="str">
        <f>IF('Final Calculation Sheet'!$AG$40="","",'Final Calculation Sheet'!$AG$40)</f>
        <v/>
      </c>
      <c r="AI76" s="84" t="str">
        <f>IF('Final Calculation Sheet'!$AH$40="","",'Final Calculation Sheet'!$AH$40)</f>
        <v/>
      </c>
    </row>
    <row r="77" spans="1:35" ht="15" customHeight="1" x14ac:dyDescent="0.3">
      <c r="A77" s="73" t="s">
        <v>182</v>
      </c>
      <c r="B77" s="74"/>
      <c r="C77" s="74" t="str">
        <f>ROWS($C$75:$C$76)&amp;" lot(s)"</f>
        <v>2 lot(s)</v>
      </c>
      <c r="D77" s="74" t="s">
        <v>192</v>
      </c>
      <c r="E77" s="74" t="s">
        <v>184</v>
      </c>
      <c r="F77" s="74">
        <f>SUM(F75:F76)</f>
        <v>5</v>
      </c>
      <c r="G77" s="74" t="s">
        <v>184</v>
      </c>
      <c r="H77" s="75" t="s">
        <v>184</v>
      </c>
      <c r="I77" s="75">
        <f t="shared" ref="I77:Q77" si="8">SUM(I75:I76)</f>
        <v>150021</v>
      </c>
      <c r="J77" s="75">
        <f t="shared" si="8"/>
        <v>27004</v>
      </c>
      <c r="K77" s="75">
        <f t="shared" si="8"/>
        <v>177025</v>
      </c>
      <c r="L77" s="75">
        <f t="shared" si="8"/>
        <v>3540</v>
      </c>
      <c r="M77" s="75">
        <f t="shared" si="8"/>
        <v>150.02100000000002</v>
      </c>
      <c r="N77" s="75">
        <f t="shared" si="8"/>
        <v>3983.0575499999995</v>
      </c>
      <c r="O77" s="76">
        <f t="shared" si="8"/>
        <v>67.509450000000001</v>
      </c>
      <c r="P77" s="75">
        <f t="shared" si="8"/>
        <v>3915.5480999999995</v>
      </c>
      <c r="Q77" s="75">
        <f t="shared" si="8"/>
        <v>4065</v>
      </c>
      <c r="R77" s="77" t="s">
        <v>184</v>
      </c>
      <c r="S77" s="75">
        <f>SUM(S75:S76)</f>
        <v>0</v>
      </c>
      <c r="T77" s="75">
        <f>SUM(T75:T76)</f>
        <v>176500</v>
      </c>
      <c r="U77" s="75">
        <f>SUM(U75:U76)</f>
        <v>37505</v>
      </c>
      <c r="V77" s="78">
        <f>SUM(V75:V76)</f>
        <v>37505</v>
      </c>
      <c r="W77" s="75" t="s">
        <v>184</v>
      </c>
      <c r="X77" s="75">
        <f>SUM(X75:X76)</f>
        <v>138994</v>
      </c>
      <c r="Y77" s="75">
        <f>SUM(Y75:Y76)</f>
        <v>138995</v>
      </c>
      <c r="Z77" s="75" t="s">
        <v>184</v>
      </c>
      <c r="AA77" s="75">
        <f ca="1">SUM(AA75:AA76)</f>
        <v>3540.4955999999997</v>
      </c>
      <c r="AB77" s="75">
        <f>SUM(AB75:AB76)</f>
        <v>3540</v>
      </c>
      <c r="AC77" s="75" t="s">
        <v>184</v>
      </c>
      <c r="AD77" s="75">
        <f>SUM(AD75:AD76)</f>
        <v>180040</v>
      </c>
      <c r="AE77" s="75">
        <f>SUM(AE75:AE76)</f>
        <v>-3540</v>
      </c>
      <c r="AF77" s="80" t="str">
        <f>IF(AE77&lt;=5,"SETTLED","OUTSTANDING")</f>
        <v>SETTLED</v>
      </c>
      <c r="AG77" s="75" t="s">
        <v>184</v>
      </c>
      <c r="AH77" s="79" t="s">
        <v>184</v>
      </c>
      <c r="AI77" s="75" t="s">
        <v>184</v>
      </c>
    </row>
    <row r="78" spans="1:35" ht="15" customHeight="1" outlineLevel="1" x14ac:dyDescent="0.3">
      <c r="A78" s="62">
        <v>1</v>
      </c>
      <c r="B78" s="63">
        <f>IF('Final Calculation Sheet'!$F$31="","",'Final Calculation Sheet'!$F$31)</f>
        <v>2046</v>
      </c>
      <c r="C78" s="63" t="str">
        <f>IF('Final Calculation Sheet'!$G$31="","",'Final Calculation Sheet'!$G$31)</f>
        <v>SAHARA ENTERPRISES</v>
      </c>
      <c r="D78" s="64" t="str">
        <f>IF('Final Calculation Sheet'!$B$31="","",'Final Calculation Sheet'!$B$31)</f>
        <v>Scrap of AAAC Earth wire</v>
      </c>
      <c r="E78" s="64">
        <f>IF('Final Calculation Sheet'!$D$31="","",'Final Calculation Sheet'!$D$31)</f>
        <v>21979</v>
      </c>
      <c r="F78" s="64">
        <f>IF('Final Calculation Sheet'!$A$31="","",'Final Calculation Sheet'!$A$31)</f>
        <v>670</v>
      </c>
      <c r="G78" s="64" t="str">
        <f>IF('Final Calculation Sheet'!$E$31="","",'Final Calculation Sheet'!$E$31)</f>
        <v>KG</v>
      </c>
      <c r="H78" s="65">
        <f>IF('Final Calculation Sheet'!$C$31="","",'Final Calculation Sheet'!$C$31)</f>
        <v>309</v>
      </c>
      <c r="I78" s="65">
        <f>IF('Final Calculation Sheet'!$H$31="","",'Final Calculation Sheet'!$H$31)</f>
        <v>207030</v>
      </c>
      <c r="J78" s="65">
        <f>IF('Final Calculation Sheet'!$I$31="","",'Final Calculation Sheet'!$I$31)</f>
        <v>37265</v>
      </c>
      <c r="K78" s="65">
        <f>IF('Final Calculation Sheet'!$J$31="","",'Final Calculation Sheet'!$J$31)</f>
        <v>244295</v>
      </c>
      <c r="L78" s="65">
        <f>IF('Final Calculation Sheet'!$K$31="","",'Final Calculation Sheet'!$K$31)</f>
        <v>4886</v>
      </c>
      <c r="M78" s="65">
        <f>IF('Final Calculation Sheet'!$L$31="","",'Final Calculation Sheet'!$L$31)</f>
        <v>207.03</v>
      </c>
      <c r="N78" s="65">
        <f>IF('Final Calculation Sheet'!$M$31="","",'Final Calculation Sheet'!$M$31)</f>
        <v>5496.6464999999998</v>
      </c>
      <c r="O78" s="66">
        <f>IF('Final Calculation Sheet'!$N$31="","",'Final Calculation Sheet'!$N$31)</f>
        <v>93.163499999999999</v>
      </c>
      <c r="P78" s="65">
        <f>IF('Final Calculation Sheet'!$O$31="","",'Final Calculation Sheet'!$O$31)</f>
        <v>5403.4830000000002</v>
      </c>
      <c r="Q78" s="65">
        <f>IF('Final Calculation Sheet'!$P$31="","",'Final Calculation Sheet'!$P$31)</f>
        <v>5611</v>
      </c>
      <c r="R78" s="67">
        <f>IF('Final Calculation Sheet'!$Q$31="","",'Final Calculation Sheet'!$Q$31)</f>
        <v>0</v>
      </c>
      <c r="S78" s="65">
        <f>IF('Final Calculation Sheet'!$R$31="","",'Final Calculation Sheet'!$R$31)</f>
        <v>0</v>
      </c>
      <c r="T78" s="65">
        <f>IF('Final Calculation Sheet'!$S$31="","",'Final Calculation Sheet'!$S$31)</f>
        <v>243571</v>
      </c>
      <c r="U78" s="65">
        <f>IF('Final Calculation Sheet'!$T$31="","",'Final Calculation Sheet'!$T$31)</f>
        <v>51758</v>
      </c>
      <c r="V78" s="68">
        <f>IF('Final Calculation Sheet'!$U$31="","",'Final Calculation Sheet'!$U$31)</f>
        <v>51758</v>
      </c>
      <c r="W78" s="65" t="str">
        <f>IF('Final Calculation Sheet'!$V$31="","",'Final Calculation Sheet'!$V$31)</f>
        <v>11.08.2026</v>
      </c>
      <c r="X78" s="65">
        <f>IF('Final Calculation Sheet'!$W$31="","",'Final Calculation Sheet'!$W$31)</f>
        <v>191813</v>
      </c>
      <c r="Y78" s="65">
        <f>IF('Final Calculation Sheet'!$X$31="","",'Final Calculation Sheet'!$X$31)</f>
        <v>191812</v>
      </c>
      <c r="Z78" s="65" t="str">
        <f>IF('Final Calculation Sheet'!$Y$31="","",'Final Calculation Sheet'!$Y$31)</f>
        <v>21.08.2026</v>
      </c>
      <c r="AA78" s="65">
        <f ca="1">IF('Final Calculation Sheet'!$Z$31="","",'Final Calculation Sheet'!$Z$31)</f>
        <v>7328.8619999999992</v>
      </c>
      <c r="AB78" s="65" t="str">
        <f>IF('Final Calculation Sheet'!$AA$31="","",'Final Calculation Sheet'!$AA$31)</f>
        <v/>
      </c>
      <c r="AC78" s="65" t="str">
        <f>IF('Final Calculation Sheet'!$AB$31="","",'Final Calculation Sheet'!$AB$31)</f>
        <v/>
      </c>
      <c r="AD78" s="65">
        <f>IF('Final Calculation Sheet'!$AC$31="","",'Final Calculation Sheet'!$AC$31)</f>
        <v>243570</v>
      </c>
      <c r="AE78" s="65">
        <f>IF('Final Calculation Sheet'!$AD$31="","",'Final Calculation Sheet'!$AD$31)</f>
        <v>1</v>
      </c>
      <c r="AF78" s="70" t="str">
        <f>IF('Final Calculation Sheet'!$AD$31="","",IF('Final Calculation Sheet'!$AD$31&lt;=5,"SETTLED","OUTSTANDING"))</f>
        <v>SETTLED</v>
      </c>
      <c r="AG78" s="65" t="str">
        <f>IF('Final Calculation Sheet'!$AF$31="","",'Final Calculation Sheet'!$AF$31)</f>
        <v>DR2640100041</v>
      </c>
      <c r="AH78" s="69">
        <f>IF('Final Calculation Sheet'!$AG$31="","",'Final Calculation Sheet'!$AG$31)</f>
        <v>1800003316</v>
      </c>
      <c r="AI78" s="65" t="str">
        <f>IF('Final Calculation Sheet'!$AH$31="","",'Final Calculation Sheet'!$AH$31)</f>
        <v>27.08.2026</v>
      </c>
    </row>
    <row r="79" spans="1:35" ht="15" customHeight="1" x14ac:dyDescent="0.3">
      <c r="A79" s="73" t="s">
        <v>182</v>
      </c>
      <c r="B79" s="74"/>
      <c r="C79" s="74" t="str">
        <f>ROWS($C$78:$C$78)&amp;" lot(s)"</f>
        <v>1 lot(s)</v>
      </c>
      <c r="D79" s="74" t="s">
        <v>193</v>
      </c>
      <c r="E79" s="74" t="s">
        <v>184</v>
      </c>
      <c r="F79" s="74">
        <f>SUM(F78:F78)</f>
        <v>670</v>
      </c>
      <c r="G79" s="74" t="s">
        <v>184</v>
      </c>
      <c r="H79" s="75" t="s">
        <v>184</v>
      </c>
      <c r="I79" s="75">
        <f t="shared" ref="I79:Q79" si="9">SUM(I78:I78)</f>
        <v>207030</v>
      </c>
      <c r="J79" s="75">
        <f t="shared" si="9"/>
        <v>37265</v>
      </c>
      <c r="K79" s="75">
        <f t="shared" si="9"/>
        <v>244295</v>
      </c>
      <c r="L79" s="75">
        <f t="shared" si="9"/>
        <v>4886</v>
      </c>
      <c r="M79" s="75">
        <f t="shared" si="9"/>
        <v>207.03</v>
      </c>
      <c r="N79" s="75">
        <f t="shared" si="9"/>
        <v>5496.6464999999998</v>
      </c>
      <c r="O79" s="76">
        <f t="shared" si="9"/>
        <v>93.163499999999999</v>
      </c>
      <c r="P79" s="75">
        <f t="shared" si="9"/>
        <v>5403.4830000000002</v>
      </c>
      <c r="Q79" s="75">
        <f t="shared" si="9"/>
        <v>5611</v>
      </c>
      <c r="R79" s="77" t="s">
        <v>184</v>
      </c>
      <c r="S79" s="75">
        <f>SUM(S78:S78)</f>
        <v>0</v>
      </c>
      <c r="T79" s="75">
        <f>SUM(T78:T78)</f>
        <v>243571</v>
      </c>
      <c r="U79" s="75">
        <f>SUM(U78:U78)</f>
        <v>51758</v>
      </c>
      <c r="V79" s="78">
        <f>SUM(V78:V78)</f>
        <v>51758</v>
      </c>
      <c r="W79" s="75" t="s">
        <v>184</v>
      </c>
      <c r="X79" s="75">
        <f>SUM(X78:X78)</f>
        <v>191813</v>
      </c>
      <c r="Y79" s="75">
        <f>SUM(Y78:Y78)</f>
        <v>191812</v>
      </c>
      <c r="Z79" s="75" t="s">
        <v>184</v>
      </c>
      <c r="AA79" s="75">
        <f ca="1">SUM(AA78:AA78)</f>
        <v>7328.8619999999992</v>
      </c>
      <c r="AB79" s="75">
        <f>SUM(AB78:AB78)</f>
        <v>0</v>
      </c>
      <c r="AC79" s="75" t="s">
        <v>184</v>
      </c>
      <c r="AD79" s="75">
        <f>SUM(AD78:AD78)</f>
        <v>243570</v>
      </c>
      <c r="AE79" s="75">
        <f>SUM(AE78:AE78)</f>
        <v>1</v>
      </c>
      <c r="AF79" s="80" t="str">
        <f>IF(AE79&lt;=5,"SETTLED","OUTSTANDING")</f>
        <v>SETTLED</v>
      </c>
      <c r="AG79" s="75" t="s">
        <v>184</v>
      </c>
      <c r="AH79" s="79" t="s">
        <v>184</v>
      </c>
      <c r="AI79" s="75" t="s">
        <v>184</v>
      </c>
    </row>
    <row r="80" spans="1:35" ht="15" customHeight="1" outlineLevel="1" x14ac:dyDescent="0.3">
      <c r="A80" s="62">
        <v>1</v>
      </c>
      <c r="B80" s="63">
        <f>IF('Final Calculation Sheet'!$F$9="","",'Final Calculation Sheet'!$F$9)</f>
        <v>1976</v>
      </c>
      <c r="C80" s="63" t="str">
        <f>IF('Final Calculation Sheet'!$G$9="","",'Final Calculation Sheet'!$G$9)</f>
        <v>SHAR JAHAN TRADERS</v>
      </c>
      <c r="D80" s="64" t="str">
        <f>IF('Final Calculation Sheet'!$B$9="","",'Final Calculation Sheet'!$B$9)</f>
        <v>Scrap Power Transformer</v>
      </c>
      <c r="E80" s="64">
        <f>IF('Final Calculation Sheet'!$D$9="","",'Final Calculation Sheet'!$D$9)</f>
        <v>21977</v>
      </c>
      <c r="F80" s="64">
        <f>IF('Final Calculation Sheet'!$A$9="","",'Final Calculation Sheet'!$A$9)</f>
        <v>1</v>
      </c>
      <c r="G80" s="64" t="str">
        <f>IF('Final Calculation Sheet'!$E$9="","",'Final Calculation Sheet'!$E$9)</f>
        <v>NO</v>
      </c>
      <c r="H80" s="65">
        <f>IF('Final Calculation Sheet'!$C$9="","",'Final Calculation Sheet'!$C$9)</f>
        <v>2787314</v>
      </c>
      <c r="I80" s="65">
        <f>IF('Final Calculation Sheet'!$H$9="","",'Final Calculation Sheet'!$H$9)</f>
        <v>2787314</v>
      </c>
      <c r="J80" s="65">
        <f>IF('Final Calculation Sheet'!$I$9="","",'Final Calculation Sheet'!$I$9)</f>
        <v>501717</v>
      </c>
      <c r="K80" s="65">
        <f>IF('Final Calculation Sheet'!$J$9="","",'Final Calculation Sheet'!$J$9)</f>
        <v>3289031</v>
      </c>
      <c r="L80" s="65">
        <f>IF('Final Calculation Sheet'!$K$9="","",'Final Calculation Sheet'!$K$9)</f>
        <v>65781</v>
      </c>
      <c r="M80" s="65">
        <f>IF('Final Calculation Sheet'!$L$9="","",'Final Calculation Sheet'!$L$9)</f>
        <v>2787.3139999999999</v>
      </c>
      <c r="N80" s="65">
        <f>IF('Final Calculation Sheet'!$M$9="","",'Final Calculation Sheet'!$M$9)</f>
        <v>74003.186699999991</v>
      </c>
      <c r="O80" s="66">
        <f>IF('Final Calculation Sheet'!$N$9="","",'Final Calculation Sheet'!$N$9)</f>
        <v>1254.2912999999999</v>
      </c>
      <c r="P80" s="65">
        <f>IF('Final Calculation Sheet'!$O$9="","",'Final Calculation Sheet'!$O$9)</f>
        <v>72748.895399999994</v>
      </c>
      <c r="Q80" s="65">
        <f>IF('Final Calculation Sheet'!$P$9="","",'Final Calculation Sheet'!$P$9)</f>
        <v>75536</v>
      </c>
      <c r="R80" s="67">
        <f>IF('Final Calculation Sheet'!$Q$9="","",'Final Calculation Sheet'!$Q$9)</f>
        <v>0</v>
      </c>
      <c r="S80" s="65">
        <f>IF('Final Calculation Sheet'!$R$9="","",'Final Calculation Sheet'!$R$9)</f>
        <v>0</v>
      </c>
      <c r="T80" s="65">
        <f>IF('Final Calculation Sheet'!$S$9="","",'Final Calculation Sheet'!$S$9)</f>
        <v>3279275</v>
      </c>
      <c r="U80" s="65">
        <f>IF('Final Calculation Sheet'!$T$9="","",'Final Calculation Sheet'!$T$9)</f>
        <v>696829</v>
      </c>
      <c r="V80" s="68">
        <f>IF('Final Calculation Sheet'!$U$9="","",'Final Calculation Sheet'!$U$9)</f>
        <v>696829</v>
      </c>
      <c r="W80" s="65" t="str">
        <f>IF('Final Calculation Sheet'!$V$9="","",'Final Calculation Sheet'!$V$9)</f>
        <v>13.08.2026</v>
      </c>
      <c r="X80" s="65">
        <f>IF('Final Calculation Sheet'!$W$9="","",'Final Calculation Sheet'!$W$9)</f>
        <v>2582446</v>
      </c>
      <c r="Y80" s="65">
        <f>IF('Final Calculation Sheet'!$X$9="","",'Final Calculation Sheet'!$X$9)</f>
        <v>2582447.0942916102</v>
      </c>
      <c r="Z80" s="65" t="str">
        <f>IF('Final Calculation Sheet'!$Y$9="","",'Final Calculation Sheet'!$Y$9)</f>
        <v>13.08.2026</v>
      </c>
      <c r="AA80" s="65">
        <f ca="1">IF('Final Calculation Sheet'!$Z$9="","",'Final Calculation Sheet'!$Z$9)</f>
        <v>98670.915600000008</v>
      </c>
      <c r="AB80" s="65" t="str">
        <f>IF('Final Calculation Sheet'!$AA$9="","",'Final Calculation Sheet'!$AA$9)</f>
        <v/>
      </c>
      <c r="AC80" s="65" t="str">
        <f>IF('Final Calculation Sheet'!$AB$9="","",'Final Calculation Sheet'!$AB$9)</f>
        <v/>
      </c>
      <c r="AD80" s="65">
        <f>IF('Final Calculation Sheet'!$AC$9="","",'Final Calculation Sheet'!$AC$9)</f>
        <v>3279276.0942916102</v>
      </c>
      <c r="AE80" s="65">
        <f>IF('Final Calculation Sheet'!$AD$9="","",'Final Calculation Sheet'!$AD$9)</f>
        <v>-1.0942916101776063</v>
      </c>
      <c r="AF80" s="70" t="str">
        <f>IF('Final Calculation Sheet'!$AD$9="","",IF('Final Calculation Sheet'!$AD$9&lt;=5,"SETTLED","OUTSTANDING"))</f>
        <v>SETTLED</v>
      </c>
      <c r="AG80" s="65" t="str">
        <f>IF('Final Calculation Sheet'!$AF$9="","",'Final Calculation Sheet'!$AF$9)</f>
        <v>DR2640100023</v>
      </c>
      <c r="AH80" s="69">
        <f>IF('Final Calculation Sheet'!$AG$9="","",'Final Calculation Sheet'!$AG$9)</f>
        <v>1800003194</v>
      </c>
      <c r="AI80" s="65" t="str">
        <f>IF('Final Calculation Sheet'!$AH$9="","",'Final Calculation Sheet'!$AH$9)</f>
        <v>17.08.2026</v>
      </c>
    </row>
    <row r="81" spans="1:35" ht="15" customHeight="1" outlineLevel="1" x14ac:dyDescent="0.3">
      <c r="A81" s="81">
        <v>2</v>
      </c>
      <c r="B81" s="82">
        <f>IF('Final Calculation Sheet'!$F$14="","",'Final Calculation Sheet'!$F$14)</f>
        <v>2007</v>
      </c>
      <c r="C81" s="82" t="str">
        <f>IF('Final Calculation Sheet'!$G$14="","",'Final Calculation Sheet'!$G$14)</f>
        <v>SHAR JAHAN TRADERS</v>
      </c>
      <c r="D81" s="83" t="str">
        <f>IF('Final Calculation Sheet'!$B$14="","",'Final Calculation Sheet'!$B$14)</f>
        <v>SCRAP POWER TRANSFORMER</v>
      </c>
      <c r="E81" s="83">
        <f>IF('Final Calculation Sheet'!$D$14="","",'Final Calculation Sheet'!$D$14)</f>
        <v>21977</v>
      </c>
      <c r="F81" s="83">
        <f>IF('Final Calculation Sheet'!$A$14="","",'Final Calculation Sheet'!$A$14)</f>
        <v>1</v>
      </c>
      <c r="G81" s="83" t="str">
        <f>IF('Final Calculation Sheet'!$E$14="","",'Final Calculation Sheet'!$E$14)</f>
        <v>NO</v>
      </c>
      <c r="H81" s="84">
        <f>IF('Final Calculation Sheet'!$C$14="","",'Final Calculation Sheet'!$C$14)</f>
        <v>3857116</v>
      </c>
      <c r="I81" s="84">
        <f>IF('Final Calculation Sheet'!$H$14="","",'Final Calculation Sheet'!$H$14)</f>
        <v>3857116</v>
      </c>
      <c r="J81" s="84">
        <f>IF('Final Calculation Sheet'!$I$14="","",'Final Calculation Sheet'!$I$14)</f>
        <v>694281</v>
      </c>
      <c r="K81" s="84">
        <f>IF('Final Calculation Sheet'!$J$14="","",'Final Calculation Sheet'!$J$14)</f>
        <v>4551397</v>
      </c>
      <c r="L81" s="84">
        <f>IF('Final Calculation Sheet'!$K$14="","",'Final Calculation Sheet'!$K$14)</f>
        <v>91028</v>
      </c>
      <c r="M81" s="84">
        <f>IF('Final Calculation Sheet'!$L$14="","",'Final Calculation Sheet'!$L$14)</f>
        <v>3857.116</v>
      </c>
      <c r="N81" s="84">
        <f>IF('Final Calculation Sheet'!$M$14="","",'Final Calculation Sheet'!$M$14)</f>
        <v>102406.4298</v>
      </c>
      <c r="O81" s="85">
        <f>IF('Final Calculation Sheet'!$N$14="","",'Final Calculation Sheet'!$N$14)</f>
        <v>1735.7021999999999</v>
      </c>
      <c r="P81" s="84">
        <f>IF('Final Calculation Sheet'!$O$14="","",'Final Calculation Sheet'!$O$14)</f>
        <v>100670.7276</v>
      </c>
      <c r="Q81" s="84">
        <f>IF('Final Calculation Sheet'!$P$14="","",'Final Calculation Sheet'!$P$14)</f>
        <v>104528</v>
      </c>
      <c r="R81" s="86">
        <f>IF('Final Calculation Sheet'!$Q$14="","",'Final Calculation Sheet'!$Q$14)</f>
        <v>0</v>
      </c>
      <c r="S81" s="84">
        <f>IF('Final Calculation Sheet'!$R$14="","",'Final Calculation Sheet'!$R$14)</f>
        <v>0</v>
      </c>
      <c r="T81" s="84">
        <f>IF('Final Calculation Sheet'!$S$14="","",'Final Calculation Sheet'!$S$14)</f>
        <v>4537897</v>
      </c>
      <c r="U81" s="84">
        <f>IF('Final Calculation Sheet'!$T$14="","",'Final Calculation Sheet'!$T$14)</f>
        <v>964279</v>
      </c>
      <c r="V81" s="87">
        <f>IF('Final Calculation Sheet'!$U$14="","",'Final Calculation Sheet'!$U$14)</f>
        <v>964279</v>
      </c>
      <c r="W81" s="84" t="str">
        <f>IF('Final Calculation Sheet'!$V$14="","",'Final Calculation Sheet'!$V$14)</f>
        <v>13.08.2026</v>
      </c>
      <c r="X81" s="84">
        <f>IF('Final Calculation Sheet'!$W$14="","",'Final Calculation Sheet'!$W$14)</f>
        <v>3573618</v>
      </c>
      <c r="Y81" s="84">
        <f>IF('Final Calculation Sheet'!$X$14="","",'Final Calculation Sheet'!$X$14)</f>
        <v>3573618.9057083898</v>
      </c>
      <c r="Z81" s="84" t="str">
        <f>IF('Final Calculation Sheet'!$Y$14="","",'Final Calculation Sheet'!$Y$14)</f>
        <v>13.08.2026</v>
      </c>
      <c r="AA81" s="84">
        <f ca="1">IF('Final Calculation Sheet'!$Z$14="","",'Final Calculation Sheet'!$Z$14)</f>
        <v>136541.90640000001</v>
      </c>
      <c r="AB81" s="84" t="str">
        <f>IF('Final Calculation Sheet'!$AA$14="","",'Final Calculation Sheet'!$AA$14)</f>
        <v/>
      </c>
      <c r="AC81" s="84" t="str">
        <f>IF('Final Calculation Sheet'!$AB$14="","",'Final Calculation Sheet'!$AB$14)</f>
        <v/>
      </c>
      <c r="AD81" s="84">
        <f>IF('Final Calculation Sheet'!$AC$14="","",'Final Calculation Sheet'!$AC$14)</f>
        <v>4537897.9057083894</v>
      </c>
      <c r="AE81" s="84">
        <f>IF('Final Calculation Sheet'!$AD$14="","",'Final Calculation Sheet'!$AD$14)</f>
        <v>-0.90570838935673237</v>
      </c>
      <c r="AF81" s="89" t="str">
        <f>IF('Final Calculation Sheet'!$AD$14="","",IF('Final Calculation Sheet'!$AD$14&lt;=5,"SETTLED","OUTSTANDING"))</f>
        <v>SETTLED</v>
      </c>
      <c r="AG81" s="84" t="str">
        <f>IF('Final Calculation Sheet'!$AF$14="","",'Final Calculation Sheet'!$AF$14)</f>
        <v>DR2640100024</v>
      </c>
      <c r="AH81" s="88">
        <f>IF('Final Calculation Sheet'!$AG$14="","",'Final Calculation Sheet'!$AG$14)</f>
        <v>1800003196</v>
      </c>
      <c r="AI81" s="84" t="str">
        <f>IF('Final Calculation Sheet'!$AH$14="","",'Final Calculation Sheet'!$AH$14)</f>
        <v>17.08.2026</v>
      </c>
    </row>
    <row r="82" spans="1:35" ht="15" customHeight="1" x14ac:dyDescent="0.3">
      <c r="A82" s="73" t="s">
        <v>182</v>
      </c>
      <c r="B82" s="74"/>
      <c r="C82" s="74" t="str">
        <f>ROWS($C$80:$C$81)&amp;" lot(s)"</f>
        <v>2 lot(s)</v>
      </c>
      <c r="D82" s="74" t="s">
        <v>194</v>
      </c>
      <c r="E82" s="74" t="s">
        <v>184</v>
      </c>
      <c r="F82" s="74">
        <f>SUM(F80:F81)</f>
        <v>2</v>
      </c>
      <c r="G82" s="74" t="s">
        <v>184</v>
      </c>
      <c r="H82" s="75" t="s">
        <v>184</v>
      </c>
      <c r="I82" s="75">
        <f t="shared" ref="I82:Q82" si="10">SUM(I80:I81)</f>
        <v>6644430</v>
      </c>
      <c r="J82" s="75">
        <f t="shared" si="10"/>
        <v>1195998</v>
      </c>
      <c r="K82" s="75">
        <f t="shared" si="10"/>
        <v>7840428</v>
      </c>
      <c r="L82" s="75">
        <f t="shared" si="10"/>
        <v>156809</v>
      </c>
      <c r="M82" s="75">
        <f t="shared" si="10"/>
        <v>6644.43</v>
      </c>
      <c r="N82" s="75">
        <f t="shared" si="10"/>
        <v>176409.6165</v>
      </c>
      <c r="O82" s="76">
        <f t="shared" si="10"/>
        <v>2989.9934999999996</v>
      </c>
      <c r="P82" s="75">
        <f t="shared" si="10"/>
        <v>173419.62299999999</v>
      </c>
      <c r="Q82" s="75">
        <f t="shared" si="10"/>
        <v>180064</v>
      </c>
      <c r="R82" s="77" t="s">
        <v>184</v>
      </c>
      <c r="S82" s="75">
        <f>SUM(S80:S81)</f>
        <v>0</v>
      </c>
      <c r="T82" s="75">
        <f>SUM(T80:T81)</f>
        <v>7817172</v>
      </c>
      <c r="U82" s="75">
        <f>SUM(U80:U81)</f>
        <v>1661108</v>
      </c>
      <c r="V82" s="78">
        <f>SUM(V80:V81)</f>
        <v>1661108</v>
      </c>
      <c r="W82" s="75" t="s">
        <v>184</v>
      </c>
      <c r="X82" s="75">
        <f>SUM(X80:X81)</f>
        <v>6156064</v>
      </c>
      <c r="Y82" s="75">
        <f>SUM(Y80:Y81)</f>
        <v>6156066</v>
      </c>
      <c r="Z82" s="75" t="s">
        <v>184</v>
      </c>
      <c r="AA82" s="75">
        <f ca="1">SUM(AA80:AA81)</f>
        <v>235212.82200000001</v>
      </c>
      <c r="AB82" s="75">
        <f>SUM(AB80:AB81)</f>
        <v>0</v>
      </c>
      <c r="AC82" s="75" t="s">
        <v>184</v>
      </c>
      <c r="AD82" s="75">
        <f>SUM(AD80:AD81)</f>
        <v>7817174</v>
      </c>
      <c r="AE82" s="75">
        <f>SUM(AE80:AE81)</f>
        <v>-1.9999999995343387</v>
      </c>
      <c r="AF82" s="80" t="str">
        <f>IF(AE82&lt;=5,"SETTLED","OUTSTANDING")</f>
        <v>SETTLED</v>
      </c>
      <c r="AG82" s="75" t="s">
        <v>184</v>
      </c>
      <c r="AH82" s="79" t="s">
        <v>184</v>
      </c>
      <c r="AI82" s="75" t="s">
        <v>184</v>
      </c>
    </row>
    <row r="83" spans="1:35" ht="15" customHeight="1" outlineLevel="1" x14ac:dyDescent="0.3">
      <c r="A83" s="62">
        <v>1</v>
      </c>
      <c r="B83" s="63">
        <f>IF('Final Calculation Sheet'!$F$13="","",'Final Calculation Sheet'!$F$13)</f>
        <v>2006</v>
      </c>
      <c r="C83" s="63" t="str">
        <f>IF('Final Calculation Sheet'!$G$13="","",'Final Calculation Sheet'!$G$13)</f>
        <v>STERLING ENTERPRISES</v>
      </c>
      <c r="D83" s="64" t="str">
        <f>IF('Final Calculation Sheet'!$B$13="","",'Final Calculation Sheet'!$B$13)</f>
        <v>Scrap of empty oil drums</v>
      </c>
      <c r="E83" s="64">
        <f>IF('Final Calculation Sheet'!$D$13="","",'Final Calculation Sheet'!$D$13)</f>
        <v>21977</v>
      </c>
      <c r="F83" s="64">
        <f>IF('Final Calculation Sheet'!$A$13="","",'Final Calculation Sheet'!$A$13)</f>
        <v>25</v>
      </c>
      <c r="G83" s="64" t="str">
        <f>IF('Final Calculation Sheet'!$E$13="","",'Final Calculation Sheet'!$E$13)</f>
        <v>NO</v>
      </c>
      <c r="H83" s="65">
        <f>IF('Final Calculation Sheet'!$C$13="","",'Final Calculation Sheet'!$C$13)</f>
        <v>700</v>
      </c>
      <c r="I83" s="65">
        <f>IF('Final Calculation Sheet'!$H$13="","",'Final Calculation Sheet'!$H$13)</f>
        <v>17500</v>
      </c>
      <c r="J83" s="65">
        <f>IF('Final Calculation Sheet'!$I$13="","",'Final Calculation Sheet'!$I$13)</f>
        <v>3150</v>
      </c>
      <c r="K83" s="65">
        <f>IF('Final Calculation Sheet'!$J$13="","",'Final Calculation Sheet'!$J$13)</f>
        <v>20650</v>
      </c>
      <c r="L83" s="65">
        <f>IF('Final Calculation Sheet'!$K$13="","",'Final Calculation Sheet'!$K$13)</f>
        <v>413</v>
      </c>
      <c r="M83" s="65">
        <f>IF('Final Calculation Sheet'!$L$13="","",'Final Calculation Sheet'!$L$13)</f>
        <v>17.5</v>
      </c>
      <c r="N83" s="65">
        <f>IF('Final Calculation Sheet'!$M$13="","",'Final Calculation Sheet'!$M$13)</f>
        <v>464.625</v>
      </c>
      <c r="O83" s="66">
        <f>IF('Final Calculation Sheet'!$N$13="","",'Final Calculation Sheet'!$N$13)</f>
        <v>7.875</v>
      </c>
      <c r="P83" s="65">
        <f>IF('Final Calculation Sheet'!$O$13="","",'Final Calculation Sheet'!$O$13)</f>
        <v>456.75</v>
      </c>
      <c r="Q83" s="65">
        <f>IF('Final Calculation Sheet'!$P$13="","",'Final Calculation Sheet'!$P$13)</f>
        <v>474</v>
      </c>
      <c r="R83" s="67">
        <f>IF('Final Calculation Sheet'!$Q$13="","",'Final Calculation Sheet'!$Q$13)</f>
        <v>0</v>
      </c>
      <c r="S83" s="65">
        <f>IF('Final Calculation Sheet'!$R$13="","",'Final Calculation Sheet'!$R$13)</f>
        <v>0</v>
      </c>
      <c r="T83" s="65">
        <f>IF('Final Calculation Sheet'!$S$13="","",'Final Calculation Sheet'!$S$13)</f>
        <v>20589</v>
      </c>
      <c r="U83" s="65">
        <f>IF('Final Calculation Sheet'!$T$13="","",'Final Calculation Sheet'!$T$13)</f>
        <v>4375</v>
      </c>
      <c r="V83" s="68">
        <f>IF('Final Calculation Sheet'!$U$13="","",'Final Calculation Sheet'!$U$13)</f>
        <v>4375</v>
      </c>
      <c r="W83" s="65" t="str">
        <f>IF('Final Calculation Sheet'!$V$13="","",'Final Calculation Sheet'!$V$13)</f>
        <v>11.08.2026</v>
      </c>
      <c r="X83" s="65">
        <f>IF('Final Calculation Sheet'!$W$13="","",'Final Calculation Sheet'!$W$13)</f>
        <v>16214</v>
      </c>
      <c r="Y83" s="65">
        <f>IF('Final Calculation Sheet'!$X$13="","",'Final Calculation Sheet'!$X$13)</f>
        <v>16214</v>
      </c>
      <c r="Z83" s="65" t="str">
        <f>IF('Final Calculation Sheet'!$Y$13="","",'Final Calculation Sheet'!$Y$13)</f>
        <v>11.08.2026</v>
      </c>
      <c r="AA83" s="65">
        <f ca="1">IF('Final Calculation Sheet'!$Z$13="","",'Final Calculation Sheet'!$Z$13)</f>
        <v>619.5</v>
      </c>
      <c r="AB83" s="65" t="str">
        <f>IF('Final Calculation Sheet'!$AA$13="","",'Final Calculation Sheet'!$AA$13)</f>
        <v/>
      </c>
      <c r="AC83" s="65" t="str">
        <f>IF('Final Calculation Sheet'!$AB$13="","",'Final Calculation Sheet'!$AB$13)</f>
        <v/>
      </c>
      <c r="AD83" s="65">
        <f>IF('Final Calculation Sheet'!$AC$13="","",'Final Calculation Sheet'!$AC$13)</f>
        <v>20589</v>
      </c>
      <c r="AE83" s="65">
        <f>IF('Final Calculation Sheet'!$AD$13="","",'Final Calculation Sheet'!$AD$13)</f>
        <v>0</v>
      </c>
      <c r="AF83" s="70" t="str">
        <f>IF('Final Calculation Sheet'!$AD$13="","",IF('Final Calculation Sheet'!$AD$13&lt;=5,"SETTLED","OUTSTANDING"))</f>
        <v>SETTLED</v>
      </c>
      <c r="AG83" s="65" t="str">
        <f>IF('Final Calculation Sheet'!$AF$13="","",'Final Calculation Sheet'!$AF$13)</f>
        <v>DR2640100018</v>
      </c>
      <c r="AH83" s="69">
        <f>IF('Final Calculation Sheet'!$AG$13="","",'Final Calculation Sheet'!$AG$13)</f>
        <v>1800003156</v>
      </c>
      <c r="AI83" s="65" t="str">
        <f>IF('Final Calculation Sheet'!$AH$13="","",'Final Calculation Sheet'!$AH$13)</f>
        <v>14.08.2026</v>
      </c>
    </row>
    <row r="84" spans="1:35" ht="15" customHeight="1" outlineLevel="1" x14ac:dyDescent="0.3">
      <c r="A84" s="81">
        <v>2</v>
      </c>
      <c r="B84" s="82">
        <f>IF('Final Calculation Sheet'!$F$16="","",'Final Calculation Sheet'!$F$16)</f>
        <v>2011</v>
      </c>
      <c r="C84" s="82" t="str">
        <f>IF('Final Calculation Sheet'!$G$16="","",'Final Calculation Sheet'!$G$16)</f>
        <v>STERLING ENTERPRISES</v>
      </c>
      <c r="D84" s="83" t="str">
        <f>IF('Final Calculation Sheet'!$B$16="","",'Final Calculation Sheet'!$B$16)</f>
        <v>Scrap of empty oil Barrel</v>
      </c>
      <c r="E84" s="83">
        <f>IF('Final Calculation Sheet'!$D$16="","",'Final Calculation Sheet'!$D$16)</f>
        <v>21977</v>
      </c>
      <c r="F84" s="83">
        <f>IF('Final Calculation Sheet'!$A$16="","",'Final Calculation Sheet'!$A$16)</f>
        <v>22</v>
      </c>
      <c r="G84" s="83" t="str">
        <f>IF('Final Calculation Sheet'!$E$16="","",'Final Calculation Sheet'!$E$16)</f>
        <v>NO</v>
      </c>
      <c r="H84" s="84">
        <f>IF('Final Calculation Sheet'!$C$16="","",'Final Calculation Sheet'!$C$16)</f>
        <v>700</v>
      </c>
      <c r="I84" s="84">
        <f>IF('Final Calculation Sheet'!$H$16="","",'Final Calculation Sheet'!$H$16)</f>
        <v>15400</v>
      </c>
      <c r="J84" s="84">
        <f>IF('Final Calculation Sheet'!$I$16="","",'Final Calculation Sheet'!$I$16)</f>
        <v>2772</v>
      </c>
      <c r="K84" s="84">
        <f>IF('Final Calculation Sheet'!$J$16="","",'Final Calculation Sheet'!$J$16)</f>
        <v>18172</v>
      </c>
      <c r="L84" s="84">
        <f>IF('Final Calculation Sheet'!$K$16="","",'Final Calculation Sheet'!$K$16)</f>
        <v>363</v>
      </c>
      <c r="M84" s="84">
        <f>IF('Final Calculation Sheet'!$L$16="","",'Final Calculation Sheet'!$L$16)</f>
        <v>15.4</v>
      </c>
      <c r="N84" s="84">
        <f>IF('Final Calculation Sheet'!$M$16="","",'Final Calculation Sheet'!$M$16)</f>
        <v>408.87</v>
      </c>
      <c r="O84" s="85">
        <f>IF('Final Calculation Sheet'!$N$16="","",'Final Calculation Sheet'!$N$16)</f>
        <v>6.93</v>
      </c>
      <c r="P84" s="84">
        <f>IF('Final Calculation Sheet'!$O$16="","",'Final Calculation Sheet'!$O$16)</f>
        <v>401.94</v>
      </c>
      <c r="Q84" s="84">
        <f>IF('Final Calculation Sheet'!$P$16="","",'Final Calculation Sheet'!$P$16)</f>
        <v>417</v>
      </c>
      <c r="R84" s="86">
        <f>IF('Final Calculation Sheet'!$Q$16="","",'Final Calculation Sheet'!$Q$16)</f>
        <v>0</v>
      </c>
      <c r="S84" s="84">
        <f>IF('Final Calculation Sheet'!$R$16="","",'Final Calculation Sheet'!$R$16)</f>
        <v>0</v>
      </c>
      <c r="T84" s="84">
        <f>IF('Final Calculation Sheet'!$S$16="","",'Final Calculation Sheet'!$S$16)</f>
        <v>18118</v>
      </c>
      <c r="U84" s="84">
        <f>IF('Final Calculation Sheet'!$T$16="","",'Final Calculation Sheet'!$T$16)</f>
        <v>3850</v>
      </c>
      <c r="V84" s="87">
        <f>IF('Final Calculation Sheet'!$U$16="","",'Final Calculation Sheet'!$U$16)</f>
        <v>3850</v>
      </c>
      <c r="W84" s="84" t="str">
        <f>IF('Final Calculation Sheet'!$V$16="","",'Final Calculation Sheet'!$V$16)</f>
        <v>11.08.2026</v>
      </c>
      <c r="X84" s="84">
        <f>IF('Final Calculation Sheet'!$W$16="","",'Final Calculation Sheet'!$W$16)</f>
        <v>14268</v>
      </c>
      <c r="Y84" s="84">
        <f>IF('Final Calculation Sheet'!$X$16="","",'Final Calculation Sheet'!$X$16)</f>
        <v>14267</v>
      </c>
      <c r="Z84" s="84" t="str">
        <f>IF('Final Calculation Sheet'!$Y$16="","",'Final Calculation Sheet'!$Y$16)</f>
        <v>11.08.2026</v>
      </c>
      <c r="AA84" s="84">
        <f ca="1">IF('Final Calculation Sheet'!$Z$16="","",'Final Calculation Sheet'!$Z$16)</f>
        <v>545.16</v>
      </c>
      <c r="AB84" s="84" t="str">
        <f>IF('Final Calculation Sheet'!$AA$16="","",'Final Calculation Sheet'!$AA$16)</f>
        <v/>
      </c>
      <c r="AC84" s="84" t="str">
        <f>IF('Final Calculation Sheet'!$AB$16="","",'Final Calculation Sheet'!$AB$16)</f>
        <v/>
      </c>
      <c r="AD84" s="84">
        <f>IF('Final Calculation Sheet'!$AC$16="","",'Final Calculation Sheet'!$AC$16)</f>
        <v>18117</v>
      </c>
      <c r="AE84" s="84">
        <f>IF('Final Calculation Sheet'!$AD$16="","",'Final Calculation Sheet'!$AD$16)</f>
        <v>1</v>
      </c>
      <c r="AF84" s="89" t="str">
        <f>IF('Final Calculation Sheet'!$AD$16="","",IF('Final Calculation Sheet'!$AD$16&lt;=5,"SETTLED","OUTSTANDING"))</f>
        <v>SETTLED</v>
      </c>
      <c r="AG84" s="84" t="str">
        <f>IF('Final Calculation Sheet'!$AF$16="","",'Final Calculation Sheet'!$AF$16)</f>
        <v>DR2640100019</v>
      </c>
      <c r="AH84" s="88">
        <f>IF('Final Calculation Sheet'!$AG$16="","",'Final Calculation Sheet'!$AG$16)</f>
        <v>1800003157</v>
      </c>
      <c r="AI84" s="84" t="str">
        <f>IF('Final Calculation Sheet'!$AH$16="","",'Final Calculation Sheet'!$AH$16)</f>
        <v>14.08.2026</v>
      </c>
    </row>
    <row r="85" spans="1:35" ht="15" customHeight="1" outlineLevel="1" x14ac:dyDescent="0.3">
      <c r="A85" s="62">
        <v>3</v>
      </c>
      <c r="B85" s="63">
        <f>IF('Final Calculation Sheet'!$F$17="","",'Final Calculation Sheet'!$F$17)</f>
        <v>2015</v>
      </c>
      <c r="C85" s="63" t="str">
        <f>IF('Final Calculation Sheet'!$G$17="","",'Final Calculation Sheet'!$G$17)</f>
        <v>STERLING ENTERPRISES</v>
      </c>
      <c r="D85" s="64" t="str">
        <f>IF('Final Calculation Sheet'!$B$17="","",'Final Calculation Sheet'!$B$17)</f>
        <v>Scrap of empty oil Barrels</v>
      </c>
      <c r="E85" s="64">
        <f>IF('Final Calculation Sheet'!$D$17="","",'Final Calculation Sheet'!$D$17)</f>
        <v>21978</v>
      </c>
      <c r="F85" s="64">
        <f>IF('Final Calculation Sheet'!$A$17="","",'Final Calculation Sheet'!$A$17)</f>
        <v>100</v>
      </c>
      <c r="G85" s="64" t="str">
        <f>IF('Final Calculation Sheet'!$E$17="","",'Final Calculation Sheet'!$E$17)</f>
        <v>NO</v>
      </c>
      <c r="H85" s="65">
        <f>IF('Final Calculation Sheet'!$C$17="","",'Final Calculation Sheet'!$C$17)</f>
        <v>710</v>
      </c>
      <c r="I85" s="65">
        <f>IF('Final Calculation Sheet'!$H$17="","",'Final Calculation Sheet'!$H$17)</f>
        <v>71000</v>
      </c>
      <c r="J85" s="65">
        <f>IF('Final Calculation Sheet'!$I$17="","",'Final Calculation Sheet'!$I$17)</f>
        <v>12780</v>
      </c>
      <c r="K85" s="65">
        <f>IF('Final Calculation Sheet'!$J$17="","",'Final Calculation Sheet'!$J$17)</f>
        <v>83780</v>
      </c>
      <c r="L85" s="65">
        <f>IF('Final Calculation Sheet'!$K$17="","",'Final Calculation Sheet'!$K$17)</f>
        <v>1676</v>
      </c>
      <c r="M85" s="65">
        <f>IF('Final Calculation Sheet'!$L$17="","",'Final Calculation Sheet'!$L$17)</f>
        <v>71</v>
      </c>
      <c r="N85" s="65">
        <f>IF('Final Calculation Sheet'!$M$17="","",'Final Calculation Sheet'!$M$17)</f>
        <v>1885.05</v>
      </c>
      <c r="O85" s="66">
        <f>IF('Final Calculation Sheet'!$N$17="","",'Final Calculation Sheet'!$N$17)</f>
        <v>31.95</v>
      </c>
      <c r="P85" s="65">
        <f>IF('Final Calculation Sheet'!$O$17="","",'Final Calculation Sheet'!$O$17)</f>
        <v>1853.1</v>
      </c>
      <c r="Q85" s="65">
        <f>IF('Final Calculation Sheet'!$P$17="","",'Final Calculation Sheet'!$P$17)</f>
        <v>1924</v>
      </c>
      <c r="R85" s="67">
        <f>IF('Final Calculation Sheet'!$Q$17="","",'Final Calculation Sheet'!$Q$17)</f>
        <v>0</v>
      </c>
      <c r="S85" s="65">
        <f>IF('Final Calculation Sheet'!$R$17="","",'Final Calculation Sheet'!$R$17)</f>
        <v>0</v>
      </c>
      <c r="T85" s="65">
        <f>IF('Final Calculation Sheet'!$S$17="","",'Final Calculation Sheet'!$S$17)</f>
        <v>83532</v>
      </c>
      <c r="U85" s="65">
        <f>IF('Final Calculation Sheet'!$T$17="","",'Final Calculation Sheet'!$T$17)</f>
        <v>17750</v>
      </c>
      <c r="V85" s="68">
        <f>IF('Final Calculation Sheet'!$U$17="","",'Final Calculation Sheet'!$U$17)</f>
        <v>17750</v>
      </c>
      <c r="W85" s="65" t="str">
        <f>IF('Final Calculation Sheet'!$V$17="","",'Final Calculation Sheet'!$V$17)</f>
        <v>11.08.2026</v>
      </c>
      <c r="X85" s="65">
        <f>IF('Final Calculation Sheet'!$W$17="","",'Final Calculation Sheet'!$W$17)</f>
        <v>65782</v>
      </c>
      <c r="Y85" s="65">
        <f>IF('Final Calculation Sheet'!$X$17="","",'Final Calculation Sheet'!$X$17)</f>
        <v>65782</v>
      </c>
      <c r="Z85" s="65" t="str">
        <f>IF('Final Calculation Sheet'!$Y$17="","",'Final Calculation Sheet'!$Y$17)</f>
        <v>11.08.2026</v>
      </c>
      <c r="AA85" s="65">
        <f ca="1">IF('Final Calculation Sheet'!$Z$17="","",'Final Calculation Sheet'!$Z$17)</f>
        <v>2513.3999999999996</v>
      </c>
      <c r="AB85" s="65" t="str">
        <f>IF('Final Calculation Sheet'!$AA$17="","",'Final Calculation Sheet'!$AA$17)</f>
        <v/>
      </c>
      <c r="AC85" s="65" t="str">
        <f>IF('Final Calculation Sheet'!$AB$17="","",'Final Calculation Sheet'!$AB$17)</f>
        <v/>
      </c>
      <c r="AD85" s="65">
        <f>IF('Final Calculation Sheet'!$AC$17="","",'Final Calculation Sheet'!$AC$17)</f>
        <v>83532</v>
      </c>
      <c r="AE85" s="65">
        <f>IF('Final Calculation Sheet'!$AD$17="","",'Final Calculation Sheet'!$AD$17)</f>
        <v>0</v>
      </c>
      <c r="AF85" s="70" t="str">
        <f>IF('Final Calculation Sheet'!$AD$17="","",IF('Final Calculation Sheet'!$AD$17&lt;=5,"SETTLED","OUTSTANDING"))</f>
        <v>SETTLED</v>
      </c>
      <c r="AG85" s="65" t="str">
        <f>IF('Final Calculation Sheet'!$AF$17="","",'Final Calculation Sheet'!$AF$17)</f>
        <v>DR2640100020</v>
      </c>
      <c r="AH85" s="69">
        <f>IF('Final Calculation Sheet'!$AG$17="","",'Final Calculation Sheet'!$AG$17)</f>
        <v>1800003158</v>
      </c>
      <c r="AI85" s="65" t="str">
        <f>IF('Final Calculation Sheet'!$AH$17="","",'Final Calculation Sheet'!$AH$17)</f>
        <v>14.08.2026</v>
      </c>
    </row>
    <row r="86" spans="1:35" ht="15" customHeight="1" outlineLevel="1" x14ac:dyDescent="0.3">
      <c r="A86" s="81">
        <v>4</v>
      </c>
      <c r="B86" s="82">
        <f>IF('Final Calculation Sheet'!$F$23="","",'Final Calculation Sheet'!$F$23)</f>
        <v>2025</v>
      </c>
      <c r="C86" s="82" t="str">
        <f>IF('Final Calculation Sheet'!$G$23="","",'Final Calculation Sheet'!$G$23)</f>
        <v>STERLING ENTERPRISES</v>
      </c>
      <c r="D86" s="83" t="str">
        <f>IF('Final Calculation Sheet'!$B$23="","",'Final Calculation Sheet'!$B$23)</f>
        <v>Scrap of empty oil Barrels</v>
      </c>
      <c r="E86" s="83">
        <f>IF('Final Calculation Sheet'!$D$23="","",'Final Calculation Sheet'!$D$23)</f>
        <v>21978</v>
      </c>
      <c r="F86" s="83">
        <f>IF('Final Calculation Sheet'!$A$23="","",'Final Calculation Sheet'!$A$23)</f>
        <v>90</v>
      </c>
      <c r="G86" s="83" t="str">
        <f>IF('Final Calculation Sheet'!$E$23="","",'Final Calculation Sheet'!$E$23)</f>
        <v>NO</v>
      </c>
      <c r="H86" s="84">
        <f>IF('Final Calculation Sheet'!$C$23="","",'Final Calculation Sheet'!$C$23)</f>
        <v>700</v>
      </c>
      <c r="I86" s="84">
        <f>IF('Final Calculation Sheet'!$H$23="","",'Final Calculation Sheet'!$H$23)</f>
        <v>63000</v>
      </c>
      <c r="J86" s="84">
        <f>IF('Final Calculation Sheet'!$I$23="","",'Final Calculation Sheet'!$I$23)</f>
        <v>11340</v>
      </c>
      <c r="K86" s="84">
        <f>IF('Final Calculation Sheet'!$J$23="","",'Final Calculation Sheet'!$J$23)</f>
        <v>74340</v>
      </c>
      <c r="L86" s="84">
        <f>IF('Final Calculation Sheet'!$K$23="","",'Final Calculation Sheet'!$K$23)</f>
        <v>1487</v>
      </c>
      <c r="M86" s="84">
        <f>IF('Final Calculation Sheet'!$L$23="","",'Final Calculation Sheet'!$L$23)</f>
        <v>63</v>
      </c>
      <c r="N86" s="84">
        <f>IF('Final Calculation Sheet'!$M$23="","",'Final Calculation Sheet'!$M$23)</f>
        <v>1672.6499999999999</v>
      </c>
      <c r="O86" s="85">
        <f>IF('Final Calculation Sheet'!$N$23="","",'Final Calculation Sheet'!$N$23)</f>
        <v>28.35</v>
      </c>
      <c r="P86" s="84">
        <f>IF('Final Calculation Sheet'!$O$23="","",'Final Calculation Sheet'!$O$23)</f>
        <v>1644.3</v>
      </c>
      <c r="Q86" s="84">
        <f>IF('Final Calculation Sheet'!$P$23="","",'Final Calculation Sheet'!$P$23)</f>
        <v>1707</v>
      </c>
      <c r="R86" s="86">
        <f>IF('Final Calculation Sheet'!$Q$23="","",'Final Calculation Sheet'!$Q$23)</f>
        <v>0</v>
      </c>
      <c r="S86" s="84">
        <f>IF('Final Calculation Sheet'!$R$23="","",'Final Calculation Sheet'!$R$23)</f>
        <v>0</v>
      </c>
      <c r="T86" s="84">
        <f>IF('Final Calculation Sheet'!$S$23="","",'Final Calculation Sheet'!$S$23)</f>
        <v>74120</v>
      </c>
      <c r="U86" s="84">
        <f>IF('Final Calculation Sheet'!$T$23="","",'Final Calculation Sheet'!$T$23)</f>
        <v>15750</v>
      </c>
      <c r="V86" s="87">
        <f>IF('Final Calculation Sheet'!$U$23="","",'Final Calculation Sheet'!$U$23)</f>
        <v>15750</v>
      </c>
      <c r="W86" s="84" t="str">
        <f>IF('Final Calculation Sheet'!$V$23="","",'Final Calculation Sheet'!$V$23)</f>
        <v>11.08.2026</v>
      </c>
      <c r="X86" s="84">
        <f>IF('Final Calculation Sheet'!$W$23="","",'Final Calculation Sheet'!$W$23)</f>
        <v>58370</v>
      </c>
      <c r="Y86" s="84">
        <f>IF('Final Calculation Sheet'!$X$23="","",'Final Calculation Sheet'!$X$23)</f>
        <v>58418</v>
      </c>
      <c r="Z86" s="84" t="str">
        <f>IF('Final Calculation Sheet'!$Y$23="","",'Final Calculation Sheet'!$Y$23)</f>
        <v>11.08.2026</v>
      </c>
      <c r="AA86" s="84">
        <f ca="1">IF('Final Calculation Sheet'!$Z$23="","",'Final Calculation Sheet'!$Z$23)</f>
        <v>2230.1999999999998</v>
      </c>
      <c r="AB86" s="84" t="str">
        <f>IF('Final Calculation Sheet'!$AA$23="","",'Final Calculation Sheet'!$AA$23)</f>
        <v/>
      </c>
      <c r="AC86" s="84" t="str">
        <f>IF('Final Calculation Sheet'!$AB$23="","",'Final Calculation Sheet'!$AB$23)</f>
        <v/>
      </c>
      <c r="AD86" s="84">
        <f>IF('Final Calculation Sheet'!$AC$23="","",'Final Calculation Sheet'!$AC$23)</f>
        <v>74168</v>
      </c>
      <c r="AE86" s="84">
        <f>IF('Final Calculation Sheet'!$AD$23="","",'Final Calculation Sheet'!$AD$23)</f>
        <v>-48</v>
      </c>
      <c r="AF86" s="89" t="str">
        <f>IF('Final Calculation Sheet'!$AD$23="","",IF('Final Calculation Sheet'!$AD$23&lt;=5,"SETTLED","OUTSTANDING"))</f>
        <v>SETTLED</v>
      </c>
      <c r="AG86" s="84" t="str">
        <f>IF('Final Calculation Sheet'!$AF$23="","",'Final Calculation Sheet'!$AF$23)</f>
        <v>DR2640100021</v>
      </c>
      <c r="AH86" s="88">
        <f>IF('Final Calculation Sheet'!$AG$23="","",'Final Calculation Sheet'!$AG$23)</f>
        <v>1800003160</v>
      </c>
      <c r="AI86" s="84" t="str">
        <f>IF('Final Calculation Sheet'!$AH$23="","",'Final Calculation Sheet'!$AH$23)</f>
        <v>14.08.2026</v>
      </c>
    </row>
    <row r="87" spans="1:35" ht="15" customHeight="1" outlineLevel="1" x14ac:dyDescent="0.3">
      <c r="A87" s="62">
        <v>5</v>
      </c>
      <c r="B87" s="63">
        <f>IF('Final Calculation Sheet'!$F$29="","",'Final Calculation Sheet'!$F$29)</f>
        <v>2040</v>
      </c>
      <c r="C87" s="63" t="str">
        <f>IF('Final Calculation Sheet'!$G$29="","",'Final Calculation Sheet'!$G$29)</f>
        <v>STERLING ENTERPRISES</v>
      </c>
      <c r="D87" s="64" t="str">
        <f>IF('Final Calculation Sheet'!$B$29="","",'Final Calculation Sheet'!$B$29)</f>
        <v>Scrap of 33 KV CT</v>
      </c>
      <c r="E87" s="64">
        <f>IF('Final Calculation Sheet'!$D$29="","",'Final Calculation Sheet'!$D$29)</f>
        <v>21978</v>
      </c>
      <c r="F87" s="64">
        <f>IF('Final Calculation Sheet'!$A$29="","",'Final Calculation Sheet'!$A$29)</f>
        <v>3</v>
      </c>
      <c r="G87" s="64" t="str">
        <f>IF('Final Calculation Sheet'!$E$29="","",'Final Calculation Sheet'!$E$29)</f>
        <v>NO</v>
      </c>
      <c r="H87" s="65">
        <f>IF('Final Calculation Sheet'!$C$29="","",'Final Calculation Sheet'!$C$29)</f>
        <v>90002</v>
      </c>
      <c r="I87" s="65">
        <f>IF('Final Calculation Sheet'!$H$29="","",'Final Calculation Sheet'!$H$29)</f>
        <v>270006</v>
      </c>
      <c r="J87" s="65">
        <f>IF('Final Calculation Sheet'!$I$29="","",'Final Calculation Sheet'!$I$29)</f>
        <v>48601</v>
      </c>
      <c r="K87" s="65">
        <f>IF('Final Calculation Sheet'!$J$29="","",'Final Calculation Sheet'!$J$29)</f>
        <v>318607</v>
      </c>
      <c r="L87" s="65">
        <f>IF('Final Calculation Sheet'!$K$29="","",'Final Calculation Sheet'!$K$29)</f>
        <v>6372</v>
      </c>
      <c r="M87" s="65">
        <f>IF('Final Calculation Sheet'!$L$29="","",'Final Calculation Sheet'!$L$29)</f>
        <v>270.00600000000003</v>
      </c>
      <c r="N87" s="65">
        <f>IF('Final Calculation Sheet'!$M$29="","",'Final Calculation Sheet'!$M$29)</f>
        <v>7168.6593000000003</v>
      </c>
      <c r="O87" s="66">
        <f>IF('Final Calculation Sheet'!$N$29="","",'Final Calculation Sheet'!$N$29)</f>
        <v>121.5027</v>
      </c>
      <c r="P87" s="65">
        <f>IF('Final Calculation Sheet'!$O$29="","",'Final Calculation Sheet'!$O$29)</f>
        <v>7047.1566000000003</v>
      </c>
      <c r="Q87" s="65">
        <f>IF('Final Calculation Sheet'!$P$29="","",'Final Calculation Sheet'!$P$29)</f>
        <v>7317</v>
      </c>
      <c r="R87" s="67">
        <f>IF('Final Calculation Sheet'!$Q$29="","",'Final Calculation Sheet'!$Q$29)</f>
        <v>0</v>
      </c>
      <c r="S87" s="65">
        <f>IF('Final Calculation Sheet'!$R$29="","",'Final Calculation Sheet'!$R$29)</f>
        <v>0</v>
      </c>
      <c r="T87" s="65">
        <f>IF('Final Calculation Sheet'!$S$29="","",'Final Calculation Sheet'!$S$29)</f>
        <v>317662</v>
      </c>
      <c r="U87" s="65">
        <f>IF('Final Calculation Sheet'!$T$29="","",'Final Calculation Sheet'!$T$29)</f>
        <v>67502</v>
      </c>
      <c r="V87" s="68">
        <f>IF('Final Calculation Sheet'!$U$29="","",'Final Calculation Sheet'!$U$29)</f>
        <v>67502</v>
      </c>
      <c r="W87" s="65" t="str">
        <f>IF('Final Calculation Sheet'!$V$29="","",'Final Calculation Sheet'!$V$29)</f>
        <v>11.08.2026</v>
      </c>
      <c r="X87" s="65">
        <f>IF('Final Calculation Sheet'!$W$29="","",'Final Calculation Sheet'!$W$29)</f>
        <v>250161</v>
      </c>
      <c r="Y87" s="65" t="str">
        <f>IF('Final Calculation Sheet'!$X$29="","",'Final Calculation Sheet'!$X$29)</f>
        <v/>
      </c>
      <c r="Z87" s="65">
        <f>IF('Final Calculation Sheet'!$Y$29="","",'Final Calculation Sheet'!$Y$29)</f>
        <v>0</v>
      </c>
      <c r="AA87" s="65">
        <f ca="1">IF('Final Calculation Sheet'!$Z$29="","",'Final Calculation Sheet'!$Z$29)</f>
        <v>9558.2124000000003</v>
      </c>
      <c r="AB87" s="65" t="str">
        <f>IF('Final Calculation Sheet'!$AA$29="","",'Final Calculation Sheet'!$AA$29)</f>
        <v/>
      </c>
      <c r="AC87" s="65" t="str">
        <f>IF('Final Calculation Sheet'!$AB$29="","",'Final Calculation Sheet'!$AB$29)</f>
        <v/>
      </c>
      <c r="AD87" s="65">
        <f>IF('Final Calculation Sheet'!$AC$29="","",'Final Calculation Sheet'!$AC$29)</f>
        <v>67502</v>
      </c>
      <c r="AE87" s="65">
        <f>IF('Final Calculation Sheet'!$AD$29="","",'Final Calculation Sheet'!$AD$29)</f>
        <v>250160</v>
      </c>
      <c r="AF87" s="70" t="str">
        <f>IF('Final Calculation Sheet'!$AD$29="","",IF('Final Calculation Sheet'!$AD$29&lt;=5,"SETTLED","OUTSTANDING"))</f>
        <v>OUTSTANDING</v>
      </c>
      <c r="AG87" s="65" t="str">
        <f>IF('Final Calculation Sheet'!$AF$29="","",'Final Calculation Sheet'!$AF$29)</f>
        <v/>
      </c>
      <c r="AH87" s="69" t="str">
        <f>IF('Final Calculation Sheet'!$AG$29="","",'Final Calculation Sheet'!$AG$29)</f>
        <v/>
      </c>
      <c r="AI87" s="65" t="str">
        <f>IF('Final Calculation Sheet'!$AH$29="","",'Final Calculation Sheet'!$AH$29)</f>
        <v/>
      </c>
    </row>
    <row r="88" spans="1:35" ht="15" customHeight="1" outlineLevel="1" x14ac:dyDescent="0.3">
      <c r="A88" s="81">
        <v>6</v>
      </c>
      <c r="B88" s="82">
        <f>IF('Final Calculation Sheet'!$F$34="","",'Final Calculation Sheet'!$F$34)</f>
        <v>2062</v>
      </c>
      <c r="C88" s="82" t="str">
        <f>IF('Final Calculation Sheet'!$G$34="","",'Final Calculation Sheet'!$G$34)</f>
        <v>STERLING ENTERPRISES</v>
      </c>
      <c r="D88" s="83" t="str">
        <f>IF('Final Calculation Sheet'!$B$34="","",'Final Calculation Sheet'!$B$34)</f>
        <v>Scrap of Empty oil Barrels</v>
      </c>
      <c r="E88" s="83">
        <f>IF('Final Calculation Sheet'!$D$34="","",'Final Calculation Sheet'!$D$34)</f>
        <v>21979</v>
      </c>
      <c r="F88" s="83">
        <f>IF('Final Calculation Sheet'!$A$34="","",'Final Calculation Sheet'!$A$34)</f>
        <v>30</v>
      </c>
      <c r="G88" s="83" t="str">
        <f>IF('Final Calculation Sheet'!$E$34="","",'Final Calculation Sheet'!$E$34)</f>
        <v>NO</v>
      </c>
      <c r="H88" s="84">
        <f>IF('Final Calculation Sheet'!$C$34="","",'Final Calculation Sheet'!$C$34)</f>
        <v>702</v>
      </c>
      <c r="I88" s="84">
        <f>IF('Final Calculation Sheet'!$H$34="","",'Final Calculation Sheet'!$H$34)</f>
        <v>21060</v>
      </c>
      <c r="J88" s="84">
        <f>IF('Final Calculation Sheet'!$I$34="","",'Final Calculation Sheet'!$I$34)</f>
        <v>3791</v>
      </c>
      <c r="K88" s="84">
        <f>IF('Final Calculation Sheet'!$J$34="","",'Final Calculation Sheet'!$J$34)</f>
        <v>24851</v>
      </c>
      <c r="L88" s="84">
        <f>IF('Final Calculation Sheet'!$K$34="","",'Final Calculation Sheet'!$K$34)</f>
        <v>497</v>
      </c>
      <c r="M88" s="84">
        <f>IF('Final Calculation Sheet'!$L$34="","",'Final Calculation Sheet'!$L$34)</f>
        <v>21.06</v>
      </c>
      <c r="N88" s="84">
        <f>IF('Final Calculation Sheet'!$M$34="","",'Final Calculation Sheet'!$M$34)</f>
        <v>559.14299999999992</v>
      </c>
      <c r="O88" s="85">
        <f>IF('Final Calculation Sheet'!$N$34="","",'Final Calculation Sheet'!$N$34)</f>
        <v>9.4770000000000003</v>
      </c>
      <c r="P88" s="84">
        <f>IF('Final Calculation Sheet'!$O$34="","",'Final Calculation Sheet'!$O$34)</f>
        <v>549.66599999999994</v>
      </c>
      <c r="Q88" s="84">
        <f>IF('Final Calculation Sheet'!$P$34="","",'Final Calculation Sheet'!$P$34)</f>
        <v>571</v>
      </c>
      <c r="R88" s="86">
        <f>IF('Final Calculation Sheet'!$Q$34="","",'Final Calculation Sheet'!$Q$34)</f>
        <v>0</v>
      </c>
      <c r="S88" s="84">
        <f>IF('Final Calculation Sheet'!$R$34="","",'Final Calculation Sheet'!$R$34)</f>
        <v>0</v>
      </c>
      <c r="T88" s="84">
        <f>IF('Final Calculation Sheet'!$S$34="","",'Final Calculation Sheet'!$S$34)</f>
        <v>24777</v>
      </c>
      <c r="U88" s="84">
        <f>IF('Final Calculation Sheet'!$T$34="","",'Final Calculation Sheet'!$T$34)</f>
        <v>5265</v>
      </c>
      <c r="V88" s="87">
        <f>IF('Final Calculation Sheet'!$U$34="","",'Final Calculation Sheet'!$U$34)</f>
        <v>5265</v>
      </c>
      <c r="W88" s="84" t="str">
        <f>IF('Final Calculation Sheet'!$V$34="","",'Final Calculation Sheet'!$V$34)</f>
        <v>11.08.2026</v>
      </c>
      <c r="X88" s="84">
        <f>IF('Final Calculation Sheet'!$W$34="","",'Final Calculation Sheet'!$W$34)</f>
        <v>19512</v>
      </c>
      <c r="Y88" s="84">
        <f>IF('Final Calculation Sheet'!$X$34="","",'Final Calculation Sheet'!$X$34)</f>
        <v>19512</v>
      </c>
      <c r="Z88" s="84" t="str">
        <f>IF('Final Calculation Sheet'!$Y$34="","",'Final Calculation Sheet'!$Y$34)</f>
        <v>11.08.2026</v>
      </c>
      <c r="AA88" s="84">
        <f ca="1">IF('Final Calculation Sheet'!$Z$34="","",'Final Calculation Sheet'!$Z$34)</f>
        <v>745.52399999999989</v>
      </c>
      <c r="AB88" s="84" t="str">
        <f>IF('Final Calculation Sheet'!$AA$34="","",'Final Calculation Sheet'!$AA$34)</f>
        <v/>
      </c>
      <c r="AC88" s="84" t="str">
        <f>IF('Final Calculation Sheet'!$AB$34="","",'Final Calculation Sheet'!$AB$34)</f>
        <v/>
      </c>
      <c r="AD88" s="84">
        <f>IF('Final Calculation Sheet'!$AC$34="","",'Final Calculation Sheet'!$AC$34)</f>
        <v>24777</v>
      </c>
      <c r="AE88" s="84">
        <f>IF('Final Calculation Sheet'!$AD$34="","",'Final Calculation Sheet'!$AD$34)</f>
        <v>0</v>
      </c>
      <c r="AF88" s="89" t="str">
        <f>IF('Final Calculation Sheet'!$AD$34="","",IF('Final Calculation Sheet'!$AD$34&lt;=5,"SETTLED","OUTSTANDING"))</f>
        <v>SETTLED</v>
      </c>
      <c r="AG88" s="84" t="str">
        <f>IF('Final Calculation Sheet'!$AF$34="","",'Final Calculation Sheet'!$AF$34)</f>
        <v>DR2640100022</v>
      </c>
      <c r="AH88" s="88">
        <f>IF('Final Calculation Sheet'!$AG$34="","",'Final Calculation Sheet'!$AG$34)</f>
        <v>1800003161</v>
      </c>
      <c r="AI88" s="84" t="str">
        <f>IF('Final Calculation Sheet'!$AH$34="","",'Final Calculation Sheet'!$AH$34)</f>
        <v>14.08.2026</v>
      </c>
    </row>
    <row r="89" spans="1:35" ht="15" customHeight="1" outlineLevel="1" x14ac:dyDescent="0.3">
      <c r="A89" s="62">
        <v>7</v>
      </c>
      <c r="B89" s="63">
        <f>IF('Final Calculation Sheet'!$F$36="","",'Final Calculation Sheet'!$F$36)</f>
        <v>2069</v>
      </c>
      <c r="C89" s="63" t="str">
        <f>IF('Final Calculation Sheet'!$G$36="","",'Final Calculation Sheet'!$G$36)</f>
        <v>STERLING ENTERPRISES</v>
      </c>
      <c r="D89" s="64" t="str">
        <f>IF('Final Calculation Sheet'!$B$36="","",'Final Calculation Sheet'!$B$36)</f>
        <v>Scrap of 33 KV CB</v>
      </c>
      <c r="E89" s="64">
        <f>IF('Final Calculation Sheet'!$D$36="","",'Final Calculation Sheet'!$D$36)</f>
        <v>21980</v>
      </c>
      <c r="F89" s="64">
        <f>IF('Final Calculation Sheet'!$A$36="","",'Final Calculation Sheet'!$A$36)</f>
        <v>1</v>
      </c>
      <c r="G89" s="64" t="str">
        <f>IF('Final Calculation Sheet'!$E$36="","",'Final Calculation Sheet'!$E$36)</f>
        <v>NO</v>
      </c>
      <c r="H89" s="65">
        <f>IF('Final Calculation Sheet'!$C$36="","",'Final Calculation Sheet'!$C$36)</f>
        <v>54000</v>
      </c>
      <c r="I89" s="65">
        <f>IF('Final Calculation Sheet'!$H$36="","",'Final Calculation Sheet'!$H$36)</f>
        <v>54000</v>
      </c>
      <c r="J89" s="65">
        <f>IF('Final Calculation Sheet'!$I$36="","",'Final Calculation Sheet'!$I$36)</f>
        <v>9720</v>
      </c>
      <c r="K89" s="65">
        <f>IF('Final Calculation Sheet'!$J$36="","",'Final Calculation Sheet'!$J$36)</f>
        <v>63720</v>
      </c>
      <c r="L89" s="65">
        <f>IF('Final Calculation Sheet'!$K$36="","",'Final Calculation Sheet'!$K$36)</f>
        <v>1274</v>
      </c>
      <c r="M89" s="65">
        <f>IF('Final Calculation Sheet'!$L$36="","",'Final Calculation Sheet'!$L$36)</f>
        <v>54</v>
      </c>
      <c r="N89" s="65">
        <f>IF('Final Calculation Sheet'!$M$36="","",'Final Calculation Sheet'!$M$36)</f>
        <v>1433.6999999999998</v>
      </c>
      <c r="O89" s="66">
        <f>IF('Final Calculation Sheet'!$N$36="","",'Final Calculation Sheet'!$N$36)</f>
        <v>24.3</v>
      </c>
      <c r="P89" s="65">
        <f>IF('Final Calculation Sheet'!$O$36="","",'Final Calculation Sheet'!$O$36)</f>
        <v>1409.3999999999999</v>
      </c>
      <c r="Q89" s="65">
        <f>IF('Final Calculation Sheet'!$P$36="","",'Final Calculation Sheet'!$P$36)</f>
        <v>1463</v>
      </c>
      <c r="R89" s="67">
        <f>IF('Final Calculation Sheet'!$Q$36="","",'Final Calculation Sheet'!$Q$36)</f>
        <v>0</v>
      </c>
      <c r="S89" s="65">
        <f>IF('Final Calculation Sheet'!$R$36="","",'Final Calculation Sheet'!$R$36)</f>
        <v>0</v>
      </c>
      <c r="T89" s="65">
        <f>IF('Final Calculation Sheet'!$S$36="","",'Final Calculation Sheet'!$S$36)</f>
        <v>63531</v>
      </c>
      <c r="U89" s="65">
        <f>IF('Final Calculation Sheet'!$T$36="","",'Final Calculation Sheet'!$T$36)</f>
        <v>13500</v>
      </c>
      <c r="V89" s="68">
        <f>IF('Final Calculation Sheet'!$U$36="","",'Final Calculation Sheet'!$U$36)</f>
        <v>13500</v>
      </c>
      <c r="W89" s="65" t="str">
        <f>IF('Final Calculation Sheet'!$V$36="","",'Final Calculation Sheet'!$V$36)</f>
        <v>11.08.2026</v>
      </c>
      <c r="X89" s="65">
        <f>IF('Final Calculation Sheet'!$W$36="","",'Final Calculation Sheet'!$W$36)</f>
        <v>50031</v>
      </c>
      <c r="Y89" s="65" t="str">
        <f>IF('Final Calculation Sheet'!$X$36="","",'Final Calculation Sheet'!$X$36)</f>
        <v/>
      </c>
      <c r="Z89" s="65">
        <f>IF('Final Calculation Sheet'!$Y$36="","",'Final Calculation Sheet'!$Y$36)</f>
        <v>0</v>
      </c>
      <c r="AA89" s="65">
        <f ca="1">IF('Final Calculation Sheet'!$Z$36="","",'Final Calculation Sheet'!$Z$36)</f>
        <v>1911.6</v>
      </c>
      <c r="AB89" s="65" t="str">
        <f>IF('Final Calculation Sheet'!$AA$36="","",'Final Calculation Sheet'!$AA$36)</f>
        <v/>
      </c>
      <c r="AC89" s="65" t="str">
        <f>IF('Final Calculation Sheet'!$AB$36="","",'Final Calculation Sheet'!$AB$36)</f>
        <v/>
      </c>
      <c r="AD89" s="65">
        <f>IF('Final Calculation Sheet'!$AC$36="","",'Final Calculation Sheet'!$AC$36)</f>
        <v>13500</v>
      </c>
      <c r="AE89" s="65">
        <f>IF('Final Calculation Sheet'!$AD$36="","",'Final Calculation Sheet'!$AD$36)</f>
        <v>50031</v>
      </c>
      <c r="AF89" s="70" t="str">
        <f>IF('Final Calculation Sheet'!$AD$36="","",IF('Final Calculation Sheet'!$AD$36&lt;=5,"SETTLED","OUTSTANDING"))</f>
        <v>OUTSTANDING</v>
      </c>
      <c r="AG89" s="65" t="str">
        <f>IF('Final Calculation Sheet'!$AF$36="","",'Final Calculation Sheet'!$AF$36)</f>
        <v/>
      </c>
      <c r="AH89" s="69" t="str">
        <f>IF('Final Calculation Sheet'!$AG$36="","",'Final Calculation Sheet'!$AG$36)</f>
        <v/>
      </c>
      <c r="AI89" s="65" t="str">
        <f>IF('Final Calculation Sheet'!$AH$36="","",'Final Calculation Sheet'!$AH$36)</f>
        <v/>
      </c>
    </row>
    <row r="90" spans="1:35" ht="15" customHeight="1" x14ac:dyDescent="0.3">
      <c r="A90" s="73" t="s">
        <v>182</v>
      </c>
      <c r="B90" s="74"/>
      <c r="C90" s="74" t="str">
        <f>ROWS($C$83:$C$89)&amp;" lot(s)"</f>
        <v>7 lot(s)</v>
      </c>
      <c r="D90" s="74" t="s">
        <v>195</v>
      </c>
      <c r="E90" s="74" t="s">
        <v>184</v>
      </c>
      <c r="F90" s="74">
        <f>SUM(F83:F89)</f>
        <v>271</v>
      </c>
      <c r="G90" s="74" t="s">
        <v>184</v>
      </c>
      <c r="H90" s="75" t="s">
        <v>184</v>
      </c>
      <c r="I90" s="75">
        <f t="shared" ref="I90:Q90" si="11">SUM(I83:I89)</f>
        <v>511966</v>
      </c>
      <c r="J90" s="75">
        <f t="shared" si="11"/>
        <v>92154</v>
      </c>
      <c r="K90" s="75">
        <f t="shared" si="11"/>
        <v>604120</v>
      </c>
      <c r="L90" s="75">
        <f t="shared" si="11"/>
        <v>12082</v>
      </c>
      <c r="M90" s="75">
        <f t="shared" si="11"/>
        <v>511.96600000000007</v>
      </c>
      <c r="N90" s="75">
        <f t="shared" si="11"/>
        <v>13592.6973</v>
      </c>
      <c r="O90" s="76">
        <f t="shared" si="11"/>
        <v>230.38470000000001</v>
      </c>
      <c r="P90" s="75">
        <f t="shared" si="11"/>
        <v>13362.312599999999</v>
      </c>
      <c r="Q90" s="75">
        <f t="shared" si="11"/>
        <v>13873</v>
      </c>
      <c r="R90" s="77" t="s">
        <v>184</v>
      </c>
      <c r="S90" s="75">
        <f>SUM(S83:S89)</f>
        <v>0</v>
      </c>
      <c r="T90" s="75">
        <f>SUM(T83:T89)</f>
        <v>602329</v>
      </c>
      <c r="U90" s="75">
        <f>SUM(U83:U89)</f>
        <v>127992</v>
      </c>
      <c r="V90" s="78">
        <f>SUM(V83:V89)</f>
        <v>127992</v>
      </c>
      <c r="W90" s="75" t="s">
        <v>184</v>
      </c>
      <c r="X90" s="75">
        <f>SUM(X83:X89)</f>
        <v>474338</v>
      </c>
      <c r="Y90" s="75">
        <f>SUM(Y83:Y89)</f>
        <v>174193</v>
      </c>
      <c r="Z90" s="75" t="s">
        <v>184</v>
      </c>
      <c r="AA90" s="75">
        <f ca="1">SUM(AA83:AA89)</f>
        <v>18123.596399999999</v>
      </c>
      <c r="AB90" s="75">
        <f>SUM(AB83:AB89)</f>
        <v>0</v>
      </c>
      <c r="AC90" s="75" t="s">
        <v>184</v>
      </c>
      <c r="AD90" s="75">
        <f>SUM(AD83:AD89)</f>
        <v>302185</v>
      </c>
      <c r="AE90" s="75">
        <f>SUM(AE83:AE89)</f>
        <v>300144</v>
      </c>
      <c r="AF90" s="80" t="str">
        <f>IF(AE90&lt;=5,"SETTLED","OUTSTANDING")</f>
        <v>OUTSTANDING</v>
      </c>
      <c r="AG90" s="75" t="s">
        <v>184</v>
      </c>
      <c r="AH90" s="79" t="s">
        <v>184</v>
      </c>
      <c r="AI90" s="75" t="s">
        <v>184</v>
      </c>
    </row>
    <row r="91" spans="1:35" ht="15" customHeight="1" outlineLevel="1" x14ac:dyDescent="0.3">
      <c r="A91" s="62">
        <v>1</v>
      </c>
      <c r="B91" s="63">
        <f>IF('Final Calculation Sheet'!$F$25="","",'Final Calculation Sheet'!$F$25)</f>
        <v>2033</v>
      </c>
      <c r="C91" s="63" t="str">
        <f>IF('Final Calculation Sheet'!$G$25="","",'Final Calculation Sheet'!$G$25)</f>
        <v>WATAN SCRAP TRADERS</v>
      </c>
      <c r="D91" s="64" t="str">
        <f>IF('Final Calculation Sheet'!$B$25="","",'Final Calculation Sheet'!$B$25)</f>
        <v>Scrap Empty Oil Drum/ Barrel</v>
      </c>
      <c r="E91" s="64">
        <f>IF('Final Calculation Sheet'!$D$25="","",'Final Calculation Sheet'!$D$25)</f>
        <v>21978</v>
      </c>
      <c r="F91" s="64">
        <f>IF('Final Calculation Sheet'!$A$25="","",'Final Calculation Sheet'!$A$25)</f>
        <v>1000</v>
      </c>
      <c r="G91" s="64" t="str">
        <f>IF('Final Calculation Sheet'!$E$25="","",'Final Calculation Sheet'!$E$25)</f>
        <v>NO</v>
      </c>
      <c r="H91" s="65">
        <f>IF('Final Calculation Sheet'!$C$25="","",'Final Calculation Sheet'!$C$25)</f>
        <v>517</v>
      </c>
      <c r="I91" s="65">
        <f>IF('Final Calculation Sheet'!$H$25="","",'Final Calculation Sheet'!$H$25)</f>
        <v>517000</v>
      </c>
      <c r="J91" s="65">
        <f>IF('Final Calculation Sheet'!$I$25="","",'Final Calculation Sheet'!$I$25)</f>
        <v>93060</v>
      </c>
      <c r="K91" s="65">
        <f>IF('Final Calculation Sheet'!$J$25="","",'Final Calculation Sheet'!$J$25)</f>
        <v>610060</v>
      </c>
      <c r="L91" s="65">
        <f>IF('Final Calculation Sheet'!$K$25="","",'Final Calculation Sheet'!$K$25)</f>
        <v>12201</v>
      </c>
      <c r="M91" s="65">
        <f>IF('Final Calculation Sheet'!$L$25="","",'Final Calculation Sheet'!$L$25)</f>
        <v>517</v>
      </c>
      <c r="N91" s="65">
        <f>IF('Final Calculation Sheet'!$M$25="","",'Final Calculation Sheet'!$M$25)</f>
        <v>13726.349999999999</v>
      </c>
      <c r="O91" s="66">
        <f>IF('Final Calculation Sheet'!$N$25="","",'Final Calculation Sheet'!$N$25)</f>
        <v>232.65</v>
      </c>
      <c r="P91" s="65">
        <f>IF('Final Calculation Sheet'!$O$25="","",'Final Calculation Sheet'!$O$25)</f>
        <v>13493.699999999999</v>
      </c>
      <c r="Q91" s="65">
        <f>IF('Final Calculation Sheet'!$P$25="","",'Final Calculation Sheet'!$P$25)</f>
        <v>14011</v>
      </c>
      <c r="R91" s="67">
        <f>IF('Final Calculation Sheet'!$Q$25="","",'Final Calculation Sheet'!$Q$25)</f>
        <v>0</v>
      </c>
      <c r="S91" s="65">
        <f>IF('Final Calculation Sheet'!$R$25="","",'Final Calculation Sheet'!$R$25)</f>
        <v>0</v>
      </c>
      <c r="T91" s="65">
        <f>IF('Final Calculation Sheet'!$S$25="","",'Final Calculation Sheet'!$S$25)</f>
        <v>608251</v>
      </c>
      <c r="U91" s="65">
        <f>IF('Final Calculation Sheet'!$T$25="","",'Final Calculation Sheet'!$T$25)</f>
        <v>129250</v>
      </c>
      <c r="V91" s="68">
        <f>IF('Final Calculation Sheet'!$U$25="","",'Final Calculation Sheet'!$U$25)</f>
        <v>129250</v>
      </c>
      <c r="W91" s="65" t="str">
        <f>IF('Final Calculation Sheet'!$V$25="","",'Final Calculation Sheet'!$V$25)</f>
        <v>14.08.2026</v>
      </c>
      <c r="X91" s="65">
        <f>IF('Final Calculation Sheet'!$W$25="","",'Final Calculation Sheet'!$W$25)</f>
        <v>479001</v>
      </c>
      <c r="Y91" s="65">
        <f>IF('Final Calculation Sheet'!$X$25="","",'Final Calculation Sheet'!$X$25)</f>
        <v>479001</v>
      </c>
      <c r="Z91" s="65" t="str">
        <f>IF('Final Calculation Sheet'!$Y$25="","",'Final Calculation Sheet'!$Y$25)</f>
        <v>21.08.2026</v>
      </c>
      <c r="AA91" s="65">
        <f ca="1">IF('Final Calculation Sheet'!$Z$25="","",'Final Calculation Sheet'!$Z$25)</f>
        <v>18301.8</v>
      </c>
      <c r="AB91" s="65" t="str">
        <f>IF('Final Calculation Sheet'!$AA$25="","",'Final Calculation Sheet'!$AA$25)</f>
        <v/>
      </c>
      <c r="AC91" s="65" t="str">
        <f>IF('Final Calculation Sheet'!$AB$25="","",'Final Calculation Sheet'!$AB$25)</f>
        <v/>
      </c>
      <c r="AD91" s="65">
        <f>IF('Final Calculation Sheet'!$AC$25="","",'Final Calculation Sheet'!$AC$25)</f>
        <v>608251</v>
      </c>
      <c r="AE91" s="65">
        <f>IF('Final Calculation Sheet'!$AD$25="","",'Final Calculation Sheet'!$AD$25)</f>
        <v>0</v>
      </c>
      <c r="AF91" s="70" t="str">
        <f>IF('Final Calculation Sheet'!$AD$25="","",IF('Final Calculation Sheet'!$AD$25&lt;=5,"SETTLED","OUTSTANDING"))</f>
        <v>SETTLED</v>
      </c>
      <c r="AG91" s="65" t="str">
        <f>IF('Final Calculation Sheet'!$AF$25="","",'Final Calculation Sheet'!$AF$25)</f>
        <v>DR2640100042</v>
      </c>
      <c r="AH91" s="69">
        <f>IF('Final Calculation Sheet'!$AG$25="","",'Final Calculation Sheet'!$AG$25)</f>
        <v>1800003317</v>
      </c>
      <c r="AI91" s="65" t="str">
        <f>IF('Final Calculation Sheet'!$AH$25="","",'Final Calculation Sheet'!$AH$25)</f>
        <v>27.08.2026</v>
      </c>
    </row>
    <row r="92" spans="1:35" ht="15" customHeight="1" outlineLevel="1" x14ac:dyDescent="0.3">
      <c r="A92" s="81">
        <v>2</v>
      </c>
      <c r="B92" s="82">
        <f>IF('Final Calculation Sheet'!$F$28="","",'Final Calculation Sheet'!$F$28)</f>
        <v>2037</v>
      </c>
      <c r="C92" s="82" t="str">
        <f>IF('Final Calculation Sheet'!$G$28="","",'Final Calculation Sheet'!$G$28)</f>
        <v>WATAN SCRAP TRADERS</v>
      </c>
      <c r="D92" s="83" t="str">
        <f>IF('Final Calculation Sheet'!$B$28="","",'Final Calculation Sheet'!$B$28)</f>
        <v>Scrap of empty oil Barrels</v>
      </c>
      <c r="E92" s="83">
        <f>IF('Final Calculation Sheet'!$D$28="","",'Final Calculation Sheet'!$D$28)</f>
        <v>21978</v>
      </c>
      <c r="F92" s="83">
        <f>IF('Final Calculation Sheet'!$A$28="","",'Final Calculation Sheet'!$A$28)</f>
        <v>50</v>
      </c>
      <c r="G92" s="83" t="str">
        <f>IF('Final Calculation Sheet'!$E$28="","",'Final Calculation Sheet'!$E$28)</f>
        <v>NO</v>
      </c>
      <c r="H92" s="84">
        <f>IF('Final Calculation Sheet'!$C$28="","",'Final Calculation Sheet'!$C$28)</f>
        <v>531</v>
      </c>
      <c r="I92" s="84">
        <f>IF('Final Calculation Sheet'!$H$28="","",'Final Calculation Sheet'!$H$28)</f>
        <v>26550</v>
      </c>
      <c r="J92" s="84">
        <f>IF('Final Calculation Sheet'!$I$28="","",'Final Calculation Sheet'!$I$28)</f>
        <v>4779</v>
      </c>
      <c r="K92" s="84">
        <f>IF('Final Calculation Sheet'!$J$28="","",'Final Calculation Sheet'!$J$28)</f>
        <v>31329</v>
      </c>
      <c r="L92" s="84">
        <f>IF('Final Calculation Sheet'!$K$28="","",'Final Calculation Sheet'!$K$28)</f>
        <v>627</v>
      </c>
      <c r="M92" s="84">
        <f>IF('Final Calculation Sheet'!$L$28="","",'Final Calculation Sheet'!$L$28)</f>
        <v>26.55</v>
      </c>
      <c r="N92" s="84">
        <f>IF('Final Calculation Sheet'!$M$28="","",'Final Calculation Sheet'!$M$28)</f>
        <v>704.90249999999992</v>
      </c>
      <c r="O92" s="85">
        <f>IF('Final Calculation Sheet'!$N$28="","",'Final Calculation Sheet'!$N$28)</f>
        <v>11.9475</v>
      </c>
      <c r="P92" s="84">
        <f>IF('Final Calculation Sheet'!$O$28="","",'Final Calculation Sheet'!$O$28)</f>
        <v>692.95499999999993</v>
      </c>
      <c r="Q92" s="84">
        <f>IF('Final Calculation Sheet'!$P$28="","",'Final Calculation Sheet'!$P$28)</f>
        <v>720</v>
      </c>
      <c r="R92" s="86">
        <f>IF('Final Calculation Sheet'!$Q$28="","",'Final Calculation Sheet'!$Q$28)</f>
        <v>0</v>
      </c>
      <c r="S92" s="84">
        <f>IF('Final Calculation Sheet'!$R$28="","",'Final Calculation Sheet'!$R$28)</f>
        <v>0</v>
      </c>
      <c r="T92" s="84">
        <f>IF('Final Calculation Sheet'!$S$28="","",'Final Calculation Sheet'!$S$28)</f>
        <v>31236</v>
      </c>
      <c r="U92" s="84">
        <f>IF('Final Calculation Sheet'!$T$28="","",'Final Calculation Sheet'!$T$28)</f>
        <v>6638</v>
      </c>
      <c r="V92" s="87">
        <f>IF('Final Calculation Sheet'!$U$28="","",'Final Calculation Sheet'!$U$28)</f>
        <v>6638</v>
      </c>
      <c r="W92" s="84" t="str">
        <f>IF('Final Calculation Sheet'!$V$28="","",'Final Calculation Sheet'!$V$28)</f>
        <v>14.08.2026</v>
      </c>
      <c r="X92" s="84">
        <f>IF('Final Calculation Sheet'!$W$28="","",'Final Calculation Sheet'!$W$28)</f>
        <v>24599</v>
      </c>
      <c r="Y92" s="84">
        <f>IF('Final Calculation Sheet'!$X$28="","",'Final Calculation Sheet'!$X$28)</f>
        <v>24598</v>
      </c>
      <c r="Z92" s="84" t="str">
        <f>IF('Final Calculation Sheet'!$Y$28="","",'Final Calculation Sheet'!$Y$28)</f>
        <v>21.08.2026</v>
      </c>
      <c r="AA92" s="84">
        <f ca="1">IF('Final Calculation Sheet'!$Z$28="","",'Final Calculation Sheet'!$Z$28)</f>
        <v>939.87000000000012</v>
      </c>
      <c r="AB92" s="84" t="str">
        <f>IF('Final Calculation Sheet'!$AA$28="","",'Final Calculation Sheet'!$AA$28)</f>
        <v/>
      </c>
      <c r="AC92" s="84" t="str">
        <f>IF('Final Calculation Sheet'!$AB$28="","",'Final Calculation Sheet'!$AB$28)</f>
        <v/>
      </c>
      <c r="AD92" s="84">
        <f>IF('Final Calculation Sheet'!$AC$28="","",'Final Calculation Sheet'!$AC$28)</f>
        <v>31236</v>
      </c>
      <c r="AE92" s="84">
        <f>IF('Final Calculation Sheet'!$AD$28="","",'Final Calculation Sheet'!$AD$28)</f>
        <v>0</v>
      </c>
      <c r="AF92" s="89" t="str">
        <f>IF('Final Calculation Sheet'!$AD$28="","",IF('Final Calculation Sheet'!$AD$28&lt;=5,"SETTLED","OUTSTANDING"))</f>
        <v>SETTLED</v>
      </c>
      <c r="AG92" s="84" t="str">
        <f>IF('Final Calculation Sheet'!$AF$28="","",'Final Calculation Sheet'!$AF$28)</f>
        <v>DR2640100043</v>
      </c>
      <c r="AH92" s="88">
        <f>IF('Final Calculation Sheet'!$AG$28="","",'Final Calculation Sheet'!$AG$28)</f>
        <v>1800003318</v>
      </c>
      <c r="AI92" s="84" t="str">
        <f>IF('Final Calculation Sheet'!$AH$28="","",'Final Calculation Sheet'!$AH$28)</f>
        <v>27.08.2026</v>
      </c>
    </row>
    <row r="93" spans="1:35" ht="15" customHeight="1" outlineLevel="1" x14ac:dyDescent="0.3">
      <c r="A93" s="62">
        <v>3</v>
      </c>
      <c r="B93" s="63">
        <f>IF('Final Calculation Sheet'!$F$35="","",'Final Calculation Sheet'!$F$35)</f>
        <v>2067</v>
      </c>
      <c r="C93" s="63" t="str">
        <f>IF('Final Calculation Sheet'!$G$35="","",'Final Calculation Sheet'!$G$35)</f>
        <v>WATAN SCRAP TRADERS</v>
      </c>
      <c r="D93" s="64" t="str">
        <f>IF('Final Calculation Sheet'!$B$35="","",'Final Calculation Sheet'!$B$35)</f>
        <v>Scrap of empty oil drums</v>
      </c>
      <c r="E93" s="64">
        <f>IF('Final Calculation Sheet'!$D$35="","",'Final Calculation Sheet'!$D$35)</f>
        <v>21980</v>
      </c>
      <c r="F93" s="64">
        <f>IF('Final Calculation Sheet'!$A$35="","",'Final Calculation Sheet'!$A$35)</f>
        <v>150</v>
      </c>
      <c r="G93" s="64" t="str">
        <f>IF('Final Calculation Sheet'!$E$35="","",'Final Calculation Sheet'!$E$35)</f>
        <v>NO</v>
      </c>
      <c r="H93" s="65">
        <f>IF('Final Calculation Sheet'!$C$35="","",'Final Calculation Sheet'!$C$35)</f>
        <v>571</v>
      </c>
      <c r="I93" s="65">
        <f>IF('Final Calculation Sheet'!$H$35="","",'Final Calculation Sheet'!$H$35)</f>
        <v>85650</v>
      </c>
      <c r="J93" s="65">
        <f>IF('Final Calculation Sheet'!$I$35="","",'Final Calculation Sheet'!$I$35)</f>
        <v>15417</v>
      </c>
      <c r="K93" s="65">
        <f>IF('Final Calculation Sheet'!$J$35="","",'Final Calculation Sheet'!$J$35)</f>
        <v>101067</v>
      </c>
      <c r="L93" s="65">
        <f>IF('Final Calculation Sheet'!$K$35="","",'Final Calculation Sheet'!$K$35)</f>
        <v>2021</v>
      </c>
      <c r="M93" s="65">
        <f>IF('Final Calculation Sheet'!$L$35="","",'Final Calculation Sheet'!$L$35)</f>
        <v>85.65</v>
      </c>
      <c r="N93" s="65">
        <f>IF('Final Calculation Sheet'!$M$35="","",'Final Calculation Sheet'!$M$35)</f>
        <v>2274.0074999999997</v>
      </c>
      <c r="O93" s="66">
        <f>IF('Final Calculation Sheet'!$N$35="","",'Final Calculation Sheet'!$N$35)</f>
        <v>38.542500000000004</v>
      </c>
      <c r="P93" s="65">
        <f>IF('Final Calculation Sheet'!$O$35="","",'Final Calculation Sheet'!$O$35)</f>
        <v>2235.4649999999997</v>
      </c>
      <c r="Q93" s="65">
        <f>IF('Final Calculation Sheet'!$P$35="","",'Final Calculation Sheet'!$P$35)</f>
        <v>2321</v>
      </c>
      <c r="R93" s="67">
        <f>IF('Final Calculation Sheet'!$Q$35="","",'Final Calculation Sheet'!$Q$35)</f>
        <v>0</v>
      </c>
      <c r="S93" s="65">
        <f>IF('Final Calculation Sheet'!$R$35="","",'Final Calculation Sheet'!$R$35)</f>
        <v>0</v>
      </c>
      <c r="T93" s="65">
        <f>IF('Final Calculation Sheet'!$S$35="","",'Final Calculation Sheet'!$S$35)</f>
        <v>100767</v>
      </c>
      <c r="U93" s="65">
        <f>IF('Final Calculation Sheet'!$T$35="","",'Final Calculation Sheet'!$T$35)</f>
        <v>21413</v>
      </c>
      <c r="V93" s="68">
        <f>IF('Final Calculation Sheet'!$U$35="","",'Final Calculation Sheet'!$U$35)</f>
        <v>21413</v>
      </c>
      <c r="W93" s="65" t="str">
        <f>IF('Final Calculation Sheet'!$V$35="","",'Final Calculation Sheet'!$V$35)</f>
        <v>14.08.2026</v>
      </c>
      <c r="X93" s="65">
        <f>IF('Final Calculation Sheet'!$W$35="","",'Final Calculation Sheet'!$W$35)</f>
        <v>79355</v>
      </c>
      <c r="Y93" s="65">
        <f>IF('Final Calculation Sheet'!$X$35="","",'Final Calculation Sheet'!$X$35)</f>
        <v>79354</v>
      </c>
      <c r="Z93" s="65" t="str">
        <f>IF('Final Calculation Sheet'!$Y$35="","",'Final Calculation Sheet'!$Y$35)</f>
        <v>20.08.2026</v>
      </c>
      <c r="AA93" s="65">
        <f ca="1">IF('Final Calculation Sheet'!$Z$35="","",'Final Calculation Sheet'!$Z$35)</f>
        <v>3032.0099999999998</v>
      </c>
      <c r="AB93" s="65" t="str">
        <f>IF('Final Calculation Sheet'!$AA$35="","",'Final Calculation Sheet'!$AA$35)</f>
        <v/>
      </c>
      <c r="AC93" s="65" t="str">
        <f>IF('Final Calculation Sheet'!$AB$35="","",'Final Calculation Sheet'!$AB$35)</f>
        <v/>
      </c>
      <c r="AD93" s="65">
        <f>IF('Final Calculation Sheet'!$AC$35="","",'Final Calculation Sheet'!$AC$35)</f>
        <v>100767</v>
      </c>
      <c r="AE93" s="65">
        <f>IF('Final Calculation Sheet'!$AD$35="","",'Final Calculation Sheet'!$AD$35)</f>
        <v>0</v>
      </c>
      <c r="AF93" s="70" t="str">
        <f>IF('Final Calculation Sheet'!$AD$35="","",IF('Final Calculation Sheet'!$AD$35&lt;=5,"SETTLED","OUTSTANDING"))</f>
        <v>SETTLED</v>
      </c>
      <c r="AG93" s="65" t="str">
        <f>IF('Final Calculation Sheet'!$AF$35="","",'Final Calculation Sheet'!$AF$35)</f>
        <v>DR2640100027</v>
      </c>
      <c r="AH93" s="69">
        <f>IF('Final Calculation Sheet'!$AG$35="","",'Final Calculation Sheet'!$AG$35)</f>
        <v>1800003248</v>
      </c>
      <c r="AI93" s="65" t="str">
        <f>IF('Final Calculation Sheet'!$AH$35="","",'Final Calculation Sheet'!$AH$35)</f>
        <v>20.08.2026</v>
      </c>
    </row>
    <row r="94" spans="1:35" ht="15" customHeight="1" x14ac:dyDescent="0.3">
      <c r="A94" s="73" t="s">
        <v>182</v>
      </c>
      <c r="B94" s="74"/>
      <c r="C94" s="74" t="str">
        <f>ROWS($C$91:$C$93)&amp;" lot(s)"</f>
        <v>3 lot(s)</v>
      </c>
      <c r="D94" s="74" t="s">
        <v>196</v>
      </c>
      <c r="E94" s="74" t="s">
        <v>184</v>
      </c>
      <c r="F94" s="74">
        <f>SUM(F91:F93)</f>
        <v>1200</v>
      </c>
      <c r="G94" s="74" t="s">
        <v>184</v>
      </c>
      <c r="H94" s="75" t="s">
        <v>184</v>
      </c>
      <c r="I94" s="75">
        <f t="shared" ref="I94:Q94" si="12">SUM(I91:I93)</f>
        <v>629200</v>
      </c>
      <c r="J94" s="75">
        <f t="shared" si="12"/>
        <v>113256</v>
      </c>
      <c r="K94" s="75">
        <f t="shared" si="12"/>
        <v>742456</v>
      </c>
      <c r="L94" s="75">
        <f t="shared" si="12"/>
        <v>14849</v>
      </c>
      <c r="M94" s="75">
        <f t="shared" si="12"/>
        <v>629.19999999999993</v>
      </c>
      <c r="N94" s="75">
        <f t="shared" si="12"/>
        <v>16705.259999999998</v>
      </c>
      <c r="O94" s="76">
        <f t="shared" si="12"/>
        <v>283.14</v>
      </c>
      <c r="P94" s="75">
        <f t="shared" si="12"/>
        <v>16422.12</v>
      </c>
      <c r="Q94" s="75">
        <f t="shared" si="12"/>
        <v>17052</v>
      </c>
      <c r="R94" s="77" t="s">
        <v>184</v>
      </c>
      <c r="S94" s="75">
        <f>SUM(S91:S93)</f>
        <v>0</v>
      </c>
      <c r="T94" s="75">
        <f>SUM(T91:T93)</f>
        <v>740254</v>
      </c>
      <c r="U94" s="75">
        <f>SUM(U91:U93)</f>
        <v>157301</v>
      </c>
      <c r="V94" s="78">
        <f>SUM(V91:V93)</f>
        <v>157301</v>
      </c>
      <c r="W94" s="75" t="s">
        <v>184</v>
      </c>
      <c r="X94" s="75">
        <f>SUM(X91:X93)</f>
        <v>582955</v>
      </c>
      <c r="Y94" s="75">
        <f>SUM(Y91:Y93)</f>
        <v>582953</v>
      </c>
      <c r="Z94" s="75" t="s">
        <v>184</v>
      </c>
      <c r="AA94" s="75">
        <f ca="1">SUM(AA91:AA93)</f>
        <v>22273.679999999997</v>
      </c>
      <c r="AB94" s="75">
        <f>SUM(AB91:AB93)</f>
        <v>0</v>
      </c>
      <c r="AC94" s="75" t="s">
        <v>184</v>
      </c>
      <c r="AD94" s="75">
        <f>SUM(AD91:AD93)</f>
        <v>740254</v>
      </c>
      <c r="AE94" s="75">
        <f>SUM(AE91:AE93)</f>
        <v>0</v>
      </c>
      <c r="AF94" s="80" t="str">
        <f>IF(AE94&lt;=5,"SETTLED","OUTSTANDING")</f>
        <v>SETTLED</v>
      </c>
      <c r="AG94" s="75" t="s">
        <v>184</v>
      </c>
      <c r="AH94" s="79" t="s">
        <v>184</v>
      </c>
      <c r="AI94" s="75" t="s">
        <v>184</v>
      </c>
    </row>
    <row r="95" spans="1:35" ht="15" customHeight="1" x14ac:dyDescent="0.3">
      <c r="A95" s="90" t="s">
        <v>182</v>
      </c>
      <c r="B95" s="91"/>
      <c r="C95" s="91" t="str">
        <f>COUNTA('Final Calculation Sheet'!$G$4:$G$40)&amp;" lot(s)"</f>
        <v>37 lot(s)</v>
      </c>
      <c r="D95" s="91" t="s">
        <v>197</v>
      </c>
      <c r="E95" s="91" t="s">
        <v>184</v>
      </c>
      <c r="F95" s="91">
        <f>SUM(F46,F49,F51,F53,F55,F69,F71,F74,F77,F79,F82,F90,F94)</f>
        <v>17157.2</v>
      </c>
      <c r="G95" s="91" t="s">
        <v>184</v>
      </c>
      <c r="H95" s="92" t="s">
        <v>184</v>
      </c>
      <c r="I95" s="92">
        <f t="shared" ref="I95:Q95" si="13">SUM(I46,I49,I51,I53,I55,I69,I71,I74,I77,I79,I82,I90,I94)</f>
        <v>15130598</v>
      </c>
      <c r="J95" s="92">
        <f t="shared" si="13"/>
        <v>2723508</v>
      </c>
      <c r="K95" s="92">
        <f t="shared" si="13"/>
        <v>17854106</v>
      </c>
      <c r="L95" s="92">
        <f t="shared" si="13"/>
        <v>357082</v>
      </c>
      <c r="M95" s="92">
        <f t="shared" si="13"/>
        <v>15130.598</v>
      </c>
      <c r="N95" s="92">
        <f t="shared" si="13"/>
        <v>401717.37690000003</v>
      </c>
      <c r="O95" s="93">
        <f t="shared" si="13"/>
        <v>6808.7690999999995</v>
      </c>
      <c r="P95" s="92">
        <f t="shared" si="13"/>
        <v>394908.6078</v>
      </c>
      <c r="Q95" s="92">
        <f t="shared" si="13"/>
        <v>410039</v>
      </c>
      <c r="R95" s="94" t="s">
        <v>184</v>
      </c>
      <c r="S95" s="92">
        <f>SUM(S46,S49,S51,S53,S55,S69,S71,S74,S77,S79,S82,S90,S94)</f>
        <v>83029</v>
      </c>
      <c r="T95" s="92">
        <f>SUM(T46,T49,T51,T53,T55,T69,T71,T74,T77,T79,T82,T90,T94)</f>
        <v>17718123</v>
      </c>
      <c r="U95" s="92">
        <f>SUM(U46,U49,U51,U53,U55,U69,U71,U74,U77,U79,U82,U90,U94)</f>
        <v>3782654</v>
      </c>
      <c r="V95" s="95">
        <f>SUM(V46,V49,V51,V53,V55,V69,V71,V74,V77,V79,V82,V90,V94)</f>
        <v>3782654</v>
      </c>
      <c r="W95" s="92" t="s">
        <v>184</v>
      </c>
      <c r="X95" s="92">
        <f>SUM(X46,X49,X51,X53,X55,X69,X71,X74,X77,X79,X82,X90,X94)</f>
        <v>13935473</v>
      </c>
      <c r="Y95" s="92">
        <f>SUM(Y46,Y49,Y51,Y53,Y55,Y69,Y71,Y74,Y77,Y79,Y82,Y90,Y94)</f>
        <v>13137293</v>
      </c>
      <c r="Z95" s="92" t="s">
        <v>184</v>
      </c>
      <c r="AA95" s="92">
        <f ca="1">SUM(AA46,AA49,AA51,AA53,AA55,AA69,AA71,AA74,AA77,AA79,AA82,AA90,AA94)</f>
        <v>533852.92139999999</v>
      </c>
      <c r="AB95" s="92">
        <f>SUM(AB46,AB49,AB51,AB53,AB55,AB69,AB71,AB74,AB77,AB79,AB82,AB90,AB94)</f>
        <v>3540</v>
      </c>
      <c r="AC95" s="92" t="s">
        <v>184</v>
      </c>
      <c r="AD95" s="92">
        <f>SUM(AD46,AD49,AD51,AD53,AD55,AD69,AD71,AD74,AD77,AD79,AD82,AD90,AD94)</f>
        <v>16923487</v>
      </c>
      <c r="AE95" s="92">
        <f>SUM(AE46,AE49,AE51,AE53,AE55,AE69,AE71,AE74,AE77,AE79,AE82,AE90,AE94)</f>
        <v>794636.00000000047</v>
      </c>
      <c r="AF95" s="97" t="str">
        <f>IF(AE95&lt;=5,"SETTLED","OUTSTANDING")</f>
        <v>OUTSTANDING</v>
      </c>
      <c r="AG95" s="92" t="s">
        <v>184</v>
      </c>
      <c r="AH95" s="96" t="s">
        <v>184</v>
      </c>
      <c r="AI95" s="92" t="s">
        <v>184</v>
      </c>
    </row>
    <row r="96" spans="1:35" ht="15" customHeight="1" x14ac:dyDescent="0.3">
      <c r="A96" s="98" t="s">
        <v>182</v>
      </c>
      <c r="B96" s="99"/>
      <c r="C96" s="99" t="str">
        <f>COUNTA('Final Calculation Sheet'!$G$4:$G$40)&amp;" lot(s)"</f>
        <v>37 lot(s)</v>
      </c>
      <c r="D96" s="99" t="s">
        <v>198</v>
      </c>
      <c r="E96" s="99" t="s">
        <v>184</v>
      </c>
      <c r="F96" s="99">
        <f>SUM('Final Calculation Sheet'!$A$4:$A$40)</f>
        <v>17157.2</v>
      </c>
      <c r="G96" s="99" t="s">
        <v>184</v>
      </c>
      <c r="H96" s="100" t="s">
        <v>184</v>
      </c>
      <c r="I96" s="100">
        <f>SUM('Final Calculation Sheet'!$H$4:$H$40)</f>
        <v>15130598</v>
      </c>
      <c r="J96" s="100">
        <f>SUM('Final Calculation Sheet'!$I$4:$I$40)</f>
        <v>2723508</v>
      </c>
      <c r="K96" s="100">
        <f>SUM('Final Calculation Sheet'!$J$4:$J$40)</f>
        <v>17854106</v>
      </c>
      <c r="L96" s="100">
        <f>SUM('Final Calculation Sheet'!$K$4:$K$40)</f>
        <v>357082</v>
      </c>
      <c r="M96" s="100">
        <f>SUM('Final Calculation Sheet'!$L$4:$L$40)</f>
        <v>15130.598000000002</v>
      </c>
      <c r="N96" s="100">
        <f>SUM('Final Calculation Sheet'!$M$4:$M$40)</f>
        <v>401717.37689999992</v>
      </c>
      <c r="O96" s="101">
        <f>SUM('Final Calculation Sheet'!$N$4:$N$40)</f>
        <v>6808.7690999999977</v>
      </c>
      <c r="P96" s="100">
        <f>SUM('Final Calculation Sheet'!$O$4:$O$40)</f>
        <v>394908.6078</v>
      </c>
      <c r="Q96" s="100">
        <f>SUM('Final Calculation Sheet'!$P$4:$P$40)</f>
        <v>410039</v>
      </c>
      <c r="R96" s="102" t="s">
        <v>184</v>
      </c>
      <c r="S96" s="100">
        <f>SUM('Final Calculation Sheet'!$R$4:$R$40)</f>
        <v>83029</v>
      </c>
      <c r="T96" s="100">
        <f>SUM('Final Calculation Sheet'!$S$4:$S$40)</f>
        <v>17718123</v>
      </c>
      <c r="U96" s="100">
        <f>SUM('Final Calculation Sheet'!$T$4:$T$40)</f>
        <v>3782654</v>
      </c>
      <c r="V96" s="103">
        <f>SUM('Final Calculation Sheet'!$U$4:$U$40)</f>
        <v>3782654</v>
      </c>
      <c r="W96" s="100" t="s">
        <v>184</v>
      </c>
      <c r="X96" s="100">
        <f>SUM('Final Calculation Sheet'!$W$4:$W$40)</f>
        <v>13935473</v>
      </c>
      <c r="Y96" s="100">
        <f>SUM('Final Calculation Sheet'!$X$4:$X$40)</f>
        <v>13137293</v>
      </c>
      <c r="Z96" s="100" t="s">
        <v>184</v>
      </c>
      <c r="AA96" s="100">
        <f ca="1">SUM('Final Calculation Sheet'!$Z$4:$Z$40)</f>
        <v>533852.92139999988</v>
      </c>
      <c r="AB96" s="100">
        <f>SUM('Final Calculation Sheet'!$AA$4:$AA$40)</f>
        <v>3540</v>
      </c>
      <c r="AC96" s="100" t="s">
        <v>184</v>
      </c>
      <c r="AD96" s="100">
        <f>SUM('Final Calculation Sheet'!$AC$4:$AC$40)</f>
        <v>16923487</v>
      </c>
      <c r="AE96" s="100">
        <f>SUM('Final Calculation Sheet'!$AD$4:$AD$40)</f>
        <v>794636.00000000047</v>
      </c>
      <c r="AF96" s="105" t="str">
        <f>IF(AE96&lt;=5,"SETTLED","OUTSTANDING")</f>
        <v>OUTSTANDING</v>
      </c>
      <c r="AG96" s="100" t="s">
        <v>184</v>
      </c>
      <c r="AH96" s="104" t="s">
        <v>184</v>
      </c>
      <c r="AI96" s="100" t="s">
        <v>184</v>
      </c>
    </row>
  </sheetData>
  <mergeCells count="2">
    <mergeCell ref="A2:AI2"/>
    <mergeCell ref="A1:AI1"/>
  </mergeCells>
  <conditionalFormatting sqref="A45:AI96">
    <cfRule type="expression" dxfId="74" priority="1">
      <formula>AND(ISNUMBER($A45),$B45&lt;&gt;"",COUNTIF($B$4:$AI$4,"&lt;&gt;")&gt;0,COUNTIFS($B$7:$B$43,$B45,$C$7:$C$43,$C45)=0)</formula>
    </cfRule>
  </conditionalFormatting>
  <conditionalFormatting sqref="AE45:AE96">
    <cfRule type="cellIs" dxfId="73" priority="2" operator="greaterThan">
      <formula>5</formula>
    </cfRule>
  </conditionalFormatting>
  <conditionalFormatting sqref="AF45:AF96">
    <cfRule type="cellIs" dxfId="72" priority="3" operator="equal">
      <formula>"SETTLED"</formula>
    </cfRule>
    <cfRule type="cellIs" dxfId="71" priority="4" operator="equal">
      <formula>"OUTSTANDING"</formula>
    </cfRule>
  </conditionalFormatting>
  <conditionalFormatting sqref="B45:B94">
    <cfRule type="expression" dxfId="70" priority="5">
      <formula>AND(ISNUMBER($A45),$B$4&lt;&gt;"",IF($B$4="(blank)",B45="",IF($B$4="(nonblank)",B45&lt;&gt;"",ISNUMBER(SEARCH($B$4,B45)))))</formula>
    </cfRule>
  </conditionalFormatting>
  <conditionalFormatting sqref="B7:B43">
    <cfRule type="expression" dxfId="69" priority="42">
      <formula>AND(ISNUMBER($A7),$B$4&lt;&gt;"",IF($B$4="(blank)",B7="",IF($B$4="(nonblank)",B7&lt;&gt;"",ISNUMBER(SEARCH($B$4,B7)))))</formula>
    </cfRule>
  </conditionalFormatting>
  <conditionalFormatting sqref="C45:C94">
    <cfRule type="expression" dxfId="68" priority="6">
      <formula>AND(ISNUMBER($A45),$C$4&lt;&gt;"",IF($C$4="(blank)",C45="",IF($C$4="(nonblank)",C45&lt;&gt;"",ISNUMBER(SEARCH($C$4,C45)))))</formula>
    </cfRule>
  </conditionalFormatting>
  <conditionalFormatting sqref="C7:C43">
    <cfRule type="expression" dxfId="67" priority="43">
      <formula>AND(ISNUMBER($A7),$C$4&lt;&gt;"",IF($C$4="(blank)",C7="",IF($C$4="(nonblank)",C7&lt;&gt;"",ISNUMBER(SEARCH($C$4,C7)))))</formula>
    </cfRule>
  </conditionalFormatting>
  <conditionalFormatting sqref="D45:D94">
    <cfRule type="expression" dxfId="66" priority="7">
      <formula>AND(ISNUMBER($A45),$D$4&lt;&gt;"",IF($D$4="(blank)",D45="",IF($D$4="(nonblank)",D45&lt;&gt;"",ISNUMBER(SEARCH($D$4,D45)))))</formula>
    </cfRule>
  </conditionalFormatting>
  <conditionalFormatting sqref="D7:D43">
    <cfRule type="expression" dxfId="65" priority="44">
      <formula>AND(ISNUMBER($A7),$D$4&lt;&gt;"",IF($D$4="(blank)",D7="",IF($D$4="(nonblank)",D7&lt;&gt;"",ISNUMBER(SEARCH($D$4,D7)))))</formula>
    </cfRule>
  </conditionalFormatting>
  <conditionalFormatting sqref="E45:E94">
    <cfRule type="expression" dxfId="64" priority="8">
      <formula>AND(ISNUMBER($A45),$E$4&lt;&gt;"",IF($E$4="(blank)",E45="",IF($E$4="(nonblank)",E45&lt;&gt;"",ISNUMBER(SEARCH($E$4,E45)))))</formula>
    </cfRule>
  </conditionalFormatting>
  <conditionalFormatting sqref="E7:E43">
    <cfRule type="expression" dxfId="63" priority="45">
      <formula>AND(ISNUMBER($A7),$E$4&lt;&gt;"",IF($E$4="(blank)",E7="",IF($E$4="(nonblank)",E7&lt;&gt;"",ISNUMBER(SEARCH($E$4,E7)))))</formula>
    </cfRule>
  </conditionalFormatting>
  <conditionalFormatting sqref="F45:F94">
    <cfRule type="expression" dxfId="62" priority="9">
      <formula>AND(ISNUMBER($A45),$F$4&lt;&gt;"",IF($F$4="(blank)",F45="",IF($F$4="(nonblank)",F45&lt;&gt;"",ISNUMBER(SEARCH($F$4,F45)))))</formula>
    </cfRule>
  </conditionalFormatting>
  <conditionalFormatting sqref="F7:F43">
    <cfRule type="expression" dxfId="61" priority="46">
      <formula>AND(ISNUMBER($A7),$F$4&lt;&gt;"",IF($F$4="(blank)",F7="",IF($F$4="(nonblank)",F7&lt;&gt;"",ISNUMBER(SEARCH($F$4,F7)))))</formula>
    </cfRule>
  </conditionalFormatting>
  <conditionalFormatting sqref="G45:G94">
    <cfRule type="expression" dxfId="60" priority="10">
      <formula>AND(ISNUMBER($A45),$G$4&lt;&gt;"",IF($G$4="(blank)",G45="",IF($G$4="(nonblank)",G45&lt;&gt;"",ISNUMBER(SEARCH($G$4,G45)))))</formula>
    </cfRule>
  </conditionalFormatting>
  <conditionalFormatting sqref="G7:G43">
    <cfRule type="expression" dxfId="59" priority="47">
      <formula>AND(ISNUMBER($A7),$G$4&lt;&gt;"",IF($G$4="(blank)",G7="",IF($G$4="(nonblank)",G7&lt;&gt;"",ISNUMBER(SEARCH($G$4,G7)))))</formula>
    </cfRule>
  </conditionalFormatting>
  <conditionalFormatting sqref="H45:H94">
    <cfRule type="expression" dxfId="58" priority="11">
      <formula>AND(ISNUMBER($A45),$H$4&lt;&gt;"",IF($H$4="(blank)",H45="",IF($H$4="(nonblank)",H45&lt;&gt;"",ISNUMBER(SEARCH($H$4,H45)))))</formula>
    </cfRule>
  </conditionalFormatting>
  <conditionalFormatting sqref="H7:H43">
    <cfRule type="expression" dxfId="57" priority="48">
      <formula>AND(ISNUMBER($A7),$H$4&lt;&gt;"",IF($H$4="(blank)",H7="",IF($H$4="(nonblank)",H7&lt;&gt;"",ISNUMBER(SEARCH($H$4,H7)))))</formula>
    </cfRule>
  </conditionalFormatting>
  <conditionalFormatting sqref="I45:I94">
    <cfRule type="expression" dxfId="56" priority="12">
      <formula>AND(ISNUMBER($A45),$I$4&lt;&gt;"",IF($I$4="(blank)",I45="",IF($I$4="(nonblank)",I45&lt;&gt;"",ISNUMBER(SEARCH($I$4,I45)))))</formula>
    </cfRule>
  </conditionalFormatting>
  <conditionalFormatting sqref="I7:I43">
    <cfRule type="expression" dxfId="55" priority="49">
      <formula>AND(ISNUMBER($A7),$I$4&lt;&gt;"",IF($I$4="(blank)",I7="",IF($I$4="(nonblank)",I7&lt;&gt;"",ISNUMBER(SEARCH($I$4,I7)))))</formula>
    </cfRule>
  </conditionalFormatting>
  <conditionalFormatting sqref="J45:J94">
    <cfRule type="expression" dxfId="54" priority="13">
      <formula>AND(ISNUMBER($A45),$J$4&lt;&gt;"",IF($J$4="(blank)",J45="",IF($J$4="(nonblank)",J45&lt;&gt;"",ISNUMBER(SEARCH($J$4,J45)))))</formula>
    </cfRule>
  </conditionalFormatting>
  <conditionalFormatting sqref="J7:J43">
    <cfRule type="expression" dxfId="53" priority="50">
      <formula>AND(ISNUMBER($A7),$J$4&lt;&gt;"",IF($J$4="(blank)",J7="",IF($J$4="(nonblank)",J7&lt;&gt;"",ISNUMBER(SEARCH($J$4,J7)))))</formula>
    </cfRule>
  </conditionalFormatting>
  <conditionalFormatting sqref="K45:K94">
    <cfRule type="expression" dxfId="52" priority="14">
      <formula>AND(ISNUMBER($A45),$K$4&lt;&gt;"",IF($K$4="(blank)",K45="",IF($K$4="(nonblank)",K45&lt;&gt;"",ISNUMBER(SEARCH($K$4,K45)))))</formula>
    </cfRule>
  </conditionalFormatting>
  <conditionalFormatting sqref="K7:K43">
    <cfRule type="expression" dxfId="51" priority="51">
      <formula>AND(ISNUMBER($A7),$K$4&lt;&gt;"",IF($K$4="(blank)",K7="",IF($K$4="(nonblank)",K7&lt;&gt;"",ISNUMBER(SEARCH($K$4,K7)))))</formula>
    </cfRule>
  </conditionalFormatting>
  <conditionalFormatting sqref="L45:L94">
    <cfRule type="expression" dxfId="50" priority="15">
      <formula>AND(ISNUMBER($A45),$L$4&lt;&gt;"",IF($L$4="(blank)",L45="",IF($L$4="(nonblank)",L45&lt;&gt;"",ISNUMBER(SEARCH($L$4,L45)))))</formula>
    </cfRule>
  </conditionalFormatting>
  <conditionalFormatting sqref="L7:L43">
    <cfRule type="expression" dxfId="49" priority="52">
      <formula>AND(ISNUMBER($A7),$L$4&lt;&gt;"",IF($L$4="(blank)",L7="",IF($L$4="(nonblank)",L7&lt;&gt;"",ISNUMBER(SEARCH($L$4,L7)))))</formula>
    </cfRule>
  </conditionalFormatting>
  <conditionalFormatting sqref="M45:M94">
    <cfRule type="expression" dxfId="48" priority="16">
      <formula>AND(ISNUMBER($A45),$M$4&lt;&gt;"",IF($M$4="(blank)",M45="",IF($M$4="(nonblank)",M45&lt;&gt;"",ISNUMBER(SEARCH($M$4,M45)))))</formula>
    </cfRule>
  </conditionalFormatting>
  <conditionalFormatting sqref="M7:M43">
    <cfRule type="expression" dxfId="47" priority="53">
      <formula>AND(ISNUMBER($A7),$M$4&lt;&gt;"",IF($M$4="(blank)",M7="",IF($M$4="(nonblank)",M7&lt;&gt;"",ISNUMBER(SEARCH($M$4,M7)))))</formula>
    </cfRule>
  </conditionalFormatting>
  <conditionalFormatting sqref="N45:N94">
    <cfRule type="expression" dxfId="46" priority="17">
      <formula>AND(ISNUMBER($A45),$N$4&lt;&gt;"",IF($N$4="(blank)",N45="",IF($N$4="(nonblank)",N45&lt;&gt;"",ISNUMBER(SEARCH($N$4,N45)))))</formula>
    </cfRule>
  </conditionalFormatting>
  <conditionalFormatting sqref="N7:N43">
    <cfRule type="expression" dxfId="45" priority="54">
      <formula>AND(ISNUMBER($A7),$N$4&lt;&gt;"",IF($N$4="(blank)",N7="",IF($N$4="(nonblank)",N7&lt;&gt;"",ISNUMBER(SEARCH($N$4,N7)))))</formula>
    </cfRule>
  </conditionalFormatting>
  <conditionalFormatting sqref="O45:O94">
    <cfRule type="expression" dxfId="44" priority="18">
      <formula>AND(ISNUMBER($A45),$O$4&lt;&gt;"",IF($O$4="(blank)",O45="",IF($O$4="(nonblank)",O45&lt;&gt;"",ISNUMBER(SEARCH($O$4,O45)))))</formula>
    </cfRule>
  </conditionalFormatting>
  <conditionalFormatting sqref="O7:O43">
    <cfRule type="expression" dxfId="43" priority="55">
      <formula>AND(ISNUMBER($A7),$O$4&lt;&gt;"",IF($O$4="(blank)",O7="",IF($O$4="(nonblank)",O7&lt;&gt;"",ISNUMBER(SEARCH($O$4,O7)))))</formula>
    </cfRule>
  </conditionalFormatting>
  <conditionalFormatting sqref="P45:P94">
    <cfRule type="expression" dxfId="42" priority="19">
      <formula>AND(ISNUMBER($A45),$P$4&lt;&gt;"",IF($P$4="(blank)",P45="",IF($P$4="(nonblank)",P45&lt;&gt;"",ISNUMBER(SEARCH($P$4,P45)))))</formula>
    </cfRule>
  </conditionalFormatting>
  <conditionalFormatting sqref="P7:P43">
    <cfRule type="expression" dxfId="41" priority="56">
      <formula>AND(ISNUMBER($A7),$P$4&lt;&gt;"",IF($P$4="(blank)",P7="",IF($P$4="(nonblank)",P7&lt;&gt;"",ISNUMBER(SEARCH($P$4,P7)))))</formula>
    </cfRule>
  </conditionalFormatting>
  <conditionalFormatting sqref="Q45:Q94">
    <cfRule type="expression" dxfId="40" priority="20">
      <formula>AND(ISNUMBER($A45),$Q$4&lt;&gt;"",IF($Q$4="(blank)",Q45="",IF($Q$4="(nonblank)",Q45&lt;&gt;"",ISNUMBER(SEARCH($Q$4,Q45)))))</formula>
    </cfRule>
  </conditionalFormatting>
  <conditionalFormatting sqref="Q7:Q43">
    <cfRule type="expression" dxfId="39" priority="57">
      <formula>AND(ISNUMBER($A7),$Q$4&lt;&gt;"",IF($Q$4="(blank)",Q7="",IF($Q$4="(nonblank)",Q7&lt;&gt;"",ISNUMBER(SEARCH($Q$4,Q7)))))</formula>
    </cfRule>
  </conditionalFormatting>
  <conditionalFormatting sqref="R45:R94">
    <cfRule type="expression" dxfId="38" priority="21">
      <formula>AND(ISNUMBER($A45),$R$4&lt;&gt;"",IF($R$4="(blank)",R45="",IF($R$4="(nonblank)",R45&lt;&gt;"",ISNUMBER(SEARCH($R$4,R45)))))</formula>
    </cfRule>
  </conditionalFormatting>
  <conditionalFormatting sqref="R7:R43">
    <cfRule type="expression" dxfId="37" priority="58">
      <formula>AND(ISNUMBER($A7),$R$4&lt;&gt;"",IF($R$4="(blank)",R7="",IF($R$4="(nonblank)",R7&lt;&gt;"",ISNUMBER(SEARCH($R$4,R7)))))</formula>
    </cfRule>
  </conditionalFormatting>
  <conditionalFormatting sqref="S45:S94">
    <cfRule type="expression" dxfId="36" priority="22">
      <formula>AND(ISNUMBER($A45),$S$4&lt;&gt;"",IF($S$4="(blank)",S45="",IF($S$4="(nonblank)",S45&lt;&gt;"",ISNUMBER(SEARCH($S$4,S45)))))</formula>
    </cfRule>
  </conditionalFormatting>
  <conditionalFormatting sqref="S7:S43">
    <cfRule type="expression" dxfId="35" priority="59">
      <formula>AND(ISNUMBER($A7),$S$4&lt;&gt;"",IF($S$4="(blank)",S7="",IF($S$4="(nonblank)",S7&lt;&gt;"",ISNUMBER(SEARCH($S$4,S7)))))</formula>
    </cfRule>
  </conditionalFormatting>
  <conditionalFormatting sqref="T45:T94">
    <cfRule type="expression" dxfId="34" priority="23">
      <formula>AND(ISNUMBER($A45),$T$4&lt;&gt;"",IF($T$4="(blank)",T45="",IF($T$4="(nonblank)",T45&lt;&gt;"",ISNUMBER(SEARCH($T$4,T45)))))</formula>
    </cfRule>
  </conditionalFormatting>
  <conditionalFormatting sqref="T7:T43">
    <cfRule type="expression" dxfId="33" priority="60">
      <formula>AND(ISNUMBER($A7),$T$4&lt;&gt;"",IF($T$4="(blank)",T7="",IF($T$4="(nonblank)",T7&lt;&gt;"",ISNUMBER(SEARCH($T$4,T7)))))</formula>
    </cfRule>
  </conditionalFormatting>
  <conditionalFormatting sqref="U45:U94">
    <cfRule type="expression" dxfId="32" priority="24">
      <formula>AND(ISNUMBER($A45),$U$4&lt;&gt;"",IF($U$4="(blank)",U45="",IF($U$4="(nonblank)",U45&lt;&gt;"",ISNUMBER(SEARCH($U$4,U45)))))</formula>
    </cfRule>
  </conditionalFormatting>
  <conditionalFormatting sqref="U7:U43">
    <cfRule type="expression" dxfId="31" priority="61">
      <formula>AND(ISNUMBER($A7),$U$4&lt;&gt;"",IF($U$4="(blank)",U7="",IF($U$4="(nonblank)",U7&lt;&gt;"",ISNUMBER(SEARCH($U$4,U7)))))</formula>
    </cfRule>
  </conditionalFormatting>
  <conditionalFormatting sqref="V45:V94">
    <cfRule type="expression" dxfId="30" priority="25">
      <formula>AND(ISNUMBER($A45),$V$4&lt;&gt;"",IF($V$4="(blank)",V45="",IF($V$4="(nonblank)",V45&lt;&gt;"",ISNUMBER(SEARCH($V$4,V45)))))</formula>
    </cfRule>
  </conditionalFormatting>
  <conditionalFormatting sqref="V7:V43">
    <cfRule type="expression" dxfId="29" priority="62">
      <formula>AND(ISNUMBER($A7),$V$4&lt;&gt;"",IF($V$4="(blank)",V7="",IF($V$4="(nonblank)",V7&lt;&gt;"",ISNUMBER(SEARCH($V$4,V7)))))</formula>
    </cfRule>
  </conditionalFormatting>
  <conditionalFormatting sqref="W45:W94">
    <cfRule type="expression" dxfId="28" priority="26">
      <formula>AND(ISNUMBER($A45),$W$4&lt;&gt;"",IF($W$4="(blank)",W45="",IF($W$4="(nonblank)",W45&lt;&gt;"",ISNUMBER(SEARCH($W$4,W45)))))</formula>
    </cfRule>
  </conditionalFormatting>
  <conditionalFormatting sqref="W7:W43">
    <cfRule type="expression" dxfId="27" priority="63">
      <formula>AND(ISNUMBER($A7),$W$4&lt;&gt;"",IF($W$4="(blank)",W7="",IF($W$4="(nonblank)",W7&lt;&gt;"",ISNUMBER(SEARCH($W$4,W7)))))</formula>
    </cfRule>
  </conditionalFormatting>
  <conditionalFormatting sqref="X45:X94">
    <cfRule type="expression" dxfId="26" priority="27">
      <formula>AND(ISNUMBER($A45),$X$4&lt;&gt;"",IF($X$4="(blank)",X45="",IF($X$4="(nonblank)",X45&lt;&gt;"",ISNUMBER(SEARCH($X$4,X45)))))</formula>
    </cfRule>
  </conditionalFormatting>
  <conditionalFormatting sqref="X7:X43">
    <cfRule type="expression" dxfId="25" priority="64">
      <formula>AND(ISNUMBER($A7),$X$4&lt;&gt;"",IF($X$4="(blank)",X7="",IF($X$4="(nonblank)",X7&lt;&gt;"",ISNUMBER(SEARCH($X$4,X7)))))</formula>
    </cfRule>
  </conditionalFormatting>
  <conditionalFormatting sqref="Y45:Y94">
    <cfRule type="expression" dxfId="24" priority="28">
      <formula>AND(ISNUMBER($A45),$Y$4&lt;&gt;"",IF($Y$4="(blank)",Y45="",IF($Y$4="(nonblank)",Y45&lt;&gt;"",ISNUMBER(SEARCH($Y$4,Y45)))))</formula>
    </cfRule>
  </conditionalFormatting>
  <conditionalFormatting sqref="Y7:Y43">
    <cfRule type="expression" dxfId="23" priority="65">
      <formula>AND(ISNUMBER($A7),$Y$4&lt;&gt;"",IF($Y$4="(blank)",Y7="",IF($Y$4="(nonblank)",Y7&lt;&gt;"",ISNUMBER(SEARCH($Y$4,Y7)))))</formula>
    </cfRule>
  </conditionalFormatting>
  <conditionalFormatting sqref="Z45:Z94">
    <cfRule type="expression" dxfId="22" priority="29">
      <formula>AND(ISNUMBER($A45),$Z$4&lt;&gt;"",IF($Z$4="(blank)",Z45="",IF($Z$4="(nonblank)",Z45&lt;&gt;"",ISNUMBER(SEARCH($Z$4,Z45)))))</formula>
    </cfRule>
  </conditionalFormatting>
  <conditionalFormatting sqref="Z7:Z43">
    <cfRule type="expression" dxfId="21" priority="66">
      <formula>AND(ISNUMBER($A7),$Z$4&lt;&gt;"",IF($Z$4="(blank)",Z7="",IF($Z$4="(nonblank)",Z7&lt;&gt;"",ISNUMBER(SEARCH($Z$4,Z7)))))</formula>
    </cfRule>
  </conditionalFormatting>
  <conditionalFormatting sqref="AA45:AA94">
    <cfRule type="expression" dxfId="20" priority="30">
      <formula>AND(ISNUMBER($A45),$AA$4&lt;&gt;"",IF($AA$4="(blank)",AA45="",IF($AA$4="(nonblank)",AA45&lt;&gt;"",ISNUMBER(SEARCH($AA$4,AA45)))))</formula>
    </cfRule>
  </conditionalFormatting>
  <conditionalFormatting sqref="AA7:AA43">
    <cfRule type="expression" dxfId="19" priority="67">
      <formula>AND(ISNUMBER($A7),$AA$4&lt;&gt;"",IF($AA$4="(blank)",AA7="",IF($AA$4="(nonblank)",AA7&lt;&gt;"",ISNUMBER(SEARCH($AA$4,AA7)))))</formula>
    </cfRule>
  </conditionalFormatting>
  <conditionalFormatting sqref="AB45:AB94">
    <cfRule type="expression" dxfId="18" priority="31">
      <formula>AND(ISNUMBER($A45),$AB$4&lt;&gt;"",IF($AB$4="(blank)",AB45="",IF($AB$4="(nonblank)",AB45&lt;&gt;"",ISNUMBER(SEARCH($AB$4,AB45)))))</formula>
    </cfRule>
  </conditionalFormatting>
  <conditionalFormatting sqref="AB7:AB43">
    <cfRule type="expression" dxfId="17" priority="68">
      <formula>AND(ISNUMBER($A7),$AB$4&lt;&gt;"",IF($AB$4="(blank)",AB7="",IF($AB$4="(nonblank)",AB7&lt;&gt;"",ISNUMBER(SEARCH($AB$4,AB7)))))</formula>
    </cfRule>
  </conditionalFormatting>
  <conditionalFormatting sqref="AC45:AC94">
    <cfRule type="expression" dxfId="16" priority="32">
      <formula>AND(ISNUMBER($A45),$AC$4&lt;&gt;"",IF($AC$4="(blank)",AC45="",IF($AC$4="(nonblank)",AC45&lt;&gt;"",ISNUMBER(SEARCH($AC$4,AC45)))))</formula>
    </cfRule>
  </conditionalFormatting>
  <conditionalFormatting sqref="AC7:AC43">
    <cfRule type="expression" dxfId="15" priority="69">
      <formula>AND(ISNUMBER($A7),$AC$4&lt;&gt;"",IF($AC$4="(blank)",AC7="",IF($AC$4="(nonblank)",AC7&lt;&gt;"",ISNUMBER(SEARCH($AC$4,AC7)))))</formula>
    </cfRule>
  </conditionalFormatting>
  <conditionalFormatting sqref="AD45:AD94">
    <cfRule type="expression" dxfId="14" priority="33">
      <formula>AND(ISNUMBER($A45),$AD$4&lt;&gt;"",IF($AD$4="(blank)",AD45="",IF($AD$4="(nonblank)",AD45&lt;&gt;"",ISNUMBER(SEARCH($AD$4,AD45)))))</formula>
    </cfRule>
  </conditionalFormatting>
  <conditionalFormatting sqref="AD7:AD43">
    <cfRule type="expression" dxfId="13" priority="70">
      <formula>AND(ISNUMBER($A7),$AD$4&lt;&gt;"",IF($AD$4="(blank)",AD7="",IF($AD$4="(nonblank)",AD7&lt;&gt;"",ISNUMBER(SEARCH($AD$4,AD7)))))</formula>
    </cfRule>
  </conditionalFormatting>
  <conditionalFormatting sqref="AE45:AE94">
    <cfRule type="expression" dxfId="12" priority="34">
      <formula>AND(ISNUMBER($A45),$AE$4&lt;&gt;"",IF($AE$4="(blank)",AE45="",IF($AE$4="(nonblank)",AE45&lt;&gt;"",ISNUMBER(SEARCH($AE$4,AE45)))))</formula>
    </cfRule>
  </conditionalFormatting>
  <conditionalFormatting sqref="AE7:AE43">
    <cfRule type="expression" dxfId="11" priority="71">
      <formula>AND(ISNUMBER($A7),$AE$4&lt;&gt;"",IF($AE$4="(blank)",AE7="",IF($AE$4="(nonblank)",AE7&lt;&gt;"",ISNUMBER(SEARCH($AE$4,AE7)))))</formula>
    </cfRule>
  </conditionalFormatting>
  <conditionalFormatting sqref="AG45:AG94">
    <cfRule type="expression" dxfId="10" priority="35">
      <formula>AND(ISNUMBER($A45),$AG$4&lt;&gt;"",IF($AG$4="(blank)",AG45="",IF($AG$4="(nonblank)",AG45&lt;&gt;"",ISNUMBER(SEARCH($AG$4,AG45)))))</formula>
    </cfRule>
  </conditionalFormatting>
  <conditionalFormatting sqref="AG7:AG43">
    <cfRule type="expression" dxfId="9" priority="72">
      <formula>AND(ISNUMBER($A7),$AG$4&lt;&gt;"",IF($AG$4="(blank)",AG7="",IF($AG$4="(nonblank)",AG7&lt;&gt;"",ISNUMBER(SEARCH($AG$4,AG7)))))</formula>
    </cfRule>
  </conditionalFormatting>
  <conditionalFormatting sqref="AH45:AH94">
    <cfRule type="expression" dxfId="8" priority="36">
      <formula>AND(ISNUMBER($A45),$AH$4&lt;&gt;"",IF($AH$4="(blank)",AH45="",IF($AH$4="(nonblank)",AH45&lt;&gt;"",ISNUMBER(SEARCH($AH$4,AH45)))))</formula>
    </cfRule>
  </conditionalFormatting>
  <conditionalFormatting sqref="AH7:AH43">
    <cfRule type="expression" dxfId="7" priority="73">
      <formula>AND(ISNUMBER($A7),$AH$4&lt;&gt;"",IF($AH$4="(blank)",AH7="",IF($AH$4="(nonblank)",AH7&lt;&gt;"",ISNUMBER(SEARCH($AH$4,AH7)))))</formula>
    </cfRule>
  </conditionalFormatting>
  <conditionalFormatting sqref="AI45:AI94">
    <cfRule type="expression" dxfId="6" priority="37">
      <formula>AND(ISNUMBER($A45),$AI$4&lt;&gt;"",IF($AI$4="(blank)",AI45="",IF($AI$4="(nonblank)",AI45&lt;&gt;"",ISNUMBER(SEARCH($AI$4,AI45)))))</formula>
    </cfRule>
  </conditionalFormatting>
  <conditionalFormatting sqref="AI7:AI43">
    <cfRule type="expression" dxfId="5" priority="74">
      <formula>AND(ISNUMBER($A7),$AI$4&lt;&gt;"",IF($AI$4="(blank)",AI7="",IF($AI$4="(nonblank)",AI7&lt;&gt;"",ISNUMBER(SEARCH($AI$4,AI7)))))</formula>
    </cfRule>
  </conditionalFormatting>
  <conditionalFormatting sqref="AF45:AF94">
    <cfRule type="expression" dxfId="4" priority="38">
      <formula>AND(ISNUMBER($A45),$AF$4&lt;&gt;"",IF($AF$4="(blank)",AF45="",IF($AF$4="(nonblank)",AF45&lt;&gt;"",ISNUMBER(SEARCH($AF$4,AF45)))))</formula>
    </cfRule>
  </conditionalFormatting>
  <conditionalFormatting sqref="AF7:AF43">
    <cfRule type="expression" dxfId="3" priority="75">
      <formula>AND(ISNUMBER($A7),$AF$4&lt;&gt;"",IF($AF$4="(blank)",AF7="",IF($AF$4="(nonblank)",AF7&lt;&gt;"",ISNUMBER(SEARCH($AF$4,AF7)))))</formula>
    </cfRule>
  </conditionalFormatting>
  <conditionalFormatting sqref="AF7:AF43">
    <cfRule type="cellIs" dxfId="2" priority="39" operator="equal">
      <formula>"SETTLED"</formula>
    </cfRule>
    <cfRule type="cellIs" dxfId="1" priority="40" operator="equal">
      <formula>"OUTSTANDING"</formula>
    </cfRule>
  </conditionalFormatting>
  <conditionalFormatting sqref="AE7:AE43">
    <cfRule type="cellIs" dxfId="0" priority="41" operator="greaterThan">
      <formula>5</formula>
    </cfRule>
  </conditionalFormatting>
  <dataValidations count="34">
    <dataValidation type="list" sqref="B4" xr:uid="{00000000-0002-0000-0200-000000000000}">
      <formula1>SUGN_B</formula1>
      <formula2>0</formula2>
    </dataValidation>
    <dataValidation type="list" sqref="C4" xr:uid="{00000000-0002-0000-0200-000001000000}">
      <formula1>SUGN_C</formula1>
      <formula2>0</formula2>
    </dataValidation>
    <dataValidation type="list" sqref="D4" xr:uid="{00000000-0002-0000-0200-000002000000}">
      <formula1>SUGN_D</formula1>
      <formula2>0</formula2>
    </dataValidation>
    <dataValidation type="list" sqref="E4" xr:uid="{00000000-0002-0000-0200-000003000000}">
      <formula1>SUGN_E</formula1>
      <formula2>0</formula2>
    </dataValidation>
    <dataValidation type="list" sqref="F4" xr:uid="{00000000-0002-0000-0200-000004000000}">
      <formula1>SUGN_F</formula1>
      <formula2>0</formula2>
    </dataValidation>
    <dataValidation type="list" sqref="G4" xr:uid="{00000000-0002-0000-0200-000005000000}">
      <formula1>SUGN_G</formula1>
      <formula2>0</formula2>
    </dataValidation>
    <dataValidation type="list" sqref="H4" xr:uid="{00000000-0002-0000-0200-000006000000}">
      <formula1>SUGN_H</formula1>
      <formula2>0</formula2>
    </dataValidation>
    <dataValidation type="list" sqref="I4" xr:uid="{00000000-0002-0000-0200-000007000000}">
      <formula1>SUGN_I</formula1>
      <formula2>0</formula2>
    </dataValidation>
    <dataValidation type="list" sqref="J4" xr:uid="{00000000-0002-0000-0200-000008000000}">
      <formula1>SUGN_J</formula1>
      <formula2>0</formula2>
    </dataValidation>
    <dataValidation type="list" sqref="K4" xr:uid="{00000000-0002-0000-0200-000009000000}">
      <formula1>SUGN_K</formula1>
      <formula2>0</formula2>
    </dataValidation>
    <dataValidation type="list" sqref="L4" xr:uid="{00000000-0002-0000-0200-00000A000000}">
      <formula1>SUGN_L</formula1>
      <formula2>0</formula2>
    </dataValidation>
    <dataValidation type="list" sqref="M4" xr:uid="{00000000-0002-0000-0200-00000B000000}">
      <formula1>SUGN_M</formula1>
      <formula2>0</formula2>
    </dataValidation>
    <dataValidation type="list" sqref="N4" xr:uid="{00000000-0002-0000-0200-00000C000000}">
      <formula1>SUGN_N</formula1>
      <formula2>0</formula2>
    </dataValidation>
    <dataValidation type="list" sqref="O4" xr:uid="{00000000-0002-0000-0200-00000D000000}">
      <formula1>SUGN_O</formula1>
      <formula2>0</formula2>
    </dataValidation>
    <dataValidation type="list" sqref="P4" xr:uid="{00000000-0002-0000-0200-00000E000000}">
      <formula1>SUGN_P</formula1>
      <formula2>0</formula2>
    </dataValidation>
    <dataValidation type="list" sqref="Q4" xr:uid="{00000000-0002-0000-0200-00000F000000}">
      <formula1>SUGN_Q</formula1>
      <formula2>0</formula2>
    </dataValidation>
    <dataValidation type="list" sqref="R4" xr:uid="{00000000-0002-0000-0200-000010000000}">
      <formula1>SUGN_R</formula1>
      <formula2>0</formula2>
    </dataValidation>
    <dataValidation type="list" sqref="S4" xr:uid="{00000000-0002-0000-0200-000011000000}">
      <formula1>SUGN_S</formula1>
      <formula2>0</formula2>
    </dataValidation>
    <dataValidation type="list" sqref="T4" xr:uid="{00000000-0002-0000-0200-000012000000}">
      <formula1>SUGN_T</formula1>
      <formula2>0</formula2>
    </dataValidation>
    <dataValidation type="list" sqref="U4" xr:uid="{00000000-0002-0000-0200-000013000000}">
      <formula1>SUGN_U</formula1>
      <formula2>0</formula2>
    </dataValidation>
    <dataValidation type="list" sqref="V4" xr:uid="{00000000-0002-0000-0200-000014000000}">
      <formula1>SUGN_V</formula1>
      <formula2>0</formula2>
    </dataValidation>
    <dataValidation type="list" sqref="W4" xr:uid="{00000000-0002-0000-0200-000015000000}">
      <formula1>SUGN_W</formula1>
      <formula2>0</formula2>
    </dataValidation>
    <dataValidation type="list" sqref="X4" xr:uid="{00000000-0002-0000-0200-000016000000}">
      <formula1>SUGN_X</formula1>
      <formula2>0</formula2>
    </dataValidation>
    <dataValidation type="list" sqref="Y4" xr:uid="{00000000-0002-0000-0200-000017000000}">
      <formula1>SUGN_Y</formula1>
      <formula2>0</formula2>
    </dataValidation>
    <dataValidation type="list" sqref="Z4" xr:uid="{00000000-0002-0000-0200-000018000000}">
      <formula1>SUGN_Z</formula1>
      <formula2>0</formula2>
    </dataValidation>
    <dataValidation type="list" sqref="AA4" xr:uid="{00000000-0002-0000-0200-000019000000}">
      <formula1>SUGN_AA</formula1>
      <formula2>0</formula2>
    </dataValidation>
    <dataValidation type="list" sqref="AB4" xr:uid="{00000000-0002-0000-0200-00001A000000}">
      <formula1>SUGN_AB</formula1>
      <formula2>0</formula2>
    </dataValidation>
    <dataValidation type="list" sqref="AC4" xr:uid="{00000000-0002-0000-0200-00001B000000}">
      <formula1>SUGN_AC</formula1>
      <formula2>0</formula2>
    </dataValidation>
    <dataValidation type="list" sqref="AD4" xr:uid="{00000000-0002-0000-0200-00001C000000}">
      <formula1>SUGN_AD</formula1>
      <formula2>0</formula2>
    </dataValidation>
    <dataValidation type="list" sqref="AE4" xr:uid="{00000000-0002-0000-0200-00001D000000}">
      <formula1>SUGN_AE</formula1>
      <formula2>0</formula2>
    </dataValidation>
    <dataValidation type="list" sqref="AG4" xr:uid="{00000000-0002-0000-0200-00001E000000}">
      <formula1>SUGN_AF</formula1>
      <formula2>0</formula2>
    </dataValidation>
    <dataValidation type="list" sqref="AH4" xr:uid="{00000000-0002-0000-0200-00001F000000}">
      <formula1>SUGN_AG</formula1>
      <formula2>0</formula2>
    </dataValidation>
    <dataValidation type="list" sqref="AI4" xr:uid="{00000000-0002-0000-0200-000020000000}">
      <formula1>SUGN_AH</formula1>
      <formula2>0</formula2>
    </dataValidation>
    <dataValidation type="list" sqref="AF4" xr:uid="{00000000-0002-0000-0200-000021000000}">
      <formula1>SUGN_AI</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U114"/>
  <sheetViews>
    <sheetView zoomScaleNormal="100" workbookViewId="0"/>
  </sheetViews>
  <sheetFormatPr defaultColWidth="8.6640625" defaultRowHeight="14.4" x14ac:dyDescent="0.3"/>
  <cols>
    <col min="1" max="1" width="30" customWidth="1"/>
    <col min="5" max="6" width="30" customWidth="1"/>
    <col min="10" max="11" width="30" customWidth="1"/>
    <col min="15" max="16" width="30" customWidth="1"/>
    <col min="20" max="21" width="30" customWidth="1"/>
    <col min="25" max="26" width="30" customWidth="1"/>
    <col min="30" max="31" width="30" customWidth="1"/>
    <col min="35" max="36" width="30" customWidth="1"/>
    <col min="40" max="41" width="30" customWidth="1"/>
    <col min="45" max="46" width="30" customWidth="1"/>
    <col min="50" max="51" width="30" customWidth="1"/>
    <col min="55" max="56" width="30" customWidth="1"/>
    <col min="60" max="61" width="30" customWidth="1"/>
    <col min="65" max="66" width="30" customWidth="1"/>
    <col min="70" max="71" width="30" customWidth="1"/>
    <col min="75" max="76" width="30" customWidth="1"/>
    <col min="80" max="81" width="30" customWidth="1"/>
    <col min="85" max="86" width="30" customWidth="1"/>
    <col min="90" max="91" width="30" customWidth="1"/>
    <col min="95" max="96" width="30" customWidth="1"/>
    <col min="100" max="101" width="30" customWidth="1"/>
    <col min="105" max="106" width="30" customWidth="1"/>
    <col min="110" max="111" width="30" customWidth="1"/>
    <col min="115" max="116" width="30" customWidth="1"/>
    <col min="120" max="121" width="30" customWidth="1"/>
    <col min="125" max="126" width="30" customWidth="1"/>
    <col min="130" max="131" width="30" customWidth="1"/>
    <col min="135" max="136" width="30" customWidth="1"/>
    <col min="140" max="141" width="30" customWidth="1"/>
    <col min="145" max="146" width="30" customWidth="1"/>
    <col min="150" max="151" width="30" customWidth="1"/>
    <col min="155" max="156" width="30" customWidth="1"/>
    <col min="160" max="161" width="30" customWidth="1"/>
    <col min="165" max="166" width="30" customWidth="1"/>
    <col min="170" max="171" width="30" customWidth="1"/>
    <col min="175" max="176" width="30" customWidth="1"/>
    <col min="180" max="180" width="30" customWidth="1"/>
  </cols>
  <sheetData>
    <row r="1" spans="1:593" x14ac:dyDescent="0.3">
      <c r="A1" t="s">
        <v>199</v>
      </c>
    </row>
    <row r="3" spans="1:593" x14ac:dyDescent="0.3">
      <c r="A3" t="s">
        <v>200</v>
      </c>
      <c r="F3" t="s">
        <v>201</v>
      </c>
      <c r="K3" t="s">
        <v>202</v>
      </c>
      <c r="P3" t="s">
        <v>203</v>
      </c>
      <c r="U3" t="s">
        <v>204</v>
      </c>
      <c r="Z3" t="s">
        <v>205</v>
      </c>
      <c r="AE3" t="s">
        <v>206</v>
      </c>
      <c r="AJ3" t="s">
        <v>207</v>
      </c>
      <c r="AO3" t="s">
        <v>208</v>
      </c>
      <c r="AT3" t="s">
        <v>209</v>
      </c>
      <c r="AY3" t="s">
        <v>210</v>
      </c>
      <c r="BD3" t="s">
        <v>211</v>
      </c>
      <c r="BI3" t="s">
        <v>212</v>
      </c>
      <c r="BN3" t="s">
        <v>213</v>
      </c>
      <c r="BS3" t="s">
        <v>214</v>
      </c>
      <c r="BX3" t="s">
        <v>215</v>
      </c>
      <c r="CC3" t="s">
        <v>216</v>
      </c>
      <c r="CH3" t="s">
        <v>217</v>
      </c>
      <c r="CM3" t="s">
        <v>218</v>
      </c>
      <c r="CR3" t="s">
        <v>219</v>
      </c>
      <c r="CW3" t="s">
        <v>220</v>
      </c>
      <c r="DB3" t="s">
        <v>221</v>
      </c>
      <c r="DG3" t="s">
        <v>222</v>
      </c>
      <c r="DL3" t="s">
        <v>223</v>
      </c>
      <c r="DQ3" t="s">
        <v>224</v>
      </c>
      <c r="DV3" t="s">
        <v>225</v>
      </c>
      <c r="EA3" t="s">
        <v>226</v>
      </c>
      <c r="EF3" t="s">
        <v>227</v>
      </c>
      <c r="EK3" t="s">
        <v>228</v>
      </c>
      <c r="EP3" t="s">
        <v>229</v>
      </c>
      <c r="EU3" t="s">
        <v>230</v>
      </c>
      <c r="EZ3" t="s">
        <v>231</v>
      </c>
      <c r="FE3" t="s">
        <v>232</v>
      </c>
      <c r="FJ3" t="s">
        <v>233</v>
      </c>
      <c r="FO3" t="s">
        <v>234</v>
      </c>
      <c r="FT3" t="s">
        <v>235</v>
      </c>
      <c r="GC3" t="s">
        <v>236</v>
      </c>
      <c r="GD3" t="s">
        <v>237</v>
      </c>
      <c r="GE3" t="s">
        <v>238</v>
      </c>
      <c r="GF3" t="s">
        <v>239</v>
      </c>
      <c r="GG3" t="s">
        <v>240</v>
      </c>
      <c r="GH3" t="s">
        <v>241</v>
      </c>
      <c r="GI3" t="s">
        <v>242</v>
      </c>
      <c r="GJ3" t="s">
        <v>243</v>
      </c>
      <c r="GK3" t="s">
        <v>244</v>
      </c>
      <c r="GL3" t="s">
        <v>245</v>
      </c>
      <c r="GM3" t="s">
        <v>246</v>
      </c>
      <c r="GN3" t="s">
        <v>247</v>
      </c>
      <c r="GO3" t="s">
        <v>248</v>
      </c>
      <c r="GP3" t="s">
        <v>249</v>
      </c>
      <c r="GQ3" t="s">
        <v>250</v>
      </c>
      <c r="GR3" t="s">
        <v>251</v>
      </c>
      <c r="GS3" t="s">
        <v>252</v>
      </c>
      <c r="GT3" t="s">
        <v>253</v>
      </c>
      <c r="GU3" t="s">
        <v>254</v>
      </c>
      <c r="GV3" t="s">
        <v>255</v>
      </c>
      <c r="GW3" t="s">
        <v>256</v>
      </c>
      <c r="GX3" t="s">
        <v>257</v>
      </c>
      <c r="GY3" t="s">
        <v>258</v>
      </c>
      <c r="GZ3" t="s">
        <v>259</v>
      </c>
      <c r="HA3" t="s">
        <v>260</v>
      </c>
      <c r="HB3" t="s">
        <v>261</v>
      </c>
      <c r="HC3" t="s">
        <v>262</v>
      </c>
      <c r="HD3" t="s">
        <v>263</v>
      </c>
      <c r="HE3" t="s">
        <v>264</v>
      </c>
      <c r="HF3" t="s">
        <v>265</v>
      </c>
      <c r="HG3" t="s">
        <v>266</v>
      </c>
      <c r="HH3" t="s">
        <v>267</v>
      </c>
      <c r="HI3" t="s">
        <v>268</v>
      </c>
      <c r="HJ3" t="s">
        <v>269</v>
      </c>
      <c r="HK3" t="s">
        <v>270</v>
      </c>
      <c r="HL3" t="s">
        <v>271</v>
      </c>
      <c r="HM3" t="s">
        <v>272</v>
      </c>
      <c r="HN3" t="s">
        <v>273</v>
      </c>
      <c r="HO3" t="s">
        <v>274</v>
      </c>
      <c r="HP3" t="s">
        <v>275</v>
      </c>
      <c r="HQ3" t="s">
        <v>276</v>
      </c>
      <c r="HR3" t="s">
        <v>277</v>
      </c>
      <c r="HS3" t="s">
        <v>278</v>
      </c>
      <c r="HT3" t="s">
        <v>279</v>
      </c>
      <c r="HU3" t="s">
        <v>280</v>
      </c>
      <c r="HV3" t="s">
        <v>281</v>
      </c>
      <c r="HW3" t="s">
        <v>282</v>
      </c>
      <c r="HX3" t="s">
        <v>283</v>
      </c>
      <c r="HY3" t="s">
        <v>284</v>
      </c>
      <c r="HZ3" t="s">
        <v>285</v>
      </c>
      <c r="IA3" t="s">
        <v>286</v>
      </c>
      <c r="IB3" t="s">
        <v>287</v>
      </c>
      <c r="IC3" t="s">
        <v>288</v>
      </c>
      <c r="ID3" t="s">
        <v>289</v>
      </c>
      <c r="IE3" t="s">
        <v>290</v>
      </c>
      <c r="IF3" t="s">
        <v>291</v>
      </c>
      <c r="IG3" t="s">
        <v>292</v>
      </c>
      <c r="IH3" t="s">
        <v>293</v>
      </c>
      <c r="II3" t="s">
        <v>294</v>
      </c>
      <c r="IJ3" t="s">
        <v>295</v>
      </c>
      <c r="IK3" t="s">
        <v>296</v>
      </c>
      <c r="IL3" t="s">
        <v>297</v>
      </c>
      <c r="IM3" t="s">
        <v>298</v>
      </c>
      <c r="IN3" t="s">
        <v>299</v>
      </c>
      <c r="IO3" t="s">
        <v>300</v>
      </c>
      <c r="IP3" t="s">
        <v>301</v>
      </c>
      <c r="IQ3" t="s">
        <v>302</v>
      </c>
      <c r="IR3" t="s">
        <v>303</v>
      </c>
      <c r="IS3" t="s">
        <v>304</v>
      </c>
      <c r="IT3" t="s">
        <v>305</v>
      </c>
      <c r="IU3" t="s">
        <v>306</v>
      </c>
      <c r="IV3" t="s">
        <v>307</v>
      </c>
      <c r="IW3" t="s">
        <v>308</v>
      </c>
      <c r="IX3" t="s">
        <v>309</v>
      </c>
      <c r="IY3" t="s">
        <v>310</v>
      </c>
      <c r="IZ3" t="s">
        <v>311</v>
      </c>
      <c r="JA3" t="s">
        <v>312</v>
      </c>
      <c r="JB3" t="s">
        <v>313</v>
      </c>
      <c r="JC3" t="s">
        <v>314</v>
      </c>
      <c r="JD3" t="s">
        <v>315</v>
      </c>
      <c r="JE3" t="s">
        <v>316</v>
      </c>
      <c r="JF3" t="s">
        <v>317</v>
      </c>
      <c r="JG3" t="s">
        <v>318</v>
      </c>
      <c r="JH3" t="s">
        <v>319</v>
      </c>
      <c r="JI3" t="s">
        <v>320</v>
      </c>
      <c r="JJ3" t="s">
        <v>321</v>
      </c>
      <c r="JK3" t="s">
        <v>322</v>
      </c>
      <c r="JL3" t="s">
        <v>323</v>
      </c>
      <c r="JM3" t="s">
        <v>324</v>
      </c>
      <c r="JN3" t="s">
        <v>325</v>
      </c>
      <c r="JO3" t="s">
        <v>326</v>
      </c>
      <c r="JP3" t="s">
        <v>327</v>
      </c>
      <c r="JQ3" t="s">
        <v>328</v>
      </c>
      <c r="JR3" t="s">
        <v>329</v>
      </c>
      <c r="JS3" t="s">
        <v>330</v>
      </c>
      <c r="JT3" t="s">
        <v>331</v>
      </c>
      <c r="JU3" t="s">
        <v>332</v>
      </c>
      <c r="JV3" t="s">
        <v>333</v>
      </c>
      <c r="JW3" t="s">
        <v>334</v>
      </c>
      <c r="JX3" t="s">
        <v>335</v>
      </c>
      <c r="JY3" t="s">
        <v>336</v>
      </c>
      <c r="JZ3" t="s">
        <v>337</v>
      </c>
      <c r="KA3" t="s">
        <v>338</v>
      </c>
      <c r="KB3" t="s">
        <v>339</v>
      </c>
      <c r="KC3" t="s">
        <v>340</v>
      </c>
      <c r="KD3" t="s">
        <v>341</v>
      </c>
      <c r="KE3" t="s">
        <v>342</v>
      </c>
      <c r="KF3" t="s">
        <v>343</v>
      </c>
      <c r="KG3" t="s">
        <v>344</v>
      </c>
      <c r="KH3" t="s">
        <v>345</v>
      </c>
      <c r="KI3" t="s">
        <v>346</v>
      </c>
      <c r="KJ3" t="s">
        <v>347</v>
      </c>
      <c r="KK3" t="s">
        <v>348</v>
      </c>
      <c r="KL3" t="s">
        <v>349</v>
      </c>
      <c r="KM3" t="s">
        <v>350</v>
      </c>
      <c r="KN3" t="s">
        <v>351</v>
      </c>
      <c r="KO3" t="s">
        <v>352</v>
      </c>
      <c r="KP3" t="s">
        <v>353</v>
      </c>
      <c r="KQ3" t="s">
        <v>354</v>
      </c>
      <c r="KR3" t="s">
        <v>355</v>
      </c>
      <c r="KS3" t="s">
        <v>356</v>
      </c>
      <c r="KT3" t="s">
        <v>357</v>
      </c>
      <c r="KU3" t="s">
        <v>358</v>
      </c>
      <c r="KV3" t="s">
        <v>359</v>
      </c>
      <c r="KW3" t="s">
        <v>360</v>
      </c>
      <c r="KX3" t="s">
        <v>361</v>
      </c>
      <c r="KY3" t="s">
        <v>362</v>
      </c>
      <c r="KZ3" t="s">
        <v>363</v>
      </c>
      <c r="LA3" t="s">
        <v>364</v>
      </c>
      <c r="LB3" t="s">
        <v>365</v>
      </c>
      <c r="LC3" t="s">
        <v>366</v>
      </c>
      <c r="LD3" t="s">
        <v>367</v>
      </c>
      <c r="LE3" t="s">
        <v>368</v>
      </c>
      <c r="LF3" t="s">
        <v>369</v>
      </c>
      <c r="LG3" t="s">
        <v>370</v>
      </c>
      <c r="LH3" t="s">
        <v>371</v>
      </c>
      <c r="LI3" t="s">
        <v>372</v>
      </c>
      <c r="LJ3" t="s">
        <v>373</v>
      </c>
      <c r="LK3" t="s">
        <v>374</v>
      </c>
      <c r="LL3" t="s">
        <v>375</v>
      </c>
      <c r="LM3" t="s">
        <v>376</v>
      </c>
      <c r="LN3" t="s">
        <v>377</v>
      </c>
      <c r="LO3" t="s">
        <v>378</v>
      </c>
      <c r="LP3" t="s">
        <v>379</v>
      </c>
      <c r="LQ3" t="s">
        <v>380</v>
      </c>
      <c r="LR3" t="s">
        <v>381</v>
      </c>
      <c r="LS3" t="s">
        <v>382</v>
      </c>
      <c r="LT3" t="s">
        <v>383</v>
      </c>
      <c r="LU3" t="s">
        <v>384</v>
      </c>
      <c r="LV3" t="s">
        <v>385</v>
      </c>
      <c r="LW3" t="s">
        <v>386</v>
      </c>
      <c r="LX3" t="s">
        <v>387</v>
      </c>
      <c r="LY3" t="s">
        <v>388</v>
      </c>
      <c r="LZ3" t="s">
        <v>389</v>
      </c>
      <c r="MA3" t="s">
        <v>390</v>
      </c>
      <c r="MB3" t="s">
        <v>391</v>
      </c>
      <c r="MC3" t="s">
        <v>392</v>
      </c>
      <c r="MD3" t="s">
        <v>393</v>
      </c>
      <c r="ME3" t="s">
        <v>394</v>
      </c>
      <c r="MF3" t="s">
        <v>395</v>
      </c>
      <c r="MG3" t="s">
        <v>396</v>
      </c>
      <c r="MH3" t="s">
        <v>397</v>
      </c>
      <c r="MI3" t="s">
        <v>398</v>
      </c>
      <c r="MJ3" t="s">
        <v>399</v>
      </c>
      <c r="MK3" t="s">
        <v>400</v>
      </c>
      <c r="ML3" t="s">
        <v>401</v>
      </c>
      <c r="MM3" t="s">
        <v>402</v>
      </c>
      <c r="MN3" t="s">
        <v>403</v>
      </c>
      <c r="MO3" t="s">
        <v>404</v>
      </c>
      <c r="MP3" t="s">
        <v>405</v>
      </c>
      <c r="MQ3" t="s">
        <v>406</v>
      </c>
      <c r="MR3" t="s">
        <v>407</v>
      </c>
      <c r="MS3" t="s">
        <v>408</v>
      </c>
      <c r="MT3" t="s">
        <v>409</v>
      </c>
      <c r="MU3" t="s">
        <v>410</v>
      </c>
      <c r="MV3" t="s">
        <v>411</v>
      </c>
      <c r="MW3" t="s">
        <v>412</v>
      </c>
      <c r="MX3" t="s">
        <v>413</v>
      </c>
      <c r="MY3" t="s">
        <v>414</v>
      </c>
      <c r="MZ3" t="s">
        <v>415</v>
      </c>
      <c r="NA3" t="s">
        <v>416</v>
      </c>
      <c r="NB3" t="s">
        <v>417</v>
      </c>
      <c r="NC3" t="s">
        <v>418</v>
      </c>
      <c r="ND3" t="s">
        <v>419</v>
      </c>
      <c r="NE3" t="s">
        <v>420</v>
      </c>
      <c r="NF3" t="s">
        <v>421</v>
      </c>
      <c r="NG3" t="s">
        <v>422</v>
      </c>
      <c r="NH3" t="s">
        <v>423</v>
      </c>
      <c r="NI3" t="s">
        <v>424</v>
      </c>
      <c r="NJ3" t="s">
        <v>425</v>
      </c>
      <c r="NK3" t="s">
        <v>426</v>
      </c>
      <c r="NL3" t="s">
        <v>427</v>
      </c>
      <c r="NM3" t="s">
        <v>428</v>
      </c>
      <c r="NN3" t="s">
        <v>429</v>
      </c>
      <c r="NO3" t="s">
        <v>430</v>
      </c>
      <c r="NP3" t="s">
        <v>431</v>
      </c>
      <c r="NQ3" t="s">
        <v>432</v>
      </c>
      <c r="NR3" t="s">
        <v>433</v>
      </c>
      <c r="NS3" t="s">
        <v>434</v>
      </c>
      <c r="NT3" t="s">
        <v>435</v>
      </c>
      <c r="NU3" t="s">
        <v>436</v>
      </c>
      <c r="NV3" t="s">
        <v>437</v>
      </c>
      <c r="NW3" t="s">
        <v>438</v>
      </c>
      <c r="NX3" t="s">
        <v>439</v>
      </c>
      <c r="NY3" t="s">
        <v>440</v>
      </c>
      <c r="NZ3" t="s">
        <v>441</v>
      </c>
      <c r="OA3" t="s">
        <v>442</v>
      </c>
      <c r="OB3" t="s">
        <v>443</v>
      </c>
      <c r="OC3" t="s">
        <v>444</v>
      </c>
      <c r="OD3" t="s">
        <v>445</v>
      </c>
      <c r="OE3" t="s">
        <v>446</v>
      </c>
      <c r="OF3" t="s">
        <v>447</v>
      </c>
      <c r="OG3" t="s">
        <v>448</v>
      </c>
      <c r="OH3" t="s">
        <v>449</v>
      </c>
      <c r="OI3" t="s">
        <v>450</v>
      </c>
      <c r="OJ3" t="s">
        <v>451</v>
      </c>
      <c r="OK3" t="s">
        <v>452</v>
      </c>
      <c r="OL3" t="s">
        <v>453</v>
      </c>
      <c r="OM3" t="s">
        <v>454</v>
      </c>
      <c r="ON3" t="s">
        <v>455</v>
      </c>
      <c r="OO3" t="s">
        <v>456</v>
      </c>
      <c r="OP3" t="s">
        <v>457</v>
      </c>
      <c r="OQ3" t="s">
        <v>458</v>
      </c>
      <c r="OR3" t="s">
        <v>459</v>
      </c>
      <c r="OS3" t="s">
        <v>460</v>
      </c>
      <c r="OT3" t="s">
        <v>461</v>
      </c>
      <c r="OU3" t="s">
        <v>462</v>
      </c>
      <c r="OV3" t="s">
        <v>463</v>
      </c>
      <c r="OW3" t="s">
        <v>464</v>
      </c>
      <c r="OX3" t="s">
        <v>465</v>
      </c>
      <c r="OY3" t="s">
        <v>466</v>
      </c>
      <c r="OZ3" t="s">
        <v>467</v>
      </c>
      <c r="PA3" t="s">
        <v>468</v>
      </c>
      <c r="PB3" t="s">
        <v>469</v>
      </c>
      <c r="PC3" t="s">
        <v>470</v>
      </c>
      <c r="PD3" t="s">
        <v>471</v>
      </c>
      <c r="PE3" t="s">
        <v>472</v>
      </c>
      <c r="PF3" t="s">
        <v>473</v>
      </c>
      <c r="PG3" t="s">
        <v>474</v>
      </c>
      <c r="PH3" t="s">
        <v>475</v>
      </c>
      <c r="PI3" t="s">
        <v>476</v>
      </c>
      <c r="PJ3" t="s">
        <v>477</v>
      </c>
      <c r="PK3" t="s">
        <v>478</v>
      </c>
      <c r="PL3" t="s">
        <v>479</v>
      </c>
      <c r="PM3" t="s">
        <v>480</v>
      </c>
      <c r="PN3" t="s">
        <v>481</v>
      </c>
      <c r="PO3" t="s">
        <v>482</v>
      </c>
      <c r="PP3" t="s">
        <v>483</v>
      </c>
      <c r="PQ3" t="s">
        <v>484</v>
      </c>
      <c r="PR3" t="s">
        <v>485</v>
      </c>
      <c r="PS3" t="s">
        <v>486</v>
      </c>
      <c r="PT3" t="s">
        <v>487</v>
      </c>
      <c r="PU3" t="s">
        <v>488</v>
      </c>
      <c r="PV3" t="s">
        <v>489</v>
      </c>
      <c r="PW3" t="s">
        <v>490</v>
      </c>
      <c r="PX3" t="s">
        <v>491</v>
      </c>
      <c r="PY3" t="s">
        <v>492</v>
      </c>
      <c r="PZ3" t="s">
        <v>493</v>
      </c>
      <c r="QA3" t="s">
        <v>494</v>
      </c>
      <c r="QB3" t="s">
        <v>495</v>
      </c>
      <c r="QC3" t="s">
        <v>496</v>
      </c>
      <c r="QD3" t="s">
        <v>497</v>
      </c>
      <c r="QE3" t="s">
        <v>498</v>
      </c>
      <c r="QF3" t="s">
        <v>499</v>
      </c>
      <c r="QG3" t="s">
        <v>500</v>
      </c>
      <c r="QH3" t="s">
        <v>501</v>
      </c>
      <c r="QI3" t="s">
        <v>502</v>
      </c>
      <c r="QJ3" t="s">
        <v>503</v>
      </c>
      <c r="QK3" t="s">
        <v>504</v>
      </c>
      <c r="QP3" t="s">
        <v>505</v>
      </c>
      <c r="QQ3" t="s">
        <v>506</v>
      </c>
      <c r="QR3" t="s">
        <v>507</v>
      </c>
      <c r="QS3" t="s">
        <v>508</v>
      </c>
      <c r="QT3" t="s">
        <v>509</v>
      </c>
      <c r="QU3" t="s">
        <v>510</v>
      </c>
      <c r="QV3" t="s">
        <v>511</v>
      </c>
      <c r="QW3" t="s">
        <v>512</v>
      </c>
      <c r="QX3" t="s">
        <v>513</v>
      </c>
      <c r="QY3" t="s">
        <v>514</v>
      </c>
      <c r="QZ3" t="s">
        <v>515</v>
      </c>
      <c r="RA3" t="s">
        <v>516</v>
      </c>
      <c r="RB3" t="s">
        <v>517</v>
      </c>
      <c r="RC3" t="s">
        <v>518</v>
      </c>
      <c r="RD3" t="s">
        <v>519</v>
      </c>
      <c r="RE3" t="s">
        <v>520</v>
      </c>
      <c r="RF3" t="s">
        <v>521</v>
      </c>
      <c r="RG3" t="s">
        <v>522</v>
      </c>
      <c r="RH3" t="s">
        <v>523</v>
      </c>
      <c r="RI3" t="s">
        <v>524</v>
      </c>
      <c r="RJ3" t="s">
        <v>525</v>
      </c>
      <c r="RK3" t="s">
        <v>526</v>
      </c>
      <c r="RL3" t="s">
        <v>527</v>
      </c>
      <c r="RM3" t="s">
        <v>528</v>
      </c>
      <c r="RN3" t="s">
        <v>529</v>
      </c>
      <c r="RO3" t="s">
        <v>530</v>
      </c>
      <c r="RP3" t="s">
        <v>531</v>
      </c>
      <c r="RQ3" t="s">
        <v>532</v>
      </c>
      <c r="RR3" t="s">
        <v>533</v>
      </c>
      <c r="RS3" t="s">
        <v>534</v>
      </c>
      <c r="RT3" t="s">
        <v>535</v>
      </c>
      <c r="RU3" t="s">
        <v>536</v>
      </c>
      <c r="RV3" t="s">
        <v>537</v>
      </c>
      <c r="RW3" t="s">
        <v>538</v>
      </c>
      <c r="RX3" t="s">
        <v>539</v>
      </c>
      <c r="RY3" t="s">
        <v>540</v>
      </c>
      <c r="RZ3" t="s">
        <v>541</v>
      </c>
      <c r="SA3" t="s">
        <v>542</v>
      </c>
      <c r="SB3" t="s">
        <v>543</v>
      </c>
      <c r="SC3" t="s">
        <v>544</v>
      </c>
      <c r="SD3" t="s">
        <v>545</v>
      </c>
      <c r="SE3" t="s">
        <v>546</v>
      </c>
      <c r="SF3" t="s">
        <v>547</v>
      </c>
      <c r="SG3" t="s">
        <v>548</v>
      </c>
      <c r="SH3" t="s">
        <v>549</v>
      </c>
      <c r="SI3" t="s">
        <v>550</v>
      </c>
      <c r="SJ3" t="s">
        <v>551</v>
      </c>
      <c r="SK3" t="s">
        <v>552</v>
      </c>
      <c r="SL3" t="s">
        <v>553</v>
      </c>
      <c r="SM3" t="s">
        <v>554</v>
      </c>
      <c r="SN3" t="s">
        <v>555</v>
      </c>
      <c r="SO3" t="s">
        <v>556</v>
      </c>
      <c r="SP3" t="s">
        <v>557</v>
      </c>
      <c r="SQ3" t="s">
        <v>558</v>
      </c>
      <c r="SR3" t="s">
        <v>559</v>
      </c>
      <c r="SS3" t="s">
        <v>560</v>
      </c>
      <c r="ST3" t="s">
        <v>561</v>
      </c>
      <c r="SU3" t="s">
        <v>562</v>
      </c>
      <c r="SV3" t="s">
        <v>563</v>
      </c>
      <c r="SW3" t="s">
        <v>564</v>
      </c>
      <c r="SX3" t="s">
        <v>565</v>
      </c>
      <c r="SY3" t="s">
        <v>566</v>
      </c>
      <c r="SZ3" t="s">
        <v>567</v>
      </c>
      <c r="TA3" t="s">
        <v>568</v>
      </c>
      <c r="TB3" t="s">
        <v>569</v>
      </c>
      <c r="TC3" t="s">
        <v>570</v>
      </c>
      <c r="TD3" t="s">
        <v>571</v>
      </c>
      <c r="TE3" t="s">
        <v>572</v>
      </c>
      <c r="TF3" t="s">
        <v>573</v>
      </c>
      <c r="TG3" t="s">
        <v>574</v>
      </c>
      <c r="TH3" t="s">
        <v>575</v>
      </c>
      <c r="TI3" t="s">
        <v>576</v>
      </c>
      <c r="TJ3" t="s">
        <v>577</v>
      </c>
      <c r="TK3" t="s">
        <v>578</v>
      </c>
      <c r="TL3" t="s">
        <v>579</v>
      </c>
      <c r="TM3" t="s">
        <v>580</v>
      </c>
      <c r="TN3" t="s">
        <v>581</v>
      </c>
      <c r="TO3" t="s">
        <v>582</v>
      </c>
      <c r="TP3" t="s">
        <v>583</v>
      </c>
      <c r="TQ3" t="s">
        <v>584</v>
      </c>
      <c r="TR3" t="s">
        <v>585</v>
      </c>
      <c r="TS3" t="s">
        <v>586</v>
      </c>
      <c r="TT3" t="s">
        <v>587</v>
      </c>
      <c r="TU3" t="s">
        <v>588</v>
      </c>
      <c r="TV3" t="s">
        <v>589</v>
      </c>
      <c r="TW3" t="s">
        <v>590</v>
      </c>
      <c r="TX3" t="s">
        <v>591</v>
      </c>
      <c r="TY3" t="s">
        <v>592</v>
      </c>
      <c r="TZ3" t="s">
        <v>593</v>
      </c>
      <c r="UA3" t="s">
        <v>594</v>
      </c>
      <c r="UB3" t="s">
        <v>595</v>
      </c>
      <c r="UC3" t="s">
        <v>596</v>
      </c>
      <c r="UD3" t="s">
        <v>597</v>
      </c>
      <c r="UE3" t="s">
        <v>598</v>
      </c>
      <c r="UF3" t="s">
        <v>599</v>
      </c>
      <c r="UG3" t="s">
        <v>600</v>
      </c>
      <c r="UH3" t="s">
        <v>601</v>
      </c>
      <c r="UI3" t="s">
        <v>602</v>
      </c>
      <c r="UJ3" t="s">
        <v>603</v>
      </c>
      <c r="UK3" t="s">
        <v>604</v>
      </c>
      <c r="UL3" t="s">
        <v>605</v>
      </c>
      <c r="UM3" t="s">
        <v>606</v>
      </c>
      <c r="UN3" t="s">
        <v>607</v>
      </c>
      <c r="UO3" t="s">
        <v>608</v>
      </c>
      <c r="UP3" t="s">
        <v>609</v>
      </c>
      <c r="UQ3" t="s">
        <v>610</v>
      </c>
      <c r="UR3" t="s">
        <v>611</v>
      </c>
      <c r="US3" t="s">
        <v>612</v>
      </c>
      <c r="UT3" t="s">
        <v>613</v>
      </c>
      <c r="UU3" t="s">
        <v>614</v>
      </c>
      <c r="UV3" t="s">
        <v>615</v>
      </c>
      <c r="UW3" t="s">
        <v>616</v>
      </c>
      <c r="UX3" t="s">
        <v>617</v>
      </c>
      <c r="UY3" t="s">
        <v>618</v>
      </c>
      <c r="UZ3" t="s">
        <v>619</v>
      </c>
      <c r="VA3" t="s">
        <v>620</v>
      </c>
      <c r="VB3" t="s">
        <v>621</v>
      </c>
      <c r="VC3" t="s">
        <v>622</v>
      </c>
      <c r="VD3" t="s">
        <v>623</v>
      </c>
      <c r="VE3" t="s">
        <v>624</v>
      </c>
      <c r="VF3" t="s">
        <v>625</v>
      </c>
      <c r="VG3" t="s">
        <v>626</v>
      </c>
      <c r="VH3" t="s">
        <v>627</v>
      </c>
      <c r="VI3" t="s">
        <v>628</v>
      </c>
      <c r="VJ3" t="s">
        <v>629</v>
      </c>
      <c r="VK3" t="s">
        <v>630</v>
      </c>
      <c r="VL3" t="s">
        <v>631</v>
      </c>
      <c r="VM3" t="s">
        <v>632</v>
      </c>
      <c r="VN3" t="s">
        <v>633</v>
      </c>
      <c r="VO3" t="s">
        <v>634</v>
      </c>
      <c r="VP3" t="s">
        <v>635</v>
      </c>
      <c r="VQ3" t="s">
        <v>636</v>
      </c>
      <c r="VR3" t="s">
        <v>637</v>
      </c>
      <c r="VS3" t="s">
        <v>638</v>
      </c>
      <c r="VT3" t="s">
        <v>639</v>
      </c>
      <c r="VU3" t="s">
        <v>640</v>
      </c>
    </row>
    <row r="4" spans="1:593" x14ac:dyDescent="0.3">
      <c r="A4">
        <f>IF('Final Calculation Sheet'!$F$4="","",'Final Calculation Sheet'!$F$4)</f>
        <v>1763</v>
      </c>
      <c r="B4">
        <f>IF(A4="","",COUNTIFS(A$4:A$114,"&lt;"&amp;A4,A$4:A$114,"&lt;&gt;"&amp;"")+COUNTIF(A$4:A4,A4))</f>
        <v>1</v>
      </c>
      <c r="C4">
        <f t="shared" ref="C4:C35" si="0">IF(ROW()-3&gt;COUNTIF(A$4:A$114,"&lt;&gt;"&amp;""),"",INDEX(A$4:A$114,MATCH(ROW()-3,B$4:B$114,0)))</f>
        <v>1763</v>
      </c>
      <c r="D4">
        <f>IF(AND(C4&lt;&gt;"",COUNTIF(C$4:C4,C4)=1),1,0)</f>
        <v>1</v>
      </c>
      <c r="E4" t="e">
        <f t="shared" ref="E4:E35" si="1">IF(ROW()-3&gt;MAX(D$4:D$114),"",INDEX(C$4:C$114,MATCH(ROW()-3,D$4:D$114,0)))</f>
        <v>#N/A</v>
      </c>
      <c r="F4">
        <f t="shared" ref="F4:F40" si="2">ROW()-3</f>
        <v>1</v>
      </c>
      <c r="G4">
        <f>IF(F4="","",COUNTIFS(F$4:F$40,"&lt;"&amp;F4,F$4:F$40,"&lt;&gt;"&amp;"")+COUNTIF(F$4:F4,F4))</f>
        <v>1</v>
      </c>
      <c r="H4">
        <f t="shared" ref="H4:H40" si="3">IF(ROW()-3&gt;COUNTIF(F$4:F$40,"&lt;&gt;"&amp;""),"",INDEX(F$4:F$40,MATCH(ROW()-3,G$4:G$40,0)))</f>
        <v>1</v>
      </c>
      <c r="I4">
        <f>IF(AND(H4&lt;&gt;"",COUNTIF(H$4:H4,H4)=1),1,0)</f>
        <v>1</v>
      </c>
      <c r="J4">
        <f t="shared" ref="J4:J40" si="4">IF(ROW()-3&gt;MAX(I$4:I$40),"",INDEX(H$4:H$40,MATCH(ROW()-3,I$4:I$40,0)))</f>
        <v>1</v>
      </c>
      <c r="K4">
        <f>IF('Final Calculation Sheet'!$F$4="","",'Final Calculation Sheet'!$F$4)</f>
        <v>1763</v>
      </c>
      <c r="L4">
        <f>IF(K4="","",COUNTIFS(K$4:K$40,"&lt;"&amp;K4,K$4:K$40,"&lt;&gt;"&amp;"")+COUNTIF(K$4:K4,K4))</f>
        <v>1</v>
      </c>
      <c r="M4">
        <f t="shared" ref="M4:M40" si="5">IF(ROW()-3&gt;COUNTIF(K$4:K$40,"&lt;&gt;"&amp;""),"",INDEX(K$4:K$40,MATCH(ROW()-3,L$4:L$40,0)))</f>
        <v>1763</v>
      </c>
      <c r="N4">
        <f>IF(AND(M4&lt;&gt;"",COUNTIF(M$4:M4,M4)=1),1,0)</f>
        <v>1</v>
      </c>
      <c r="O4">
        <f t="shared" ref="O4:O40" si="6">IF(ROW()-3&gt;MAX(N$4:N$40),"",INDEX(M$4:M$40,MATCH(ROW()-3,N$4:N$40,0)))</f>
        <v>1763</v>
      </c>
      <c r="P4" t="str">
        <f>IF('Final Calculation Sheet'!$G$4="","",'Final Calculation Sheet'!$G$4)</f>
        <v>AL HAMD TRADE CORPORATION</v>
      </c>
      <c r="Q4">
        <f>IF(P4="","",COUNTIFS(P$4:P$40,"&lt;"&amp;P4,P$4:P$40,"&lt;&gt;"&amp;"")+COUNTIF(P$4:P4,P4))</f>
        <v>1</v>
      </c>
      <c r="R4" t="str">
        <f t="shared" ref="R4:R40" si="7">IF(ROW()-3&gt;COUNTIF(P$4:P$40,"&lt;&gt;"&amp;""),"",INDEX(P$4:P$40,MATCH(ROW()-3,Q$4:Q$40,0)))</f>
        <v>AL HAMD TRADE CORPORATION</v>
      </c>
      <c r="S4">
        <f>IF(AND(R4&lt;&gt;"",COUNTIF(R$4:R4,R4)=1),1,0)</f>
        <v>1</v>
      </c>
      <c r="T4" t="str">
        <f t="shared" ref="T4:T40" si="8">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 t="shared" ref="W4:W40" si="9">IF(ROW()-3&gt;COUNTIF(U$4:U$40,"&lt;&gt;"&amp;""),"",INDEX(U$4:U$40,MATCH(ROW()-3,V$4:V$40,0)))</f>
        <v>Mix Scrap (Tower angles &amp; 0.2 ACSR Condutor pieces)</v>
      </c>
      <c r="X4">
        <f>IF(AND(W4&lt;&gt;"",COUNTIF(W$4:W4,W4)=1),1,0)</f>
        <v>1</v>
      </c>
      <c r="Y4" t="str">
        <f t="shared" ref="Y4:Y40" si="10">IF(ROW()-3&gt;MAX(X$4:X$40),"",INDEX(W$4:W$40,MATCH(ROW()-3,X$4:X$40,0)))</f>
        <v>Mix Scrap (Tower angles &amp; 0.2 ACSR Condutor pieces)</v>
      </c>
      <c r="Z4">
        <f>IF('Final Calculation Sheet'!$D$4="","",'Final Calculation Sheet'!$D$4)</f>
        <v>21980</v>
      </c>
      <c r="AA4">
        <f>IF(Z4="","",COUNTIFS(Z$4:Z$40,"&lt;"&amp;Z4,Z$4:Z$40,"&lt;&gt;"&amp;"")+COUNTIF(Z$4:Z4,Z4))</f>
        <v>30</v>
      </c>
      <c r="AB4">
        <f t="shared" ref="AB4:AB40" si="11">IF(ROW()-3&gt;COUNTIF(Z$4:Z$40,"&lt;&gt;"&amp;""),"",INDEX(Z$4:Z$40,MATCH(ROW()-3,AA$4:AA$40,0)))</f>
        <v>21977</v>
      </c>
      <c r="AC4">
        <f>IF(AND(AB4&lt;&gt;"",COUNTIF(AB$4:AB4,AB4)=1),1,0)</f>
        <v>1</v>
      </c>
      <c r="AD4">
        <f t="shared" ref="AD4:AD40" si="12">IF(ROW()-3&gt;MAX(AC$4:AC$40),"",INDEX(AB$4:AB$40,MATCH(ROW()-3,AC$4:AC$40,0)))</f>
        <v>21977</v>
      </c>
      <c r="AE4">
        <f>IF('Final Calculation Sheet'!$A$4="","",'Final Calculation Sheet'!$A$4)</f>
        <v>669</v>
      </c>
      <c r="AF4">
        <f>IF(AE4="","",COUNTIFS(AE$4:AE$40,"&lt;"&amp;AE4,AE$4:AE$40,"&lt;&gt;"&amp;"")+COUNTIF(AE$4:AE4,AE4))</f>
        <v>32</v>
      </c>
      <c r="AG4">
        <f t="shared" ref="AG4:AG40" si="13">IF(ROW()-3&gt;COUNTIF(AE$4:AE$40,"&lt;&gt;"&amp;""),"",INDEX(AE$4:AE$40,MATCH(ROW()-3,AF$4:AF$40,0)))</f>
        <v>1</v>
      </c>
      <c r="AH4">
        <f>IF(AND(AG4&lt;&gt;"",COUNTIF(AG$4:AG4,AG4)=1),1,0)</f>
        <v>1</v>
      </c>
      <c r="AI4">
        <f t="shared" ref="AI4:AI40" si="14">IF(ROW()-3&gt;MAX(AH$4:AH$40),"",INDEX(AG$4:AG$40,MATCH(ROW()-3,AH$4:AH$40,0)))</f>
        <v>1</v>
      </c>
      <c r="AJ4" t="str">
        <f>IF('Final Calculation Sheet'!$E$4="","",'Final Calculation Sheet'!$E$4)</f>
        <v>KG</v>
      </c>
      <c r="AK4">
        <f>IF(AJ4="","",COUNTIFS(AJ$4:AJ$40,"&lt;"&amp;AJ4,AJ$4:AJ$40,"&lt;&gt;"&amp;"")+COUNTIF(AJ$4:AJ4,AJ4))</f>
        <v>1</v>
      </c>
      <c r="AL4" t="str">
        <f t="shared" ref="AL4:AL40" si="15">IF(ROW()-3&gt;COUNTIF(AJ$4:AJ$40,"&lt;&gt;"&amp;""),"",INDEX(AJ$4:AJ$40,MATCH(ROW()-3,AK$4:AK$40,0)))</f>
        <v>KG</v>
      </c>
      <c r="AM4">
        <f>IF(AND(AL4&lt;&gt;"",COUNTIF(AL$4:AL4,AL4)=1),1,0)</f>
        <v>1</v>
      </c>
      <c r="AN4" t="str">
        <f t="shared" ref="AN4:AN40" si="16">IF(ROW()-3&gt;MAX(AM$4:AM$40),"",INDEX(AL$4:AL$40,MATCH(ROW()-3,AM$4:AM$40,0)))</f>
        <v>KG</v>
      </c>
      <c r="AO4" s="50">
        <f>IF('Final Calculation Sheet'!$C$4="","",'Final Calculation Sheet'!$C$4)</f>
        <v>1181</v>
      </c>
      <c r="AP4">
        <f>IF(AO4="","",COUNTIFS(AO$4:AO$40,"&lt;"&amp;AO4,AO$4:AO$40,"&lt;&gt;"&amp;"")+COUNTIF(AO$4:AO4,AO4))</f>
        <v>15</v>
      </c>
      <c r="AQ4" s="50">
        <f t="shared" ref="AQ4:AQ40" si="17">IF(ROW()-3&gt;COUNTIF(AO$4:AO$40,"&lt;&gt;"&amp;""),"",INDEX(AO$4:AO$40,MATCH(ROW()-3,AP$4:AP$40,0)))</f>
        <v>66</v>
      </c>
      <c r="AR4">
        <f>IF(AND(AQ4&lt;&gt;"",COUNTIF(AQ$4:AQ4,AQ4)=1),1,0)</f>
        <v>1</v>
      </c>
      <c r="AS4" s="50">
        <f t="shared" ref="AS4:AS40" si="18">IF(ROW()-3&gt;MAX(AR$4:AR$40),"",INDEX(AQ$4:AQ$40,MATCH(ROW()-3,AR$4:AR$40,0)))</f>
        <v>66</v>
      </c>
      <c r="AT4" s="50">
        <f>IF('Final Calculation Sheet'!$H$4="","",'Final Calculation Sheet'!$H$4)</f>
        <v>790089</v>
      </c>
      <c r="AU4">
        <f>IF(AT4="","",COUNTIFS(AT$4:AT$40,"&lt;"&amp;AT4,AT$4:AT$40,"&lt;&gt;"&amp;"")+COUNTIF(AT$4:AT4,AT4))</f>
        <v>33</v>
      </c>
      <c r="AV4" s="50">
        <f t="shared" ref="AV4:AV40" si="19">IF(ROW()-3&gt;COUNTIF(AT$4:AT$40,"&lt;&gt;"&amp;""),"",INDEX(AT$4:AT$40,MATCH(ROW()-3,AU$4:AU$40,0)))</f>
        <v>15400</v>
      </c>
      <c r="AW4">
        <f>IF(AND(AV4&lt;&gt;"",COUNTIF(AV$4:AV4,AV4)=1),1,0)</f>
        <v>1</v>
      </c>
      <c r="AX4" s="50">
        <f t="shared" ref="AX4:AX40" si="20">IF(ROW()-3&gt;MAX(AW$4:AW$40),"",INDEX(AV$4:AV$40,MATCH(ROW()-3,AW$4:AW$40,0)))</f>
        <v>15400</v>
      </c>
      <c r="AY4" s="50">
        <f>IF('Final Calculation Sheet'!$I$4="","",'Final Calculation Sheet'!$I$4)</f>
        <v>142216</v>
      </c>
      <c r="AZ4">
        <f>IF(AY4="","",COUNTIFS(AY$4:AY$40,"&lt;"&amp;AY4,AY$4:AY$40,"&lt;&gt;"&amp;"")+COUNTIF(AY$4:AY4,AY4))</f>
        <v>33</v>
      </c>
      <c r="BA4" s="50">
        <f t="shared" ref="BA4:BA40" si="21">IF(ROW()-3&gt;COUNTIF(AY$4:AY$40,"&lt;&gt;"&amp;""),"",INDEX(AY$4:AY$40,MATCH(ROW()-3,AZ$4:AZ$40,0)))</f>
        <v>2772</v>
      </c>
      <c r="BB4">
        <f>IF(AND(BA4&lt;&gt;"",COUNTIF(BA$4:BA4,BA4)=1),1,0)</f>
        <v>1</v>
      </c>
      <c r="BC4" s="50">
        <f t="shared" ref="BC4:BC40" si="22">IF(ROW()-3&gt;MAX(BB$4:BB$40),"",INDEX(BA$4:BA$40,MATCH(ROW()-3,BB$4:BB$40,0)))</f>
        <v>2772</v>
      </c>
      <c r="BD4" s="50">
        <f>IF('Final Calculation Sheet'!$J$4="","",'Final Calculation Sheet'!$J$4)</f>
        <v>932305</v>
      </c>
      <c r="BE4">
        <f>IF(BD4="","",COUNTIFS(BD$4:BD$40,"&lt;"&amp;BD4,BD$4:BD$40,"&lt;&gt;"&amp;"")+COUNTIF(BD$4:BD4,BD4))</f>
        <v>33</v>
      </c>
      <c r="BF4" s="50">
        <f t="shared" ref="BF4:BF40" si="23">IF(ROW()-3&gt;COUNTIF(BD$4:BD$40,"&lt;&gt;"&amp;""),"",INDEX(BD$4:BD$40,MATCH(ROW()-3,BE$4:BE$40,0)))</f>
        <v>18172</v>
      </c>
      <c r="BG4">
        <f>IF(AND(BF4&lt;&gt;"",COUNTIF(BF$4:BF4,BF4)=1),1,0)</f>
        <v>1</v>
      </c>
      <c r="BH4" s="50">
        <f t="shared" ref="BH4:BH40" si="24">IF(ROW()-3&gt;MAX(BG$4:BG$40),"",INDEX(BF$4:BF$40,MATCH(ROW()-3,BG$4:BG$40,0)))</f>
        <v>18172</v>
      </c>
      <c r="BI4" s="50">
        <f>IF('Final Calculation Sheet'!$K$4="","",'Final Calculation Sheet'!$K$4)</f>
        <v>18646</v>
      </c>
      <c r="BJ4">
        <f>IF(BI4="","",COUNTIFS(BI$4:BI$40,"&lt;"&amp;BI4,BI$4:BI$40,"&lt;&gt;"&amp;"")+COUNTIF(BI$4:BI4,BI4))</f>
        <v>33</v>
      </c>
      <c r="BK4" s="50">
        <f t="shared" ref="BK4:BK40" si="25">IF(ROW()-3&gt;COUNTIF(BI$4:BI$40,"&lt;&gt;"&amp;""),"",INDEX(BI$4:BI$40,MATCH(ROW()-3,BJ$4:BJ$40,0)))</f>
        <v>363</v>
      </c>
      <c r="BL4">
        <f>IF(AND(BK4&lt;&gt;"",COUNTIF(BK$4:BK4,BK4)=1),1,0)</f>
        <v>1</v>
      </c>
      <c r="BM4" s="50">
        <f t="shared" ref="BM4:BM40" si="26">IF(ROW()-3&gt;MAX(BL$4:BL$40),"",INDEX(BK$4:BK$40,MATCH(ROW()-3,BL$4:BL$40,0)))</f>
        <v>363</v>
      </c>
      <c r="BN4" s="50">
        <f>IF('Final Calculation Sheet'!$L$4="","",'Final Calculation Sheet'!$L$4)</f>
        <v>790.08900000000006</v>
      </c>
      <c r="BO4">
        <f>IF(BN4="","",COUNTIFS(BN$4:BN$40,"&lt;"&amp;BN4,BN$4:BN$40,"&lt;&gt;"&amp;"")+COUNTIF(BN$4:BN4,BN4))</f>
        <v>33</v>
      </c>
      <c r="BP4" s="50">
        <f t="shared" ref="BP4:BP40" si="27">IF(ROW()-3&gt;COUNTIF(BN$4:BN$40,"&lt;&gt;"&amp;""),"",INDEX(BN$4:BN$40,MATCH(ROW()-3,BO$4:BO$40,0)))</f>
        <v>15.4</v>
      </c>
      <c r="BQ4">
        <f>IF(AND(BP4&lt;&gt;"",COUNTIF(BP$4:BP4,BP4)=1),1,0)</f>
        <v>1</v>
      </c>
      <c r="BR4" s="50">
        <f t="shared" ref="BR4:BR40" si="28">IF(ROW()-3&gt;MAX(BQ$4:BQ$40),"",INDEX(BP$4:BP$40,MATCH(ROW()-3,BQ$4:BQ$40,0)))</f>
        <v>15.4</v>
      </c>
      <c r="BS4" s="50">
        <f>IF('Final Calculation Sheet'!$M$4="","",'Final Calculation Sheet'!$M$4)</f>
        <v>20976.862949999999</v>
      </c>
      <c r="BT4">
        <f>IF(BS4="","",COUNTIFS(BS$4:BS$40,"&lt;"&amp;BS4,BS$4:BS$40,"&lt;&gt;"&amp;"")+COUNTIF(BS$4:BS4,BS4))</f>
        <v>33</v>
      </c>
      <c r="BU4" s="50">
        <f t="shared" ref="BU4:BU40" si="29">IF(ROW()-3&gt;COUNTIF(BS$4:BS$40,"&lt;&gt;"&amp;""),"",INDEX(BS$4:BS$40,MATCH(ROW()-3,BT$4:BT$40,0)))</f>
        <v>408.87</v>
      </c>
      <c r="BV4">
        <f>IF(AND(BU4&lt;&gt;"",COUNTIF(BU$4:BU4,BU4)=1),1,0)</f>
        <v>1</v>
      </c>
      <c r="BW4" s="50">
        <f t="shared" ref="BW4:BW40" si="30">IF(ROW()-3&gt;MAX(BV$4:BV$40),"",INDEX(BU$4:BU$40,MATCH(ROW()-3,BV$4:BV$40,0)))</f>
        <v>408.87</v>
      </c>
      <c r="BX4" s="126">
        <f>IF('Final Calculation Sheet'!$N$4="","",'Final Calculation Sheet'!$N$4)</f>
        <v>355.54005000000001</v>
      </c>
      <c r="BY4">
        <f>IF(BX4="","",COUNTIFS(BX$4:BX$40,"&lt;"&amp;BX4,BX$4:BX$40,"&lt;&gt;"&amp;"")+COUNTIF(BX$4:BX4,BX4))</f>
        <v>33</v>
      </c>
      <c r="BZ4" s="126">
        <f t="shared" ref="BZ4:BZ40" si="31">IF(ROW()-3&gt;COUNTIF(BX$4:BX$40,"&lt;&gt;"&amp;""),"",INDEX(BX$4:BX$40,MATCH(ROW()-3,BY$4:BY$40,0)))</f>
        <v>6.93</v>
      </c>
      <c r="CA4">
        <f>IF(AND(BZ4&lt;&gt;"",COUNTIF(BZ$4:BZ4,BZ4)=1),1,0)</f>
        <v>1</v>
      </c>
      <c r="CB4" s="126">
        <f t="shared" ref="CB4:CB40" si="32">IF(ROW()-3&gt;MAX(CA$4:CA$40),"",INDEX(BZ$4:BZ$40,MATCH(ROW()-3,CA$4:CA$40,0)))</f>
        <v>6.93</v>
      </c>
      <c r="CC4" s="50">
        <f>IF('Final Calculation Sheet'!$O$4="","",'Final Calculation Sheet'!$O$4)</f>
        <v>20621.322899999999</v>
      </c>
      <c r="CD4">
        <f>IF(CC4="","",COUNTIFS(CC$4:CC$40,"&lt;"&amp;CC4,CC$4:CC$40,"&lt;&gt;"&amp;"")+COUNTIF(CC$4:CC4,CC4))</f>
        <v>33</v>
      </c>
      <c r="CE4" s="50">
        <f t="shared" ref="CE4:CE40" si="33">IF(ROW()-3&gt;COUNTIF(CC$4:CC$40,"&lt;&gt;"&amp;""),"",INDEX(CC$4:CC$40,MATCH(ROW()-3,CD$4:CD$40,0)))</f>
        <v>401.94</v>
      </c>
      <c r="CF4">
        <f>IF(AND(CE4&lt;&gt;"",COUNTIF(CE$4:CE4,CE4)=1),1,0)</f>
        <v>1</v>
      </c>
      <c r="CG4" s="50">
        <f t="shared" ref="CG4:CG40" si="34">IF(ROW()-3&gt;MAX(CF$4:CF$40),"",INDEX(CE$4:CE$40,MATCH(ROW()-3,CF$4:CF$40,0)))</f>
        <v>401.94</v>
      </c>
      <c r="CH4" s="50">
        <f>IF('Final Calculation Sheet'!$P$4="","",'Final Calculation Sheet'!$P$4)</f>
        <v>21411</v>
      </c>
      <c r="CI4">
        <f>IF(CH4="","",COUNTIFS(CH$4:CH$40,"&lt;"&amp;CH4,CH$4:CH$40,"&lt;&gt;"&amp;"")+COUNTIF(CH$4:CH4,CH4))</f>
        <v>33</v>
      </c>
      <c r="CJ4" s="50">
        <f t="shared" ref="CJ4:CJ40" si="35">IF(ROW()-3&gt;COUNTIF(CH$4:CH$40,"&lt;&gt;"&amp;""),"",INDEX(CH$4:CH$40,MATCH(ROW()-3,CI$4:CI$40,0)))</f>
        <v>417</v>
      </c>
      <c r="CK4">
        <f>IF(AND(CJ4&lt;&gt;"",COUNTIF(CJ$4:CJ4,CJ4)=1),1,0)</f>
        <v>1</v>
      </c>
      <c r="CL4" s="50">
        <f t="shared" ref="CL4:CL40" si="36">IF(ROW()-3&gt;MAX(CK$4:CK$40),"",INDEX(CJ$4:CJ$40,MATCH(ROW()-3,CK$4:CK$40,0)))</f>
        <v>417</v>
      </c>
      <c r="CM4" s="127">
        <f>IF('Final Calculation Sheet'!$Q$4="","",'Final Calculation Sheet'!$Q$4)</f>
        <v>0.02</v>
      </c>
      <c r="CN4">
        <f>IF(CM4="","",COUNTIFS(CM$4:CM$40,"&lt;"&amp;CM4,CM$4:CM$40,"&lt;&gt;"&amp;"")+COUNTIF(CM$4:CM4,CM4))</f>
        <v>34</v>
      </c>
      <c r="CO4" s="127">
        <f t="shared" ref="CO4:CO40" si="37">IF(ROW()-3&gt;COUNTIF(CM$4:CM$40,"&lt;&gt;"&amp;""),"",INDEX(CM$4:CM$40,MATCH(ROW()-3,CN$4:CN$40,0)))</f>
        <v>0</v>
      </c>
      <c r="CP4">
        <f>IF(AND(CO4&lt;&gt;"",COUNTIF(CO$4:CO4,CO4)=1),1,0)</f>
        <v>1</v>
      </c>
      <c r="CQ4" s="127">
        <f t="shared" ref="CQ4:CQ40" si="38">IF(ROW()-3&gt;MAX(CP$4:CP$40),"",INDEX(CO$4:CO$40,MATCH(ROW()-3,CP$4:CP$40,0)))</f>
        <v>0</v>
      </c>
      <c r="CR4" s="50">
        <f>IF('Final Calculation Sheet'!$R$4="","",'Final Calculation Sheet'!$R$4)</f>
        <v>15802</v>
      </c>
      <c r="CS4">
        <f>IF(CR4="","",COUNTIFS(CR$4:CR$40,"&lt;"&amp;CR4,CR$4:CR$40,"&lt;&gt;"&amp;"")+COUNTIF(CR$4:CR4,CR4))</f>
        <v>35</v>
      </c>
      <c r="CT4" s="50">
        <f t="shared" ref="CT4:CT40" si="39">IF(ROW()-3&gt;COUNTIF(CR$4:CR$40,"&lt;&gt;"&amp;""),"",INDEX(CR$4:CR$40,MATCH(ROW()-3,CS$4:CS$40,0)))</f>
        <v>0</v>
      </c>
      <c r="CU4">
        <f>IF(AND(CT4&lt;&gt;"",COUNTIF(CT$4:CT4,CT4)=1),1,0)</f>
        <v>1</v>
      </c>
      <c r="CV4" s="50">
        <f t="shared" ref="CV4:CV40" si="40">IF(ROW()-3&gt;MAX(CU$4:CU$40),"",INDEX(CT$4:CT$40,MATCH(ROW()-3,CU$4:CU$40,0)))</f>
        <v>0</v>
      </c>
      <c r="CW4" s="50">
        <f>IF('Final Calculation Sheet'!$S$4="","",'Final Calculation Sheet'!$S$4)</f>
        <v>913738</v>
      </c>
      <c r="CX4">
        <f>IF(CW4="","",COUNTIFS(CW$4:CW$40,"&lt;"&amp;CW4,CW$4:CW$40,"&lt;&gt;"&amp;"")+COUNTIF(CW$4:CW4,CW4))</f>
        <v>33</v>
      </c>
      <c r="CY4" s="50">
        <f t="shared" ref="CY4:CY40" si="41">IF(ROW()-3&gt;COUNTIF(CW$4:CW$40,"&lt;&gt;"&amp;""),"",INDEX(CW$4:CW$40,MATCH(ROW()-3,CX$4:CX$40,0)))</f>
        <v>18118</v>
      </c>
      <c r="CZ4">
        <f>IF(AND(CY4&lt;&gt;"",COUNTIF(CY$4:CY4,CY4)=1),1,0)</f>
        <v>1</v>
      </c>
      <c r="DA4" s="50">
        <f t="shared" ref="DA4:DA40" si="42">IF(ROW()-3&gt;MAX(CZ$4:CZ$40),"",INDEX(CY$4:CY$40,MATCH(ROW()-3,CZ$4:CZ$40,0)))</f>
        <v>18118</v>
      </c>
      <c r="DB4" s="50">
        <f>IF('Final Calculation Sheet'!$T$4="","",'Final Calculation Sheet'!$T$4)</f>
        <v>197522</v>
      </c>
      <c r="DC4">
        <f>IF(DB4="","",COUNTIFS(DB$4:DB$40,"&lt;"&amp;DB4,DB$4:DB$40,"&lt;&gt;"&amp;"")+COUNTIF(DB$4:DB4,DB4))</f>
        <v>33</v>
      </c>
      <c r="DD4" s="50">
        <f t="shared" ref="DD4:DD40" si="43">IF(ROW()-3&gt;COUNTIF(DB$4:DB$40,"&lt;&gt;"&amp;""),"",INDEX(DB$4:DB$40,MATCH(ROW()-3,DC$4:DC$40,0)))</f>
        <v>3850</v>
      </c>
      <c r="DE4">
        <f>IF(AND(DD4&lt;&gt;"",COUNTIF(DD$4:DD4,DD4)=1),1,0)</f>
        <v>1</v>
      </c>
      <c r="DF4" s="50">
        <f t="shared" ref="DF4:DF40" si="44">IF(ROW()-3&gt;MAX(DE$4:DE$40),"",INDEX(DD$4:DD$40,MATCH(ROW()-3,DE$4:DE$40,0)))</f>
        <v>3850</v>
      </c>
      <c r="DG4" s="128">
        <f>IF('Final Calculation Sheet'!$U$4="","",'Final Calculation Sheet'!$U$4)</f>
        <v>197522</v>
      </c>
      <c r="DH4">
        <f>IF(DG4="","",COUNTIFS(DG$4:DG$40,"&lt;"&amp;DG4,DG$4:DG$40,"&lt;&gt;"&amp;"")+COUNTIF(DG$4:DG4,DG4))</f>
        <v>33</v>
      </c>
      <c r="DI4" s="128">
        <f t="shared" ref="DI4:DI40" si="45">IF(ROW()-3&gt;COUNTIF(DG$4:DG$40,"&lt;&gt;"&amp;""),"",INDEX(DG$4:DG$40,MATCH(ROW()-3,DH$4:DH$40,0)))</f>
        <v>3850</v>
      </c>
      <c r="DJ4">
        <f>IF(AND(DI4&lt;&gt;"",COUNTIF(DI$4:DI4,DI4)=1),1,0)</f>
        <v>1</v>
      </c>
      <c r="DK4" s="128">
        <f t="shared" ref="DK4:DK40" si="46">IF(ROW()-3&gt;MAX(DJ$4:DJ$40),"",INDEX(DI$4:DI$40,MATCH(ROW()-3,DJ$4:DJ$40,0)))</f>
        <v>3850</v>
      </c>
      <c r="DL4" t="str">
        <f>IF('Final Calculation Sheet'!$V$4="","",'Final Calculation Sheet'!$V$4)</f>
        <v>24.08.2026</v>
      </c>
      <c r="DM4">
        <f>IF(DL4="","",COUNTIFS(DL$4:DL$40,"&lt;"&amp;DL4,DL$4:DL$40,"&lt;&gt;"&amp;"")+COUNTIF(DL$4:DL4,DL4))</f>
        <v>37</v>
      </c>
      <c r="DN4" t="str">
        <f t="shared" ref="DN4:DN40" si="47">IF(ROW()-3&gt;COUNTIF(DL$4:DL$40,"&lt;&gt;"&amp;""),"",INDEX(DL$4:DL$40,MATCH(ROW()-3,DM$4:DM$40,0)))</f>
        <v>10.08.2026</v>
      </c>
      <c r="DO4">
        <f>IF(AND(DN4&lt;&gt;"",COUNTIF(DN$4:DN4,DN4)=1),1,0)</f>
        <v>1</v>
      </c>
      <c r="DP4" t="str">
        <f t="shared" ref="DP4:DP40" si="48">IF(ROW()-3&gt;MAX(DO$4:DO$40),"",INDEX(DN$4:DN$40,MATCH(ROW()-3,DO$4:DO$40,0)))</f>
        <v>10.08.2026</v>
      </c>
      <c r="DQ4" s="50">
        <f>IF('Final Calculation Sheet'!$W$4="","",'Final Calculation Sheet'!$W$4)</f>
        <v>716215</v>
      </c>
      <c r="DR4">
        <f>IF(DQ4="","",COUNTIFS(DQ$4:DQ$40,"&lt;"&amp;DQ4,DQ$4:DQ$40,"&lt;&gt;"&amp;"")+COUNTIF(DQ$4:DQ4,DQ4))</f>
        <v>33</v>
      </c>
      <c r="DS4" s="50">
        <f t="shared" ref="DS4:DS40" si="49">IF(ROW()-3&gt;COUNTIF(DQ$4:DQ$40,"&lt;&gt;"&amp;""),"",INDEX(DQ$4:DQ$40,MATCH(ROW()-3,DR$4:DR$40,0)))</f>
        <v>14268</v>
      </c>
      <c r="DT4">
        <f>IF(AND(DS4&lt;&gt;"",COUNTIF(DS$4:DS4,DS4)=1),1,0)</f>
        <v>1</v>
      </c>
      <c r="DU4" s="50">
        <f t="shared" ref="DU4:DU40" si="50">IF(ROW()-3&gt;MAX(DT$4:DT$40),"",INDEX(DS$4:DS$40,MATCH(ROW()-3,DT$4:DT$40,0)))</f>
        <v>14268</v>
      </c>
      <c r="DV4" s="50">
        <f>IF('Final Calculation Sheet'!$X$4="","",'Final Calculation Sheet'!$X$4)</f>
        <v>716216</v>
      </c>
      <c r="DW4">
        <f>IF(DV4="","",COUNTIFS(DV$4:DV$40,"&lt;"&amp;DV4,DV$4:DV$40,"&lt;&gt;"&amp;"")+COUNTIF(DV$4:DV4,DV4))</f>
        <v>30</v>
      </c>
      <c r="DX4" s="50">
        <f t="shared" ref="DX4:DX40" si="51">IF(ROW()-3&gt;COUNTIF(DV$4:DV$40,"&lt;&gt;"&amp;""),"",INDEX(DV$4:DV$40,MATCH(ROW()-3,DW$4:DW$40,0)))</f>
        <v>14267</v>
      </c>
      <c r="DY4">
        <f>IF(AND(DX4&lt;&gt;"",COUNTIF(DX$4:DX4,DX4)=1),1,0)</f>
        <v>1</v>
      </c>
      <c r="DZ4" t="e">
        <f t="shared" ref="DZ4:DZ40" si="52">IF(ROW()-3&gt;MAX(DY$4:DY$40),"",INDEX(DX$4:DX$40,MATCH(ROW()-3,DY$4:DY$40,0)))</f>
        <v>#N/A</v>
      </c>
      <c r="EA4" t="str">
        <f>IF('Final Calculation Sheet'!$Y$4="","",'Final Calculation Sheet'!$Y$4)</f>
        <v>18.08.2026</v>
      </c>
      <c r="EB4">
        <f>IF(EA4="","",COUNTIFS(EA$4:EA$40,"&lt;"&amp;EA4,EA$4:EA$40,"&lt;&gt;"&amp;"")+COUNTIF(EA$4:EA4,EA4))</f>
        <v>12</v>
      </c>
      <c r="EC4" s="50">
        <f t="shared" ref="EC4:EC40" si="53">IF(ROW()-3&gt;COUNTIF(EA$4:EA$40,"&lt;&gt;"&amp;""),"",INDEX(EA$4:EA$40,MATCH(ROW()-3,EB$4:EB$40,0)))</f>
        <v>0</v>
      </c>
      <c r="ED4">
        <f>IF(AND(EC4&lt;&gt;"",COUNTIF(EC$4:EC4,EC4)=1),1,0)</f>
        <v>1</v>
      </c>
      <c r="EE4" t="e">
        <f t="shared" ref="EE4:EE40" si="54">IF(ROW()-3&gt;MAX(ED$4:ED$40),"",INDEX(EC$4:EC$40,MATCH(ROW()-3,ED$4:ED$40,0)))</f>
        <v>#N/A</v>
      </c>
      <c r="EF4" s="50">
        <f ca="1">IF('Final Calculation Sheet'!$Z$4="","",'Final Calculation Sheet'!$Z$4)</f>
        <v>27969.150600000001</v>
      </c>
      <c r="EG4">
        <f ca="1">IF(EF4="","",COUNTIFS(EF$4:EF$40,"&lt;"&amp;EF4,EF$4:EF$40,"&lt;&gt;"&amp;"")+COUNTIF(EF$4:EF4,EF4))</f>
        <v>33</v>
      </c>
      <c r="EH4" s="50">
        <f t="shared" ref="EH4:EH40" ca="1" si="55">IF(ROW()-3&gt;COUNTIF(EF$4:EF$40,"&lt;&gt;"&amp;""),"",INDEX(EF$4:EF$40,MATCH(ROW()-3,EG$4:EG$40,0)))</f>
        <v>545.16</v>
      </c>
      <c r="EI4">
        <f ca="1">IF(AND(EH4&lt;&gt;"",COUNTIF(EH$4:EH4,EH4)=1),1,0)</f>
        <v>1</v>
      </c>
      <c r="EJ4" s="50">
        <f t="shared" ref="EJ4:EJ40" ca="1" si="56">IF(ROW()-3&gt;MAX(EI$4:EI$40),"",INDEX(EH$4:EH$40,MATCH(ROW()-3,EI$4:EI$40,0)))</f>
        <v>545.16</v>
      </c>
      <c r="EK4" t="str">
        <f>IF('Final Calculation Sheet'!$AA$4="","",'Final Calculation Sheet'!$AA$4)</f>
        <v/>
      </c>
      <c r="EL4" t="str">
        <f>IF(EK4="","",COUNTIFS(EK$4:EK$40,"&lt;"&amp;EK4,EK$4:EK$40,"&lt;&gt;"&amp;"")+COUNTIF(EK$4:EK4,EK4))</f>
        <v/>
      </c>
      <c r="EM4" s="50">
        <f t="shared" ref="EM4:EM40" si="57">IF(ROW()-3&gt;COUNTIF(EK$4:EK$40,"&lt;&gt;"&amp;""),"",INDEX(EK$4:EK$40,MATCH(ROW()-3,EL$4:EL$40,0)))</f>
        <v>708</v>
      </c>
      <c r="EN4">
        <f>IF(AND(EM4&lt;&gt;"",COUNTIF(EM$4:EM4,EM4)=1),1,0)</f>
        <v>1</v>
      </c>
      <c r="EO4" t="e">
        <f t="shared" ref="EO4:EO40" si="58">IF(ROW()-3&gt;MAX(EN$4:EN$40),"",INDEX(EM$4:EM$40,MATCH(ROW()-3,EN$4:EN$40,0)))</f>
        <v>#N/A</v>
      </c>
      <c r="EP4" t="str">
        <f>IF('Final Calculation Sheet'!$AB$4="","",'Final Calculation Sheet'!$AB$4)</f>
        <v/>
      </c>
      <c r="EQ4" t="str">
        <f>IF(EP4="","",COUNTIFS(EP$4:EP$40,"&lt;"&amp;EP4,EP$4:EP$40,"&lt;&gt;"&amp;"")+COUNTIF(EP$4:EP4,EP4))</f>
        <v/>
      </c>
      <c r="ER4" t="e">
        <f t="shared" ref="ER4:ER40" si="59">IF(ROW()-3&gt;COUNTIF(EP$4:EP$40,"&lt;&gt;"&amp;""),"",INDEX(EP$4:EP$40,MATCH(ROW()-3,EQ$4:EQ$40,0)))</f>
        <v>#N/A</v>
      </c>
      <c r="ES4" t="e">
        <f>IF(AND(ER4&lt;&gt;"",COUNTIF(ER$4:ER4,ER4)=1),1,0)</f>
        <v>#N/A</v>
      </c>
      <c r="ET4" t="e">
        <f t="shared" ref="ET4:ET40" si="60">IF(ROW()-3&gt;MAX(ES$4:ES$40),"",INDEX(ER$4:ER$40,MATCH(ROW()-3,ES$4:ES$40,0)))</f>
        <v>#N/A</v>
      </c>
      <c r="EU4" s="50">
        <f>IF('Final Calculation Sheet'!$AC$4="","",'Final Calculation Sheet'!$AC$4)</f>
        <v>913738</v>
      </c>
      <c r="EV4">
        <f>IF(EU4="","",COUNTIFS(EU$4:EU$40,"&lt;"&amp;EU4,EU$4:EU$40,"&lt;&gt;"&amp;"")+COUNTIF(EU$4:EU4,EU4))</f>
        <v>33</v>
      </c>
      <c r="EW4" s="50">
        <f t="shared" ref="EW4:EW40" si="61">IF(ROW()-3&gt;COUNTIF(EU$4:EU$40,"&lt;&gt;"&amp;""),"",INDEX(EU$4:EU$40,MATCH(ROW()-3,EV$4:EV$40,0)))</f>
        <v>13500</v>
      </c>
      <c r="EX4">
        <f>IF(AND(EW4&lt;&gt;"",COUNTIF(EW$4:EW4,EW4)=1),1,0)</f>
        <v>1</v>
      </c>
      <c r="EY4" s="50">
        <f t="shared" ref="EY4:EY40" si="62">IF(ROW()-3&gt;MAX(EX$4:EX$40),"",INDEX(EW$4:EW$40,MATCH(ROW()-3,EX$4:EX$40,0)))</f>
        <v>13500</v>
      </c>
      <c r="EZ4" s="50">
        <f>IF('Final Calculation Sheet'!$AD$4="","",'Final Calculation Sheet'!$AD$4)</f>
        <v>0</v>
      </c>
      <c r="FA4">
        <f>IF(EZ4="","",COUNTIFS(EZ$4:EZ$40,"&lt;"&amp;EZ4,EZ$4:EZ$40,"&lt;&gt;"&amp;"")+COUNTIF(EZ$4:EZ4,EZ4))</f>
        <v>8</v>
      </c>
      <c r="FB4" s="50">
        <f t="shared" ref="FB4:FB40" si="63">IF(ROW()-3&gt;COUNTIF(EZ$4:EZ$40,"&lt;&gt;"&amp;""),"",INDEX(EZ$4:EZ$40,MATCH(ROW()-3,FA$4:FA$40,0)))</f>
        <v>-2832</v>
      </c>
      <c r="FC4">
        <f>IF(AND(FB4&lt;&gt;"",COUNTIF(FB$4:FB4,FB4)=1),1,0)</f>
        <v>1</v>
      </c>
      <c r="FD4" s="50">
        <f t="shared" ref="FD4:FD40" si="64">IF(ROW()-3&gt;MAX(FC$4:FC$40),"",INDEX(FB$4:FB$40,MATCH(ROW()-3,FC$4:FC$40,0)))</f>
        <v>-2832</v>
      </c>
      <c r="FE4" t="str">
        <f>IF('Final Calculation Sheet'!$AF$4="","",'Final Calculation Sheet'!$AF$4)</f>
        <v>DR2640100029</v>
      </c>
      <c r="FF4">
        <f>IF(FE4="","",COUNTIFS(FE$4:FE$40,"&lt;"&amp;FE4,FE$4:FE$40,"&lt;&gt;"&amp;"")+COUNTIF(FE$4:FE4,FE4))</f>
        <v>18</v>
      </c>
      <c r="FG4" t="e">
        <f t="shared" ref="FG4:FG40" si="65">IF(ROW()-3&gt;COUNTIF(FE$4:FE$40,"&lt;&gt;"&amp;""),"",INDEX(FE$4:FE$40,MATCH(ROW()-3,FF$4:FF$40,0)))</f>
        <v>#N/A</v>
      </c>
      <c r="FH4" t="e">
        <f>IF(AND(FG4&lt;&gt;"",COUNTIF(FG$4:FG4,FG4)=1),1,0)</f>
        <v>#N/A</v>
      </c>
      <c r="FI4" t="e">
        <f t="shared" ref="FI4:FI40" si="66">IF(ROW()-3&gt;MAX(FH$4:FH$40),"",INDEX(FG$4:FG$40,MATCH(ROW()-3,FH$4:FH$40,0)))</f>
        <v>#N/A</v>
      </c>
      <c r="FJ4" s="129">
        <f>IF('Final Calculation Sheet'!$AG$4="","",'Final Calculation Sheet'!$AG$4)</f>
        <v>1800003271</v>
      </c>
      <c r="FK4">
        <f>IF(FJ4="","",COUNTIFS(FJ$4:FJ$40,"&lt;"&amp;FJ4,FJ$4:FJ$40,"&lt;&gt;"&amp;"")+COUNTIF(FJ$4:FJ4,FJ4))</f>
        <v>13</v>
      </c>
      <c r="FL4" s="129">
        <f t="shared" ref="FL4:FL40" si="67">IF(ROW()-3&gt;COUNTIF(FJ$4:FJ$40,"&lt;&gt;"&amp;""),"",INDEX(FJ$4:FJ$40,MATCH(ROW()-3,FK$4:FK$40,0)))</f>
        <v>1800003065</v>
      </c>
      <c r="FM4">
        <f>IF(AND(FL4&lt;&gt;"",COUNTIF(FL$4:FL4,FL4)=1),1,0)</f>
        <v>1</v>
      </c>
      <c r="FN4" t="e">
        <f t="shared" ref="FN4:FN40" si="68">IF(ROW()-3&gt;MAX(FM$4:FM$40),"",INDEX(FL$4:FL$40,MATCH(ROW()-3,FM$4:FM$40,0)))</f>
        <v>#N/A</v>
      </c>
      <c r="FO4" t="str">
        <f>IF('Final Calculation Sheet'!$AH$4="","",'Final Calculation Sheet'!$AH$4)</f>
        <v>24.08.2026</v>
      </c>
      <c r="FP4">
        <f>IF(FO4="","",COUNTIFS(FO$4:FO$40,"&lt;"&amp;FO4,FO$4:FO$40,"&lt;&gt;"&amp;"")+COUNTIF(FO$4:FO4,FO4))</f>
        <v>17</v>
      </c>
      <c r="FQ4" t="e">
        <f t="shared" ref="FQ4:FQ40" si="69">IF(ROW()-3&gt;COUNTIF(FO$4:FO$40,"&lt;&gt;"&amp;""),"",INDEX(FO$4:FO$40,MATCH(ROW()-3,FP$4:FP$40,0)))</f>
        <v>#N/A</v>
      </c>
      <c r="FR4" t="e">
        <f>IF(AND(FQ4&lt;&gt;"",COUNTIF(FQ$4:FQ4,FQ4)=1),1,0)</f>
        <v>#N/A</v>
      </c>
      <c r="FS4" t="e">
        <f t="shared" ref="FS4:FS40" si="70">IF(ROW()-3&gt;MAX(FR$4:FR$40),"",INDEX(FQ$4:FQ$40,MATCH(ROW()-3,FR$4:FR$40,0)))</f>
        <v>#N/A</v>
      </c>
      <c r="FT4" t="s">
        <v>641</v>
      </c>
      <c r="FU4">
        <f>IF(FT4="","",COUNTIFS(FT$4:FT$40,"&lt;"&amp;FT4,FT$4:FT$40,"&lt;&gt;"&amp;"")+COUNTIF(FT$4:FT4,FT4))</f>
        <v>2</v>
      </c>
      <c r="FV4" t="str">
        <f t="shared" ref="FV4:FV40" si="71">IF(ROW()-3&gt;COUNTIF(FT$4:FT$40,"&lt;&gt;"&amp;""),"",INDEX(FT$4:FT$40,MATCH(ROW()-3,FU$4:FU$40,0)))</f>
        <v>OUTSTANDING</v>
      </c>
      <c r="FW4">
        <f>IF(AND(FV4&lt;&gt;"",COUNTIF(FV$4:FV4,FV4)=1),1,0)</f>
        <v>1</v>
      </c>
      <c r="FX4" t="str">
        <f t="shared" ref="FX4:FX40" si="72">IF(ROW()-3&gt;MAX(FW$4:FW$40),"",INDEX(FV$4:FV$40,MATCH(ROW()-3,FW$4:FW$40,0)))</f>
        <v>OUTSTANDING</v>
      </c>
      <c r="FZ4" t="b">
        <f>IF($Y$4="",FALSE,SUMPRODUCT(('Final Calculation Sheet'!$B$4:$B$40=$Y$4)*($FY$6:$FY$42=1))&gt;0)</f>
        <v>1</v>
      </c>
      <c r="GA4">
        <f>--($FZ$4)</f>
        <v>1</v>
      </c>
      <c r="GB4" t="str">
        <f t="shared" ref="GB4:GB42" si="73">IF(ROW()-3&gt;MAX($GA$4:$GA$40),"",INDEX($Y$4:$Y$40,MATCH(ROW()-3,$GA$4:$GA$40,0)))</f>
        <v>Mix Scrap (Tower angles &amp; 0.2 ACSR Condutor pieces)</v>
      </c>
      <c r="GD4" t="b">
        <f>IF($O$4="",FALSE,SUMPRODUCT(('Final Calculation Sheet'!$F$4:$F$40=$O$4)*($GC$6:$GC$42=1))&gt;0)</f>
        <v>1</v>
      </c>
      <c r="GE4">
        <f>--($GD$4)</f>
        <v>1</v>
      </c>
      <c r="GF4">
        <f t="shared" ref="GF4:GF42" si="74">IF(ROW()-3&gt;MAX($GE$4:$GE$40),"",INDEX($O$4:$O$40,MATCH(ROW()-3,$GE$4:$GE$40,0)))</f>
        <v>1763</v>
      </c>
      <c r="GH4" t="b">
        <f>IF($T$4="",FALSE,SUMPRODUCT(('Final Calculation Sheet'!$G$4:$G$40=$T$4)*($GG$6:$GG$42=1))&gt;0)</f>
        <v>1</v>
      </c>
      <c r="GI4">
        <f>--($GH$4)</f>
        <v>1</v>
      </c>
      <c r="GJ4" t="str">
        <f t="shared" ref="GJ4:GJ42" si="75">IF(ROW()-3&gt;MAX($GI$4:$GI$40),"",INDEX($T$4:$T$40,MATCH(ROW()-3,$GI$4:$GI$40,0)))</f>
        <v>AL HAMD TRADE CORPORATION</v>
      </c>
      <c r="GL4" t="b">
        <f>IF($AD$4="",FALSE,SUMPRODUCT(('Final Calculation Sheet'!$D$4:$D$40=$AD$4)*($GK$6:$GK$42=1))&gt;0)</f>
        <v>1</v>
      </c>
      <c r="GM4">
        <f>--($GL$4)</f>
        <v>1</v>
      </c>
      <c r="GN4">
        <f t="shared" ref="GN4:GN42" si="76">IF(ROW()-3&gt;MAX($GM$4:$GM$40),"",INDEX($AD$4:$AD$40,MATCH(ROW()-3,$GM$4:$GM$40,0)))</f>
        <v>21977</v>
      </c>
      <c r="GP4" t="b">
        <f>IF($AI$4="",FALSE,SUMPRODUCT(('Final Calculation Sheet'!$A$4:$A$40=$AI$4)*($GO$6:$GO$42=1))&gt;0)</f>
        <v>1</v>
      </c>
      <c r="GQ4">
        <f>--($GP$4)</f>
        <v>1</v>
      </c>
      <c r="GR4">
        <f t="shared" ref="GR4:GR42" si="77">IF(ROW()-3&gt;MAX($GQ$4:$GQ$40),"",INDEX($AI$4:$AI$40,MATCH(ROW()-3,$GQ$4:$GQ$40,0)))</f>
        <v>1</v>
      </c>
      <c r="GT4" t="b">
        <f>IF($AN$4="",FALSE,SUMPRODUCT(('Final Calculation Sheet'!$E$4:$E$40=$AN$4)*($GS$6:$GS$42=1))&gt;0)</f>
        <v>1</v>
      </c>
      <c r="GU4">
        <f>--($GT$4)</f>
        <v>1</v>
      </c>
      <c r="GV4" t="str">
        <f t="shared" ref="GV4:GV42" si="78">IF(ROW()-3&gt;MAX($GU$4:$GU$40),"",INDEX($AN$4:$AN$40,MATCH(ROW()-3,$GU$4:$GU$40,0)))</f>
        <v>KG</v>
      </c>
      <c r="GX4" t="b">
        <f>IF($AS$4="",FALSE,SUMPRODUCT(('Final Calculation Sheet'!$C$4:$C$40=$AS$4)*($GW$6:$GW$42=1))&gt;0)</f>
        <v>1</v>
      </c>
      <c r="GY4">
        <f>--($GX$4)</f>
        <v>1</v>
      </c>
      <c r="GZ4">
        <f t="shared" ref="GZ4:GZ42" si="79">IF(ROW()-3&gt;MAX($GY$4:$GY$40),"",INDEX($AS$4:$AS$40,MATCH(ROW()-3,$GY$4:$GY$40,0)))</f>
        <v>66</v>
      </c>
      <c r="HB4" t="b">
        <f>IF($AX$4="",FALSE,SUMPRODUCT(('Final Calculation Sheet'!$H$4:$H$40=$AX$4)*($HA$6:$HA$42=1))&gt;0)</f>
        <v>1</v>
      </c>
      <c r="HC4">
        <f>--($HB$4)</f>
        <v>1</v>
      </c>
      <c r="HD4">
        <f t="shared" ref="HD4:HD42" si="80">IF(ROW()-3&gt;MAX($HC$4:$HC$40),"",INDEX($AX$4:$AX$40,MATCH(ROW()-3,$HC$4:$HC$40,0)))</f>
        <v>15400</v>
      </c>
      <c r="HF4" t="b">
        <f>IF($BC$4="",FALSE,SUMPRODUCT(('Final Calculation Sheet'!$I$4:$I$40=$BC$4)*($HE$6:$HE$42=1))&gt;0)</f>
        <v>1</v>
      </c>
      <c r="HG4">
        <f>--($HF$4)</f>
        <v>1</v>
      </c>
      <c r="HH4">
        <f t="shared" ref="HH4:HH42" si="81">IF(ROW()-3&gt;MAX($HG$4:$HG$40),"",INDEX($BC$4:$BC$40,MATCH(ROW()-3,$HG$4:$HG$40,0)))</f>
        <v>2772</v>
      </c>
      <c r="HJ4" t="b">
        <f>IF($BH$4="",FALSE,SUMPRODUCT(('Final Calculation Sheet'!$J$4:$J$40=$BH$4)*($HI$6:$HI$42=1))&gt;0)</f>
        <v>1</v>
      </c>
      <c r="HK4">
        <f>--($HJ$4)</f>
        <v>1</v>
      </c>
      <c r="HL4">
        <f t="shared" ref="HL4:HL42" si="82">IF(ROW()-3&gt;MAX($HK$4:$HK$40),"",INDEX($BH$4:$BH$40,MATCH(ROW()-3,$HK$4:$HK$40,0)))</f>
        <v>18172</v>
      </c>
      <c r="HN4" t="b">
        <f>IF($BM$4="",FALSE,SUMPRODUCT(('Final Calculation Sheet'!$K$4:$K$40=$BM$4)*($HM$6:$HM$42=1))&gt;0)</f>
        <v>1</v>
      </c>
      <c r="HO4">
        <f>--($HN$4)</f>
        <v>1</v>
      </c>
      <c r="HP4">
        <f t="shared" ref="HP4:HP42" si="83">IF(ROW()-3&gt;MAX($HO$4:$HO$40),"",INDEX($BM$4:$BM$40,MATCH(ROW()-3,$HO$4:$HO$40,0)))</f>
        <v>363</v>
      </c>
      <c r="HR4" t="b">
        <f>IF($BR$4="",FALSE,SUMPRODUCT(('Final Calculation Sheet'!$L$4:$L$40=$BR$4)*($HQ$6:$HQ$42=1))&gt;0)</f>
        <v>1</v>
      </c>
      <c r="HS4">
        <f>--($HR$4)</f>
        <v>1</v>
      </c>
      <c r="HT4">
        <f t="shared" ref="HT4:HT42" si="84">IF(ROW()-3&gt;MAX($HS$4:$HS$40),"",INDEX($BR$4:$BR$40,MATCH(ROW()-3,$HS$4:$HS$40,0)))</f>
        <v>15.4</v>
      </c>
      <c r="HV4" t="b">
        <f>IF($BW$4="",FALSE,SUMPRODUCT(('Final Calculation Sheet'!$M$4:$M$40=$BW$4)*($HU$6:$HU$42=1))&gt;0)</f>
        <v>1</v>
      </c>
      <c r="HW4">
        <f>--($HV$4)</f>
        <v>1</v>
      </c>
      <c r="HX4">
        <f t="shared" ref="HX4:HX42" si="85">IF(ROW()-3&gt;MAX($HW$4:$HW$40),"",INDEX($BW$4:$BW$40,MATCH(ROW()-3,$HW$4:$HW$40,0)))</f>
        <v>408.87</v>
      </c>
      <c r="HZ4" t="b">
        <f>IF($CB$4="",FALSE,SUMPRODUCT(('Final Calculation Sheet'!$N$4:$N$40=$CB$4)*($HY$6:$HY$42=1))&gt;0)</f>
        <v>1</v>
      </c>
      <c r="IA4">
        <f>--($HZ$4)</f>
        <v>1</v>
      </c>
      <c r="IB4">
        <f t="shared" ref="IB4:IB42" si="86">IF(ROW()-3&gt;MAX($IA$4:$IA$40),"",INDEX($CB$4:$CB$40,MATCH(ROW()-3,$IA$4:$IA$40,0)))</f>
        <v>6.93</v>
      </c>
      <c r="ID4" t="b">
        <f>IF($CG$4="",FALSE,SUMPRODUCT(('Final Calculation Sheet'!$O$4:$O$40=$CG$4)*($IC$6:$IC$42=1))&gt;0)</f>
        <v>1</v>
      </c>
      <c r="IE4">
        <f>--($ID$4)</f>
        <v>1</v>
      </c>
      <c r="IF4">
        <f t="shared" ref="IF4:IF42" si="87">IF(ROW()-3&gt;MAX($IE$4:$IE$40),"",INDEX($CG$4:$CG$40,MATCH(ROW()-3,$IE$4:$IE$40,0)))</f>
        <v>401.94</v>
      </c>
      <c r="IH4" t="b">
        <f>IF($CL$4="",FALSE,SUMPRODUCT(('Final Calculation Sheet'!$P$4:$P$40=$CL$4)*($IG$6:$IG$42=1))&gt;0)</f>
        <v>1</v>
      </c>
      <c r="II4">
        <f>--($IH$4)</f>
        <v>1</v>
      </c>
      <c r="IJ4">
        <f t="shared" ref="IJ4:IJ42" si="88">IF(ROW()-3&gt;MAX($II$4:$II$40),"",INDEX($CL$4:$CL$40,MATCH(ROW()-3,$II$4:$II$40,0)))</f>
        <v>417</v>
      </c>
      <c r="IL4" t="b">
        <f>IF($CQ$4="",FALSE,SUMPRODUCT(('Final Calculation Sheet'!$Q$4:$Q$40=$CQ$4)*($IK$6:$IK$42=1))&gt;0)</f>
        <v>1</v>
      </c>
      <c r="IM4">
        <f>--($IL$4)</f>
        <v>1</v>
      </c>
      <c r="IN4">
        <f t="shared" ref="IN4:IN42" si="89">IF(ROW()-3&gt;MAX($IM$4:$IM$40),"",INDEX($CQ$4:$CQ$40,MATCH(ROW()-3,$IM$4:$IM$40,0)))</f>
        <v>0</v>
      </c>
      <c r="IP4" t="b">
        <f>IF($CV$4="",FALSE,SUMPRODUCT(('Final Calculation Sheet'!$R$4:$R$40=$CV$4)*($IO$6:$IO$42=1))&gt;0)</f>
        <v>1</v>
      </c>
      <c r="IQ4">
        <f>--($IP$4)</f>
        <v>1</v>
      </c>
      <c r="IR4">
        <f t="shared" ref="IR4:IR42" si="90">IF(ROW()-3&gt;MAX($IQ$4:$IQ$40),"",INDEX($CV$4:$CV$40,MATCH(ROW()-3,$IQ$4:$IQ$40,0)))</f>
        <v>0</v>
      </c>
      <c r="IT4" t="b">
        <f>IF($DA$4="",FALSE,SUMPRODUCT(('Final Calculation Sheet'!$S$4:$S$40=$DA$4)*($IS$6:$IS$42=1))&gt;0)</f>
        <v>1</v>
      </c>
      <c r="IU4">
        <f>--($IT$4)</f>
        <v>1</v>
      </c>
      <c r="IV4">
        <f t="shared" ref="IV4:IV42" si="91">IF(ROW()-3&gt;MAX($IU$4:$IU$40),"",INDEX($DA$4:$DA$40,MATCH(ROW()-3,$IU$4:$IU$40,0)))</f>
        <v>18118</v>
      </c>
      <c r="IX4" t="b">
        <f>IF($DF$4="",FALSE,SUMPRODUCT(('Final Calculation Sheet'!$T$4:$T$40=$DF$4)*($IW$6:$IW$42=1))&gt;0)</f>
        <v>1</v>
      </c>
      <c r="IY4">
        <f>--($IX$4)</f>
        <v>1</v>
      </c>
      <c r="IZ4">
        <f t="shared" ref="IZ4:IZ42" si="92">IF(ROW()-3&gt;MAX($IY$4:$IY$40),"",INDEX($DF$4:$DF$40,MATCH(ROW()-3,$IY$4:$IY$40,0)))</f>
        <v>3850</v>
      </c>
      <c r="JB4" t="b">
        <f>IF($DK$4="",FALSE,SUMPRODUCT(('Final Calculation Sheet'!$U$4:$U$40=$DK$4)*($JA$6:$JA$42=1))&gt;0)</f>
        <v>1</v>
      </c>
      <c r="JC4">
        <f>--($JB$4)</f>
        <v>1</v>
      </c>
      <c r="JD4">
        <f t="shared" ref="JD4:JD42" si="93">IF(ROW()-3&gt;MAX($JC$4:$JC$40),"",INDEX($DK$4:$DK$40,MATCH(ROW()-3,$JC$4:$JC$40,0)))</f>
        <v>3850</v>
      </c>
      <c r="JF4" t="b">
        <f>IF($DP$4="",FALSE,SUMPRODUCT(('Final Calculation Sheet'!$V$4:$V$40=$DP$4)*($JE$6:$JE$42=1))&gt;0)</f>
        <v>1</v>
      </c>
      <c r="JG4">
        <f>--($JF$4)</f>
        <v>1</v>
      </c>
      <c r="JH4" t="str">
        <f t="shared" ref="JH4:JH42" si="94">IF(ROW()-3&gt;MAX($JG$4:$JG$40),"",INDEX($DP$4:$DP$40,MATCH(ROW()-3,$JG$4:$JG$40,0)))</f>
        <v>10.08.2026</v>
      </c>
      <c r="JJ4" t="b">
        <f>IF($DU$4="",FALSE,SUMPRODUCT(('Final Calculation Sheet'!$W$4:$W$40=$DU$4)*($JI$6:$JI$42=1))&gt;0)</f>
        <v>1</v>
      </c>
      <c r="JK4">
        <f>--($JJ$4)</f>
        <v>1</v>
      </c>
      <c r="JL4">
        <f t="shared" ref="JL4:JL42" si="95">IF(ROW()-3&gt;MAX($JK$4:$JK$40),"",INDEX($DU$4:$DU$40,MATCH(ROW()-3,$JK$4:$JK$40,0)))</f>
        <v>14268</v>
      </c>
      <c r="JN4" t="e">
        <f>IF($DZ$4="",FALSE,SUMPRODUCT(('Final Calculation Sheet'!$X$4:$X$40=$DZ$4)*($JM$6:$JM$42=1))&gt;0)</f>
        <v>#N/A</v>
      </c>
      <c r="JO4" t="e">
        <f>--($JN$4)</f>
        <v>#N/A</v>
      </c>
      <c r="JP4" t="e">
        <f t="shared" ref="JP4:JP42" si="96">IF(ROW()-3&gt;MAX($JO$4:$JO$40),"",INDEX($DZ$4:$DZ$40,MATCH(ROW()-3,$JO$4:$JO$40,0)))</f>
        <v>#N/A</v>
      </c>
      <c r="JR4" t="e">
        <f>IF($EE$4="",FALSE,SUMPRODUCT(('Final Calculation Sheet'!$Y$4:$Y$40=$EE$4)*($JQ$6:$JQ$42=1))&gt;0)</f>
        <v>#N/A</v>
      </c>
      <c r="JS4" t="e">
        <f>--($JR$4)</f>
        <v>#N/A</v>
      </c>
      <c r="JT4" t="e">
        <f t="shared" ref="JT4:JT42" si="97">IF(ROW()-3&gt;MAX($JS$4:$JS$40),"",INDEX($EE$4:$EE$40,MATCH(ROW()-3,$JS$4:$JS$40,0)))</f>
        <v>#N/A</v>
      </c>
      <c r="JV4" t="b">
        <f ca="1">IF($EJ$4="",FALSE,SUMPRODUCT(('Final Calculation Sheet'!$Z$4:$Z$40=$EJ$4)*($JU$6:$JU$42=1))&gt;0)</f>
        <v>1</v>
      </c>
      <c r="JW4">
        <f ca="1">--($JV$4)</f>
        <v>1</v>
      </c>
      <c r="JX4">
        <f t="shared" ref="JX4:JX42" ca="1" si="98">IF(ROW()-3&gt;MAX($JW$4:$JW$40),"",INDEX($EJ$4:$EJ$40,MATCH(ROW()-3,$JW$4:$JW$40,0)))</f>
        <v>545.16</v>
      </c>
      <c r="JZ4" t="e">
        <f>IF($EO$4="",FALSE,SUMPRODUCT(('Final Calculation Sheet'!$AA$4:$AA$40=$EO$4)*($JY$6:$JY$42=1))&gt;0)</f>
        <v>#N/A</v>
      </c>
      <c r="KA4" t="e">
        <f>--($JZ$4)</f>
        <v>#N/A</v>
      </c>
      <c r="KB4" t="e">
        <f t="shared" ref="KB4:KB42" si="99">IF(ROW()-3&gt;MAX($KA$4:$KA$40),"",INDEX($EO$4:$EO$40,MATCH(ROW()-3,$KA$4:$KA$40,0)))</f>
        <v>#N/A</v>
      </c>
      <c r="KD4" t="e">
        <f>IF($ET$4="",FALSE,SUMPRODUCT(('Final Calculation Sheet'!$AB$4:$AB$40=$ET$4)*($KC$6:$KC$42=1))&gt;0)</f>
        <v>#N/A</v>
      </c>
      <c r="KE4" t="e">
        <f>--($KD$4)</f>
        <v>#N/A</v>
      </c>
      <c r="KF4" t="e">
        <f t="shared" ref="KF4:KF42" si="100">IF(ROW()-3&gt;MAX($KE$4:$KE$40),"",INDEX($ET$4:$ET$40,MATCH(ROW()-3,$KE$4:$KE$40,0)))</f>
        <v>#N/A</v>
      </c>
      <c r="KH4" t="b">
        <f>IF($EY$4="",FALSE,SUMPRODUCT(('Final Calculation Sheet'!$AC$4:$AC$40=$EY$4)*($KG$6:$KG$42=1))&gt;0)</f>
        <v>1</v>
      </c>
      <c r="KI4">
        <f>--($KH$4)</f>
        <v>1</v>
      </c>
      <c r="KJ4">
        <f t="shared" ref="KJ4:KJ42" si="101">IF(ROW()-3&gt;MAX($KI$4:$KI$40),"",INDEX($EY$4:$EY$40,MATCH(ROW()-3,$KI$4:$KI$40,0)))</f>
        <v>13500</v>
      </c>
      <c r="KL4" t="b">
        <f>IF($FD$4="",FALSE,SUMPRODUCT(('Final Calculation Sheet'!$AD$4:$AD$40=$FD$4)*($KK$6:$KK$42=1))&gt;0)</f>
        <v>1</v>
      </c>
      <c r="KM4">
        <f>--($KL$4)</f>
        <v>1</v>
      </c>
      <c r="KN4">
        <f t="shared" ref="KN4:KN42" si="102">IF(ROW()-3&gt;MAX($KM$4:$KM$40),"",INDEX($FD$4:$FD$40,MATCH(ROW()-3,$KM$4:$KM$40,0)))</f>
        <v>-2832</v>
      </c>
      <c r="KP4" t="b">
        <f>IF($FX$4="",FALSE,SUMPRODUCT((IF('Final Calculation Sheet'!$AD$4:$AD$40&lt;=5,"SETTLED","OUTSTANDING")=$FX$4)*($KO$6:$KO$42=1))&gt;0)</f>
        <v>0</v>
      </c>
      <c r="KQ4">
        <f>--($KP$4)</f>
        <v>0</v>
      </c>
      <c r="KR4" t="str">
        <f t="shared" ref="KR4:KR42" si="103">IF(ROW()-3&gt;MAX($KQ$4:$KQ$40),"",INDEX($FX$4:$FX$40,MATCH(ROW()-3,$KQ$4:$KQ$40,0)))</f>
        <v>SETTLED</v>
      </c>
      <c r="KT4" t="e">
        <f>IF($FI$4="",FALSE,SUMPRODUCT(('Final Calculation Sheet'!$AF$4:$AF$40=$FI$4)*($KS$6:$KS$42=1))&gt;0)</f>
        <v>#N/A</v>
      </c>
      <c r="KU4" t="e">
        <f>--($KT$4)</f>
        <v>#N/A</v>
      </c>
      <c r="KV4" t="e">
        <f t="shared" ref="KV4:KV42" si="104">IF(ROW()-3&gt;MAX($KU$4:$KU$40),"",INDEX($FI$4:$FI$40,MATCH(ROW()-3,$KU$4:$KU$40,0)))</f>
        <v>#N/A</v>
      </c>
      <c r="KX4" t="e">
        <f>IF($FN$4="",FALSE,SUMPRODUCT(('Final Calculation Sheet'!$AG$4:$AG$40=$FN$4)*($KW$6:$KW$42=1))&gt;0)</f>
        <v>#N/A</v>
      </c>
      <c r="KY4" t="e">
        <f>--($KX$4)</f>
        <v>#N/A</v>
      </c>
      <c r="KZ4" t="e">
        <f t="shared" ref="KZ4:KZ42" si="105">IF(ROW()-3&gt;MAX($KY$4:$KY$40),"",INDEX($FN$4:$FN$40,MATCH(ROW()-3,$KY$4:$KY$40,0)))</f>
        <v>#N/A</v>
      </c>
      <c r="LB4" t="e">
        <f>IF($FS$4="",FALSE,SUMPRODUCT(('Final Calculation Sheet'!$AH$4:$AH$40=$FS$4)*($LA$6:$LA$42=1))&gt;0)</f>
        <v>#N/A</v>
      </c>
      <c r="LC4" t="e">
        <f>--($LB$4)</f>
        <v>#N/A</v>
      </c>
      <c r="LD4" t="e">
        <f t="shared" ref="LD4:LD42" si="106">IF(ROW()-3&gt;MAX($LC$4:$LC$40),"",INDEX($FS$4:$FS$40,MATCH(ROW()-3,$LC$4:$LC$40,0)))</f>
        <v>#N/A</v>
      </c>
      <c r="LF4" t="b">
        <f>IF($O$4="",FALSE,SUMPRODUCT(('Final Calculation Sheet'!$F$4:$F$40=$O$4)*($LE$6:$LE$42=1))&gt;0)</f>
        <v>1</v>
      </c>
      <c r="LG4">
        <f>--($LF$4)</f>
        <v>1</v>
      </c>
      <c r="LH4">
        <f t="shared" ref="LH4:LH42" si="107">IF(ROW()-3&gt;MAX($LG$4:$LG$40),"",INDEX($O$4:$O$40,MATCH(ROW()-3,$LG$4:$LG$40,0)))</f>
        <v>1763</v>
      </c>
      <c r="LJ4" t="b">
        <f>IF($T$4="",FALSE,SUMPRODUCT(('Final Calculation Sheet'!$G$4:$G$40=$T$4)*($LI$6:$LI$42=1))&gt;0)</f>
        <v>1</v>
      </c>
      <c r="LK4">
        <f>--($LJ$4)</f>
        <v>1</v>
      </c>
      <c r="LL4" t="str">
        <f t="shared" ref="LL4:LL42" si="108">IF(ROW()-3&gt;MAX($LK$4:$LK$40),"",INDEX($T$4:$T$40,MATCH(ROW()-3,$LK$4:$LK$40,0)))</f>
        <v>AL HAMD TRADE CORPORATION</v>
      </c>
      <c r="LN4" t="b">
        <f>IF($Y$4="",FALSE,SUMPRODUCT(('Final Calculation Sheet'!$B$4:$B$40=$Y$4)*($LM$6:$LM$42=1))&gt;0)</f>
        <v>1</v>
      </c>
      <c r="LO4">
        <f>--($LN$4)</f>
        <v>1</v>
      </c>
      <c r="LP4" t="str">
        <f t="shared" ref="LP4:LP42" si="109">IF(ROW()-3&gt;MAX($LO$4:$LO$40),"",INDEX($Y$4:$Y$40,MATCH(ROW()-3,$LO$4:$LO$40,0)))</f>
        <v>Mix Scrap (Tower angles &amp; 0.2 ACSR Condutor pieces)</v>
      </c>
      <c r="LR4" t="b">
        <f>IF($AD$4="",FALSE,SUMPRODUCT(('Final Calculation Sheet'!$D$4:$D$40=$AD$4)*($LQ$6:$LQ$42=1))&gt;0)</f>
        <v>1</v>
      </c>
      <c r="LS4">
        <f>--($LR$4)</f>
        <v>1</v>
      </c>
      <c r="LT4">
        <f t="shared" ref="LT4:LT42" si="110">IF(ROW()-3&gt;MAX($LS$4:$LS$40),"",INDEX($AD$4:$AD$40,MATCH(ROW()-3,$LS$4:$LS$40,0)))</f>
        <v>21977</v>
      </c>
      <c r="LV4" t="b">
        <f>IF($AI$4="",FALSE,SUMPRODUCT(('Final Calculation Sheet'!$A$4:$A$40=$AI$4)*($LU$6:$LU$42=1))&gt;0)</f>
        <v>1</v>
      </c>
      <c r="LW4">
        <f>--($LV$4)</f>
        <v>1</v>
      </c>
      <c r="LX4">
        <f t="shared" ref="LX4:LX42" si="111">IF(ROW()-3&gt;MAX($LW$4:$LW$40),"",INDEX($AI$4:$AI$40,MATCH(ROW()-3,$LW$4:$LW$40,0)))</f>
        <v>1</v>
      </c>
      <c r="LZ4" t="b">
        <f>IF($AN$4="",FALSE,SUMPRODUCT(('Final Calculation Sheet'!$E$4:$E$40=$AN$4)*($LY$6:$LY$42=1))&gt;0)</f>
        <v>1</v>
      </c>
      <c r="MA4">
        <f>--($LZ$4)</f>
        <v>1</v>
      </c>
      <c r="MB4" t="str">
        <f t="shared" ref="MB4:MB42" si="112">IF(ROW()-3&gt;MAX($MA$4:$MA$40),"",INDEX($AN$4:$AN$40,MATCH(ROW()-3,$MA$4:$MA$40,0)))</f>
        <v>KG</v>
      </c>
      <c r="MD4" t="b">
        <f>IF($AS$4="",FALSE,SUMPRODUCT(('Final Calculation Sheet'!$C$4:$C$40=$AS$4)*($MC$6:$MC$42=1))&gt;0)</f>
        <v>1</v>
      </c>
      <c r="ME4">
        <f>--($MD$4)</f>
        <v>1</v>
      </c>
      <c r="MF4">
        <f t="shared" ref="MF4:MF42" si="113">IF(ROW()-3&gt;MAX($ME$4:$ME$40),"",INDEX($AS$4:$AS$40,MATCH(ROW()-3,$ME$4:$ME$40,0)))</f>
        <v>66</v>
      </c>
      <c r="MH4" t="b">
        <f>IF($AX$4="",FALSE,SUMPRODUCT(('Final Calculation Sheet'!$H$4:$H$40=$AX$4)*($MG$6:$MG$42=1))&gt;0)</f>
        <v>1</v>
      </c>
      <c r="MI4">
        <f>--($MH$4)</f>
        <v>1</v>
      </c>
      <c r="MJ4">
        <f t="shared" ref="MJ4:MJ42" si="114">IF(ROW()-3&gt;MAX($MI$4:$MI$40),"",INDEX($AX$4:$AX$40,MATCH(ROW()-3,$MI$4:$MI$40,0)))</f>
        <v>15400</v>
      </c>
      <c r="ML4" t="b">
        <f>IF($BC$4="",FALSE,SUMPRODUCT(('Final Calculation Sheet'!$I$4:$I$40=$BC$4)*($MK$6:$MK$42=1))&gt;0)</f>
        <v>1</v>
      </c>
      <c r="MM4">
        <f>--($ML$4)</f>
        <v>1</v>
      </c>
      <c r="MN4">
        <f t="shared" ref="MN4:MN42" si="115">IF(ROW()-3&gt;MAX($MM$4:$MM$40),"",INDEX($BC$4:$BC$40,MATCH(ROW()-3,$MM$4:$MM$40,0)))</f>
        <v>2772</v>
      </c>
      <c r="MP4" t="b">
        <f>IF($BH$4="",FALSE,SUMPRODUCT(('Final Calculation Sheet'!$J$4:$J$40=$BH$4)*($MO$6:$MO$42=1))&gt;0)</f>
        <v>1</v>
      </c>
      <c r="MQ4">
        <f>--($MP$4)</f>
        <v>1</v>
      </c>
      <c r="MR4">
        <f t="shared" ref="MR4:MR42" si="116">IF(ROW()-3&gt;MAX($MQ$4:$MQ$40),"",INDEX($BH$4:$BH$40,MATCH(ROW()-3,$MQ$4:$MQ$40,0)))</f>
        <v>18172</v>
      </c>
      <c r="MT4" t="b">
        <f>IF($BM$4="",FALSE,SUMPRODUCT(('Final Calculation Sheet'!$K$4:$K$40=$BM$4)*($MS$6:$MS$42=1))&gt;0)</f>
        <v>1</v>
      </c>
      <c r="MU4">
        <f>--($MT$4)</f>
        <v>1</v>
      </c>
      <c r="MV4">
        <f t="shared" ref="MV4:MV42" si="117">IF(ROW()-3&gt;MAX($MU$4:$MU$40),"",INDEX($BM$4:$BM$40,MATCH(ROW()-3,$MU$4:$MU$40,0)))</f>
        <v>363</v>
      </c>
      <c r="MX4" t="b">
        <f>IF($BR$4="",FALSE,SUMPRODUCT(('Final Calculation Sheet'!$L$4:$L$40=$BR$4)*($MW$6:$MW$42=1))&gt;0)</f>
        <v>1</v>
      </c>
      <c r="MY4">
        <f>--($MX$4)</f>
        <v>1</v>
      </c>
      <c r="MZ4">
        <f t="shared" ref="MZ4:MZ42" si="118">IF(ROW()-3&gt;MAX($MY$4:$MY$40),"",INDEX($BR$4:$BR$40,MATCH(ROW()-3,$MY$4:$MY$40,0)))</f>
        <v>15.4</v>
      </c>
      <c r="NB4" t="b">
        <f>IF($BW$4="",FALSE,SUMPRODUCT(('Final Calculation Sheet'!$M$4:$M$40=$BW$4)*($NA$6:$NA$42=1))&gt;0)</f>
        <v>1</v>
      </c>
      <c r="NC4">
        <f>--($NB$4)</f>
        <v>1</v>
      </c>
      <c r="ND4">
        <f t="shared" ref="ND4:ND42" si="119">IF(ROW()-3&gt;MAX($NC$4:$NC$40),"",INDEX($BW$4:$BW$40,MATCH(ROW()-3,$NC$4:$NC$40,0)))</f>
        <v>408.87</v>
      </c>
      <c r="NF4" t="b">
        <f>IF($CB$4="",FALSE,SUMPRODUCT(('Final Calculation Sheet'!$N$4:$N$40=$CB$4)*($NE$6:$NE$42=1))&gt;0)</f>
        <v>1</v>
      </c>
      <c r="NG4">
        <f>--($NF$4)</f>
        <v>1</v>
      </c>
      <c r="NH4">
        <f t="shared" ref="NH4:NH42" si="120">IF(ROW()-3&gt;MAX($NG$4:$NG$40),"",INDEX($CB$4:$CB$40,MATCH(ROW()-3,$NG$4:$NG$40,0)))</f>
        <v>6.93</v>
      </c>
      <c r="NJ4" t="b">
        <f>IF($CG$4="",FALSE,SUMPRODUCT(('Final Calculation Sheet'!$O$4:$O$40=$CG$4)*($NI$6:$NI$42=1))&gt;0)</f>
        <v>1</v>
      </c>
      <c r="NK4">
        <f>--($NJ$4)</f>
        <v>1</v>
      </c>
      <c r="NL4">
        <f t="shared" ref="NL4:NL42" si="121">IF(ROW()-3&gt;MAX($NK$4:$NK$40),"",INDEX($CG$4:$CG$40,MATCH(ROW()-3,$NK$4:$NK$40,0)))</f>
        <v>401.94</v>
      </c>
      <c r="NN4" t="b">
        <f>IF($CL$4="",FALSE,SUMPRODUCT(('Final Calculation Sheet'!$P$4:$P$40=$CL$4)*($NM$6:$NM$42=1))&gt;0)</f>
        <v>1</v>
      </c>
      <c r="NO4">
        <f>--($NN$4)</f>
        <v>1</v>
      </c>
      <c r="NP4">
        <f t="shared" ref="NP4:NP42" si="122">IF(ROW()-3&gt;MAX($NO$4:$NO$40),"",INDEX($CL$4:$CL$40,MATCH(ROW()-3,$NO$4:$NO$40,0)))</f>
        <v>417</v>
      </c>
      <c r="NR4" t="b">
        <f>IF($CQ$4="",FALSE,SUMPRODUCT(('Final Calculation Sheet'!$Q$4:$Q$40=$CQ$4)*($NQ$6:$NQ$42=1))&gt;0)</f>
        <v>1</v>
      </c>
      <c r="NS4">
        <f>--($NR$4)</f>
        <v>1</v>
      </c>
      <c r="NT4">
        <f t="shared" ref="NT4:NT42" si="123">IF(ROW()-3&gt;MAX($NS$4:$NS$40),"",INDEX($CQ$4:$CQ$40,MATCH(ROW()-3,$NS$4:$NS$40,0)))</f>
        <v>0</v>
      </c>
      <c r="NV4" t="b">
        <f>IF($CV$4="",FALSE,SUMPRODUCT(('Final Calculation Sheet'!$R$4:$R$40=$CV$4)*($NU$6:$NU$42=1))&gt;0)</f>
        <v>1</v>
      </c>
      <c r="NW4">
        <f>--($NV$4)</f>
        <v>1</v>
      </c>
      <c r="NX4">
        <f t="shared" ref="NX4:NX42" si="124">IF(ROW()-3&gt;MAX($NW$4:$NW$40),"",INDEX($CV$4:$CV$40,MATCH(ROW()-3,$NW$4:$NW$40,0)))</f>
        <v>0</v>
      </c>
      <c r="NZ4" t="b">
        <f>IF($DA$4="",FALSE,SUMPRODUCT(('Final Calculation Sheet'!$S$4:$S$40=$DA$4)*($NY$6:$NY$42=1))&gt;0)</f>
        <v>1</v>
      </c>
      <c r="OA4">
        <f>--($NZ$4)</f>
        <v>1</v>
      </c>
      <c r="OB4">
        <f t="shared" ref="OB4:OB42" si="125">IF(ROW()-3&gt;MAX($OA$4:$OA$40),"",INDEX($DA$4:$DA$40,MATCH(ROW()-3,$OA$4:$OA$40,0)))</f>
        <v>18118</v>
      </c>
      <c r="OD4" t="b">
        <f>IF($DF$4="",FALSE,SUMPRODUCT(('Final Calculation Sheet'!$T$4:$T$40=$DF$4)*($OC$6:$OC$42=1))&gt;0)</f>
        <v>1</v>
      </c>
      <c r="OE4">
        <f>--($OD$4)</f>
        <v>1</v>
      </c>
      <c r="OF4">
        <f t="shared" ref="OF4:OF42" si="126">IF(ROW()-3&gt;MAX($OE$4:$OE$40),"",INDEX($DF$4:$DF$40,MATCH(ROW()-3,$OE$4:$OE$40,0)))</f>
        <v>3850</v>
      </c>
      <c r="OH4" t="b">
        <f>IF($DK$4="",FALSE,SUMPRODUCT(('Final Calculation Sheet'!$U$4:$U$40=$DK$4)*($OG$6:$OG$42=1))&gt;0)</f>
        <v>1</v>
      </c>
      <c r="OI4">
        <f>--($OH$4)</f>
        <v>1</v>
      </c>
      <c r="OJ4">
        <f t="shared" ref="OJ4:OJ42" si="127">IF(ROW()-3&gt;MAX($OI$4:$OI$40),"",INDEX($DK$4:$DK$40,MATCH(ROW()-3,$OI$4:$OI$40,0)))</f>
        <v>3850</v>
      </c>
      <c r="OL4" t="b">
        <f>IF($DP$4="",FALSE,SUMPRODUCT(('Final Calculation Sheet'!$V$4:$V$40=$DP$4)*($OK$6:$OK$42=1))&gt;0)</f>
        <v>1</v>
      </c>
      <c r="OM4">
        <f>--($OL$4)</f>
        <v>1</v>
      </c>
      <c r="ON4" t="str">
        <f t="shared" ref="ON4:ON42" si="128">IF(ROW()-3&gt;MAX($OM$4:$OM$40),"",INDEX($DP$4:$DP$40,MATCH(ROW()-3,$OM$4:$OM$40,0)))</f>
        <v>10.08.2026</v>
      </c>
      <c r="OP4" t="b">
        <f>IF($DU$4="",FALSE,SUMPRODUCT(('Final Calculation Sheet'!$W$4:$W$40=$DU$4)*($OO$6:$OO$42=1))&gt;0)</f>
        <v>1</v>
      </c>
      <c r="OQ4">
        <f>--($OP$4)</f>
        <v>1</v>
      </c>
      <c r="OR4">
        <f t="shared" ref="OR4:OR42" si="129">IF(ROW()-3&gt;MAX($OQ$4:$OQ$40),"",INDEX($DU$4:$DU$40,MATCH(ROW()-3,$OQ$4:$OQ$40,0)))</f>
        <v>14268</v>
      </c>
      <c r="OT4" t="e">
        <f>IF($DZ$4="",FALSE,SUMPRODUCT(('Final Calculation Sheet'!$X$4:$X$40=$DZ$4)*($OS$6:$OS$42=1))&gt;0)</f>
        <v>#N/A</v>
      </c>
      <c r="OU4" t="e">
        <f>--($OT$4)</f>
        <v>#N/A</v>
      </c>
      <c r="OV4" t="e">
        <f t="shared" ref="OV4:OV42" si="130">IF(ROW()-3&gt;MAX($OU$4:$OU$40),"",INDEX($DZ$4:$DZ$40,MATCH(ROW()-3,$OU$4:$OU$40,0)))</f>
        <v>#N/A</v>
      </c>
      <c r="OX4" t="e">
        <f>IF($EE$4="",FALSE,SUMPRODUCT(('Final Calculation Sheet'!$Y$4:$Y$40=$EE$4)*($OW$6:$OW$42=1))&gt;0)</f>
        <v>#N/A</v>
      </c>
      <c r="OY4" t="e">
        <f>--($OX$4)</f>
        <v>#N/A</v>
      </c>
      <c r="OZ4" t="e">
        <f t="shared" ref="OZ4:OZ42" si="131">IF(ROW()-3&gt;MAX($OY$4:$OY$40),"",INDEX($EE$4:$EE$40,MATCH(ROW()-3,$OY$4:$OY$40,0)))</f>
        <v>#N/A</v>
      </c>
      <c r="PB4" t="b">
        <f ca="1">IF($EJ$4="",FALSE,SUMPRODUCT(('Final Calculation Sheet'!$Z$4:$Z$40=$EJ$4)*($PA$6:$PA$42=1))&gt;0)</f>
        <v>1</v>
      </c>
      <c r="PC4">
        <f ca="1">--($PB$4)</f>
        <v>1</v>
      </c>
      <c r="PD4">
        <f t="shared" ref="PD4:PD42" ca="1" si="132">IF(ROW()-3&gt;MAX($PC$4:$PC$40),"",INDEX($EJ$4:$EJ$40,MATCH(ROW()-3,$PC$4:$PC$40,0)))</f>
        <v>545.16</v>
      </c>
      <c r="PF4" t="e">
        <f>IF($EO$4="",FALSE,SUMPRODUCT(('Final Calculation Sheet'!$AA$4:$AA$40=$EO$4)*($PE$6:$PE$42=1))&gt;0)</f>
        <v>#N/A</v>
      </c>
      <c r="PG4" t="e">
        <f>--($PF$4)</f>
        <v>#N/A</v>
      </c>
      <c r="PH4" t="e">
        <f t="shared" ref="PH4:PH42" si="133">IF(ROW()-3&gt;MAX($PG$4:$PG$40),"",INDEX($EO$4:$EO$40,MATCH(ROW()-3,$PG$4:$PG$40,0)))</f>
        <v>#N/A</v>
      </c>
      <c r="PJ4" t="e">
        <f>IF($ET$4="",FALSE,SUMPRODUCT(('Final Calculation Sheet'!$AB$4:$AB$40=$ET$4)*($PI$6:$PI$42=1))&gt;0)</f>
        <v>#N/A</v>
      </c>
      <c r="PK4" t="e">
        <f>--($PJ$4)</f>
        <v>#N/A</v>
      </c>
      <c r="PL4" t="e">
        <f t="shared" ref="PL4:PL42" si="134">IF(ROW()-3&gt;MAX($PK$4:$PK$40),"",INDEX($ET$4:$ET$40,MATCH(ROW()-3,$PK$4:$PK$40,0)))</f>
        <v>#N/A</v>
      </c>
      <c r="PN4" t="b">
        <f>IF($EY$4="",FALSE,SUMPRODUCT(('Final Calculation Sheet'!$AC$4:$AC$40=$EY$4)*($PM$6:$PM$42=1))&gt;0)</f>
        <v>1</v>
      </c>
      <c r="PO4">
        <f>--($PN$4)</f>
        <v>1</v>
      </c>
      <c r="PP4">
        <f t="shared" ref="PP4:PP42" si="135">IF(ROW()-3&gt;MAX($PO$4:$PO$40),"",INDEX($EY$4:$EY$40,MATCH(ROW()-3,$PO$4:$PO$40,0)))</f>
        <v>13500</v>
      </c>
      <c r="PR4" t="b">
        <f>IF($FD$4="",FALSE,SUMPRODUCT(('Final Calculation Sheet'!$AD$4:$AD$40=$FD$4)*($PQ$6:$PQ$42=1))&gt;0)</f>
        <v>1</v>
      </c>
      <c r="PS4">
        <f>--($PR$4)</f>
        <v>1</v>
      </c>
      <c r="PT4">
        <f t="shared" ref="PT4:PT42" si="136">IF(ROW()-3&gt;MAX($PS$4:$PS$40),"",INDEX($FD$4:$FD$40,MATCH(ROW()-3,$PS$4:$PS$40,0)))</f>
        <v>-2832</v>
      </c>
      <c r="PV4" t="b">
        <f>IF($FX$4="",FALSE,SUMPRODUCT((IF('Final Calculation Sheet'!$AD$4:$AD$40&lt;=5,"SETTLED","OUTSTANDING")=$FX$4)*($PU$6:$PU$42=1))&gt;0)</f>
        <v>0</v>
      </c>
      <c r="PW4">
        <f>--($PV$4)</f>
        <v>0</v>
      </c>
      <c r="PX4" t="str">
        <f t="shared" ref="PX4:PX42" si="137">IF(ROW()-3&gt;MAX($PW$4:$PW$40),"",INDEX($FX$4:$FX$40,MATCH(ROW()-3,$PW$4:$PW$40,0)))</f>
        <v>SETTLED</v>
      </c>
      <c r="PZ4" t="e">
        <f>IF($FI$4="",FALSE,SUMPRODUCT(('Final Calculation Sheet'!$AF$4:$AF$40=$FI$4)*($PY$6:$PY$42=1))&gt;0)</f>
        <v>#N/A</v>
      </c>
      <c r="QA4" t="e">
        <f>--($PZ$4)</f>
        <v>#N/A</v>
      </c>
      <c r="QB4" t="e">
        <f t="shared" ref="QB4:QB42" si="138">IF(ROW()-3&gt;MAX($QA$4:$QA$40),"",INDEX($FI$4:$FI$40,MATCH(ROW()-3,$QA$4:$QA$40,0)))</f>
        <v>#N/A</v>
      </c>
      <c r="QD4" t="e">
        <f>IF($FN$4="",FALSE,SUMPRODUCT(('Final Calculation Sheet'!$AG$4:$AG$40=$FN$4)*($QC$6:$QC$42=1))&gt;0)</f>
        <v>#N/A</v>
      </c>
      <c r="QE4" t="e">
        <f>--($QD$4)</f>
        <v>#N/A</v>
      </c>
      <c r="QF4" t="e">
        <f t="shared" ref="QF4:QF42" si="139">IF(ROW()-3&gt;MAX($QE$4:$QE$40),"",INDEX($FN$4:$FN$40,MATCH(ROW()-3,$QE$4:$QE$40,0)))</f>
        <v>#N/A</v>
      </c>
      <c r="QH4" t="e">
        <f>IF($FS$4="",FALSE,SUMPRODUCT(('Final Calculation Sheet'!$AH$4:$AH$40=$FS$4)*($QG$6:$QG$42=1))&gt;0)</f>
        <v>#N/A</v>
      </c>
      <c r="QI4" t="e">
        <f>--($QH$4)</f>
        <v>#N/A</v>
      </c>
      <c r="QJ4" t="e">
        <f t="shared" ref="QJ4:QJ42" si="140">IF(ROW()-3&gt;MAX($QI$4:$QI$40),"",INDEX($FS$4:$FS$40,MATCH(ROW()-3,$QI$4:$QI$40,0)))</f>
        <v>#N/A</v>
      </c>
      <c r="QK4" t="str">
        <f>IF('Final Calculation Sheet'!$AH$4="","",'Final Calculation Sheet'!$AH$4)</f>
        <v>24.08.2026</v>
      </c>
      <c r="QL4">
        <f>IF(QK4="","",COUNTIFS(QK$4:QK$40,"&lt;"&amp;QK4,QK$4:QK$40,"&lt;&gt;"&amp;"")+COUNTIF(QK$4:QK4,QK4))</f>
        <v>17</v>
      </c>
      <c r="QM4" t="e">
        <f t="shared" ref="QM4:QM40" si="141">IF(ROW()-3&gt;COUNTIF(QK$4:QK$40,"&lt;&gt;"&amp;""),"",INDEX(QK$4:QK$40,MATCH(ROW()-3,QL$4:QL$40,0)))</f>
        <v>#N/A</v>
      </c>
      <c r="QN4" t="e">
        <f>IF(AND(QM4&lt;&gt;"",COUNTIF(QM$4:QM4,QM4)=1),1,0)</f>
        <v>#N/A</v>
      </c>
      <c r="QO4" t="e">
        <f t="shared" ref="QO4:QO40" si="142">IF(ROW()-3&gt;MAX(QN$4:QN$40),"",INDEX(QM$4:QM$40,MATCH(ROW()-3,QN$4:QN$40,0)))</f>
        <v>#N/A</v>
      </c>
      <c r="QP4">
        <f>IF(COUNTIF('Final Calculation Sheet'!$AM4:$BS4,0)&gt;0,0,1)</f>
        <v>1</v>
      </c>
      <c r="QQ4" t="b">
        <f>IF($AI$4="",FALSE,SUMPRODUCT(('Final Calculation Sheet'!$A$4:$A$40=$AI$4)*($QP$4:$QP$40=1))&gt;0)</f>
        <v>1</v>
      </c>
      <c r="QR4">
        <f>--($QQ$4)</f>
        <v>1</v>
      </c>
      <c r="QS4">
        <f t="shared" ref="QS4:QS40" si="143">IF(ROW()-3&gt;MAX($QR$4:$QR$40),"",INDEX($AI$4:$AI$40,MATCH(ROW()-3,$QR$4:$QR$40,0)))</f>
        <v>1</v>
      </c>
      <c r="QT4">
        <f>IF(COUNTIF('Final Calculation Sheet'!$AL4:$AL4,0)+COUNTIF('Final Calculation Sheet'!$AN4:$BS4,0)&gt;0,0,1)</f>
        <v>1</v>
      </c>
      <c r="QU4" t="b">
        <f>IF($Y$4="",FALSE,SUMPRODUCT(('Final Calculation Sheet'!$B$4:$B$40=$Y$4)*($QT$4:$QT$40=1))&gt;0)</f>
        <v>1</v>
      </c>
      <c r="QV4">
        <f>--($QU$4)</f>
        <v>1</v>
      </c>
      <c r="QW4" t="str">
        <f t="shared" ref="QW4:QW40" si="144">IF(ROW()-3&gt;MAX($QV$4:$QV$40),"",INDEX($Y$4:$Y$40,MATCH(ROW()-3,$QV$4:$QV$40,0)))</f>
        <v>Mix Scrap (Tower angles &amp; 0.2 ACSR Condutor pieces)</v>
      </c>
      <c r="QX4">
        <f>IF(COUNTIF('Final Calculation Sheet'!$AL4:$AM4,0)+COUNTIF('Final Calculation Sheet'!$AO4:$BS4,0)&gt;0,0,1)</f>
        <v>1</v>
      </c>
      <c r="QY4" t="b">
        <f>IF($AS$4="",FALSE,SUMPRODUCT(('Final Calculation Sheet'!$C$4:$C$40=$AS$4)*($QX$4:$QX$40=1))&gt;0)</f>
        <v>1</v>
      </c>
      <c r="QZ4">
        <f>--($QY$4)</f>
        <v>1</v>
      </c>
      <c r="RA4">
        <f t="shared" ref="RA4:RA40" si="145">IF(ROW()-3&gt;MAX($QZ$4:$QZ$40),"",INDEX($AS$4:$AS$40,MATCH(ROW()-3,$QZ$4:$QZ$40,0)))</f>
        <v>66</v>
      </c>
      <c r="RB4">
        <f>IF(COUNTIF('Final Calculation Sheet'!$AL4:$AN4,0)+COUNTIF('Final Calculation Sheet'!$AP4:$BS4,0)&gt;0,0,1)</f>
        <v>1</v>
      </c>
      <c r="RC4" t="b">
        <f>IF($AD$4="",FALSE,SUMPRODUCT(('Final Calculation Sheet'!$D$4:$D$40=$AD$4)*($RB$4:$RB$40=1))&gt;0)</f>
        <v>1</v>
      </c>
      <c r="RD4">
        <f>--($RC$4)</f>
        <v>1</v>
      </c>
      <c r="RE4">
        <f t="shared" ref="RE4:RE40" si="146">IF(ROW()-3&gt;MAX($RD$4:$RD$40),"",INDEX($AD$4:$AD$40,MATCH(ROW()-3,$RD$4:$RD$40,0)))</f>
        <v>21977</v>
      </c>
      <c r="RF4">
        <f>IF(COUNTIF('Final Calculation Sheet'!$AL4:$AO4,0)+COUNTIF('Final Calculation Sheet'!$AQ4:$BS4,0)&gt;0,0,1)</f>
        <v>1</v>
      </c>
      <c r="RG4" t="b">
        <f>IF($AN$4="",FALSE,SUMPRODUCT(('Final Calculation Sheet'!$E$4:$E$40=$AN$4)*($RF$4:$RF$40=1))&gt;0)</f>
        <v>1</v>
      </c>
      <c r="RH4">
        <f>--($RG$4)</f>
        <v>1</v>
      </c>
      <c r="RI4" t="str">
        <f t="shared" ref="RI4:RI40" si="147">IF(ROW()-3&gt;MAX($RH$4:$RH$40),"",INDEX($AN$4:$AN$40,MATCH(ROW()-3,$RH$4:$RH$40,0)))</f>
        <v>KG</v>
      </c>
      <c r="RJ4">
        <f>IF(COUNTIF('Final Calculation Sheet'!$AL4:$AP4,0)+COUNTIF('Final Calculation Sheet'!$AR4:$BS4,0)&gt;0,0,1)</f>
        <v>1</v>
      </c>
      <c r="RK4" t="b">
        <f>IF($O$4="",FALSE,SUMPRODUCT(('Final Calculation Sheet'!$F$4:$F$40=$O$4)*($RJ$4:$RJ$40=1))&gt;0)</f>
        <v>1</v>
      </c>
      <c r="RL4">
        <f>--($RK$4)</f>
        <v>1</v>
      </c>
      <c r="RM4">
        <f t="shared" ref="RM4:RM40" si="148">IF(ROW()-3&gt;MAX($RL$4:$RL$40),"",INDEX($O$4:$O$40,MATCH(ROW()-3,$RL$4:$RL$40,0)))</f>
        <v>1763</v>
      </c>
      <c r="RN4">
        <f>IF(COUNTIF('Final Calculation Sheet'!$AL4:$AQ4,0)+COUNTIF('Final Calculation Sheet'!$AS4:$BS4,0)&gt;0,0,1)</f>
        <v>1</v>
      </c>
      <c r="RO4" t="b">
        <f>IF($T$4="",FALSE,SUMPRODUCT(('Final Calculation Sheet'!$G$4:$G$40=$T$4)*($RN$4:$RN$40=1))&gt;0)</f>
        <v>1</v>
      </c>
      <c r="RP4">
        <f>--($RO$4)</f>
        <v>1</v>
      </c>
      <c r="RQ4" t="str">
        <f t="shared" ref="RQ4:RQ40" si="149">IF(ROW()-3&gt;MAX($RP$4:$RP$40),"",INDEX($T$4:$T$40,MATCH(ROW()-3,$RP$4:$RP$40,0)))</f>
        <v>AL HAMD TRADE CORPORATION</v>
      </c>
      <c r="RR4">
        <f>IF(COUNTIF('Final Calculation Sheet'!$AL4:$AR4,0)+COUNTIF('Final Calculation Sheet'!$AT4:$BS4,0)&gt;0,0,1)</f>
        <v>1</v>
      </c>
      <c r="RS4" t="b">
        <f>IF($AX$4="",FALSE,SUMPRODUCT(('Final Calculation Sheet'!$H$4:$H$40=$AX$4)*($RR$4:$RR$40=1))&gt;0)</f>
        <v>1</v>
      </c>
      <c r="RT4">
        <f>--($RS$4)</f>
        <v>1</v>
      </c>
      <c r="RU4">
        <f t="shared" ref="RU4:RU40" si="150">IF(ROW()-3&gt;MAX($RT$4:$RT$40),"",INDEX($AX$4:$AX$40,MATCH(ROW()-3,$RT$4:$RT$40,0)))</f>
        <v>15400</v>
      </c>
      <c r="RV4">
        <f>IF(COUNTIF('Final Calculation Sheet'!$AL4:$AS4,0)+COUNTIF('Final Calculation Sheet'!$AU4:$BS4,0)&gt;0,0,1)</f>
        <v>1</v>
      </c>
      <c r="RW4" t="b">
        <f>IF($BC$4="",FALSE,SUMPRODUCT(('Final Calculation Sheet'!$I$4:$I$40=$BC$4)*($RV$4:$RV$40=1))&gt;0)</f>
        <v>1</v>
      </c>
      <c r="RX4">
        <f>--($RW$4)</f>
        <v>1</v>
      </c>
      <c r="RY4">
        <f t="shared" ref="RY4:RY40" si="151">IF(ROW()-3&gt;MAX($RX$4:$RX$40),"",INDEX($BC$4:$BC$40,MATCH(ROW()-3,$RX$4:$RX$40,0)))</f>
        <v>2772</v>
      </c>
      <c r="RZ4">
        <f>IF(COUNTIF('Final Calculation Sheet'!$AL4:$AT4,0)+COUNTIF('Final Calculation Sheet'!$AV4:$BS4,0)&gt;0,0,1)</f>
        <v>1</v>
      </c>
      <c r="SA4" t="b">
        <f>IF($BH$4="",FALSE,SUMPRODUCT(('Final Calculation Sheet'!$J$4:$J$40=$BH$4)*($RZ$4:$RZ$40=1))&gt;0)</f>
        <v>1</v>
      </c>
      <c r="SB4">
        <f>--($SA$4)</f>
        <v>1</v>
      </c>
      <c r="SC4">
        <f t="shared" ref="SC4:SC40" si="152">IF(ROW()-3&gt;MAX($SB$4:$SB$40),"",INDEX($BH$4:$BH$40,MATCH(ROW()-3,$SB$4:$SB$40,0)))</f>
        <v>18172</v>
      </c>
      <c r="SD4">
        <f>IF(COUNTIF('Final Calculation Sheet'!$AL4:$AU4,0)+COUNTIF('Final Calculation Sheet'!$AW4:$BS4,0)&gt;0,0,1)</f>
        <v>1</v>
      </c>
      <c r="SE4" t="b">
        <f>IF($BM$4="",FALSE,SUMPRODUCT(('Final Calculation Sheet'!$K$4:$K$40=$BM$4)*($SD$4:$SD$40=1))&gt;0)</f>
        <v>1</v>
      </c>
      <c r="SF4">
        <f>--($SE$4)</f>
        <v>1</v>
      </c>
      <c r="SG4">
        <f t="shared" ref="SG4:SG40" si="153">IF(ROW()-3&gt;MAX($SF$4:$SF$40),"",INDEX($BM$4:$BM$40,MATCH(ROW()-3,$SF$4:$SF$40,0)))</f>
        <v>363</v>
      </c>
      <c r="SH4">
        <f>IF(COUNTIF('Final Calculation Sheet'!$AL4:$AV4,0)+COUNTIF('Final Calculation Sheet'!$AX4:$BS4,0)&gt;0,0,1)</f>
        <v>1</v>
      </c>
      <c r="SI4" t="b">
        <f>IF($BR$4="",FALSE,SUMPRODUCT(('Final Calculation Sheet'!$L$4:$L$40=$BR$4)*($SH$4:$SH$40=1))&gt;0)</f>
        <v>1</v>
      </c>
      <c r="SJ4">
        <f>--($SI$4)</f>
        <v>1</v>
      </c>
      <c r="SK4">
        <f t="shared" ref="SK4:SK40" si="154">IF(ROW()-3&gt;MAX($SJ$4:$SJ$40),"",INDEX($BR$4:$BR$40,MATCH(ROW()-3,$SJ$4:$SJ$40,0)))</f>
        <v>15.4</v>
      </c>
      <c r="SL4">
        <f>IF(COUNTIF('Final Calculation Sheet'!$AL4:$AW4,0)+COUNTIF('Final Calculation Sheet'!$AY4:$BS4,0)&gt;0,0,1)</f>
        <v>1</v>
      </c>
      <c r="SM4" t="b">
        <f>IF($BW$4="",FALSE,SUMPRODUCT(('Final Calculation Sheet'!$M$4:$M$40=$BW$4)*($SL$4:$SL$40=1))&gt;0)</f>
        <v>1</v>
      </c>
      <c r="SN4">
        <f>--($SM$4)</f>
        <v>1</v>
      </c>
      <c r="SO4">
        <f t="shared" ref="SO4:SO40" si="155">IF(ROW()-3&gt;MAX($SN$4:$SN$40),"",INDEX($BW$4:$BW$40,MATCH(ROW()-3,$SN$4:$SN$40,0)))</f>
        <v>408.87</v>
      </c>
      <c r="SP4">
        <f>IF(COUNTIF('Final Calculation Sheet'!$AL4:$AX4,0)+COUNTIF('Final Calculation Sheet'!$AZ4:$BS4,0)&gt;0,0,1)</f>
        <v>1</v>
      </c>
      <c r="SQ4" t="b">
        <f>IF($CB$4="",FALSE,SUMPRODUCT(('Final Calculation Sheet'!$N$4:$N$40=$CB$4)*($SP$4:$SP$40=1))&gt;0)</f>
        <v>1</v>
      </c>
      <c r="SR4">
        <f>--($SQ$4)</f>
        <v>1</v>
      </c>
      <c r="SS4">
        <f t="shared" ref="SS4:SS40" si="156">IF(ROW()-3&gt;MAX($SR$4:$SR$40),"",INDEX($CB$4:$CB$40,MATCH(ROW()-3,$SR$4:$SR$40,0)))</f>
        <v>6.93</v>
      </c>
      <c r="ST4">
        <f>IF(COUNTIF('Final Calculation Sheet'!$AL4:$AY4,0)+COUNTIF('Final Calculation Sheet'!$BA4:$BS4,0)&gt;0,0,1)</f>
        <v>1</v>
      </c>
      <c r="SU4" t="b">
        <f>IF($CG$4="",FALSE,SUMPRODUCT(('Final Calculation Sheet'!$O$4:$O$40=$CG$4)*($ST$4:$ST$40=1))&gt;0)</f>
        <v>1</v>
      </c>
      <c r="SV4">
        <f>--($SU$4)</f>
        <v>1</v>
      </c>
      <c r="SW4">
        <f t="shared" ref="SW4:SW40" si="157">IF(ROW()-3&gt;MAX($SV$4:$SV$40),"",INDEX($CG$4:$CG$40,MATCH(ROW()-3,$SV$4:$SV$40,0)))</f>
        <v>401.94</v>
      </c>
      <c r="SX4">
        <f>IF(COUNTIF('Final Calculation Sheet'!$AL4:$AZ4,0)+COUNTIF('Final Calculation Sheet'!$BB4:$BS4,0)&gt;0,0,1)</f>
        <v>1</v>
      </c>
      <c r="SY4" t="b">
        <f>IF($CL$4="",FALSE,SUMPRODUCT(('Final Calculation Sheet'!$P$4:$P$40=$CL$4)*($SX$4:$SX$40=1))&gt;0)</f>
        <v>1</v>
      </c>
      <c r="SZ4">
        <f>--($SY$4)</f>
        <v>1</v>
      </c>
      <c r="TA4">
        <f t="shared" ref="TA4:TA40" si="158">IF(ROW()-3&gt;MAX($SZ$4:$SZ$40),"",INDEX($CL$4:$CL$40,MATCH(ROW()-3,$SZ$4:$SZ$40,0)))</f>
        <v>417</v>
      </c>
      <c r="TB4">
        <f>IF(COUNTIF('Final Calculation Sheet'!$AL4:$BA4,0)+COUNTIF('Final Calculation Sheet'!$BC4:$BS4,0)&gt;0,0,1)</f>
        <v>1</v>
      </c>
      <c r="TC4" t="b">
        <f>IF($CQ$4="",FALSE,SUMPRODUCT(('Final Calculation Sheet'!$Q$4:$Q$40=$CQ$4)*($TB$4:$TB$40=1))&gt;0)</f>
        <v>1</v>
      </c>
      <c r="TD4">
        <f>--($TC$4)</f>
        <v>1</v>
      </c>
      <c r="TE4">
        <f t="shared" ref="TE4:TE40" si="159">IF(ROW()-3&gt;MAX($TD$4:$TD$40),"",INDEX($CQ$4:$CQ$40,MATCH(ROW()-3,$TD$4:$TD$40,0)))</f>
        <v>0</v>
      </c>
      <c r="TF4">
        <f>IF(COUNTIF('Final Calculation Sheet'!$AL4:$BB4,0)+COUNTIF('Final Calculation Sheet'!$BD4:$BS4,0)&gt;0,0,1)</f>
        <v>1</v>
      </c>
      <c r="TG4" t="b">
        <f>IF($CV$4="",FALSE,SUMPRODUCT(('Final Calculation Sheet'!$R$4:$R$40=$CV$4)*($TF$4:$TF$40=1))&gt;0)</f>
        <v>1</v>
      </c>
      <c r="TH4">
        <f>--($TG$4)</f>
        <v>1</v>
      </c>
      <c r="TI4">
        <f t="shared" ref="TI4:TI40" si="160">IF(ROW()-3&gt;MAX($TH$4:$TH$40),"",INDEX($CV$4:$CV$40,MATCH(ROW()-3,$TH$4:$TH$40,0)))</f>
        <v>0</v>
      </c>
      <c r="TJ4">
        <f>IF(COUNTIF('Final Calculation Sheet'!$AL4:$BC4,0)+COUNTIF('Final Calculation Sheet'!$BE4:$BS4,0)&gt;0,0,1)</f>
        <v>1</v>
      </c>
      <c r="TK4" t="b">
        <f>IF($DA$4="",FALSE,SUMPRODUCT(('Final Calculation Sheet'!$S$4:$S$40=$DA$4)*($TJ$4:$TJ$40=1))&gt;0)</f>
        <v>1</v>
      </c>
      <c r="TL4">
        <f>--($TK$4)</f>
        <v>1</v>
      </c>
      <c r="TM4">
        <f t="shared" ref="TM4:TM40" si="161">IF(ROW()-3&gt;MAX($TL$4:$TL$40),"",INDEX($DA$4:$DA$40,MATCH(ROW()-3,$TL$4:$TL$40,0)))</f>
        <v>18118</v>
      </c>
      <c r="TN4">
        <f>IF(COUNTIF('Final Calculation Sheet'!$AL4:$BD4,0)+COUNTIF('Final Calculation Sheet'!$BF4:$BS4,0)&gt;0,0,1)</f>
        <v>1</v>
      </c>
      <c r="TO4" t="b">
        <f>IF($DF$4="",FALSE,SUMPRODUCT(('Final Calculation Sheet'!$T$4:$T$40=$DF$4)*($TN$4:$TN$40=1))&gt;0)</f>
        <v>1</v>
      </c>
      <c r="TP4">
        <f>--($TO$4)</f>
        <v>1</v>
      </c>
      <c r="TQ4">
        <f t="shared" ref="TQ4:TQ40" si="162">IF(ROW()-3&gt;MAX($TP$4:$TP$40),"",INDEX($DF$4:$DF$40,MATCH(ROW()-3,$TP$4:$TP$40,0)))</f>
        <v>3850</v>
      </c>
      <c r="TR4">
        <f>IF(COUNTIF('Final Calculation Sheet'!$AL4:$BE4,0)+COUNTIF('Final Calculation Sheet'!$BG4:$BS4,0)&gt;0,0,1)</f>
        <v>1</v>
      </c>
      <c r="TS4" t="b">
        <f>IF($DK$4="",FALSE,SUMPRODUCT(('Final Calculation Sheet'!$U$4:$U$40=$DK$4)*($TR$4:$TR$40=1))&gt;0)</f>
        <v>1</v>
      </c>
      <c r="TT4">
        <f>--($TS$4)</f>
        <v>1</v>
      </c>
      <c r="TU4">
        <f t="shared" ref="TU4:TU40" si="163">IF(ROW()-3&gt;MAX($TT$4:$TT$40),"",INDEX($DK$4:$DK$40,MATCH(ROW()-3,$TT$4:$TT$40,0)))</f>
        <v>3850</v>
      </c>
      <c r="TV4">
        <f>IF(COUNTIF('Final Calculation Sheet'!$AL4:$BF4,0)+COUNTIF('Final Calculation Sheet'!$BH4:$BS4,0)&gt;0,0,1)</f>
        <v>1</v>
      </c>
      <c r="TW4" t="b">
        <f>IF($DP$4="",FALSE,SUMPRODUCT(('Final Calculation Sheet'!$V$4:$V$40=$DP$4)*($TV$4:$TV$40=1))&gt;0)</f>
        <v>1</v>
      </c>
      <c r="TX4">
        <f>--($TW$4)</f>
        <v>1</v>
      </c>
      <c r="TY4" t="str">
        <f t="shared" ref="TY4:TY40" si="164">IF(ROW()-3&gt;MAX($TX$4:$TX$40),"",INDEX($DP$4:$DP$40,MATCH(ROW()-3,$TX$4:$TX$40,0)))</f>
        <v>10.08.2026</v>
      </c>
      <c r="TZ4">
        <f>IF(COUNTIF('Final Calculation Sheet'!$AL4:$BG4,0)+COUNTIF('Final Calculation Sheet'!$BI4:$BS4,0)&gt;0,0,1)</f>
        <v>1</v>
      </c>
      <c r="UA4" t="b">
        <f>IF($DU$4="",FALSE,SUMPRODUCT(('Final Calculation Sheet'!$W$4:$W$40=$DU$4)*($TZ$4:$TZ$40=1))&gt;0)</f>
        <v>1</v>
      </c>
      <c r="UB4">
        <f>--($UA$4)</f>
        <v>1</v>
      </c>
      <c r="UC4">
        <f t="shared" ref="UC4:UC40" si="165">IF(ROW()-3&gt;MAX($UB$4:$UB$40),"",INDEX($DU$4:$DU$40,MATCH(ROW()-3,$UB$4:$UB$40,0)))</f>
        <v>14268</v>
      </c>
      <c r="UD4">
        <f>IF(COUNTIF('Final Calculation Sheet'!$AL4:$BH4,0)+COUNTIF('Final Calculation Sheet'!$BJ4:$BS4,0)&gt;0,0,1)</f>
        <v>1</v>
      </c>
      <c r="UE4" t="e">
        <f>IF($DZ$4="",FALSE,SUMPRODUCT(('Final Calculation Sheet'!$X$4:$X$40=$DZ$4)*($UD$4:$UD$40=1))&gt;0)</f>
        <v>#N/A</v>
      </c>
      <c r="UF4" t="e">
        <f>--($UE$4)</f>
        <v>#N/A</v>
      </c>
      <c r="UG4" t="e">
        <f t="shared" ref="UG4:UG40" si="166">IF(ROW()-3&gt;MAX($UF$4:$UF$40),"",INDEX($DZ$4:$DZ$40,MATCH(ROW()-3,$UF$4:$UF$40,0)))</f>
        <v>#N/A</v>
      </c>
      <c r="UH4">
        <f>IF(COUNTIF('Final Calculation Sheet'!$AL4:$BI4,0)+COUNTIF('Final Calculation Sheet'!$BK4:$BS4,0)&gt;0,0,1)</f>
        <v>1</v>
      </c>
      <c r="UI4" t="e">
        <f>IF($EE$4="",FALSE,SUMPRODUCT(('Final Calculation Sheet'!$Y$4:$Y$40=$EE$4)*($UH$4:$UH$40=1))&gt;0)</f>
        <v>#N/A</v>
      </c>
      <c r="UJ4" t="e">
        <f>--($UI$4)</f>
        <v>#N/A</v>
      </c>
      <c r="UK4" t="e">
        <f t="shared" ref="UK4:UK40" si="167">IF(ROW()-3&gt;MAX($UJ$4:$UJ$40),"",INDEX($EE$4:$EE$40,MATCH(ROW()-3,$UJ$4:$UJ$40,0)))</f>
        <v>#N/A</v>
      </c>
      <c r="UL4">
        <f>IF(COUNTIF('Final Calculation Sheet'!$AL4:$BJ4,0)+COUNTIF('Final Calculation Sheet'!$BL4:$BS4,0)&gt;0,0,1)</f>
        <v>1</v>
      </c>
      <c r="UM4" t="b">
        <f ca="1">IF($EJ$4="",FALSE,SUMPRODUCT(('Final Calculation Sheet'!$Z$4:$Z$40=$EJ$4)*($UL$4:$UL$40=1))&gt;0)</f>
        <v>1</v>
      </c>
      <c r="UN4">
        <f ca="1">--($UM$4)</f>
        <v>1</v>
      </c>
      <c r="UO4">
        <f t="shared" ref="UO4:UO40" ca="1" si="168">IF(ROW()-3&gt;MAX($UN$4:$UN$40),"",INDEX($EJ$4:$EJ$40,MATCH(ROW()-3,$UN$4:$UN$40,0)))</f>
        <v>545.16</v>
      </c>
      <c r="UP4">
        <f>IF(COUNTIF('Final Calculation Sheet'!$AL4:$BK4,0)+COUNTIF('Final Calculation Sheet'!$BM4:$BS4,0)&gt;0,0,1)</f>
        <v>1</v>
      </c>
      <c r="UQ4" t="e">
        <f>IF($EO$4="",FALSE,SUMPRODUCT(('Final Calculation Sheet'!$AA$4:$AA$40=$EO$4)*($UP$4:$UP$40=1))&gt;0)</f>
        <v>#N/A</v>
      </c>
      <c r="UR4" t="e">
        <f>--($UQ$4)</f>
        <v>#N/A</v>
      </c>
      <c r="US4" t="e">
        <f t="shared" ref="US4:US40" si="169">IF(ROW()-3&gt;MAX($UR$4:$UR$40),"",INDEX($EO$4:$EO$40,MATCH(ROW()-3,$UR$4:$UR$40,0)))</f>
        <v>#N/A</v>
      </c>
      <c r="UT4">
        <f>IF(COUNTIF('Final Calculation Sheet'!$AL4:$BL4,0)+COUNTIF('Final Calculation Sheet'!$BN4:$BS4,0)&gt;0,0,1)</f>
        <v>1</v>
      </c>
      <c r="UU4" t="e">
        <f>IF($ET$4="",FALSE,SUMPRODUCT(('Final Calculation Sheet'!$AB$4:$AB$40=$ET$4)*($UT$4:$UT$40=1))&gt;0)</f>
        <v>#N/A</v>
      </c>
      <c r="UV4" t="e">
        <f>--($UU$4)</f>
        <v>#N/A</v>
      </c>
      <c r="UW4" t="e">
        <f t="shared" ref="UW4:UW40" si="170">IF(ROW()-3&gt;MAX($UV$4:$UV$40),"",INDEX($ET$4:$ET$40,MATCH(ROW()-3,$UV$4:$UV$40,0)))</f>
        <v>#N/A</v>
      </c>
      <c r="UX4">
        <f>IF(COUNTIF('Final Calculation Sheet'!$AL4:$BM4,0)+COUNTIF('Final Calculation Sheet'!$BO4:$BS4,0)&gt;0,0,1)</f>
        <v>1</v>
      </c>
      <c r="UY4" t="b">
        <f>IF($EY$4="",FALSE,SUMPRODUCT(('Final Calculation Sheet'!$AC$4:$AC$40=$EY$4)*($UX$4:$UX$40=1))&gt;0)</f>
        <v>1</v>
      </c>
      <c r="UZ4">
        <f>--($UY$4)</f>
        <v>1</v>
      </c>
      <c r="VA4">
        <f t="shared" ref="VA4:VA40" si="171">IF(ROW()-3&gt;MAX($UZ$4:$UZ$40),"",INDEX($EY$4:$EY$40,MATCH(ROW()-3,$UZ$4:$UZ$40,0)))</f>
        <v>13500</v>
      </c>
      <c r="VB4">
        <f>IF(COUNTIF('Final Calculation Sheet'!$AL4:$BN4,0)+COUNTIF('Final Calculation Sheet'!$BP4:$BS4,0)&gt;0,0,1)</f>
        <v>1</v>
      </c>
      <c r="VC4" t="b">
        <f>IF($FD$4="",FALSE,SUMPRODUCT(('Final Calculation Sheet'!$AD$4:$AD$40=$FD$4)*($VB$4:$VB$40=1))&gt;0)</f>
        <v>1</v>
      </c>
      <c r="VD4">
        <f>--($VC$4)</f>
        <v>1</v>
      </c>
      <c r="VE4">
        <f t="shared" ref="VE4:VE40" si="172">IF(ROW()-3&gt;MAX($VD$4:$VD$40),"",INDEX($FD$4:$FD$40,MATCH(ROW()-3,$VD$4:$VD$40,0)))</f>
        <v>-2832</v>
      </c>
      <c r="VF4">
        <f>IF(COUNTIF('Final Calculation Sheet'!$AL4:$BO4,0)+COUNTIF('Final Calculation Sheet'!$BQ4:$BS4,0)&gt;0,0,1)</f>
        <v>1</v>
      </c>
      <c r="VG4" t="e">
        <f>IF($FI$4="",FALSE,SUMPRODUCT(('Final Calculation Sheet'!$AE$4:$AE$40=$FI$4)*($VF$4:$VF$40=1))&gt;0)</f>
        <v>#N/A</v>
      </c>
      <c r="VH4" t="e">
        <f>--($VG$4)</f>
        <v>#N/A</v>
      </c>
      <c r="VI4" t="e">
        <f t="shared" ref="VI4:VI40" si="173">IF(ROW()-3&gt;MAX($VH$4:$VH$40),"",INDEX($FI$4:$FI$40,MATCH(ROW()-3,$VH$4:$VH$40,0)))</f>
        <v>#N/A</v>
      </c>
      <c r="VJ4">
        <f>IF(COUNTIF('Final Calculation Sheet'!$AL4:$BP4,0)+COUNTIF('Final Calculation Sheet'!$BR4:$BS4,0)&gt;0,0,1)</f>
        <v>1</v>
      </c>
      <c r="VK4" t="e">
        <f>IF($FN$4="",FALSE,SUMPRODUCT(('Final Calculation Sheet'!$AF$4:$AF$40=$FN$4)*($VJ$4:$VJ$40=1))&gt;0)</f>
        <v>#N/A</v>
      </c>
      <c r="VL4" t="e">
        <f>--($VK$4)</f>
        <v>#N/A</v>
      </c>
      <c r="VM4" t="e">
        <f t="shared" ref="VM4:VM40" si="174">IF(ROW()-3&gt;MAX($VL$4:$VL$40),"",INDEX($FN$4:$FN$40,MATCH(ROW()-3,$VL$4:$VL$40,0)))</f>
        <v>#N/A</v>
      </c>
      <c r="VN4">
        <f>IF(COUNTIF('Final Calculation Sheet'!$AL4:$BQ4,0)+COUNTIF('Final Calculation Sheet'!$BS4:$BS4,0)&gt;0,0,1)</f>
        <v>1</v>
      </c>
      <c r="VO4" t="e">
        <f>IF($FS$4="",FALSE,SUMPRODUCT(('Final Calculation Sheet'!$AG$4:$AG$40=$FS$4)*($VN$4:$VN$40=1))&gt;0)</f>
        <v>#N/A</v>
      </c>
      <c r="VP4" t="e">
        <f>--($VO$4)</f>
        <v>#N/A</v>
      </c>
      <c r="VQ4" t="e">
        <f t="shared" ref="VQ4:VQ40" si="175">IF(ROW()-3&gt;MAX($VP$4:$VP$40),"",INDEX($FS$4:$FS$40,MATCH(ROW()-3,$VP$4:$VP$40,0)))</f>
        <v>#N/A</v>
      </c>
      <c r="VR4">
        <f>IF(COUNTIF('Final Calculation Sheet'!$AL4:$BR4,0)&gt;0,0,1)</f>
        <v>1</v>
      </c>
      <c r="VS4" t="e">
        <f>IF($QO$4="",FALSE,SUMPRODUCT(('Final Calculation Sheet'!$AH$4:$AH$40=$QO$4)*($VR$4:$VR$40=1))&gt;0)</f>
        <v>#N/A</v>
      </c>
      <c r="VT4" t="e">
        <f>--($VS$4)</f>
        <v>#N/A</v>
      </c>
      <c r="VU4" t="e">
        <f t="shared" ref="VU4:VU40" si="176">IF(ROW()-3&gt;MAX($VT$4:$VT$40),"",INDEX($QO$4:$QO$40,MATCH(ROW()-3,$VT$4:$VT$40,0)))</f>
        <v>#N/A</v>
      </c>
    </row>
    <row r="5" spans="1:593" x14ac:dyDescent="0.3">
      <c r="A5">
        <f>IF('Final Calculation Sheet'!$F$5="","",'Final Calculation Sheet'!$F$5)</f>
        <v>1874</v>
      </c>
      <c r="B5">
        <f>IF(A5="","",COUNTIFS(A$4:A$114,"&lt;"&amp;A5,A$4:A$114,"&lt;&gt;"&amp;"")+COUNTIF(A$4:A5,A5))</f>
        <v>2</v>
      </c>
      <c r="C5">
        <f t="shared" si="0"/>
        <v>1874</v>
      </c>
      <c r="D5">
        <f>D4+IF(AND(C5&lt;&gt;"",COUNTIF(C$4:C5,C5)=1),1,0)</f>
        <v>2</v>
      </c>
      <c r="E5" t="e">
        <f t="shared" si="1"/>
        <v>#N/A</v>
      </c>
      <c r="F5">
        <f t="shared" si="2"/>
        <v>2</v>
      </c>
      <c r="G5">
        <f>IF(F5="","",COUNTIFS(F$4:F$40,"&lt;"&amp;F5,F$4:F$40,"&lt;&gt;"&amp;"")+COUNTIF(F$4:F5,F5))</f>
        <v>2</v>
      </c>
      <c r="H5">
        <f t="shared" si="3"/>
        <v>2</v>
      </c>
      <c r="I5">
        <f>I4+IF(AND(H5&lt;&gt;"",COUNTIF(H$4:H5,H5)=1),1,0)</f>
        <v>2</v>
      </c>
      <c r="J5">
        <f t="shared" si="4"/>
        <v>2</v>
      </c>
      <c r="K5">
        <f>IF('Final Calculation Sheet'!$F$5="","",'Final Calculation Sheet'!$F$5)</f>
        <v>1874</v>
      </c>
      <c r="L5">
        <f>IF(K5="","",COUNTIFS(K$4:K$40,"&lt;"&amp;K5,K$4:K$40,"&lt;&gt;"&amp;"")+COUNTIF(K$4:K5,K5))</f>
        <v>2</v>
      </c>
      <c r="M5">
        <f t="shared" si="5"/>
        <v>1874</v>
      </c>
      <c r="N5">
        <f>N4+IF(AND(M5&lt;&gt;"",COUNTIF(M$4:M5,M5)=1),1,0)</f>
        <v>2</v>
      </c>
      <c r="O5">
        <f t="shared" si="6"/>
        <v>1874</v>
      </c>
      <c r="P5" t="str">
        <f>IF('Final Calculation Sheet'!$G$5="","",'Final Calculation Sheet'!$G$5)</f>
        <v>NATIONAL ENTERPRISES</v>
      </c>
      <c r="Q5">
        <f>IF(P5="","",COUNTIFS(P$4:P$40,"&lt;"&amp;P5,P$4:P$40,"&lt;&gt;"&amp;"")+COUNTIF(P$4:P5,P5))</f>
        <v>7</v>
      </c>
      <c r="R5" t="str">
        <f t="shared" si="7"/>
        <v>F R KHANS ENTERPRISES</v>
      </c>
      <c r="S5">
        <f>S4+IF(AND(R5&lt;&gt;"",COUNTIF(R$4:R5,R5)=1),1,0)</f>
        <v>2</v>
      </c>
      <c r="T5" t="str">
        <f t="shared" si="8"/>
        <v>F R KHANS ENTERPRISES</v>
      </c>
      <c r="U5" t="str">
        <f>IF('Final Calculation Sheet'!$B$5="","",'Final Calculation Sheet'!$B$5)</f>
        <v>Scrap of Empty oil drum</v>
      </c>
      <c r="V5">
        <f>IF(U5="","",COUNTIFS(U$4:U$40,"&lt;"&amp;U5,U$4:U$40,"&lt;&gt;"&amp;"")+COUNTIF(U$4:U5,U5))</f>
        <v>32</v>
      </c>
      <c r="W5" t="str">
        <f t="shared" si="9"/>
        <v>SCRAP 80MM² AAAC EARTHWIRE</v>
      </c>
      <c r="X5">
        <f>X4+IF(AND(W5&lt;&gt;"",COUNTIF(W$4:W5,W5)=1),1,0)</f>
        <v>2</v>
      </c>
      <c r="Y5" t="str">
        <f t="shared" si="10"/>
        <v>SCRAP 80MM² AAAC EARTHWIRE</v>
      </c>
      <c r="Z5">
        <f>IF('Final Calculation Sheet'!$D$5="","",'Final Calculation Sheet'!$D$5)</f>
        <v>21977</v>
      </c>
      <c r="AA5">
        <f>IF(Z5="","",COUNTIFS(Z$4:Z$40,"&lt;"&amp;Z5,Z$4:Z$40,"&lt;&gt;"&amp;"")+COUNTIF(Z$4:Z5,Z5))</f>
        <v>1</v>
      </c>
      <c r="AB5">
        <f t="shared" si="11"/>
        <v>21977</v>
      </c>
      <c r="AC5">
        <f>AC4+IF(AND(AB5&lt;&gt;"",COUNTIF(AB$4:AB5,AB5)=1),1,0)</f>
        <v>1</v>
      </c>
      <c r="AD5">
        <f t="shared" si="12"/>
        <v>21978</v>
      </c>
      <c r="AE5">
        <f>IF('Final Calculation Sheet'!$A$5="","",'Final Calculation Sheet'!$A$5)</f>
        <v>270</v>
      </c>
      <c r="AF5">
        <f>IF(AE5="","",COUNTIFS(AE$4:AE$40,"&lt;"&amp;AE5,AE$4:AE$40,"&lt;&gt;"&amp;"")+COUNTIF(AE$4:AE5,AE5))</f>
        <v>31</v>
      </c>
      <c r="AG5">
        <f t="shared" si="13"/>
        <v>1</v>
      </c>
      <c r="AH5">
        <f>AH4+IF(AND(AG5&lt;&gt;"",COUNTIF(AG$4:AG5,AG5)=1),1,0)</f>
        <v>1</v>
      </c>
      <c r="AI5">
        <f t="shared" si="14"/>
        <v>2</v>
      </c>
      <c r="AJ5" t="str">
        <f>IF('Final Calculation Sheet'!$E$5="","",'Final Calculation Sheet'!$E$5)</f>
        <v>NO</v>
      </c>
      <c r="AK5">
        <f>IF(AJ5="","",COUNTIFS(AJ$4:AJ$40,"&lt;"&amp;AJ5,AJ$4:AJ$40,"&lt;&gt;"&amp;"")+COUNTIF(AJ$4:AJ5,AJ5))</f>
        <v>8</v>
      </c>
      <c r="AL5" t="str">
        <f t="shared" si="15"/>
        <v>KG</v>
      </c>
      <c r="AM5">
        <f>AM4+IF(AND(AL5&lt;&gt;"",COUNTIF(AL$4:AL5,AL5)=1),1,0)</f>
        <v>1</v>
      </c>
      <c r="AN5" t="str">
        <f t="shared" si="16"/>
        <v>MT</v>
      </c>
      <c r="AO5" s="50">
        <f>IF('Final Calculation Sheet'!$C$5="","",'Final Calculation Sheet'!$C$5)</f>
        <v>580</v>
      </c>
      <c r="AP5">
        <f>IF(AO5="","",COUNTIFS(AO$4:AO$40,"&lt;"&amp;AO5,AO$4:AO$40,"&lt;&gt;"&amp;"")+COUNTIF(AO$4:AO5,AO5))</f>
        <v>9</v>
      </c>
      <c r="AQ5" s="50">
        <f t="shared" si="17"/>
        <v>227</v>
      </c>
      <c r="AR5">
        <f>AR4+IF(AND(AQ5&lt;&gt;"",COUNTIF(AQ$4:AQ5,AQ5)=1),1,0)</f>
        <v>2</v>
      </c>
      <c r="AS5" s="50">
        <f t="shared" si="18"/>
        <v>227</v>
      </c>
      <c r="AT5" s="50">
        <f>IF('Final Calculation Sheet'!$H$5="","",'Final Calculation Sheet'!$H$5)</f>
        <v>156600</v>
      </c>
      <c r="AU5">
        <f>IF(AT5="","",COUNTIFS(AT$4:AT$40,"&lt;"&amp;AT5,AT$4:AT$40,"&lt;&gt;"&amp;"")+COUNTIF(AT$4:AT5,AT5))</f>
        <v>19</v>
      </c>
      <c r="AV5" s="50">
        <f t="shared" si="19"/>
        <v>17500</v>
      </c>
      <c r="AW5">
        <f>AW4+IF(AND(AV5&lt;&gt;"",COUNTIF(AV$4:AV5,AV5)=1),1,0)</f>
        <v>2</v>
      </c>
      <c r="AX5" s="50">
        <f t="shared" si="20"/>
        <v>17500</v>
      </c>
      <c r="AY5" s="50">
        <f>IF('Final Calculation Sheet'!$I$5="","",'Final Calculation Sheet'!$I$5)</f>
        <v>28188</v>
      </c>
      <c r="AZ5">
        <f>IF(AY5="","",COUNTIFS(AY$4:AY$40,"&lt;"&amp;AY5,AY$4:AY$40,"&lt;&gt;"&amp;"")+COUNTIF(AY$4:AY5,AY5))</f>
        <v>19</v>
      </c>
      <c r="BA5" s="50">
        <f t="shared" si="21"/>
        <v>3150</v>
      </c>
      <c r="BB5">
        <f>BB4+IF(AND(BA5&lt;&gt;"",COUNTIF(BA$4:BA5,BA5)=1),1,0)</f>
        <v>2</v>
      </c>
      <c r="BC5" s="50">
        <f t="shared" si="22"/>
        <v>3150</v>
      </c>
      <c r="BD5" s="50">
        <f>IF('Final Calculation Sheet'!$J$5="","",'Final Calculation Sheet'!$J$5)</f>
        <v>184788</v>
      </c>
      <c r="BE5">
        <f>IF(BD5="","",COUNTIFS(BD$4:BD$40,"&lt;"&amp;BD5,BD$4:BD$40,"&lt;&gt;"&amp;"")+COUNTIF(BD$4:BD5,BD5))</f>
        <v>19</v>
      </c>
      <c r="BF5" s="50">
        <f t="shared" si="23"/>
        <v>20650</v>
      </c>
      <c r="BG5">
        <f>BG4+IF(AND(BF5&lt;&gt;"",COUNTIF(BF$4:BF5,BF5)=1),1,0)</f>
        <v>2</v>
      </c>
      <c r="BH5" s="50">
        <f t="shared" si="24"/>
        <v>20650</v>
      </c>
      <c r="BI5" s="50">
        <f>IF('Final Calculation Sheet'!$K$5="","",'Final Calculation Sheet'!$K$5)</f>
        <v>3696</v>
      </c>
      <c r="BJ5">
        <f>IF(BI5="","",COUNTIFS(BI$4:BI$40,"&lt;"&amp;BI5,BI$4:BI$40,"&lt;&gt;"&amp;"")+COUNTIF(BI$4:BI5,BI5))</f>
        <v>19</v>
      </c>
      <c r="BK5" s="50">
        <f t="shared" si="25"/>
        <v>413</v>
      </c>
      <c r="BL5">
        <f>BL4+IF(AND(BK5&lt;&gt;"",COUNTIF(BK$4:BK5,BK5)=1),1,0)</f>
        <v>2</v>
      </c>
      <c r="BM5" s="50">
        <f t="shared" si="26"/>
        <v>413</v>
      </c>
      <c r="BN5" s="50">
        <f>IF('Final Calculation Sheet'!$L$5="","",'Final Calculation Sheet'!$L$5)</f>
        <v>156.6</v>
      </c>
      <c r="BO5">
        <f>IF(BN5="","",COUNTIFS(BN$4:BN$40,"&lt;"&amp;BN5,BN$4:BN$40,"&lt;&gt;"&amp;"")+COUNTIF(BN$4:BN5,BN5))</f>
        <v>19</v>
      </c>
      <c r="BP5" s="50">
        <f t="shared" si="27"/>
        <v>17.5</v>
      </c>
      <c r="BQ5">
        <f>BQ4+IF(AND(BP5&lt;&gt;"",COUNTIF(BP$4:BP5,BP5)=1),1,0)</f>
        <v>2</v>
      </c>
      <c r="BR5" s="50">
        <f t="shared" si="28"/>
        <v>17.5</v>
      </c>
      <c r="BS5" s="50">
        <f>IF('Final Calculation Sheet'!$M$5="","",'Final Calculation Sheet'!$M$5)</f>
        <v>4157.7299999999996</v>
      </c>
      <c r="BT5">
        <f>IF(BS5="","",COUNTIFS(BS$4:BS$40,"&lt;"&amp;BS5,BS$4:BS$40,"&lt;&gt;"&amp;"")+COUNTIF(BS$4:BS5,BS5))</f>
        <v>19</v>
      </c>
      <c r="BU5" s="50">
        <f t="shared" si="29"/>
        <v>464.625</v>
      </c>
      <c r="BV5">
        <f>BV4+IF(AND(BU5&lt;&gt;"",COUNTIF(BU$4:BU5,BU5)=1),1,0)</f>
        <v>2</v>
      </c>
      <c r="BW5" s="50">
        <f t="shared" si="30"/>
        <v>464.625</v>
      </c>
      <c r="BX5" s="126">
        <f>IF('Final Calculation Sheet'!$N$5="","",'Final Calculation Sheet'!$N$5)</f>
        <v>70.47</v>
      </c>
      <c r="BY5">
        <f>IF(BX5="","",COUNTIFS(BX$4:BX$40,"&lt;"&amp;BX5,BX$4:BX$40,"&lt;&gt;"&amp;"")+COUNTIF(BX$4:BX5,BX5))</f>
        <v>19</v>
      </c>
      <c r="BZ5" s="126">
        <f t="shared" si="31"/>
        <v>7.875</v>
      </c>
      <c r="CA5">
        <f>CA4+IF(AND(BZ5&lt;&gt;"",COUNTIF(BZ$4:BZ5,BZ5)=1),1,0)</f>
        <v>2</v>
      </c>
      <c r="CB5" s="126">
        <f t="shared" si="32"/>
        <v>7.875</v>
      </c>
      <c r="CC5" s="50">
        <f>IF('Final Calculation Sheet'!$O$5="","",'Final Calculation Sheet'!$O$5)</f>
        <v>4087.2599999999998</v>
      </c>
      <c r="CD5">
        <f>IF(CC5="","",COUNTIFS(CC$4:CC$40,"&lt;"&amp;CC5,CC$4:CC$40,"&lt;&gt;"&amp;"")+COUNTIF(CC$4:CC5,CC5))</f>
        <v>19</v>
      </c>
      <c r="CE5" s="50">
        <f t="shared" si="33"/>
        <v>456.75</v>
      </c>
      <c r="CF5">
        <f>CF4+IF(AND(CE5&lt;&gt;"",COUNTIF(CE$4:CE5,CE5)=1),1,0)</f>
        <v>2</v>
      </c>
      <c r="CG5" s="50">
        <f t="shared" si="34"/>
        <v>456.75</v>
      </c>
      <c r="CH5" s="50">
        <f>IF('Final Calculation Sheet'!$P$5="","",'Final Calculation Sheet'!$P$5)</f>
        <v>4244</v>
      </c>
      <c r="CI5">
        <f>IF(CH5="","",COUNTIFS(CH$4:CH$40,"&lt;"&amp;CH5,CH$4:CH$40,"&lt;&gt;"&amp;"")+COUNTIF(CH$4:CH5,CH5))</f>
        <v>19</v>
      </c>
      <c r="CJ5" s="50">
        <f t="shared" si="35"/>
        <v>474</v>
      </c>
      <c r="CK5">
        <f>CK4+IF(AND(CJ5&lt;&gt;"",COUNTIF(CJ$4:CJ5,CJ5)=1),1,0)</f>
        <v>2</v>
      </c>
      <c r="CL5" s="50">
        <f t="shared" si="36"/>
        <v>474</v>
      </c>
      <c r="CM5" s="127">
        <f>IF('Final Calculation Sheet'!$Q$5="","",'Final Calculation Sheet'!$Q$5)</f>
        <v>0</v>
      </c>
      <c r="CN5">
        <f>IF(CM5="","",COUNTIFS(CM$4:CM$40,"&lt;"&amp;CM5,CM$4:CM$40,"&lt;&gt;"&amp;"")+COUNTIF(CM$4:CM5,CM5))</f>
        <v>1</v>
      </c>
      <c r="CO5" s="127">
        <f t="shared" si="37"/>
        <v>0</v>
      </c>
      <c r="CP5">
        <f>CP4+IF(AND(CO5&lt;&gt;"",COUNTIF(CO$4:CO5,CO5)=1),1,0)</f>
        <v>1</v>
      </c>
      <c r="CQ5" s="127">
        <f t="shared" si="38"/>
        <v>0.02</v>
      </c>
      <c r="CR5" s="50">
        <f>IF('Final Calculation Sheet'!$R$5="","",'Final Calculation Sheet'!$R$5)</f>
        <v>0</v>
      </c>
      <c r="CS5">
        <f>IF(CR5="","",COUNTIFS(CR$4:CR$40,"&lt;"&amp;CR5,CR$4:CR$40,"&lt;&gt;"&amp;"")+COUNTIF(CR$4:CR5,CR5))</f>
        <v>1</v>
      </c>
      <c r="CT5" s="50">
        <f t="shared" si="39"/>
        <v>0</v>
      </c>
      <c r="CU5">
        <f>CU4+IF(AND(CT5&lt;&gt;"",COUNTIF(CT$4:CT5,CT5)=1),1,0)</f>
        <v>1</v>
      </c>
      <c r="CV5" s="50">
        <f t="shared" si="40"/>
        <v>10988</v>
      </c>
      <c r="CW5" s="50">
        <f>IF('Final Calculation Sheet'!$S$5="","",'Final Calculation Sheet'!$S$5)</f>
        <v>184240</v>
      </c>
      <c r="CX5">
        <f>IF(CW5="","",COUNTIFS(CW$4:CW$40,"&lt;"&amp;CW5,CW$4:CW$40,"&lt;&gt;"&amp;"")+COUNTIF(CW$4:CW5,CW5))</f>
        <v>19</v>
      </c>
      <c r="CY5" s="50">
        <f t="shared" si="41"/>
        <v>20589</v>
      </c>
      <c r="CZ5">
        <f>CZ4+IF(AND(CY5&lt;&gt;"",COUNTIF(CY$4:CY5,CY5)=1),1,0)</f>
        <v>2</v>
      </c>
      <c r="DA5" s="50">
        <f t="shared" si="42"/>
        <v>20589</v>
      </c>
      <c r="DB5" s="50">
        <f>IF('Final Calculation Sheet'!$T$5="","",'Final Calculation Sheet'!$T$5)</f>
        <v>39150</v>
      </c>
      <c r="DC5">
        <f>IF(DB5="","",COUNTIFS(DB$4:DB$40,"&lt;"&amp;DB5,DB$4:DB$40,"&lt;&gt;"&amp;"")+COUNTIF(DB$4:DB5,DB5))</f>
        <v>19</v>
      </c>
      <c r="DD5" s="50">
        <f t="shared" si="43"/>
        <v>4375</v>
      </c>
      <c r="DE5">
        <f>DE4+IF(AND(DD5&lt;&gt;"",COUNTIF(DD$4:DD5,DD5)=1),1,0)</f>
        <v>2</v>
      </c>
      <c r="DF5" s="50">
        <f t="shared" si="44"/>
        <v>4375</v>
      </c>
      <c r="DG5" s="128">
        <f>IF('Final Calculation Sheet'!$U$5="","",'Final Calculation Sheet'!$U$5)</f>
        <v>39150</v>
      </c>
      <c r="DH5">
        <f>IF(DG5="","",COUNTIFS(DG$4:DG$40,"&lt;"&amp;DG5,DG$4:DG$40,"&lt;&gt;"&amp;"")+COUNTIF(DG$4:DG5,DG5))</f>
        <v>19</v>
      </c>
      <c r="DI5" s="128">
        <f t="shared" si="45"/>
        <v>4375</v>
      </c>
      <c r="DJ5">
        <f>DJ4+IF(AND(DI5&lt;&gt;"",COUNTIF(DI$4:DI5,DI5)=1),1,0)</f>
        <v>2</v>
      </c>
      <c r="DK5" s="128">
        <f t="shared" si="46"/>
        <v>4375</v>
      </c>
      <c r="DL5" t="str">
        <f>IF('Final Calculation Sheet'!$V$5="","",'Final Calculation Sheet'!$V$5)</f>
        <v>13.08.2026</v>
      </c>
      <c r="DM5">
        <f>IF(DL5="","",COUNTIFS(DL$4:DL$40,"&lt;"&amp;DL5,DL$4:DL$40,"&lt;&gt;"&amp;"")+COUNTIF(DL$4:DL5,DL5))</f>
        <v>12</v>
      </c>
      <c r="DN5" t="str">
        <f t="shared" si="47"/>
        <v>11.08.2026</v>
      </c>
      <c r="DO5">
        <f>DO4+IF(AND(DN5&lt;&gt;"",COUNTIF(DN$4:DN5,DN5)=1),1,0)</f>
        <v>2</v>
      </c>
      <c r="DP5" t="str">
        <f t="shared" si="48"/>
        <v>11.08.2026</v>
      </c>
      <c r="DQ5" s="50">
        <f>IF('Final Calculation Sheet'!$W$5="","",'Final Calculation Sheet'!$W$5)</f>
        <v>145090</v>
      </c>
      <c r="DR5">
        <f>IF(DQ5="","",COUNTIFS(DQ$4:DQ$40,"&lt;"&amp;DQ5,DQ$4:DQ$40,"&lt;&gt;"&amp;"")+COUNTIF(DQ$4:DQ5,DQ5))</f>
        <v>19</v>
      </c>
      <c r="DS5" s="50">
        <f t="shared" si="49"/>
        <v>16214</v>
      </c>
      <c r="DT5">
        <f>DT4+IF(AND(DS5&lt;&gt;"",COUNTIF(DS$4:DS5,DS5)=1),1,0)</f>
        <v>2</v>
      </c>
      <c r="DU5" s="50">
        <f t="shared" si="50"/>
        <v>16214</v>
      </c>
      <c r="DV5" s="50">
        <f>IF('Final Calculation Sheet'!$X$5="","",'Final Calculation Sheet'!$X$5)</f>
        <v>145090</v>
      </c>
      <c r="DW5">
        <f>IF(DV5="","",COUNTIFS(DV$4:DV$40,"&lt;"&amp;DV5,DV$4:DV$40,"&lt;&gt;"&amp;"")+COUNTIF(DV$4:DV5,DV5))</f>
        <v>18</v>
      </c>
      <c r="DX5" s="50">
        <f t="shared" si="51"/>
        <v>16214</v>
      </c>
      <c r="DY5">
        <f>DY4+IF(AND(DX5&lt;&gt;"",COUNTIF(DX$4:DX5,DX5)=1),1,0)</f>
        <v>2</v>
      </c>
      <c r="DZ5" t="e">
        <f t="shared" si="52"/>
        <v>#N/A</v>
      </c>
      <c r="EA5" t="str">
        <f>IF('Final Calculation Sheet'!$Y$5="","",'Final Calculation Sheet'!$Y$5)</f>
        <v>24.08.2026</v>
      </c>
      <c r="EB5">
        <f>IF(EA5="","",COUNTIFS(EA$4:EA$40,"&lt;"&amp;EA5,EA$4:EA$40,"&lt;&gt;"&amp;"")+COUNTIF(EA$4:EA5,EA5))</f>
        <v>21</v>
      </c>
      <c r="EC5" s="50">
        <f t="shared" si="53"/>
        <v>0</v>
      </c>
      <c r="ED5">
        <f>ED4+IF(AND(EC5&lt;&gt;"",COUNTIF(EC$4:EC5,EC5)=1),1,0)</f>
        <v>1</v>
      </c>
      <c r="EE5" t="e">
        <f t="shared" si="54"/>
        <v>#N/A</v>
      </c>
      <c r="EF5" s="50">
        <f ca="1">IF('Final Calculation Sheet'!$Z$5="","",'Final Calculation Sheet'!$Z$5)</f>
        <v>5543.6399999999994</v>
      </c>
      <c r="EG5">
        <f ca="1">IF(EF5="","",COUNTIFS(EF$4:EF$40,"&lt;"&amp;EF5,EF$4:EF$40,"&lt;&gt;"&amp;"")+COUNTIF(EF$4:EF5,EF5))</f>
        <v>19</v>
      </c>
      <c r="EH5" s="50">
        <f t="shared" ca="1" si="55"/>
        <v>619.5</v>
      </c>
      <c r="EI5">
        <f ca="1">EI4+IF(AND(EH5&lt;&gt;"",COUNTIF(EH$4:EH5,EH5)=1),1,0)</f>
        <v>2</v>
      </c>
      <c r="EJ5" s="50">
        <f t="shared" ca="1" si="56"/>
        <v>619.5</v>
      </c>
      <c r="EK5" t="str">
        <f>IF('Final Calculation Sheet'!$AA$5="","",'Final Calculation Sheet'!$AA$5)</f>
        <v/>
      </c>
      <c r="EL5" t="str">
        <f>IF(EK5="","",COUNTIFS(EK$4:EK$40,"&lt;"&amp;EK5,EK$4:EK$40,"&lt;&gt;"&amp;"")+COUNTIF(EK$4:EK5,EK5))</f>
        <v/>
      </c>
      <c r="EM5" s="50">
        <f t="shared" si="57"/>
        <v>2832</v>
      </c>
      <c r="EN5">
        <f>EN4+IF(AND(EM5&lt;&gt;"",COUNTIF(EM$4:EM5,EM5)=1),1,0)</f>
        <v>2</v>
      </c>
      <c r="EO5" t="e">
        <f t="shared" si="58"/>
        <v>#N/A</v>
      </c>
      <c r="EP5" t="str">
        <f>IF('Final Calculation Sheet'!$AB$5="","",'Final Calculation Sheet'!$AB$5)</f>
        <v/>
      </c>
      <c r="EQ5" t="str">
        <f>IF(EP5="","",COUNTIFS(EP$4:EP$40,"&lt;"&amp;EP5,EP$4:EP$40,"&lt;&gt;"&amp;"")+COUNTIF(EP$4:EP5,EP5))</f>
        <v/>
      </c>
      <c r="ER5" t="e">
        <f t="shared" si="59"/>
        <v>#N/A</v>
      </c>
      <c r="ES5" t="e">
        <f>ES4+IF(AND(ER5&lt;&gt;"",COUNTIF(ER$4:ER5,ER5)=1),1,0)</f>
        <v>#N/A</v>
      </c>
      <c r="ET5" t="e">
        <f t="shared" si="60"/>
        <v>#N/A</v>
      </c>
      <c r="EU5" s="50">
        <f>IF('Final Calculation Sheet'!$AC$5="","",'Final Calculation Sheet'!$AC$5)</f>
        <v>184240</v>
      </c>
      <c r="EV5">
        <f>IF(EU5="","",COUNTIFS(EU$4:EU$40,"&lt;"&amp;EU5,EU$4:EU$40,"&lt;&gt;"&amp;"")+COUNTIF(EU$4:EU5,EU5))</f>
        <v>21</v>
      </c>
      <c r="EW5" s="50">
        <f t="shared" si="61"/>
        <v>18117</v>
      </c>
      <c r="EX5">
        <f>EX4+IF(AND(EW5&lt;&gt;"",COUNTIF(EW$4:EW5,EW5)=1),1,0)</f>
        <v>2</v>
      </c>
      <c r="EY5" s="50">
        <f t="shared" si="62"/>
        <v>18117</v>
      </c>
      <c r="EZ5" s="50">
        <f>IF('Final Calculation Sheet'!$AD$5="","",'Final Calculation Sheet'!$AD$5)</f>
        <v>0</v>
      </c>
      <c r="FA5">
        <f>IF(EZ5="","",COUNTIFS(EZ$4:EZ$40,"&lt;"&amp;EZ5,EZ$4:EZ$40,"&lt;&gt;"&amp;"")+COUNTIF(EZ$4:EZ5,EZ5))</f>
        <v>9</v>
      </c>
      <c r="FB5" s="50">
        <f t="shared" si="63"/>
        <v>-708</v>
      </c>
      <c r="FC5">
        <f>FC4+IF(AND(FB5&lt;&gt;"",COUNTIF(FB$4:FB5,FB5)=1),1,0)</f>
        <v>2</v>
      </c>
      <c r="FD5" s="50">
        <f t="shared" si="64"/>
        <v>-708</v>
      </c>
      <c r="FE5" t="str">
        <f>IF('Final Calculation Sheet'!$AF$5="","",'Final Calculation Sheet'!$AF$5)</f>
        <v>DR2640100030</v>
      </c>
      <c r="FF5">
        <f>IF(FE5="","",COUNTIFS(FE$4:FE$40,"&lt;"&amp;FE5,FE$4:FE$40,"&lt;&gt;"&amp;"")+COUNTIF(FE$4:FE5,FE5))</f>
        <v>19</v>
      </c>
      <c r="FG5" t="e">
        <f t="shared" si="65"/>
        <v>#N/A</v>
      </c>
      <c r="FH5" t="e">
        <f>FH4+IF(AND(FG5&lt;&gt;"",COUNTIF(FG$4:FG5,FG5)=1),1,0)</f>
        <v>#N/A</v>
      </c>
      <c r="FI5" t="e">
        <f t="shared" si="66"/>
        <v>#N/A</v>
      </c>
      <c r="FJ5" s="129">
        <f>IF('Final Calculation Sheet'!$AG$5="","",'Final Calculation Sheet'!$AG$5)</f>
        <v>1800003302</v>
      </c>
      <c r="FK5">
        <f>IF(FJ5="","",COUNTIFS(FJ$4:FJ$40,"&lt;"&amp;FJ5,FJ$4:FJ$40,"&lt;&gt;"&amp;"")+COUNTIF(FJ$4:FJ5,FJ5))</f>
        <v>14</v>
      </c>
      <c r="FL5" s="129">
        <f t="shared" si="67"/>
        <v>1800003156</v>
      </c>
      <c r="FM5">
        <f>FM4+IF(AND(FL5&lt;&gt;"",COUNTIF(FL$4:FL5,FL5)=1),1,0)</f>
        <v>2</v>
      </c>
      <c r="FN5" t="e">
        <f t="shared" si="68"/>
        <v>#N/A</v>
      </c>
      <c r="FO5" t="str">
        <f>IF('Final Calculation Sheet'!$AH$5="","",'Final Calculation Sheet'!$AH$5)</f>
        <v>27.08.2026</v>
      </c>
      <c r="FP5">
        <f>IF(FO5="","",COUNTIFS(FO$4:FO$40,"&lt;"&amp;FO5,FO$4:FO$40,"&lt;&gt;"&amp;"")+COUNTIF(FO$4:FO5,FO5))</f>
        <v>19</v>
      </c>
      <c r="FQ5" t="e">
        <f t="shared" si="69"/>
        <v>#N/A</v>
      </c>
      <c r="FR5" t="e">
        <f>FR4+IF(AND(FQ5&lt;&gt;"",COUNTIF(FQ$4:FQ5,FQ5)=1),1,0)</f>
        <v>#N/A</v>
      </c>
      <c r="FS5" t="e">
        <f t="shared" si="70"/>
        <v>#N/A</v>
      </c>
      <c r="FT5" t="s">
        <v>642</v>
      </c>
      <c r="FU5">
        <f>IF(FT5="","",COUNTIFS(FT$4:FT$40,"&lt;"&amp;FT5,FT$4:FT$40,"&lt;&gt;"&amp;"")+COUNTIF(FT$4:FT5,FT5))</f>
        <v>1</v>
      </c>
      <c r="FV5" t="str">
        <f t="shared" si="71"/>
        <v>SETTLED</v>
      </c>
      <c r="FW5">
        <f>FW4+IF(AND(FV5&lt;&gt;"",COUNTIF(FV$4:FV5,FV5)=1),1,0)</f>
        <v>2</v>
      </c>
      <c r="FX5" t="str">
        <f t="shared" si="72"/>
        <v>SETTLED</v>
      </c>
      <c r="FZ5" t="b">
        <f>IF($Y$5="",FALSE,SUMPRODUCT(('Final Calculation Sheet'!$B$4:$B$40=$Y$5)*($FY$6:$FY$42=1))&gt;0)</f>
        <v>1</v>
      </c>
      <c r="GA5">
        <f>$GA$4+--($FZ$5)</f>
        <v>2</v>
      </c>
      <c r="GB5" t="str">
        <f t="shared" si="73"/>
        <v>SCRAP 80MM² AAAC EARTHWIRE</v>
      </c>
      <c r="GD5" t="b">
        <f>IF($O$5="",FALSE,SUMPRODUCT(('Final Calculation Sheet'!$F$4:$F$40=$O$5)*($GC$6:$GC$42=1))&gt;0)</f>
        <v>1</v>
      </c>
      <c r="GE5">
        <f>$GE$4+--($GD5)</f>
        <v>2</v>
      </c>
      <c r="GF5">
        <f t="shared" si="74"/>
        <v>1874</v>
      </c>
      <c r="GH5" t="b">
        <f>IF($T$5="",FALSE,SUMPRODUCT(('Final Calculation Sheet'!$G$4:$G$40=$T$5)*($GG$6:$GG$42=1))&gt;0)</f>
        <v>1</v>
      </c>
      <c r="GI5">
        <f>$GI$4+--($GH5)</f>
        <v>2</v>
      </c>
      <c r="GJ5" t="str">
        <f t="shared" si="75"/>
        <v>F R KHANS ENTERPRISES</v>
      </c>
      <c r="GL5" t="b">
        <f>IF($AD$5="",FALSE,SUMPRODUCT(('Final Calculation Sheet'!$D$4:$D$40=$AD$5)*($GK$6:$GK$42=1))&gt;0)</f>
        <v>1</v>
      </c>
      <c r="GM5">
        <f>$GM$4+--($GL5)</f>
        <v>2</v>
      </c>
      <c r="GN5">
        <f t="shared" si="76"/>
        <v>21978</v>
      </c>
      <c r="GP5" t="b">
        <f>IF($AI$5="",FALSE,SUMPRODUCT(('Final Calculation Sheet'!$A$4:$A$40=$AI$5)*($GO$6:$GO$42=1))&gt;0)</f>
        <v>1</v>
      </c>
      <c r="GQ5">
        <f>$GQ$4+--($GP5)</f>
        <v>2</v>
      </c>
      <c r="GR5">
        <f t="shared" si="77"/>
        <v>2</v>
      </c>
      <c r="GT5" t="b">
        <f>IF($AN$5="",FALSE,SUMPRODUCT(('Final Calculation Sheet'!$E$4:$E$40=$AN$5)*($GS$6:$GS$42=1))&gt;0)</f>
        <v>1</v>
      </c>
      <c r="GU5">
        <f>$GU$4+--($GT5)</f>
        <v>2</v>
      </c>
      <c r="GV5" t="str">
        <f t="shared" si="78"/>
        <v>MT</v>
      </c>
      <c r="GX5" t="b">
        <f>IF($AS$5="",FALSE,SUMPRODUCT(('Final Calculation Sheet'!$C$4:$C$40=$AS$5)*($GW$6:$GW$42=1))&gt;0)</f>
        <v>1</v>
      </c>
      <c r="GY5">
        <f>$GY$4+--($GX5)</f>
        <v>2</v>
      </c>
      <c r="GZ5">
        <f t="shared" si="79"/>
        <v>227</v>
      </c>
      <c r="HB5" t="b">
        <f>IF($AX$5="",FALSE,SUMPRODUCT(('Final Calculation Sheet'!$H$4:$H$40=$AX$5)*($HA$6:$HA$42=1))&gt;0)</f>
        <v>1</v>
      </c>
      <c r="HC5">
        <f>$HC$4+--($HB5)</f>
        <v>2</v>
      </c>
      <c r="HD5">
        <f t="shared" si="80"/>
        <v>17500</v>
      </c>
      <c r="HF5" t="b">
        <f>IF($BC$5="",FALSE,SUMPRODUCT(('Final Calculation Sheet'!$I$4:$I$40=$BC$5)*($HE$6:$HE$42=1))&gt;0)</f>
        <v>1</v>
      </c>
      <c r="HG5">
        <f>$HG$4+--($HF5)</f>
        <v>2</v>
      </c>
      <c r="HH5">
        <f t="shared" si="81"/>
        <v>3150</v>
      </c>
      <c r="HJ5" t="b">
        <f>IF($BH$5="",FALSE,SUMPRODUCT(('Final Calculation Sheet'!$J$4:$J$40=$BH$5)*($HI$6:$HI$42=1))&gt;0)</f>
        <v>1</v>
      </c>
      <c r="HK5">
        <f>$HK$4+--($HJ5)</f>
        <v>2</v>
      </c>
      <c r="HL5">
        <f t="shared" si="82"/>
        <v>20650</v>
      </c>
      <c r="HN5" t="b">
        <f>IF($BM$5="",FALSE,SUMPRODUCT(('Final Calculation Sheet'!$K$4:$K$40=$BM$5)*($HM$6:$HM$42=1))&gt;0)</f>
        <v>1</v>
      </c>
      <c r="HO5">
        <f>$HO$4+--($HN5)</f>
        <v>2</v>
      </c>
      <c r="HP5">
        <f t="shared" si="83"/>
        <v>413</v>
      </c>
      <c r="HR5" t="b">
        <f>IF($BR$5="",FALSE,SUMPRODUCT(('Final Calculation Sheet'!$L$4:$L$40=$BR$5)*($HQ$6:$HQ$42=1))&gt;0)</f>
        <v>1</v>
      </c>
      <c r="HS5">
        <f>$HS$4+--($HR5)</f>
        <v>2</v>
      </c>
      <c r="HT5">
        <f t="shared" si="84"/>
        <v>17.5</v>
      </c>
      <c r="HV5" t="b">
        <f>IF($BW$5="",FALSE,SUMPRODUCT(('Final Calculation Sheet'!$M$4:$M$40=$BW$5)*($HU$6:$HU$42=1))&gt;0)</f>
        <v>1</v>
      </c>
      <c r="HW5">
        <f>$HW$4+--($HV5)</f>
        <v>2</v>
      </c>
      <c r="HX5">
        <f t="shared" si="85"/>
        <v>464.625</v>
      </c>
      <c r="HZ5" t="b">
        <f>IF($CB$5="",FALSE,SUMPRODUCT(('Final Calculation Sheet'!$N$4:$N$40=$CB$5)*($HY$6:$HY$42=1))&gt;0)</f>
        <v>1</v>
      </c>
      <c r="IA5">
        <f>$IA$4+--($HZ5)</f>
        <v>2</v>
      </c>
      <c r="IB5">
        <f t="shared" si="86"/>
        <v>7.875</v>
      </c>
      <c r="ID5" t="b">
        <f>IF($CG$5="",FALSE,SUMPRODUCT(('Final Calculation Sheet'!$O$4:$O$40=$CG$5)*($IC$6:$IC$42=1))&gt;0)</f>
        <v>1</v>
      </c>
      <c r="IE5">
        <f>$IE$4+--($ID5)</f>
        <v>2</v>
      </c>
      <c r="IF5">
        <f t="shared" si="87"/>
        <v>456.75</v>
      </c>
      <c r="IH5" t="b">
        <f>IF($CL$5="",FALSE,SUMPRODUCT(('Final Calculation Sheet'!$P$4:$P$40=$CL$5)*($IG$6:$IG$42=1))&gt;0)</f>
        <v>1</v>
      </c>
      <c r="II5">
        <f>$II$4+--($IH5)</f>
        <v>2</v>
      </c>
      <c r="IJ5">
        <f t="shared" si="88"/>
        <v>474</v>
      </c>
      <c r="IL5" t="b">
        <f>IF($CQ$5="",FALSE,SUMPRODUCT(('Final Calculation Sheet'!$Q$4:$Q$40=$CQ$5)*($IK$6:$IK$42=1))&gt;0)</f>
        <v>1</v>
      </c>
      <c r="IM5">
        <f>$IM$4+--($IL5)</f>
        <v>2</v>
      </c>
      <c r="IN5">
        <f t="shared" si="89"/>
        <v>0.02</v>
      </c>
      <c r="IP5" t="b">
        <f>IF($CV$5="",FALSE,SUMPRODUCT(('Final Calculation Sheet'!$R$4:$R$40=$CV$5)*($IO$6:$IO$42=1))&gt;0)</f>
        <v>1</v>
      </c>
      <c r="IQ5">
        <f>$IQ$4+--($IP5)</f>
        <v>2</v>
      </c>
      <c r="IR5">
        <f t="shared" si="90"/>
        <v>10988</v>
      </c>
      <c r="IT5" t="b">
        <f>IF($DA$5="",FALSE,SUMPRODUCT(('Final Calculation Sheet'!$S$4:$S$40=$DA$5)*($IS$6:$IS$42=1))&gt;0)</f>
        <v>1</v>
      </c>
      <c r="IU5">
        <f>$IU$4+--($IT5)</f>
        <v>2</v>
      </c>
      <c r="IV5">
        <f t="shared" si="91"/>
        <v>20589</v>
      </c>
      <c r="IX5" t="b">
        <f>IF($DF$5="",FALSE,SUMPRODUCT(('Final Calculation Sheet'!$T$4:$T$40=$DF$5)*($IW$6:$IW$42=1))&gt;0)</f>
        <v>1</v>
      </c>
      <c r="IY5">
        <f>$IY$4+--($IX5)</f>
        <v>2</v>
      </c>
      <c r="IZ5">
        <f t="shared" si="92"/>
        <v>4375</v>
      </c>
      <c r="JB5" t="b">
        <f>IF($DK$5="",FALSE,SUMPRODUCT(('Final Calculation Sheet'!$U$4:$U$40=$DK$5)*($JA$6:$JA$42=1))&gt;0)</f>
        <v>1</v>
      </c>
      <c r="JC5">
        <f>$JC$4+--($JB5)</f>
        <v>2</v>
      </c>
      <c r="JD5">
        <f t="shared" si="93"/>
        <v>4375</v>
      </c>
      <c r="JF5" t="b">
        <f>IF($DP$5="",FALSE,SUMPRODUCT(('Final Calculation Sheet'!$V$4:$V$40=$DP$5)*($JE$6:$JE$42=1))&gt;0)</f>
        <v>1</v>
      </c>
      <c r="JG5">
        <f>$JG$4+--($JF5)</f>
        <v>2</v>
      </c>
      <c r="JH5" t="str">
        <f t="shared" si="94"/>
        <v>11.08.2026</v>
      </c>
      <c r="JJ5" t="b">
        <f>IF($DU$5="",FALSE,SUMPRODUCT(('Final Calculation Sheet'!$W$4:$W$40=$DU$5)*($JI$6:$JI$42=1))&gt;0)</f>
        <v>1</v>
      </c>
      <c r="JK5">
        <f>$JK$4+--($JJ5)</f>
        <v>2</v>
      </c>
      <c r="JL5">
        <f t="shared" si="95"/>
        <v>16214</v>
      </c>
      <c r="JN5" t="e">
        <f>IF($DZ$5="",FALSE,SUMPRODUCT(('Final Calculation Sheet'!$X$4:$X$40=$DZ$5)*($JM$6:$JM$42=1))&gt;0)</f>
        <v>#N/A</v>
      </c>
      <c r="JO5" t="e">
        <f>$JO$4+--($JN5)</f>
        <v>#N/A</v>
      </c>
      <c r="JP5" t="e">
        <f t="shared" si="96"/>
        <v>#N/A</v>
      </c>
      <c r="JR5" t="e">
        <f>IF($EE$5="",FALSE,SUMPRODUCT(('Final Calculation Sheet'!$Y$4:$Y$40=$EE$5)*($JQ$6:$JQ$42=1))&gt;0)</f>
        <v>#N/A</v>
      </c>
      <c r="JS5" t="e">
        <f>$JS$4+--($JR5)</f>
        <v>#N/A</v>
      </c>
      <c r="JT5" t="e">
        <f t="shared" si="97"/>
        <v>#N/A</v>
      </c>
      <c r="JV5" t="b">
        <f ca="1">IF($EJ$5="",FALSE,SUMPRODUCT(('Final Calculation Sheet'!$Z$4:$Z$40=$EJ$5)*($JU$6:$JU$42=1))&gt;0)</f>
        <v>1</v>
      </c>
      <c r="JW5">
        <f ca="1">$JW$4+--($JV5)</f>
        <v>2</v>
      </c>
      <c r="JX5">
        <f t="shared" ca="1" si="98"/>
        <v>619.5</v>
      </c>
      <c r="JZ5" t="e">
        <f>IF($EO$5="",FALSE,SUMPRODUCT(('Final Calculation Sheet'!$AA$4:$AA$40=$EO$5)*($JY$6:$JY$42=1))&gt;0)</f>
        <v>#N/A</v>
      </c>
      <c r="KA5" t="e">
        <f>$KA$4+--($JZ5)</f>
        <v>#N/A</v>
      </c>
      <c r="KB5" t="e">
        <f t="shared" si="99"/>
        <v>#N/A</v>
      </c>
      <c r="KD5" t="e">
        <f>IF($ET$5="",FALSE,SUMPRODUCT(('Final Calculation Sheet'!$AB$4:$AB$40=$ET$5)*($KC$6:$KC$42=1))&gt;0)</f>
        <v>#N/A</v>
      </c>
      <c r="KE5" t="e">
        <f>$KE$4+--($KD5)</f>
        <v>#N/A</v>
      </c>
      <c r="KF5" t="e">
        <f t="shared" si="100"/>
        <v>#N/A</v>
      </c>
      <c r="KH5" t="b">
        <f>IF($EY$5="",FALSE,SUMPRODUCT(('Final Calculation Sheet'!$AC$4:$AC$40=$EY$5)*($KG$6:$KG$42=1))&gt;0)</f>
        <v>1</v>
      </c>
      <c r="KI5">
        <f>$KI$4+--($KH5)</f>
        <v>2</v>
      </c>
      <c r="KJ5">
        <f t="shared" si="101"/>
        <v>18117</v>
      </c>
      <c r="KL5" t="b">
        <f>IF($FD$5="",FALSE,SUMPRODUCT(('Final Calculation Sheet'!$AD$4:$AD$40=$FD$5)*($KK$6:$KK$42=1))&gt;0)</f>
        <v>1</v>
      </c>
      <c r="KM5">
        <f>$KM$4+--($KL5)</f>
        <v>2</v>
      </c>
      <c r="KN5">
        <f t="shared" si="102"/>
        <v>-708</v>
      </c>
      <c r="KP5" t="b">
        <f>IF($FX$5="",FALSE,SUMPRODUCT((IF('Final Calculation Sheet'!$AD$4:$AD$40&lt;=5,"SETTLED","OUTSTANDING")=$FX$5)*($KO$6:$KO$42=1))&gt;0)</f>
        <v>1</v>
      </c>
      <c r="KQ5">
        <f>$KQ$4+--($KP5)</f>
        <v>1</v>
      </c>
      <c r="KR5" t="str">
        <f t="shared" si="103"/>
        <v/>
      </c>
      <c r="KT5" t="e">
        <f>IF($FI$5="",FALSE,SUMPRODUCT(('Final Calculation Sheet'!$AF$4:$AF$40=$FI$5)*($KS$6:$KS$42=1))&gt;0)</f>
        <v>#N/A</v>
      </c>
      <c r="KU5" t="e">
        <f>$KU$4+--($KT5)</f>
        <v>#N/A</v>
      </c>
      <c r="KV5" t="e">
        <f t="shared" si="104"/>
        <v>#N/A</v>
      </c>
      <c r="KX5" t="e">
        <f>IF($FN$5="",FALSE,SUMPRODUCT(('Final Calculation Sheet'!$AG$4:$AG$40=$FN$5)*($KW$6:$KW$42=1))&gt;0)</f>
        <v>#N/A</v>
      </c>
      <c r="KY5" t="e">
        <f>$KY$4+--($KX5)</f>
        <v>#N/A</v>
      </c>
      <c r="KZ5" t="e">
        <f t="shared" si="105"/>
        <v>#N/A</v>
      </c>
      <c r="LB5" t="e">
        <f>IF($FS$5="",FALSE,SUMPRODUCT(('Final Calculation Sheet'!$AH$4:$AH$40=$FS$5)*($LA$6:$LA$42=1))&gt;0)</f>
        <v>#N/A</v>
      </c>
      <c r="LC5" t="e">
        <f>$LC$4+--($LB5)</f>
        <v>#N/A</v>
      </c>
      <c r="LD5" t="e">
        <f t="shared" si="106"/>
        <v>#N/A</v>
      </c>
      <c r="LF5" t="b">
        <f>IF($O$5="",FALSE,SUMPRODUCT(('Final Calculation Sheet'!$F$4:$F$40=$O$5)*($LE$6:$LE$42=1))&gt;0)</f>
        <v>1</v>
      </c>
      <c r="LG5">
        <f>$LG$4+--($LF5)</f>
        <v>2</v>
      </c>
      <c r="LH5">
        <f t="shared" si="107"/>
        <v>1874</v>
      </c>
      <c r="LJ5" t="b">
        <f>IF($T$5="",FALSE,SUMPRODUCT(('Final Calculation Sheet'!$G$4:$G$40=$T$5)*($LI$6:$LI$42=1))&gt;0)</f>
        <v>1</v>
      </c>
      <c r="LK5">
        <f>$LK$4+--($LJ5)</f>
        <v>2</v>
      </c>
      <c r="LL5" t="str">
        <f t="shared" si="108"/>
        <v>F R KHANS ENTERPRISES</v>
      </c>
      <c r="LN5" t="b">
        <f>IF($Y$5="",FALSE,SUMPRODUCT(('Final Calculation Sheet'!$B$4:$B$40=$Y$5)*($LM$6:$LM$42=1))&gt;0)</f>
        <v>1</v>
      </c>
      <c r="LO5">
        <f>$LO$4+--($LN5)</f>
        <v>2</v>
      </c>
      <c r="LP5" t="str">
        <f t="shared" si="109"/>
        <v>SCRAP 80MM² AAAC EARTHWIRE</v>
      </c>
      <c r="LR5" t="b">
        <f>IF($AD$5="",FALSE,SUMPRODUCT(('Final Calculation Sheet'!$D$4:$D$40=$AD$5)*($LQ$6:$LQ$42=1))&gt;0)</f>
        <v>1</v>
      </c>
      <c r="LS5">
        <f>$LS$4+--($LR5)</f>
        <v>2</v>
      </c>
      <c r="LT5">
        <f t="shared" si="110"/>
        <v>21978</v>
      </c>
      <c r="LV5" t="b">
        <f>IF($AI$5="",FALSE,SUMPRODUCT(('Final Calculation Sheet'!$A$4:$A$40=$AI$5)*($LU$6:$LU$42=1))&gt;0)</f>
        <v>1</v>
      </c>
      <c r="LW5">
        <f>$LW$4+--($LV5)</f>
        <v>2</v>
      </c>
      <c r="LX5">
        <f t="shared" si="111"/>
        <v>2</v>
      </c>
      <c r="LZ5" t="b">
        <f>IF($AN$5="",FALSE,SUMPRODUCT(('Final Calculation Sheet'!$E$4:$E$40=$AN$5)*($LY$6:$LY$42=1))&gt;0)</f>
        <v>1</v>
      </c>
      <c r="MA5">
        <f>$MA$4+--($LZ5)</f>
        <v>2</v>
      </c>
      <c r="MB5" t="str">
        <f t="shared" si="112"/>
        <v>MT</v>
      </c>
      <c r="MD5" t="b">
        <f>IF($AS$5="",FALSE,SUMPRODUCT(('Final Calculation Sheet'!$C$4:$C$40=$AS$5)*($MC$6:$MC$42=1))&gt;0)</f>
        <v>1</v>
      </c>
      <c r="ME5">
        <f>$ME$4+--($MD5)</f>
        <v>2</v>
      </c>
      <c r="MF5">
        <f t="shared" si="113"/>
        <v>227</v>
      </c>
      <c r="MH5" t="b">
        <f>IF($AX$5="",FALSE,SUMPRODUCT(('Final Calculation Sheet'!$H$4:$H$40=$AX$5)*($MG$6:$MG$42=1))&gt;0)</f>
        <v>1</v>
      </c>
      <c r="MI5">
        <f>$MI$4+--($MH5)</f>
        <v>2</v>
      </c>
      <c r="MJ5">
        <f t="shared" si="114"/>
        <v>17500</v>
      </c>
      <c r="ML5" t="b">
        <f>IF($BC$5="",FALSE,SUMPRODUCT(('Final Calculation Sheet'!$I$4:$I$40=$BC$5)*($MK$6:$MK$42=1))&gt;0)</f>
        <v>1</v>
      </c>
      <c r="MM5">
        <f>$MM$4+--($ML5)</f>
        <v>2</v>
      </c>
      <c r="MN5">
        <f t="shared" si="115"/>
        <v>3150</v>
      </c>
      <c r="MP5" t="b">
        <f>IF($BH$5="",FALSE,SUMPRODUCT(('Final Calculation Sheet'!$J$4:$J$40=$BH$5)*($MO$6:$MO$42=1))&gt;0)</f>
        <v>1</v>
      </c>
      <c r="MQ5">
        <f>$MQ$4+--($MP5)</f>
        <v>2</v>
      </c>
      <c r="MR5">
        <f t="shared" si="116"/>
        <v>20650</v>
      </c>
      <c r="MT5" t="b">
        <f>IF($BM$5="",FALSE,SUMPRODUCT(('Final Calculation Sheet'!$K$4:$K$40=$BM$5)*($MS$6:$MS$42=1))&gt;0)</f>
        <v>1</v>
      </c>
      <c r="MU5">
        <f>$MU$4+--($MT5)</f>
        <v>2</v>
      </c>
      <c r="MV5">
        <f t="shared" si="117"/>
        <v>413</v>
      </c>
      <c r="MX5" t="b">
        <f>IF($BR$5="",FALSE,SUMPRODUCT(('Final Calculation Sheet'!$L$4:$L$40=$BR$5)*($MW$6:$MW$42=1))&gt;0)</f>
        <v>1</v>
      </c>
      <c r="MY5">
        <f>$MY$4+--($MX5)</f>
        <v>2</v>
      </c>
      <c r="MZ5">
        <f t="shared" si="118"/>
        <v>17.5</v>
      </c>
      <c r="NB5" t="b">
        <f>IF($BW$5="",FALSE,SUMPRODUCT(('Final Calculation Sheet'!$M$4:$M$40=$BW$5)*($NA$6:$NA$42=1))&gt;0)</f>
        <v>1</v>
      </c>
      <c r="NC5">
        <f>$NC$4+--($NB5)</f>
        <v>2</v>
      </c>
      <c r="ND5">
        <f t="shared" si="119"/>
        <v>464.625</v>
      </c>
      <c r="NF5" t="b">
        <f>IF($CB$5="",FALSE,SUMPRODUCT(('Final Calculation Sheet'!$N$4:$N$40=$CB$5)*($NE$6:$NE$42=1))&gt;0)</f>
        <v>1</v>
      </c>
      <c r="NG5">
        <f>$NG$4+--($NF5)</f>
        <v>2</v>
      </c>
      <c r="NH5">
        <f t="shared" si="120"/>
        <v>7.875</v>
      </c>
      <c r="NJ5" t="b">
        <f>IF($CG$5="",FALSE,SUMPRODUCT(('Final Calculation Sheet'!$O$4:$O$40=$CG$5)*($NI$6:$NI$42=1))&gt;0)</f>
        <v>1</v>
      </c>
      <c r="NK5">
        <f>$NK$4+--($NJ5)</f>
        <v>2</v>
      </c>
      <c r="NL5">
        <f t="shared" si="121"/>
        <v>456.75</v>
      </c>
      <c r="NN5" t="b">
        <f>IF($CL$5="",FALSE,SUMPRODUCT(('Final Calculation Sheet'!$P$4:$P$40=$CL$5)*($NM$6:$NM$42=1))&gt;0)</f>
        <v>1</v>
      </c>
      <c r="NO5">
        <f>$NO$4+--($NN5)</f>
        <v>2</v>
      </c>
      <c r="NP5">
        <f t="shared" si="122"/>
        <v>474</v>
      </c>
      <c r="NR5" t="b">
        <f>IF($CQ$5="",FALSE,SUMPRODUCT(('Final Calculation Sheet'!$Q$4:$Q$40=$CQ$5)*($NQ$6:$NQ$42=1))&gt;0)</f>
        <v>1</v>
      </c>
      <c r="NS5">
        <f>$NS$4+--($NR5)</f>
        <v>2</v>
      </c>
      <c r="NT5">
        <f t="shared" si="123"/>
        <v>0.02</v>
      </c>
      <c r="NV5" t="b">
        <f>IF($CV$5="",FALSE,SUMPRODUCT(('Final Calculation Sheet'!$R$4:$R$40=$CV$5)*($NU$6:$NU$42=1))&gt;0)</f>
        <v>1</v>
      </c>
      <c r="NW5">
        <f>$NW$4+--($NV5)</f>
        <v>2</v>
      </c>
      <c r="NX5">
        <f t="shared" si="124"/>
        <v>10988</v>
      </c>
      <c r="NZ5" t="b">
        <f>IF($DA$5="",FALSE,SUMPRODUCT(('Final Calculation Sheet'!$S$4:$S$40=$DA$5)*($NY$6:$NY$42=1))&gt;0)</f>
        <v>1</v>
      </c>
      <c r="OA5">
        <f>$OA$4+--($NZ5)</f>
        <v>2</v>
      </c>
      <c r="OB5">
        <f t="shared" si="125"/>
        <v>20589</v>
      </c>
      <c r="OD5" t="b">
        <f>IF($DF$5="",FALSE,SUMPRODUCT(('Final Calculation Sheet'!$T$4:$T$40=$DF$5)*($OC$6:$OC$42=1))&gt;0)</f>
        <v>1</v>
      </c>
      <c r="OE5">
        <f>$OE$4+--($OD5)</f>
        <v>2</v>
      </c>
      <c r="OF5">
        <f t="shared" si="126"/>
        <v>4375</v>
      </c>
      <c r="OH5" t="b">
        <f>IF($DK$5="",FALSE,SUMPRODUCT(('Final Calculation Sheet'!$U$4:$U$40=$DK$5)*($OG$6:$OG$42=1))&gt;0)</f>
        <v>1</v>
      </c>
      <c r="OI5">
        <f>$OI$4+--($OH5)</f>
        <v>2</v>
      </c>
      <c r="OJ5">
        <f t="shared" si="127"/>
        <v>4375</v>
      </c>
      <c r="OL5" t="b">
        <f>IF($DP$5="",FALSE,SUMPRODUCT(('Final Calculation Sheet'!$V$4:$V$40=$DP$5)*($OK$6:$OK$42=1))&gt;0)</f>
        <v>1</v>
      </c>
      <c r="OM5">
        <f>$OM$4+--($OL5)</f>
        <v>2</v>
      </c>
      <c r="ON5" t="str">
        <f t="shared" si="128"/>
        <v>11.08.2026</v>
      </c>
      <c r="OP5" t="b">
        <f>IF($DU$5="",FALSE,SUMPRODUCT(('Final Calculation Sheet'!$W$4:$W$40=$DU$5)*($OO$6:$OO$42=1))&gt;0)</f>
        <v>1</v>
      </c>
      <c r="OQ5">
        <f>$OQ$4+--($OP5)</f>
        <v>2</v>
      </c>
      <c r="OR5">
        <f t="shared" si="129"/>
        <v>16214</v>
      </c>
      <c r="OT5" t="e">
        <f>IF($DZ$5="",FALSE,SUMPRODUCT(('Final Calculation Sheet'!$X$4:$X$40=$DZ$5)*($OS$6:$OS$42=1))&gt;0)</f>
        <v>#N/A</v>
      </c>
      <c r="OU5" t="e">
        <f>$OU$4+--($OT5)</f>
        <v>#N/A</v>
      </c>
      <c r="OV5" t="e">
        <f t="shared" si="130"/>
        <v>#N/A</v>
      </c>
      <c r="OX5" t="e">
        <f>IF($EE$5="",FALSE,SUMPRODUCT(('Final Calculation Sheet'!$Y$4:$Y$40=$EE$5)*($OW$6:$OW$42=1))&gt;0)</f>
        <v>#N/A</v>
      </c>
      <c r="OY5" t="e">
        <f>$OY$4+--($OX5)</f>
        <v>#N/A</v>
      </c>
      <c r="OZ5" t="e">
        <f t="shared" si="131"/>
        <v>#N/A</v>
      </c>
      <c r="PB5" t="b">
        <f ca="1">IF($EJ$5="",FALSE,SUMPRODUCT(('Final Calculation Sheet'!$Z$4:$Z$40=$EJ$5)*($PA$6:$PA$42=1))&gt;0)</f>
        <v>1</v>
      </c>
      <c r="PC5">
        <f ca="1">$PC$4+--($PB5)</f>
        <v>2</v>
      </c>
      <c r="PD5">
        <f t="shared" ca="1" si="132"/>
        <v>619.5</v>
      </c>
      <c r="PF5" t="e">
        <f>IF($EO$5="",FALSE,SUMPRODUCT(('Final Calculation Sheet'!$AA$4:$AA$40=$EO$5)*($PE$6:$PE$42=1))&gt;0)</f>
        <v>#N/A</v>
      </c>
      <c r="PG5" t="e">
        <f>$PG$4+--($PF5)</f>
        <v>#N/A</v>
      </c>
      <c r="PH5" t="e">
        <f t="shared" si="133"/>
        <v>#N/A</v>
      </c>
      <c r="PJ5" t="e">
        <f>IF($ET$5="",FALSE,SUMPRODUCT(('Final Calculation Sheet'!$AB$4:$AB$40=$ET$5)*($PI$6:$PI$42=1))&gt;0)</f>
        <v>#N/A</v>
      </c>
      <c r="PK5" t="e">
        <f>$PK$4+--($PJ5)</f>
        <v>#N/A</v>
      </c>
      <c r="PL5" t="e">
        <f t="shared" si="134"/>
        <v>#N/A</v>
      </c>
      <c r="PN5" t="b">
        <f>IF($EY$5="",FALSE,SUMPRODUCT(('Final Calculation Sheet'!$AC$4:$AC$40=$EY$5)*($PM$6:$PM$42=1))&gt;0)</f>
        <v>1</v>
      </c>
      <c r="PO5">
        <f>$PO$4+--($PN5)</f>
        <v>2</v>
      </c>
      <c r="PP5">
        <f t="shared" si="135"/>
        <v>18117</v>
      </c>
      <c r="PR5" t="b">
        <f>IF($FD$5="",FALSE,SUMPRODUCT(('Final Calculation Sheet'!$AD$4:$AD$40=$FD$5)*($PQ$6:$PQ$42=1))&gt;0)</f>
        <v>1</v>
      </c>
      <c r="PS5">
        <f>$PS$4+--($PR5)</f>
        <v>2</v>
      </c>
      <c r="PT5">
        <f t="shared" si="136"/>
        <v>-708</v>
      </c>
      <c r="PV5" t="b">
        <f>IF($FX$5="",FALSE,SUMPRODUCT((IF('Final Calculation Sheet'!$AD$4:$AD$40&lt;=5,"SETTLED","OUTSTANDING")=$FX$5)*($PU$6:$PU$42=1))&gt;0)</f>
        <v>1</v>
      </c>
      <c r="PW5">
        <f>$PW$4+--($PV5)</f>
        <v>1</v>
      </c>
      <c r="PX5" t="str">
        <f t="shared" si="137"/>
        <v/>
      </c>
      <c r="PZ5" t="e">
        <f>IF($FI$5="",FALSE,SUMPRODUCT(('Final Calculation Sheet'!$AF$4:$AF$40=$FI$5)*($PY$6:$PY$42=1))&gt;0)</f>
        <v>#N/A</v>
      </c>
      <c r="QA5" t="e">
        <f>$QA$4+--($PZ5)</f>
        <v>#N/A</v>
      </c>
      <c r="QB5" t="e">
        <f t="shared" si="138"/>
        <v>#N/A</v>
      </c>
      <c r="QD5" t="e">
        <f>IF($FN$5="",FALSE,SUMPRODUCT(('Final Calculation Sheet'!$AG$4:$AG$40=$FN$5)*($QC$6:$QC$42=1))&gt;0)</f>
        <v>#N/A</v>
      </c>
      <c r="QE5" t="e">
        <f>$QE$4+--($QD5)</f>
        <v>#N/A</v>
      </c>
      <c r="QF5" t="e">
        <f t="shared" si="139"/>
        <v>#N/A</v>
      </c>
      <c r="QH5" t="e">
        <f>IF($FS$5="",FALSE,SUMPRODUCT(('Final Calculation Sheet'!$AH$4:$AH$40=$FS$5)*($QG$6:$QG$42=1))&gt;0)</f>
        <v>#N/A</v>
      </c>
      <c r="QI5" t="e">
        <f>$QI$4+--($QH5)</f>
        <v>#N/A</v>
      </c>
      <c r="QJ5" t="e">
        <f t="shared" si="140"/>
        <v>#N/A</v>
      </c>
      <c r="QK5" t="str">
        <f>IF('Final Calculation Sheet'!$AH$5="","",'Final Calculation Sheet'!$AH$5)</f>
        <v>27.08.2026</v>
      </c>
      <c r="QL5">
        <f>IF(QK5="","",COUNTIFS(QK$4:QK$40,"&lt;"&amp;QK5,QK$4:QK$40,"&lt;&gt;"&amp;"")+COUNTIF(QK$4:QK5,QK5))</f>
        <v>19</v>
      </c>
      <c r="QM5" t="e">
        <f t="shared" si="141"/>
        <v>#N/A</v>
      </c>
      <c r="QN5" t="e">
        <f ca="1">QN4+F(AND(QM5&lt;&gt;"",COUNTIF(QM$4:QM5,QM5)=1),1,0)</f>
        <v>#N/A</v>
      </c>
      <c r="QO5" t="e">
        <f t="shared" si="142"/>
        <v>#N/A</v>
      </c>
      <c r="QP5">
        <f>IF(COUNTIF('Final Calculation Sheet'!$AM5:$BS5,0)&gt;0,0,1)</f>
        <v>1</v>
      </c>
      <c r="QQ5" t="b">
        <f>IF($AI$5="",FALSE,SUMPRODUCT(('Final Calculation Sheet'!$A$4:$A$40=$AI$5)*($QP$4:$QP$40=1))&gt;0)</f>
        <v>1</v>
      </c>
      <c r="QR5">
        <f t="shared" ref="QR5:QR40" si="177">$QR4+--($QQ5)</f>
        <v>2</v>
      </c>
      <c r="QS5">
        <f t="shared" si="143"/>
        <v>2</v>
      </c>
      <c r="QT5">
        <f>IF(COUNTIF('Final Calculation Sheet'!$AL5:$AL5,0)+COUNTIF('Final Calculation Sheet'!$AN5:$BS5,0)&gt;0,0,1)</f>
        <v>1</v>
      </c>
      <c r="QU5" t="b">
        <f>IF($Y$5="",FALSE,SUMPRODUCT(('Final Calculation Sheet'!$B$4:$B$40=$Y$5)*($QT$4:$QT$40=1))&gt;0)</f>
        <v>1</v>
      </c>
      <c r="QV5">
        <f t="shared" ref="QV5:QV40" si="178">$QV4+--($QU5)</f>
        <v>2</v>
      </c>
      <c r="QW5" t="str">
        <f t="shared" si="144"/>
        <v>SCRAP 80MM² AAAC EARTHWIRE</v>
      </c>
      <c r="QX5">
        <f>IF(COUNTIF('Final Calculation Sheet'!$AL5:$AM5,0)+COUNTIF('Final Calculation Sheet'!$AO5:$BS5,0)&gt;0,0,1)</f>
        <v>1</v>
      </c>
      <c r="QY5" t="b">
        <f>IF($AS$5="",FALSE,SUMPRODUCT(('Final Calculation Sheet'!$C$4:$C$40=$AS$5)*($QX$4:$QX$40=1))&gt;0)</f>
        <v>1</v>
      </c>
      <c r="QZ5">
        <f t="shared" ref="QZ5:QZ40" si="179">$QZ4+--($QY5)</f>
        <v>2</v>
      </c>
      <c r="RA5">
        <f t="shared" si="145"/>
        <v>227</v>
      </c>
      <c r="RB5">
        <f>IF(COUNTIF('Final Calculation Sheet'!$AL5:$AN5,0)+COUNTIF('Final Calculation Sheet'!$AP5:$BS5,0)&gt;0,0,1)</f>
        <v>1</v>
      </c>
      <c r="RC5" t="b">
        <f>IF($AD$5="",FALSE,SUMPRODUCT(('Final Calculation Sheet'!$D$4:$D$40=$AD$5)*($RB$4:$RB$40=1))&gt;0)</f>
        <v>1</v>
      </c>
      <c r="RD5">
        <f t="shared" ref="RD5:RD40" si="180">$RD4+--($RC5)</f>
        <v>2</v>
      </c>
      <c r="RE5">
        <f t="shared" si="146"/>
        <v>21978</v>
      </c>
      <c r="RF5">
        <f>IF(COUNTIF('Final Calculation Sheet'!$AL5:$AO5,0)+COUNTIF('Final Calculation Sheet'!$AQ5:$BS5,0)&gt;0,0,1)</f>
        <v>1</v>
      </c>
      <c r="RG5" t="b">
        <f>IF($AN$5="",FALSE,SUMPRODUCT(('Final Calculation Sheet'!$E$4:$E$40=$AN$5)*($RF$4:$RF$40=1))&gt;0)</f>
        <v>1</v>
      </c>
      <c r="RH5">
        <f t="shared" ref="RH5:RH40" si="181">$RH4+--($RG5)</f>
        <v>2</v>
      </c>
      <c r="RI5" t="str">
        <f t="shared" si="147"/>
        <v>MT</v>
      </c>
      <c r="RJ5">
        <f>IF(COUNTIF('Final Calculation Sheet'!$AL5:$AP5,0)+COUNTIF('Final Calculation Sheet'!$AR5:$BS5,0)&gt;0,0,1)</f>
        <v>1</v>
      </c>
      <c r="RK5" t="b">
        <f>IF($O$5="",FALSE,SUMPRODUCT(('Final Calculation Sheet'!$F$4:$F$40=$O$5)*($RJ$4:$RJ$40=1))&gt;0)</f>
        <v>1</v>
      </c>
      <c r="RL5">
        <f t="shared" ref="RL5:RL40" si="182">$RL4+--($RK5)</f>
        <v>2</v>
      </c>
      <c r="RM5">
        <f t="shared" si="148"/>
        <v>1874</v>
      </c>
      <c r="RN5">
        <f>IF(COUNTIF('Final Calculation Sheet'!$AL5:$AQ5,0)+COUNTIF('Final Calculation Sheet'!$AS5:$BS5,0)&gt;0,0,1)</f>
        <v>1</v>
      </c>
      <c r="RO5" t="b">
        <f>IF($T$5="",FALSE,SUMPRODUCT(('Final Calculation Sheet'!$G$4:$G$40=$T$5)*($RN$4:$RN$40=1))&gt;0)</f>
        <v>1</v>
      </c>
      <c r="RP5">
        <f t="shared" ref="RP5:RP40" si="183">$RP4+--($RO5)</f>
        <v>2</v>
      </c>
      <c r="RQ5" t="str">
        <f t="shared" si="149"/>
        <v>F R KHANS ENTERPRISES</v>
      </c>
      <c r="RR5">
        <f>IF(COUNTIF('Final Calculation Sheet'!$AL5:$AR5,0)+COUNTIF('Final Calculation Sheet'!$AT5:$BS5,0)&gt;0,0,1)</f>
        <v>1</v>
      </c>
      <c r="RS5" t="b">
        <f>IF($AX$5="",FALSE,SUMPRODUCT(('Final Calculation Sheet'!$H$4:$H$40=$AX$5)*($RR$4:$RR$40=1))&gt;0)</f>
        <v>1</v>
      </c>
      <c r="RT5">
        <f t="shared" ref="RT5:RT40" si="184">$RT4+--($RS5)</f>
        <v>2</v>
      </c>
      <c r="RU5">
        <f t="shared" si="150"/>
        <v>17500</v>
      </c>
      <c r="RV5">
        <f>IF(COUNTIF('Final Calculation Sheet'!$AL5:$AS5,0)+COUNTIF('Final Calculation Sheet'!$AU5:$BS5,0)&gt;0,0,1)</f>
        <v>1</v>
      </c>
      <c r="RW5" t="b">
        <f>IF($BC$5="",FALSE,SUMPRODUCT(('Final Calculation Sheet'!$I$4:$I$40=$BC$5)*($RV$4:$RV$40=1))&gt;0)</f>
        <v>1</v>
      </c>
      <c r="RX5">
        <f t="shared" ref="RX5:RX40" si="185">$RX4+--($RW5)</f>
        <v>2</v>
      </c>
      <c r="RY5">
        <f t="shared" si="151"/>
        <v>3150</v>
      </c>
      <c r="RZ5">
        <f>IF(COUNTIF('Final Calculation Sheet'!$AL5:$AT5,0)+COUNTIF('Final Calculation Sheet'!$AV5:$BS5,0)&gt;0,0,1)</f>
        <v>1</v>
      </c>
      <c r="SA5" t="b">
        <f>IF($BH$5="",FALSE,SUMPRODUCT(('Final Calculation Sheet'!$J$4:$J$40=$BH$5)*($RZ$4:$RZ$40=1))&gt;0)</f>
        <v>1</v>
      </c>
      <c r="SB5">
        <f t="shared" ref="SB5:SB40" si="186">$SB4+--($SA5)</f>
        <v>2</v>
      </c>
      <c r="SC5">
        <f t="shared" si="152"/>
        <v>20650</v>
      </c>
      <c r="SD5">
        <f>IF(COUNTIF('Final Calculation Sheet'!$AL5:$AU5,0)+COUNTIF('Final Calculation Sheet'!$AW5:$BS5,0)&gt;0,0,1)</f>
        <v>1</v>
      </c>
      <c r="SE5" t="b">
        <f>IF($BM$5="",FALSE,SUMPRODUCT(('Final Calculation Sheet'!$K$4:$K$40=$BM$5)*($SD$4:$SD$40=1))&gt;0)</f>
        <v>1</v>
      </c>
      <c r="SF5">
        <f t="shared" ref="SF5:SF40" si="187">$SF4+--($SE5)</f>
        <v>2</v>
      </c>
      <c r="SG5">
        <f t="shared" si="153"/>
        <v>413</v>
      </c>
      <c r="SH5">
        <f>IF(COUNTIF('Final Calculation Sheet'!$AL5:$AV5,0)+COUNTIF('Final Calculation Sheet'!$AX5:$BS5,0)&gt;0,0,1)</f>
        <v>1</v>
      </c>
      <c r="SI5" t="b">
        <f>IF($BR$5="",FALSE,SUMPRODUCT(('Final Calculation Sheet'!$L$4:$L$40=$BR$5)*($SH$4:$SH$40=1))&gt;0)</f>
        <v>1</v>
      </c>
      <c r="SJ5">
        <f t="shared" ref="SJ5:SJ40" si="188">$SJ4+--($SI5)</f>
        <v>2</v>
      </c>
      <c r="SK5">
        <f t="shared" si="154"/>
        <v>17.5</v>
      </c>
      <c r="SL5">
        <f>IF(COUNTIF('Final Calculation Sheet'!$AL5:$AW5,0)+COUNTIF('Final Calculation Sheet'!$AY5:$BS5,0)&gt;0,0,1)</f>
        <v>1</v>
      </c>
      <c r="SM5" t="b">
        <f>IF($BW$5="",FALSE,SUMPRODUCT(('Final Calculation Sheet'!$M$4:$M$40=$BW$5)*($SL$4:$SL$40=1))&gt;0)</f>
        <v>1</v>
      </c>
      <c r="SN5">
        <f t="shared" ref="SN5:SN40" si="189">$SN4+--($SM5)</f>
        <v>2</v>
      </c>
      <c r="SO5">
        <f t="shared" si="155"/>
        <v>464.625</v>
      </c>
      <c r="SP5">
        <f>IF(COUNTIF('Final Calculation Sheet'!$AL5:$AX5,0)+COUNTIF('Final Calculation Sheet'!$AZ5:$BS5,0)&gt;0,0,1)</f>
        <v>1</v>
      </c>
      <c r="SQ5" t="b">
        <f>IF($CB$5="",FALSE,SUMPRODUCT(('Final Calculation Sheet'!$N$4:$N$40=$CB$5)*($SP$4:$SP$40=1))&gt;0)</f>
        <v>1</v>
      </c>
      <c r="SR5">
        <f t="shared" ref="SR5:SR40" si="190">$SR4+--($SQ5)</f>
        <v>2</v>
      </c>
      <c r="SS5">
        <f t="shared" si="156"/>
        <v>7.875</v>
      </c>
      <c r="ST5">
        <f>IF(COUNTIF('Final Calculation Sheet'!$AL5:$AY5,0)+COUNTIF('Final Calculation Sheet'!$BA5:$BS5,0)&gt;0,0,1)</f>
        <v>1</v>
      </c>
      <c r="SU5" t="b">
        <f>IF($CG$5="",FALSE,SUMPRODUCT(('Final Calculation Sheet'!$O$4:$O$40=$CG$5)*($ST$4:$ST$40=1))&gt;0)</f>
        <v>1</v>
      </c>
      <c r="SV5">
        <f t="shared" ref="SV5:SV40" si="191">$SV4+--($SU5)</f>
        <v>2</v>
      </c>
      <c r="SW5">
        <f t="shared" si="157"/>
        <v>456.75</v>
      </c>
      <c r="SX5">
        <f>IF(COUNTIF('Final Calculation Sheet'!$AL5:$AZ5,0)+COUNTIF('Final Calculation Sheet'!$BB5:$BS5,0)&gt;0,0,1)</f>
        <v>1</v>
      </c>
      <c r="SY5" t="b">
        <f>IF($CL$5="",FALSE,SUMPRODUCT(('Final Calculation Sheet'!$P$4:$P$40=$CL$5)*($SX$4:$SX$40=1))&gt;0)</f>
        <v>1</v>
      </c>
      <c r="SZ5">
        <f t="shared" ref="SZ5:SZ40" si="192">$SZ4+--($SY5)</f>
        <v>2</v>
      </c>
      <c r="TA5">
        <f t="shared" si="158"/>
        <v>474</v>
      </c>
      <c r="TB5">
        <f>IF(COUNTIF('Final Calculation Sheet'!$AL5:$BA5,0)+COUNTIF('Final Calculation Sheet'!$BC5:$BS5,0)&gt;0,0,1)</f>
        <v>1</v>
      </c>
      <c r="TC5" t="b">
        <f>IF($CQ$5="",FALSE,SUMPRODUCT(('Final Calculation Sheet'!$Q$4:$Q$40=$CQ$5)*($TB$4:$TB$40=1))&gt;0)</f>
        <v>1</v>
      </c>
      <c r="TD5">
        <f t="shared" ref="TD5:TD40" si="193">$TD4+--($TC5)</f>
        <v>2</v>
      </c>
      <c r="TE5">
        <f t="shared" si="159"/>
        <v>0.02</v>
      </c>
      <c r="TF5">
        <f>IF(COUNTIF('Final Calculation Sheet'!$AL5:$BB5,0)+COUNTIF('Final Calculation Sheet'!$BD5:$BS5,0)&gt;0,0,1)</f>
        <v>1</v>
      </c>
      <c r="TG5" t="b">
        <f>IF($CV$5="",FALSE,SUMPRODUCT(('Final Calculation Sheet'!$R$4:$R$40=$CV$5)*($TF$4:$TF$40=1))&gt;0)</f>
        <v>1</v>
      </c>
      <c r="TH5">
        <f t="shared" ref="TH5:TH40" si="194">$TH4+--($TG5)</f>
        <v>2</v>
      </c>
      <c r="TI5">
        <f t="shared" si="160"/>
        <v>10988</v>
      </c>
      <c r="TJ5">
        <f>IF(COUNTIF('Final Calculation Sheet'!$AL5:$BC5,0)+COUNTIF('Final Calculation Sheet'!$BE5:$BS5,0)&gt;0,0,1)</f>
        <v>1</v>
      </c>
      <c r="TK5" t="b">
        <f>IF($DA$5="",FALSE,SUMPRODUCT(('Final Calculation Sheet'!$S$4:$S$40=$DA$5)*($TJ$4:$TJ$40=1))&gt;0)</f>
        <v>1</v>
      </c>
      <c r="TL5">
        <f t="shared" ref="TL5:TL40" si="195">$TL4+--($TK5)</f>
        <v>2</v>
      </c>
      <c r="TM5">
        <f t="shared" si="161"/>
        <v>20589</v>
      </c>
      <c r="TN5">
        <f>IF(COUNTIF('Final Calculation Sheet'!$AL5:$BD5,0)+COUNTIF('Final Calculation Sheet'!$BF5:$BS5,0)&gt;0,0,1)</f>
        <v>1</v>
      </c>
      <c r="TO5" t="b">
        <f>IF($DF$5="",FALSE,SUMPRODUCT(('Final Calculation Sheet'!$T$4:$T$40=$DF$5)*($TN$4:$TN$40=1))&gt;0)</f>
        <v>1</v>
      </c>
      <c r="TP5">
        <f t="shared" ref="TP5:TP40" si="196">$TP4+--($TO5)</f>
        <v>2</v>
      </c>
      <c r="TQ5">
        <f t="shared" si="162"/>
        <v>4375</v>
      </c>
      <c r="TR5">
        <f>IF(COUNTIF('Final Calculation Sheet'!$AL5:$BE5,0)+COUNTIF('Final Calculation Sheet'!$BG5:$BS5,0)&gt;0,0,1)</f>
        <v>1</v>
      </c>
      <c r="TS5" t="b">
        <f>IF($DK$5="",FALSE,SUMPRODUCT(('Final Calculation Sheet'!$U$4:$U$40=$DK$5)*($TR$4:$TR$40=1))&gt;0)</f>
        <v>1</v>
      </c>
      <c r="TT5">
        <f t="shared" ref="TT5:TT40" si="197">$TT4+--($TS5)</f>
        <v>2</v>
      </c>
      <c r="TU5">
        <f t="shared" si="163"/>
        <v>4375</v>
      </c>
      <c r="TV5">
        <f>IF(COUNTIF('Final Calculation Sheet'!$AL5:$BF5,0)+COUNTIF('Final Calculation Sheet'!$BH5:$BS5,0)&gt;0,0,1)</f>
        <v>1</v>
      </c>
      <c r="TW5" t="b">
        <f>IF($DP$5="",FALSE,SUMPRODUCT(('Final Calculation Sheet'!$V$4:$V$40=$DP$5)*($TV$4:$TV$40=1))&gt;0)</f>
        <v>1</v>
      </c>
      <c r="TX5">
        <f t="shared" ref="TX5:TX40" si="198">$TX4+--($TW5)</f>
        <v>2</v>
      </c>
      <c r="TY5" t="str">
        <f t="shared" si="164"/>
        <v>11.08.2026</v>
      </c>
      <c r="TZ5">
        <f>IF(COUNTIF('Final Calculation Sheet'!$AL5:$BG5,0)+COUNTIF('Final Calculation Sheet'!$BI5:$BS5,0)&gt;0,0,1)</f>
        <v>1</v>
      </c>
      <c r="UA5" t="b">
        <f>IF($DU$5="",FALSE,SUMPRODUCT(('Final Calculation Sheet'!$W$4:$W$40=$DU$5)*($TZ$4:$TZ$40=1))&gt;0)</f>
        <v>1</v>
      </c>
      <c r="UB5">
        <f t="shared" ref="UB5:UB40" si="199">$UB4+--($UA5)</f>
        <v>2</v>
      </c>
      <c r="UC5">
        <f t="shared" si="165"/>
        <v>16214</v>
      </c>
      <c r="UD5">
        <f>IF(COUNTIF('Final Calculation Sheet'!$AL5:$BH5,0)+COUNTIF('Final Calculation Sheet'!$BJ5:$BS5,0)&gt;0,0,1)</f>
        <v>1</v>
      </c>
      <c r="UE5" t="e">
        <f>IF($DZ$5="",FALSE,SUMPRODUCT(('Final Calculation Sheet'!$X$4:$X$40=$DZ$5)*($UD$4:$UD$40=1))&gt;0)</f>
        <v>#N/A</v>
      </c>
      <c r="UF5" t="e">
        <f t="shared" ref="UF5:UF40" si="200">$UF4+--($UE5)</f>
        <v>#N/A</v>
      </c>
      <c r="UG5" t="e">
        <f t="shared" si="166"/>
        <v>#N/A</v>
      </c>
      <c r="UH5">
        <f>IF(COUNTIF('Final Calculation Sheet'!$AL5:$BI5,0)+COUNTIF('Final Calculation Sheet'!$BK5:$BS5,0)&gt;0,0,1)</f>
        <v>1</v>
      </c>
      <c r="UI5" t="e">
        <f>IF($EE$5="",FALSE,SUMPRODUCT(('Final Calculation Sheet'!$Y$4:$Y$40=$EE$5)*($UH$4:$UH$40=1))&gt;0)</f>
        <v>#N/A</v>
      </c>
      <c r="UJ5" t="e">
        <f t="shared" ref="UJ5:UJ40" si="201">$UJ4+--($UI5)</f>
        <v>#N/A</v>
      </c>
      <c r="UK5" t="e">
        <f t="shared" si="167"/>
        <v>#N/A</v>
      </c>
      <c r="UL5">
        <f>IF(COUNTIF('Final Calculation Sheet'!$AL5:$BJ5,0)+COUNTIF('Final Calculation Sheet'!$BL5:$BS5,0)&gt;0,0,1)</f>
        <v>1</v>
      </c>
      <c r="UM5" t="b">
        <f ca="1">IF($EJ$5="",FALSE,SUMPRODUCT(('Final Calculation Sheet'!$Z$4:$Z$40=$EJ$5)*($UL$4:$UL$40=1))&gt;0)</f>
        <v>1</v>
      </c>
      <c r="UN5">
        <f t="shared" ref="UN5:UN40" ca="1" si="202">$UN4+--($UM5)</f>
        <v>2</v>
      </c>
      <c r="UO5">
        <f t="shared" ca="1" si="168"/>
        <v>619.5</v>
      </c>
      <c r="UP5">
        <f>IF(COUNTIF('Final Calculation Sheet'!$AL5:$BK5,0)+COUNTIF('Final Calculation Sheet'!$BM5:$BS5,0)&gt;0,0,1)</f>
        <v>1</v>
      </c>
      <c r="UQ5" t="e">
        <f>IF($EO$5="",FALSE,SUMPRODUCT(('Final Calculation Sheet'!$AA$4:$AA$40=$EO$5)*($UP$4:$UP$40=1))&gt;0)</f>
        <v>#N/A</v>
      </c>
      <c r="UR5" t="e">
        <f t="shared" ref="UR5:UR40" si="203">$UR4+--($UQ5)</f>
        <v>#N/A</v>
      </c>
      <c r="US5" t="e">
        <f t="shared" si="169"/>
        <v>#N/A</v>
      </c>
      <c r="UT5">
        <f>IF(COUNTIF('Final Calculation Sheet'!$AL5:$BL5,0)+COUNTIF('Final Calculation Sheet'!$BN5:$BS5,0)&gt;0,0,1)</f>
        <v>1</v>
      </c>
      <c r="UU5" t="e">
        <f>IF($ET$5="",FALSE,SUMPRODUCT(('Final Calculation Sheet'!$AB$4:$AB$40=$ET$5)*($UT$4:$UT$40=1))&gt;0)</f>
        <v>#N/A</v>
      </c>
      <c r="UV5" t="e">
        <f t="shared" ref="UV5:UV40" si="204">$UV4+--($UU5)</f>
        <v>#N/A</v>
      </c>
      <c r="UW5" t="e">
        <f t="shared" si="170"/>
        <v>#N/A</v>
      </c>
      <c r="UX5">
        <f>IF(COUNTIF('Final Calculation Sheet'!$AL5:$BM5,0)+COUNTIF('Final Calculation Sheet'!$BO5:$BS5,0)&gt;0,0,1)</f>
        <v>1</v>
      </c>
      <c r="UY5" t="b">
        <f>IF($EY$5="",FALSE,SUMPRODUCT(('Final Calculation Sheet'!$AC$4:$AC$40=$EY$5)*($UX$4:$UX$40=1))&gt;0)</f>
        <v>1</v>
      </c>
      <c r="UZ5">
        <f t="shared" ref="UZ5:UZ40" si="205">$UZ4+--($UY5)</f>
        <v>2</v>
      </c>
      <c r="VA5">
        <f t="shared" si="171"/>
        <v>18117</v>
      </c>
      <c r="VB5">
        <f>IF(COUNTIF('Final Calculation Sheet'!$AL5:$BN5,0)+COUNTIF('Final Calculation Sheet'!$BP5:$BS5,0)&gt;0,0,1)</f>
        <v>1</v>
      </c>
      <c r="VC5" t="b">
        <f>IF($FD$5="",FALSE,SUMPRODUCT(('Final Calculation Sheet'!$AD$4:$AD$40=$FD$5)*($VB$4:$VB$40=1))&gt;0)</f>
        <v>1</v>
      </c>
      <c r="VD5">
        <f t="shared" ref="VD5:VD40" si="206">$VD4+--($VC5)</f>
        <v>2</v>
      </c>
      <c r="VE5">
        <f t="shared" si="172"/>
        <v>-708</v>
      </c>
      <c r="VF5">
        <f>IF(COUNTIF('Final Calculation Sheet'!$AL5:$BO5,0)+COUNTIF('Final Calculation Sheet'!$BQ5:$BS5,0)&gt;0,0,1)</f>
        <v>1</v>
      </c>
      <c r="VG5" t="e">
        <f>IF($FI$5="",FALSE,SUMPRODUCT(('Final Calculation Sheet'!$AE$4:$AE$40=$FI$5)*($VF$4:$VF$40=1))&gt;0)</f>
        <v>#N/A</v>
      </c>
      <c r="VH5" t="e">
        <f t="shared" ref="VH5:VH40" si="207">$VH4+--($VG5)</f>
        <v>#N/A</v>
      </c>
      <c r="VI5" t="e">
        <f t="shared" si="173"/>
        <v>#N/A</v>
      </c>
      <c r="VJ5">
        <f>IF(COUNTIF('Final Calculation Sheet'!$AL5:$BP5,0)+COUNTIF('Final Calculation Sheet'!$BR5:$BS5,0)&gt;0,0,1)</f>
        <v>1</v>
      </c>
      <c r="VK5" t="e">
        <f>IF($FN$5="",FALSE,SUMPRODUCT(('Final Calculation Sheet'!$AF$4:$AF$40=$FN$5)*($VJ$4:$VJ$40=1))&gt;0)</f>
        <v>#N/A</v>
      </c>
      <c r="VL5" t="e">
        <f t="shared" ref="VL5:VL40" si="208">$VL4+--($VK5)</f>
        <v>#N/A</v>
      </c>
      <c r="VM5" t="e">
        <f t="shared" si="174"/>
        <v>#N/A</v>
      </c>
      <c r="VN5">
        <f>IF(COUNTIF('Final Calculation Sheet'!$AL5:$BQ5,0)+COUNTIF('Final Calculation Sheet'!$BS5:$BS5,0)&gt;0,0,1)</f>
        <v>1</v>
      </c>
      <c r="VO5" t="e">
        <f>IF($FS$5="",FALSE,SUMPRODUCT(('Final Calculation Sheet'!$AG$4:$AG$40=$FS$5)*($VN$4:$VN$40=1))&gt;0)</f>
        <v>#N/A</v>
      </c>
      <c r="VP5" t="e">
        <f t="shared" ref="VP5:VP40" si="209">$VP4+--($VO5)</f>
        <v>#N/A</v>
      </c>
      <c r="VQ5" t="e">
        <f t="shared" si="175"/>
        <v>#N/A</v>
      </c>
      <c r="VR5">
        <f>IF(COUNTIF('Final Calculation Sheet'!$AL5:$BR5,0)&gt;0,0,1)</f>
        <v>1</v>
      </c>
      <c r="VS5" t="e">
        <f>IF($QO$5="",FALSE,SUMPRODUCT(('Final Calculation Sheet'!$AH$4:$AH$40=$QO$5)*($VR$4:$VR$40=1))&gt;0)</f>
        <v>#N/A</v>
      </c>
      <c r="VT5" t="e">
        <f t="shared" ref="VT5:VT40" si="210">$VT4+--($VS5)</f>
        <v>#N/A</v>
      </c>
      <c r="VU5" t="e">
        <f t="shared" si="176"/>
        <v>#N/A</v>
      </c>
    </row>
    <row r="6" spans="1:593" x14ac:dyDescent="0.3">
      <c r="A6">
        <f>IF('Final Calculation Sheet'!$F$6="","",'Final Calculation Sheet'!$F$6)</f>
        <v>1875</v>
      </c>
      <c r="B6">
        <f>IF(A6="","",COUNTIFS(A$4:A$114,"&lt;"&amp;A6,A$4:A$114,"&lt;&gt;"&amp;"")+COUNTIF(A$4:A6,A6))</f>
        <v>3</v>
      </c>
      <c r="C6">
        <f t="shared" si="0"/>
        <v>1875</v>
      </c>
      <c r="D6">
        <f>D5+IF(AND(C6&lt;&gt;"",COUNTIF(C$4:C6,C6)=1),1,0)</f>
        <v>3</v>
      </c>
      <c r="E6" t="e">
        <f t="shared" si="1"/>
        <v>#N/A</v>
      </c>
      <c r="F6">
        <f t="shared" si="2"/>
        <v>3</v>
      </c>
      <c r="G6">
        <f>IF(F6="","",COUNTIFS(F$4:F$40,"&lt;"&amp;F6,F$4:F$40,"&lt;&gt;"&amp;"")+COUNTIF(F$4:F6,F6))</f>
        <v>3</v>
      </c>
      <c r="H6">
        <f t="shared" si="3"/>
        <v>3</v>
      </c>
      <c r="I6">
        <f>I5+IF(AND(H6&lt;&gt;"",COUNTIF(H$4:H6,H6)=1),1,0)</f>
        <v>3</v>
      </c>
      <c r="J6">
        <f t="shared" si="4"/>
        <v>3</v>
      </c>
      <c r="K6">
        <f>IF('Final Calculation Sheet'!$F$6="","",'Final Calculation Sheet'!$F$6)</f>
        <v>1875</v>
      </c>
      <c r="L6">
        <f>IF(K6="","",COUNTIFS(K$4:K$40,"&lt;"&amp;K6,K$4:K$40,"&lt;&gt;"&amp;"")+COUNTIF(K$4:K6,K6))</f>
        <v>3</v>
      </c>
      <c r="M6">
        <f t="shared" si="5"/>
        <v>1875</v>
      </c>
      <c r="N6">
        <f>N5+IF(AND(M6&lt;&gt;"",COUNTIF(M$4:M6,M6)=1),1,0)</f>
        <v>3</v>
      </c>
      <c r="O6">
        <f t="shared" si="6"/>
        <v>1875</v>
      </c>
      <c r="P6" t="str">
        <f>IF('Final Calculation Sheet'!$G$6="","",'Final Calculation Sheet'!$G$6)</f>
        <v>F R KHANS ENTERPRISES</v>
      </c>
      <c r="Q6">
        <f>IF(P6="","",COUNTIFS(P$4:P$40,"&lt;"&amp;P6,P$4:P$40,"&lt;&gt;"&amp;"")+COUNTIF(P$4:P6,P6))</f>
        <v>2</v>
      </c>
      <c r="R6" t="str">
        <f t="shared" si="7"/>
        <v>F R KHANS ENTERPRISES</v>
      </c>
      <c r="S6">
        <f>S5+IF(AND(R6&lt;&gt;"",COUNTIF(R$4:R6,R6)=1),1,0)</f>
        <v>2</v>
      </c>
      <c r="T6" t="str">
        <f t="shared" si="8"/>
        <v>HIND TRADERS</v>
      </c>
      <c r="U6" t="str">
        <f>IF('Final Calculation Sheet'!$B$6="","",'Final Calculation Sheet'!$B$6)</f>
        <v>Scrap of Copper of faulty AC compressor</v>
      </c>
      <c r="V6">
        <f>IF(U6="","",COUNTIFS(U$4:U$40,"&lt;"&amp;U6,U$4:U$40,"&lt;&gt;"&amp;"")+COUNTIF(U$4:U6,U6))</f>
        <v>25</v>
      </c>
      <c r="W6" t="str">
        <f t="shared" si="9"/>
        <v>SCRAP ACSR CONDUCTORS (Conductor Pieces)</v>
      </c>
      <c r="X6">
        <f>X5+IF(AND(W6&lt;&gt;"",COUNTIF(W$4:W6,W6)=1),1,0)</f>
        <v>3</v>
      </c>
      <c r="Y6" t="str">
        <f t="shared" si="10"/>
        <v>SCRAP ACSR CONDUCTORS (Conductor Pieces)</v>
      </c>
      <c r="Z6">
        <f>IF('Final Calculation Sheet'!$D$6="","",'Final Calculation Sheet'!$D$6)</f>
        <v>21977</v>
      </c>
      <c r="AA6">
        <f>IF(Z6="","",COUNTIFS(Z$4:Z$40,"&lt;"&amp;Z6,Z$4:Z$40,"&lt;&gt;"&amp;"")+COUNTIF(Z$4:Z6,Z6))</f>
        <v>2</v>
      </c>
      <c r="AB6">
        <f t="shared" si="11"/>
        <v>21977</v>
      </c>
      <c r="AC6">
        <f>AC5+IF(AND(AB6&lt;&gt;"",COUNTIF(AB$4:AB6,AB6)=1),1,0)</f>
        <v>1</v>
      </c>
      <c r="AD6">
        <f t="shared" si="12"/>
        <v>21979</v>
      </c>
      <c r="AE6">
        <f>IF('Final Calculation Sheet'!$A$6="","",'Final Calculation Sheet'!$A$6)</f>
        <v>28</v>
      </c>
      <c r="AF6">
        <f>IF(AE6="","",COUNTIFS(AE$4:AE$40,"&lt;"&amp;AE6,AE$4:AE$40,"&lt;&gt;"&amp;"")+COUNTIF(AE$4:AE6,AE6))</f>
        <v>24</v>
      </c>
      <c r="AG6">
        <f t="shared" si="13"/>
        <v>1</v>
      </c>
      <c r="AH6">
        <f>AH5+IF(AND(AG6&lt;&gt;"",COUNTIF(AG$4:AG6,AG6)=1),1,0)</f>
        <v>1</v>
      </c>
      <c r="AI6">
        <f t="shared" si="14"/>
        <v>3</v>
      </c>
      <c r="AJ6" t="str">
        <f>IF('Final Calculation Sheet'!$E$6="","",'Final Calculation Sheet'!$E$6)</f>
        <v>KG</v>
      </c>
      <c r="AK6">
        <f>IF(AJ6="","",COUNTIFS(AJ$4:AJ$40,"&lt;"&amp;AJ6,AJ$4:AJ$40,"&lt;&gt;"&amp;"")+COUNTIF(AJ$4:AJ6,AJ6))</f>
        <v>2</v>
      </c>
      <c r="AL6" t="str">
        <f t="shared" si="15"/>
        <v>KG</v>
      </c>
      <c r="AM6">
        <f>AM5+IF(AND(AL6&lt;&gt;"",COUNTIF(AL$4:AL6,AL6)=1),1,0)</f>
        <v>1</v>
      </c>
      <c r="AN6" t="str">
        <f t="shared" si="16"/>
        <v>NO</v>
      </c>
      <c r="AO6" s="50">
        <f>IF('Final Calculation Sheet'!$C$6="","",'Final Calculation Sheet'!$C$6)</f>
        <v>1456</v>
      </c>
      <c r="AP6">
        <f>IF(AO6="","",COUNTIFS(AO$4:AO$40,"&lt;"&amp;AO6,AO$4:AO$40,"&lt;&gt;"&amp;"")+COUNTIF(AO$4:AO6,AO6))</f>
        <v>16</v>
      </c>
      <c r="AQ6" s="50">
        <f t="shared" si="17"/>
        <v>309</v>
      </c>
      <c r="AR6">
        <f>AR5+IF(AND(AQ6&lt;&gt;"",COUNTIF(AQ$4:AQ6,AQ6)=1),1,0)</f>
        <v>3</v>
      </c>
      <c r="AS6" s="50">
        <f t="shared" si="18"/>
        <v>309</v>
      </c>
      <c r="AT6" s="50">
        <f>IF('Final Calculation Sheet'!$H$6="","",'Final Calculation Sheet'!$H$6)</f>
        <v>40768</v>
      </c>
      <c r="AU6">
        <f>IF(AT6="","",COUNTIFS(AT$4:AT$40,"&lt;"&amp;AT6,AT$4:AT$40,"&lt;&gt;"&amp;"")+COUNTIF(AT$4:AT6,AT6))</f>
        <v>8</v>
      </c>
      <c r="AV6" s="50">
        <f t="shared" si="19"/>
        <v>21060</v>
      </c>
      <c r="AW6">
        <f>AW5+IF(AND(AV6&lt;&gt;"",COUNTIF(AV$4:AV6,AV6)=1),1,0)</f>
        <v>3</v>
      </c>
      <c r="AX6" s="50">
        <f t="shared" si="20"/>
        <v>21060</v>
      </c>
      <c r="AY6" s="50">
        <f>IF('Final Calculation Sheet'!$I$6="","",'Final Calculation Sheet'!$I$6)</f>
        <v>7338</v>
      </c>
      <c r="AZ6">
        <f>IF(AY6="","",COUNTIFS(AY$4:AY$40,"&lt;"&amp;AY6,AY$4:AY$40,"&lt;&gt;"&amp;"")+COUNTIF(AY$4:AY6,AY6))</f>
        <v>8</v>
      </c>
      <c r="BA6" s="50">
        <f t="shared" si="21"/>
        <v>3791</v>
      </c>
      <c r="BB6">
        <f>BB5+IF(AND(BA6&lt;&gt;"",COUNTIF(BA$4:BA6,BA6)=1),1,0)</f>
        <v>3</v>
      </c>
      <c r="BC6" s="50">
        <f t="shared" si="22"/>
        <v>3791</v>
      </c>
      <c r="BD6" s="50">
        <f>IF('Final Calculation Sheet'!$J$6="","",'Final Calculation Sheet'!$J$6)</f>
        <v>48106</v>
      </c>
      <c r="BE6">
        <f>IF(BD6="","",COUNTIFS(BD$4:BD$40,"&lt;"&amp;BD6,BD$4:BD$40,"&lt;&gt;"&amp;"")+COUNTIF(BD$4:BD6,BD6))</f>
        <v>8</v>
      </c>
      <c r="BF6" s="50">
        <f t="shared" si="23"/>
        <v>24851</v>
      </c>
      <c r="BG6">
        <f>BG5+IF(AND(BF6&lt;&gt;"",COUNTIF(BF$4:BF6,BF6)=1),1,0)</f>
        <v>3</v>
      </c>
      <c r="BH6" s="50">
        <f t="shared" si="24"/>
        <v>24851</v>
      </c>
      <c r="BI6" s="50">
        <f>IF('Final Calculation Sheet'!$K$6="","",'Final Calculation Sheet'!$K$6)</f>
        <v>962</v>
      </c>
      <c r="BJ6">
        <f>IF(BI6="","",COUNTIFS(BI$4:BI$40,"&lt;"&amp;BI6,BI$4:BI$40,"&lt;&gt;"&amp;"")+COUNTIF(BI$4:BI6,BI6))</f>
        <v>8</v>
      </c>
      <c r="BK6" s="50">
        <f t="shared" si="25"/>
        <v>497</v>
      </c>
      <c r="BL6">
        <f>BL5+IF(AND(BK6&lt;&gt;"",COUNTIF(BK$4:BK6,BK6)=1),1,0)</f>
        <v>3</v>
      </c>
      <c r="BM6" s="50">
        <f t="shared" si="26"/>
        <v>497</v>
      </c>
      <c r="BN6" s="50">
        <f>IF('Final Calculation Sheet'!$L$6="","",'Final Calculation Sheet'!$L$6)</f>
        <v>40.768000000000001</v>
      </c>
      <c r="BO6">
        <f>IF(BN6="","",COUNTIFS(BN$4:BN$40,"&lt;"&amp;BN6,BN$4:BN$40,"&lt;&gt;"&amp;"")+COUNTIF(BN$4:BN6,BN6))</f>
        <v>8</v>
      </c>
      <c r="BP6" s="50">
        <f t="shared" si="27"/>
        <v>21.06</v>
      </c>
      <c r="BQ6">
        <f>BQ5+IF(AND(BP6&lt;&gt;"",COUNTIF(BP$4:BP6,BP6)=1),1,0)</f>
        <v>3</v>
      </c>
      <c r="BR6" s="50">
        <f t="shared" si="28"/>
        <v>21.06</v>
      </c>
      <c r="BS6" s="50">
        <f>IF('Final Calculation Sheet'!$M$6="","",'Final Calculation Sheet'!$M$6)</f>
        <v>1082.3904</v>
      </c>
      <c r="BT6">
        <f>IF(BS6="","",COUNTIFS(BS$4:BS$40,"&lt;"&amp;BS6,BS$4:BS$40,"&lt;&gt;"&amp;"")+COUNTIF(BS$4:BS6,BS6))</f>
        <v>8</v>
      </c>
      <c r="BU6" s="50">
        <f t="shared" si="29"/>
        <v>559.14299999999992</v>
      </c>
      <c r="BV6">
        <f>BV5+IF(AND(BU6&lt;&gt;"",COUNTIF(BU$4:BU6,BU6)=1),1,0)</f>
        <v>3</v>
      </c>
      <c r="BW6" s="50">
        <f t="shared" si="30"/>
        <v>559.14299999999992</v>
      </c>
      <c r="BX6" s="126">
        <f>IF('Final Calculation Sheet'!$N$6="","",'Final Calculation Sheet'!$N$6)</f>
        <v>18.345600000000001</v>
      </c>
      <c r="BY6">
        <f>IF(BX6="","",COUNTIFS(BX$4:BX$40,"&lt;"&amp;BX6,BX$4:BX$40,"&lt;&gt;"&amp;"")+COUNTIF(BX$4:BX6,BX6))</f>
        <v>8</v>
      </c>
      <c r="BZ6" s="126">
        <f t="shared" si="31"/>
        <v>9.4770000000000003</v>
      </c>
      <c r="CA6">
        <f>CA5+IF(AND(BZ6&lt;&gt;"",COUNTIF(BZ$4:BZ6,BZ6)=1),1,0)</f>
        <v>3</v>
      </c>
      <c r="CB6" s="126">
        <f t="shared" si="32"/>
        <v>9.4770000000000003</v>
      </c>
      <c r="CC6" s="50">
        <f>IF('Final Calculation Sheet'!$O$6="","",'Final Calculation Sheet'!$O$6)</f>
        <v>1064.0447999999999</v>
      </c>
      <c r="CD6">
        <f>IF(CC6="","",COUNTIFS(CC$4:CC$40,"&lt;"&amp;CC6,CC$4:CC$40,"&lt;&gt;"&amp;"")+COUNTIF(CC$4:CC6,CC6))</f>
        <v>8</v>
      </c>
      <c r="CE6" s="50">
        <f t="shared" si="33"/>
        <v>549.66599999999994</v>
      </c>
      <c r="CF6">
        <f>CF5+IF(AND(CE6&lt;&gt;"",COUNTIF(CE$4:CE6,CE6)=1),1,0)</f>
        <v>3</v>
      </c>
      <c r="CG6" s="50">
        <f t="shared" si="34"/>
        <v>549.66599999999994</v>
      </c>
      <c r="CH6" s="50">
        <f>IF('Final Calculation Sheet'!$P$6="","",'Final Calculation Sheet'!$P$6)</f>
        <v>1105</v>
      </c>
      <c r="CI6">
        <f>IF(CH6="","",COUNTIFS(CH$4:CH$40,"&lt;"&amp;CH6,CH$4:CH$40,"&lt;&gt;"&amp;"")+COUNTIF(CH$4:CH6,CH6))</f>
        <v>8</v>
      </c>
      <c r="CJ6" s="50">
        <f t="shared" si="35"/>
        <v>571</v>
      </c>
      <c r="CK6">
        <f>CK5+IF(AND(CJ6&lt;&gt;"",COUNTIF(CJ$4:CJ6,CJ6)=1),1,0)</f>
        <v>3</v>
      </c>
      <c r="CL6" s="50">
        <f t="shared" si="36"/>
        <v>571</v>
      </c>
      <c r="CM6" s="127">
        <f>IF('Final Calculation Sheet'!$Q$6="","",'Final Calculation Sheet'!$Q$6)</f>
        <v>0</v>
      </c>
      <c r="CN6">
        <f>IF(CM6="","",COUNTIFS(CM$4:CM$40,"&lt;"&amp;CM6,CM$4:CM$40,"&lt;&gt;"&amp;"")+COUNTIF(CM$4:CM6,CM6))</f>
        <v>2</v>
      </c>
      <c r="CO6" s="127">
        <f t="shared" si="37"/>
        <v>0</v>
      </c>
      <c r="CP6">
        <f>CP5+IF(AND(CO6&lt;&gt;"",COUNTIF(CO$4:CO6,CO6)=1),1,0)</f>
        <v>1</v>
      </c>
      <c r="CQ6" t="str">
        <f t="shared" si="38"/>
        <v/>
      </c>
      <c r="CR6" s="50">
        <f>IF('Final Calculation Sheet'!$R$6="","",'Final Calculation Sheet'!$R$6)</f>
        <v>0</v>
      </c>
      <c r="CS6">
        <f>IF(CR6="","",COUNTIFS(CR$4:CR$40,"&lt;"&amp;CR6,CR$4:CR$40,"&lt;&gt;"&amp;"")+COUNTIF(CR$4:CR6,CR6))</f>
        <v>2</v>
      </c>
      <c r="CT6" s="50">
        <f t="shared" si="39"/>
        <v>0</v>
      </c>
      <c r="CU6">
        <f>CU5+IF(AND(CT6&lt;&gt;"",COUNTIF(CT$4:CT6,CT6)=1),1,0)</f>
        <v>1</v>
      </c>
      <c r="CV6" s="50">
        <f t="shared" si="40"/>
        <v>15802</v>
      </c>
      <c r="CW6" s="50">
        <f>IF('Final Calculation Sheet'!$S$6="","",'Final Calculation Sheet'!$S$6)</f>
        <v>47964</v>
      </c>
      <c r="CX6">
        <f>IF(CW6="","",COUNTIFS(CW$4:CW$40,"&lt;"&amp;CW6,CW$4:CW$40,"&lt;&gt;"&amp;"")+COUNTIF(CW$4:CW6,CW6))</f>
        <v>8</v>
      </c>
      <c r="CY6" s="50">
        <f t="shared" si="41"/>
        <v>24777</v>
      </c>
      <c r="CZ6">
        <f>CZ5+IF(AND(CY6&lt;&gt;"",COUNTIF(CY$4:CY6,CY6)=1),1,0)</f>
        <v>3</v>
      </c>
      <c r="DA6" s="50">
        <f t="shared" si="42"/>
        <v>24777</v>
      </c>
      <c r="DB6" s="50">
        <f>IF('Final Calculation Sheet'!$T$6="","",'Final Calculation Sheet'!$T$6)</f>
        <v>10192</v>
      </c>
      <c r="DC6">
        <f>IF(DB6="","",COUNTIFS(DB$4:DB$40,"&lt;"&amp;DB6,DB$4:DB$40,"&lt;&gt;"&amp;"")+COUNTIF(DB$4:DB6,DB6))</f>
        <v>8</v>
      </c>
      <c r="DD6" s="50">
        <f t="shared" si="43"/>
        <v>5265</v>
      </c>
      <c r="DE6">
        <f>DE5+IF(AND(DD6&lt;&gt;"",COUNTIF(DD$4:DD6,DD6)=1),1,0)</f>
        <v>3</v>
      </c>
      <c r="DF6" s="50">
        <f t="shared" si="44"/>
        <v>5265</v>
      </c>
      <c r="DG6" s="128">
        <f>IF('Final Calculation Sheet'!$U$6="","",'Final Calculation Sheet'!$U$6)</f>
        <v>10192</v>
      </c>
      <c r="DH6">
        <f>IF(DG6="","",COUNTIFS(DG$4:DG$40,"&lt;"&amp;DG6,DG$4:DG$40,"&lt;&gt;"&amp;"")+COUNTIF(DG$4:DG6,DG6))</f>
        <v>8</v>
      </c>
      <c r="DI6" s="128">
        <f t="shared" si="45"/>
        <v>5265</v>
      </c>
      <c r="DJ6">
        <f>DJ5+IF(AND(DI6&lt;&gt;"",COUNTIF(DI$4:DI6,DI6)=1),1,0)</f>
        <v>3</v>
      </c>
      <c r="DK6" s="128">
        <f t="shared" si="46"/>
        <v>5265</v>
      </c>
      <c r="DL6" t="str">
        <f>IF('Final Calculation Sheet'!$V$6="","",'Final Calculation Sheet'!$V$6)</f>
        <v>11.08.2026</v>
      </c>
      <c r="DM6">
        <f>IF(DL6="","",COUNTIFS(DL$4:DL$40,"&lt;"&amp;DL6,DL$4:DL$40,"&lt;&gt;"&amp;"")+COUNTIF(DL$4:DL6,DL6))</f>
        <v>2</v>
      </c>
      <c r="DN6" t="str">
        <f t="shared" si="47"/>
        <v>11.08.2026</v>
      </c>
      <c r="DO6">
        <f>DO5+IF(AND(DN6&lt;&gt;"",COUNTIF(DN$4:DN6,DN6)=1),1,0)</f>
        <v>2</v>
      </c>
      <c r="DP6" t="str">
        <f t="shared" si="48"/>
        <v>13.08.2026</v>
      </c>
      <c r="DQ6" s="50">
        <f>IF('Final Calculation Sheet'!$W$6="","",'Final Calculation Sheet'!$W$6)</f>
        <v>37772</v>
      </c>
      <c r="DR6">
        <f>IF(DQ6="","",COUNTIFS(DQ$4:DQ$40,"&lt;"&amp;DQ6,DQ$4:DQ$40,"&lt;&gt;"&amp;"")+COUNTIF(DQ$4:DQ6,DQ6))</f>
        <v>8</v>
      </c>
      <c r="DS6" s="50">
        <f t="shared" si="49"/>
        <v>19512</v>
      </c>
      <c r="DT6">
        <f>DT5+IF(AND(DS6&lt;&gt;"",COUNTIF(DS$4:DS6,DS6)=1),1,0)</f>
        <v>3</v>
      </c>
      <c r="DU6" s="50">
        <f t="shared" si="50"/>
        <v>19512</v>
      </c>
      <c r="DV6" s="50">
        <f>IF('Final Calculation Sheet'!$X$6="","",'Final Calculation Sheet'!$X$6)</f>
        <v>37772</v>
      </c>
      <c r="DW6">
        <f>IF(DV6="","",COUNTIFS(DV$4:DV$40,"&lt;"&amp;DV6,DV$4:DV$40,"&lt;&gt;"&amp;"")+COUNTIF(DV$4:DV6,DV6))</f>
        <v>8</v>
      </c>
      <c r="DX6" s="50">
        <f t="shared" si="51"/>
        <v>19512</v>
      </c>
      <c r="DY6">
        <f>DY5+IF(AND(DX6&lt;&gt;"",COUNTIF(DX$4:DX6,DX6)=1),1,0)</f>
        <v>3</v>
      </c>
      <c r="DZ6" t="e">
        <f t="shared" si="52"/>
        <v>#N/A</v>
      </c>
      <c r="EA6" t="str">
        <f>IF('Final Calculation Sheet'!$Y$6="","",'Final Calculation Sheet'!$Y$6)</f>
        <v>20.08.2026</v>
      </c>
      <c r="EB6">
        <f>IF(EA6="","",COUNTIFS(EA$4:EA$40,"&lt;"&amp;EA6,EA$4:EA$40,"&lt;&gt;"&amp;"")+COUNTIF(EA$4:EA6,EA6))</f>
        <v>14</v>
      </c>
      <c r="EC6" t="str">
        <f t="shared" si="53"/>
        <v>10.08.2026</v>
      </c>
      <c r="ED6">
        <f>ED5+IF(AND(EC6&lt;&gt;"",COUNTIF(EC$4:EC6,EC6)=1),1,0)</f>
        <v>2</v>
      </c>
      <c r="EE6" t="e">
        <f t="shared" si="54"/>
        <v>#N/A</v>
      </c>
      <c r="EF6" s="50">
        <f ca="1">IF('Final Calculation Sheet'!$Z$6="","",'Final Calculation Sheet'!$Z$6)</f>
        <v>1443.1871999999998</v>
      </c>
      <c r="EG6">
        <f ca="1">IF(EF6="","",COUNTIFS(EF$4:EF$40,"&lt;"&amp;EF6,EF$4:EF$40,"&lt;&gt;"&amp;"")+COUNTIF(EF$4:EF6,EF6))</f>
        <v>8</v>
      </c>
      <c r="EH6" s="50">
        <f t="shared" ca="1" si="55"/>
        <v>708.28319999999997</v>
      </c>
      <c r="EI6">
        <f ca="1">EI5+IF(AND(EH6&lt;&gt;"",COUNTIF(EH$4:EH6,EH6)=1),1,0)</f>
        <v>3</v>
      </c>
      <c r="EJ6" s="50">
        <f t="shared" ca="1" si="56"/>
        <v>708.28319999999997</v>
      </c>
      <c r="EK6" t="str">
        <f>IF('Final Calculation Sheet'!$AA$6="","",'Final Calculation Sheet'!$AA$6)</f>
        <v/>
      </c>
      <c r="EL6" t="str">
        <f>IF(EK6="","",COUNTIFS(EK$4:EK$40,"&lt;"&amp;EK6,EK$4:EK$40,"&lt;&gt;"&amp;"")+COUNTIF(EK$4:EK6,EK6))</f>
        <v/>
      </c>
      <c r="EM6" t="e">
        <f t="shared" si="57"/>
        <v>#N/A</v>
      </c>
      <c r="EN6" t="e">
        <f>EN5+IF(AND(EM6&lt;&gt;"",COUNTIF(EM$4:EM6,EM6)=1),1,0)</f>
        <v>#N/A</v>
      </c>
      <c r="EO6" t="e">
        <f t="shared" si="58"/>
        <v>#N/A</v>
      </c>
      <c r="EP6" t="str">
        <f>IF('Final Calculation Sheet'!$AB$6="","",'Final Calculation Sheet'!$AB$6)</f>
        <v/>
      </c>
      <c r="EQ6" t="str">
        <f>IF(EP6="","",COUNTIFS(EP$4:EP$40,"&lt;"&amp;EP6,EP$4:EP$40,"&lt;&gt;"&amp;"")+COUNTIF(EP$4:EP6,EP6))</f>
        <v/>
      </c>
      <c r="ER6" t="e">
        <f t="shared" si="59"/>
        <v>#N/A</v>
      </c>
      <c r="ES6" t="e">
        <f>ES5+IF(AND(ER6&lt;&gt;"",COUNTIF(ER$4:ER6,ER6)=1),1,0)</f>
        <v>#N/A</v>
      </c>
      <c r="ET6" t="e">
        <f t="shared" si="60"/>
        <v>#N/A</v>
      </c>
      <c r="EU6" s="50">
        <f>IF('Final Calculation Sheet'!$AC$6="","",'Final Calculation Sheet'!$AC$6)</f>
        <v>47964</v>
      </c>
      <c r="EV6">
        <f>IF(EU6="","",COUNTIFS(EU$4:EU$40,"&lt;"&amp;EU6,EU$4:EU$40,"&lt;&gt;"&amp;"")+COUNTIF(EU$4:EU6,EU6))</f>
        <v>9</v>
      </c>
      <c r="EW6" s="50">
        <f t="shared" si="61"/>
        <v>20589</v>
      </c>
      <c r="EX6">
        <f>EX5+IF(AND(EW6&lt;&gt;"",COUNTIF(EW$4:EW6,EW6)=1),1,0)</f>
        <v>3</v>
      </c>
      <c r="EY6" s="50">
        <f t="shared" si="62"/>
        <v>20589</v>
      </c>
      <c r="EZ6" s="50">
        <f>IF('Final Calculation Sheet'!$AD$6="","",'Final Calculation Sheet'!$AD$6)</f>
        <v>0</v>
      </c>
      <c r="FA6">
        <f>IF(EZ6="","",COUNTIFS(EZ$4:EZ$40,"&lt;"&amp;EZ6,EZ$4:EZ$40,"&lt;&gt;"&amp;"")+COUNTIF(EZ$4:EZ6,EZ6))</f>
        <v>10</v>
      </c>
      <c r="FB6" s="50">
        <f t="shared" si="63"/>
        <v>-48</v>
      </c>
      <c r="FC6">
        <f>FC5+IF(AND(FB6&lt;&gt;"",COUNTIF(FB$4:FB6,FB6)=1),1,0)</f>
        <v>3</v>
      </c>
      <c r="FD6" s="50">
        <f t="shared" si="64"/>
        <v>-48</v>
      </c>
      <c r="FE6" t="str">
        <f>IF('Final Calculation Sheet'!$AF$6="","",'Final Calculation Sheet'!$AF$6)</f>
        <v>DR2640100047</v>
      </c>
      <c r="FF6">
        <f>IF(FE6="","",COUNTIFS(FE$4:FE$40,"&lt;"&amp;FE6,FE$4:FE$40,"&lt;&gt;"&amp;"")+COUNTIF(FE$4:FE6,FE6))</f>
        <v>36</v>
      </c>
      <c r="FG6" t="e">
        <f t="shared" si="65"/>
        <v>#N/A</v>
      </c>
      <c r="FH6" t="e">
        <f>FH5+IF(AND(FG6&lt;&gt;"",COUNTIF(FG$4:FG6,FG6)=1),1,0)</f>
        <v>#N/A</v>
      </c>
      <c r="FI6" t="e">
        <f t="shared" si="66"/>
        <v>#N/A</v>
      </c>
      <c r="FJ6" s="129">
        <f>IF('Final Calculation Sheet'!$AG$6="","",'Final Calculation Sheet'!$AG$6)</f>
        <v>1800003346</v>
      </c>
      <c r="FK6">
        <f>IF(FJ6="","",COUNTIFS(FJ$4:FJ$40,"&lt;"&amp;FJ6,FJ$4:FJ$40,"&lt;&gt;"&amp;"")+COUNTIF(FJ$4:FJ6,FJ6))</f>
        <v>31</v>
      </c>
      <c r="FL6" s="129">
        <f t="shared" si="67"/>
        <v>1800003157</v>
      </c>
      <c r="FM6">
        <f>FM5+IF(AND(FL6&lt;&gt;"",COUNTIF(FL$4:FL6,FL6)=1),1,0)</f>
        <v>3</v>
      </c>
      <c r="FN6" t="e">
        <f t="shared" si="68"/>
        <v>#N/A</v>
      </c>
      <c r="FO6" t="str">
        <f>IF('Final Calculation Sheet'!$AH$6="","",'Final Calculation Sheet'!$AH$6)</f>
        <v>27.08.2026</v>
      </c>
      <c r="FP6">
        <f>IF(FO6="","",COUNTIFS(FO$4:FO$40,"&lt;"&amp;FO6,FO$4:FO$40,"&lt;&gt;"&amp;"")+COUNTIF(FO$4:FO6,FO6))</f>
        <v>20</v>
      </c>
      <c r="FQ6" t="e">
        <f t="shared" si="69"/>
        <v>#N/A</v>
      </c>
      <c r="FR6" t="e">
        <f>FR5+IF(AND(FQ6&lt;&gt;"",COUNTIF(FQ$4:FQ6,FQ6)=1),1,0)</f>
        <v>#N/A</v>
      </c>
      <c r="FS6" t="e">
        <f t="shared" si="70"/>
        <v>#N/A</v>
      </c>
      <c r="FU6" t="str">
        <f>IF(FT6="","",COUNTIFS(FT$4:FT$40,"&lt;"&amp;FT6,FT$4:FT$40,"&lt;&gt;"&amp;"")+COUNTIF(FT$4:FT6,FT6))</f>
        <v/>
      </c>
      <c r="FV6" t="str">
        <f t="shared" si="71"/>
        <v/>
      </c>
      <c r="FW6">
        <f>FW5+IF(AND(FV6&lt;&gt;"",COUNTIF(FV$4:FV6,FV6)=1),1,0)</f>
        <v>2</v>
      </c>
      <c r="FX6" t="str">
        <f t="shared" si="72"/>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6" t="b">
        <f>IF($Y$6="",FALSE,SUMPRODUCT(('Final Calculation Sheet'!$B$4:$B$40=$Y$6)*($FY$6:$FY$42=1))&gt;0)</f>
        <v>1</v>
      </c>
      <c r="GA6">
        <f>$GA$5+--($FZ$6)</f>
        <v>3</v>
      </c>
      <c r="GB6" t="str">
        <f t="shared" si="73"/>
        <v>SCRAP ACSR CONDUCTORS (Conductor Pieces)</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D6" t="b">
        <f>IF($O$6="",FALSE,SUMPRODUCT(('Final Calculation Sheet'!$F$4:$F$40=$O$6)*($GC$6:$GC$42=1))&gt;0)</f>
        <v>1</v>
      </c>
      <c r="GE6">
        <f>$GE$5+--($GD6)</f>
        <v>3</v>
      </c>
      <c r="GF6">
        <f t="shared" si="74"/>
        <v>1875</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H6" t="b">
        <f>IF($T$6="",FALSE,SUMPRODUCT(('Final Calculation Sheet'!$G$4:$G$40=$T$6)*($GG$6:$GG$42=1))&gt;0)</f>
        <v>1</v>
      </c>
      <c r="GI6">
        <f>$GI$5+--($GH6)</f>
        <v>3</v>
      </c>
      <c r="GJ6" t="str">
        <f t="shared" si="75"/>
        <v>HIND TRADERS</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L6" t="b">
        <f>IF($AD$6="",FALSE,SUMPRODUCT(('Final Calculation Sheet'!$D$4:$D$40=$AD$6)*($GK$6:$GK$42=1))&gt;0)</f>
        <v>1</v>
      </c>
      <c r="GM6">
        <f>$GM$5+--($GL6)</f>
        <v>3</v>
      </c>
      <c r="GN6">
        <f t="shared" si="76"/>
        <v>21979</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P6" t="b">
        <f>IF($AI$6="",FALSE,SUMPRODUCT(('Final Calculation Sheet'!$A$4:$A$40=$AI$6)*($GO$6:$GO$42=1))&gt;0)</f>
        <v>1</v>
      </c>
      <c r="GQ6">
        <f>$GQ$5+--($GP6)</f>
        <v>3</v>
      </c>
      <c r="GR6">
        <f t="shared" si="77"/>
        <v>3</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T6" t="b">
        <f>IF($AN$6="",FALSE,SUMPRODUCT(('Final Calculation Sheet'!$E$4:$E$40=$AN$6)*($GS$6:$GS$42=1))&gt;0)</f>
        <v>1</v>
      </c>
      <c r="GU6">
        <f>$GU$5+--($GT6)</f>
        <v>3</v>
      </c>
      <c r="GV6" t="str">
        <f t="shared" si="78"/>
        <v>NO</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X6" t="b">
        <f>IF($AS$6="",FALSE,SUMPRODUCT(('Final Calculation Sheet'!$C$4:$C$40=$AS$6)*($GW$6:$GW$42=1))&gt;0)</f>
        <v>1</v>
      </c>
      <c r="GY6">
        <f>$GY$5+--($GX6)</f>
        <v>3</v>
      </c>
      <c r="GZ6">
        <f t="shared" si="79"/>
        <v>309</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B6" t="b">
        <f>IF($AX$6="",FALSE,SUMPRODUCT(('Final Calculation Sheet'!$H$4:$H$40=$AX$6)*($HA$6:$HA$42=1))&gt;0)</f>
        <v>1</v>
      </c>
      <c r="HC6">
        <f>$HC$5+--($HB6)</f>
        <v>3</v>
      </c>
      <c r="HD6">
        <f t="shared" si="80"/>
        <v>21060</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F6" t="b">
        <f>IF($BC$6="",FALSE,SUMPRODUCT(('Final Calculation Sheet'!$I$4:$I$40=$BC$6)*($HE$6:$HE$42=1))&gt;0)</f>
        <v>1</v>
      </c>
      <c r="HG6">
        <f>$HG$5+--($HF6)</f>
        <v>3</v>
      </c>
      <c r="HH6">
        <f t="shared" si="81"/>
        <v>3791</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J6" t="b">
        <f>IF($BH$6="",FALSE,SUMPRODUCT(('Final Calculation Sheet'!$J$4:$J$40=$BH$6)*($HI$6:$HI$42=1))&gt;0)</f>
        <v>1</v>
      </c>
      <c r="HK6">
        <f>$HK$5+--($HJ6)</f>
        <v>3</v>
      </c>
      <c r="HL6">
        <f t="shared" si="82"/>
        <v>24851</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N6" t="b">
        <f>IF($BM$6="",FALSE,SUMPRODUCT(('Final Calculation Sheet'!$K$4:$K$40=$BM$6)*($HM$6:$HM$42=1))&gt;0)</f>
        <v>1</v>
      </c>
      <c r="HO6">
        <f>$HO$5+--($HN6)</f>
        <v>3</v>
      </c>
      <c r="HP6">
        <f t="shared" si="83"/>
        <v>497</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R6" t="b">
        <f>IF($BR$6="",FALSE,SUMPRODUCT(('Final Calculation Sheet'!$L$4:$L$40=$BR$6)*($HQ$6:$HQ$42=1))&gt;0)</f>
        <v>1</v>
      </c>
      <c r="HS6">
        <f>$HS$5+--($HR6)</f>
        <v>3</v>
      </c>
      <c r="HT6">
        <f t="shared" si="84"/>
        <v>21.06</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V6" t="b">
        <f>IF($BW$6="",FALSE,SUMPRODUCT(('Final Calculation Sheet'!$M$4:$M$40=$BW$6)*($HU$6:$HU$42=1))&gt;0)</f>
        <v>1</v>
      </c>
      <c r="HW6">
        <f>$HW$5+--($HV6)</f>
        <v>3</v>
      </c>
      <c r="HX6">
        <f t="shared" si="85"/>
        <v>559.14299999999992</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HZ6" t="b">
        <f>IF($CB$6="",FALSE,SUMPRODUCT(('Final Calculation Sheet'!$N$4:$N$40=$CB$6)*($HY$6:$HY$42=1))&gt;0)</f>
        <v>1</v>
      </c>
      <c r="IA6">
        <f>$IA$5+--($HZ6)</f>
        <v>3</v>
      </c>
      <c r="IB6">
        <f t="shared" si="86"/>
        <v>9.4770000000000003</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D6" t="b">
        <f>IF($CG$6="",FALSE,SUMPRODUCT(('Final Calculation Sheet'!$O$4:$O$40=$CG$6)*($IC$6:$IC$42=1))&gt;0)</f>
        <v>1</v>
      </c>
      <c r="IE6">
        <f>$IE$5+--($ID6)</f>
        <v>3</v>
      </c>
      <c r="IF6">
        <f t="shared" si="87"/>
        <v>549.66599999999994</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H6" t="b">
        <f>IF($CL$6="",FALSE,SUMPRODUCT(('Final Calculation Sheet'!$P$4:$P$40=$CL$6)*($IG$6:$IG$42=1))&gt;0)</f>
        <v>1</v>
      </c>
      <c r="II6">
        <f>$II$5+--($IH6)</f>
        <v>3</v>
      </c>
      <c r="IJ6">
        <f t="shared" si="88"/>
        <v>571</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L6" t="b">
        <f>IF($CQ$6="",FALSE,SUMPRODUCT(('Final Calculation Sheet'!$Q$4:$Q$40=$CQ$6)*($IK$6:$IK$42=1))&gt;0)</f>
        <v>0</v>
      </c>
      <c r="IM6">
        <f>$IM$5+--($IL6)</f>
        <v>2</v>
      </c>
      <c r="IN6" t="str">
        <f t="shared" si="89"/>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P6" t="b">
        <f>IF($CV$6="",FALSE,SUMPRODUCT(('Final Calculation Sheet'!$R$4:$R$40=$CV$6)*($IO$6:$IO$42=1))&gt;0)</f>
        <v>1</v>
      </c>
      <c r="IQ6">
        <f>$IQ$5+--($IP6)</f>
        <v>3</v>
      </c>
      <c r="IR6">
        <f t="shared" si="90"/>
        <v>15802</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T6" t="b">
        <f>IF($DA$6="",FALSE,SUMPRODUCT(('Final Calculation Sheet'!$S$4:$S$40=$DA$6)*($IS$6:$IS$42=1))&gt;0)</f>
        <v>1</v>
      </c>
      <c r="IU6">
        <f>$IU$5+--($IT6)</f>
        <v>3</v>
      </c>
      <c r="IV6">
        <f t="shared" si="91"/>
        <v>24777</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IX6" t="b">
        <f>IF($DF$6="",FALSE,SUMPRODUCT(('Final Calculation Sheet'!$T$4:$T$40=$DF$6)*($IW$6:$IW$42=1))&gt;0)</f>
        <v>1</v>
      </c>
      <c r="IY6">
        <f>$IY$5+--($IX6)</f>
        <v>3</v>
      </c>
      <c r="IZ6">
        <f t="shared" si="92"/>
        <v>5265</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B6" t="b">
        <f>IF($DK$6="",FALSE,SUMPRODUCT(('Final Calculation Sheet'!$U$4:$U$40=$DK$6)*($JA$6:$JA$42=1))&gt;0)</f>
        <v>1</v>
      </c>
      <c r="JC6">
        <f>$JC$5+--($JB6)</f>
        <v>3</v>
      </c>
      <c r="JD6">
        <f t="shared" si="93"/>
        <v>5265</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F6" t="b">
        <f>IF($DP$6="",FALSE,SUMPRODUCT(('Final Calculation Sheet'!$V$4:$V$40=$DP$6)*($JE$6:$JE$42=1))&gt;0)</f>
        <v>1</v>
      </c>
      <c r="JG6">
        <f>$JG$5+--($JF6)</f>
        <v>3</v>
      </c>
      <c r="JH6" t="str">
        <f t="shared" si="94"/>
        <v>13.08.2026</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J6" t="b">
        <f>IF($DU$6="",FALSE,SUMPRODUCT(('Final Calculation Sheet'!$W$4:$W$40=$DU$6)*($JI$6:$JI$42=1))&gt;0)</f>
        <v>1</v>
      </c>
      <c r="JK6">
        <f>$JK$5+--($JJ6)</f>
        <v>3</v>
      </c>
      <c r="JL6">
        <f t="shared" si="95"/>
        <v>19512</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N6" t="e">
        <f>IF($DZ$6="",FALSE,SUMPRODUCT(('Final Calculation Sheet'!$X$4:$X$40=$DZ$6)*($JM$6:$JM$42=1))&gt;0)</f>
        <v>#N/A</v>
      </c>
      <c r="JO6" t="e">
        <f>$JO$5+--($JN6)</f>
        <v>#N/A</v>
      </c>
      <c r="JP6" t="e">
        <f t="shared" si="96"/>
        <v>#N/A</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R6" t="e">
        <f>IF($EE$6="",FALSE,SUMPRODUCT(('Final Calculation Sheet'!$Y$4:$Y$40=$EE$6)*($JQ$6:$JQ$42=1))&gt;0)</f>
        <v>#N/A</v>
      </c>
      <c r="JS6" t="e">
        <f>$JS$5+--($JR6)</f>
        <v>#N/A</v>
      </c>
      <c r="JT6" t="e">
        <f t="shared" si="97"/>
        <v>#N/A</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V6" t="b">
        <f ca="1">IF($EJ$6="",FALSE,SUMPRODUCT(('Final Calculation Sheet'!$Z$4:$Z$40=$EJ$6)*($JU$6:$JU$42=1))&gt;0)</f>
        <v>1</v>
      </c>
      <c r="JW6">
        <f ca="1">$JW$5+--($JV6)</f>
        <v>3</v>
      </c>
      <c r="JX6">
        <f t="shared" ca="1" si="98"/>
        <v>708.28319999999997</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JZ6" t="e">
        <f>IF($EO$6="",FALSE,SUMPRODUCT(('Final Calculation Sheet'!$AA$4:$AA$40=$EO$6)*($JY$6:$JY$42=1))&gt;0)</f>
        <v>#N/A</v>
      </c>
      <c r="KA6" t="e">
        <f>$KA$5+--($JZ6)</f>
        <v>#N/A</v>
      </c>
      <c r="KB6" t="e">
        <f t="shared" si="99"/>
        <v>#N/A</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D6" t="e">
        <f>IF($ET$6="",FALSE,SUMPRODUCT(('Final Calculation Sheet'!$AB$4:$AB$40=$ET$6)*($KC$6:$KC$42=1))&gt;0)</f>
        <v>#N/A</v>
      </c>
      <c r="KE6" t="e">
        <f>$KE$5+--($KD6)</f>
        <v>#N/A</v>
      </c>
      <c r="KF6" t="e">
        <f t="shared" si="100"/>
        <v>#N/A</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H6" t="b">
        <f>IF($EY$6="",FALSE,SUMPRODUCT(('Final Calculation Sheet'!$AC$4:$AC$40=$EY$6)*($KG$6:$KG$42=1))&gt;0)</f>
        <v>1</v>
      </c>
      <c r="KI6">
        <f>$KI$5+--($KH6)</f>
        <v>3</v>
      </c>
      <c r="KJ6">
        <f t="shared" si="101"/>
        <v>20589</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L6" t="b">
        <f>IF($FD$6="",FALSE,SUMPRODUCT(('Final Calculation Sheet'!$AD$4:$AD$40=$FD$6)*($KK$6:$KK$42=1))&gt;0)</f>
        <v>1</v>
      </c>
      <c r="KM6">
        <f>$KM$5+--($KL6)</f>
        <v>3</v>
      </c>
      <c r="KN6">
        <f t="shared" si="102"/>
        <v>-48</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P6" t="b">
        <f>IF($FX$6="",FALSE,SUMPRODUCT((IF('Final Calculation Sheet'!$AD$4:$AD$40&lt;=5,"SETTLED","OUTSTANDING")=$FX$6)*($KO$6:$KO$42=1))&gt;0)</f>
        <v>0</v>
      </c>
      <c r="KQ6">
        <f>$KQ$5+--($KP6)</f>
        <v>1</v>
      </c>
      <c r="KR6" t="str">
        <f t="shared" si="103"/>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T6" t="e">
        <f>IF($FI$6="",FALSE,SUMPRODUCT(('Final Calculation Sheet'!$AF$4:$AF$40=$FI$6)*($KS$6:$KS$42=1))&gt;0)</f>
        <v>#N/A</v>
      </c>
      <c r="KU6" t="e">
        <f>$KU$5+--($KT6)</f>
        <v>#N/A</v>
      </c>
      <c r="KV6" t="e">
        <f t="shared" si="104"/>
        <v>#N/A</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KX6" t="e">
        <f>IF($FN$6="",FALSE,SUMPRODUCT(('Final Calculation Sheet'!$AG$4:$AG$40=$FN$6)*($KW$6:$KW$42=1))&gt;0)</f>
        <v>#N/A</v>
      </c>
      <c r="KY6" t="e">
        <f>$KY$5+--($KX6)</f>
        <v>#N/A</v>
      </c>
      <c r="KZ6" t="e">
        <f t="shared" si="105"/>
        <v>#N/A</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LB6" t="e">
        <f>IF($FS$6="",FALSE,SUMPRODUCT(('Final Calculation Sheet'!$AH$4:$AH$40=$FS$6)*($LA$6:$LA$42=1))&gt;0)</f>
        <v>#N/A</v>
      </c>
      <c r="LC6" t="e">
        <f>$LC$5+--($LB6)</f>
        <v>#N/A</v>
      </c>
      <c r="LD6" t="e">
        <f t="shared" si="106"/>
        <v>#N/A</v>
      </c>
      <c r="LE6">
        <f>IF(COUNTIF('Buyer Groups'!DH6:EN6,0)&gt;0,0,1)</f>
        <v>1</v>
      </c>
      <c r="LF6" t="b">
        <f>IF($O$6="",FALSE,SUMPRODUCT(('Final Calculation Sheet'!$F$4:$F$40=$O$6)*($LE$6:$LE$42=1))&gt;0)</f>
        <v>1</v>
      </c>
      <c r="LG6">
        <f>$LG$5+--($LF6)</f>
        <v>3</v>
      </c>
      <c r="LH6">
        <f t="shared" si="107"/>
        <v>1875</v>
      </c>
      <c r="LI6">
        <f>IF(COUNTIF('Buyer Groups'!DG6:DG6,0)+COUNTIF('Buyer Groups'!DI6:EN6,0)&gt;0,0,1)</f>
        <v>1</v>
      </c>
      <c r="LJ6" t="b">
        <f>IF($T$6="",FALSE,SUMPRODUCT(('Final Calculation Sheet'!$G$4:$G$40=$T$6)*($LI$6:$LI$42=1))&gt;0)</f>
        <v>1</v>
      </c>
      <c r="LK6">
        <f>$LK$5+--($LJ6)</f>
        <v>3</v>
      </c>
      <c r="LL6" t="str">
        <f t="shared" si="108"/>
        <v>HIND TRADERS</v>
      </c>
      <c r="LM6">
        <f>IF(COUNTIF('Buyer Groups'!DG6:DH6,0)+COUNTIF('Buyer Groups'!DJ6:EN6,0)&gt;0,0,1)</f>
        <v>1</v>
      </c>
      <c r="LN6" t="b">
        <f>IF($Y$6="",FALSE,SUMPRODUCT(('Final Calculation Sheet'!$B$4:$B$40=$Y$6)*($LM$6:$LM$42=1))&gt;0)</f>
        <v>1</v>
      </c>
      <c r="LO6">
        <f>$LO$5+--($LN6)</f>
        <v>3</v>
      </c>
      <c r="LP6" t="str">
        <f t="shared" si="109"/>
        <v>SCRAP ACSR CONDUCTORS (Conductor Pieces)</v>
      </c>
      <c r="LQ6">
        <f>IF(COUNTIF('Buyer Groups'!DG6:DI6,0)+COUNTIF('Buyer Groups'!DK6:EN6,0)&gt;0,0,1)</f>
        <v>1</v>
      </c>
      <c r="LR6" t="b">
        <f>IF($AD$6="",FALSE,SUMPRODUCT(('Final Calculation Sheet'!$D$4:$D$40=$AD$6)*($LQ$6:$LQ$42=1))&gt;0)</f>
        <v>1</v>
      </c>
      <c r="LS6">
        <f>$LS$5+--($LR6)</f>
        <v>3</v>
      </c>
      <c r="LT6">
        <f t="shared" si="110"/>
        <v>21979</v>
      </c>
      <c r="LU6">
        <f>IF(COUNTIF('Buyer Groups'!DG6:DJ6,0)+COUNTIF('Buyer Groups'!DL6:EN6,0)&gt;0,0,1)</f>
        <v>1</v>
      </c>
      <c r="LV6" t="b">
        <f>IF($AI$6="",FALSE,SUMPRODUCT(('Final Calculation Sheet'!$A$4:$A$40=$AI$6)*($LU$6:$LU$42=1))&gt;0)</f>
        <v>1</v>
      </c>
      <c r="LW6">
        <f>$LW$5+--($LV6)</f>
        <v>3</v>
      </c>
      <c r="LX6">
        <f t="shared" si="111"/>
        <v>3</v>
      </c>
      <c r="LY6">
        <f>IF(COUNTIF('Buyer Groups'!DG6:DK6,0)+COUNTIF('Buyer Groups'!DM6:EN6,0)&gt;0,0,1)</f>
        <v>1</v>
      </c>
      <c r="LZ6" t="b">
        <f>IF($AN$6="",FALSE,SUMPRODUCT(('Final Calculation Sheet'!$E$4:$E$40=$AN$6)*($LY$6:$LY$42=1))&gt;0)</f>
        <v>1</v>
      </c>
      <c r="MA6">
        <f>$MA$5+--($LZ6)</f>
        <v>3</v>
      </c>
      <c r="MB6" t="str">
        <f t="shared" si="112"/>
        <v>NO</v>
      </c>
      <c r="MC6">
        <f>IF(COUNTIF('Buyer Groups'!DG6:DL6,0)+COUNTIF('Buyer Groups'!DN6:EN6,0)&gt;0,0,1)</f>
        <v>1</v>
      </c>
      <c r="MD6" t="b">
        <f>IF($AS$6="",FALSE,SUMPRODUCT(('Final Calculation Sheet'!$C$4:$C$40=$AS$6)*($MC$6:$MC$42=1))&gt;0)</f>
        <v>1</v>
      </c>
      <c r="ME6">
        <f>$ME$5+--($MD6)</f>
        <v>3</v>
      </c>
      <c r="MF6">
        <f t="shared" si="113"/>
        <v>309</v>
      </c>
      <c r="MG6">
        <f>IF(COUNTIF('Buyer Groups'!DG6:DM6,0)+COUNTIF('Buyer Groups'!DO6:EN6,0)&gt;0,0,1)</f>
        <v>1</v>
      </c>
      <c r="MH6" t="b">
        <f>IF($AX$6="",FALSE,SUMPRODUCT(('Final Calculation Sheet'!$H$4:$H$40=$AX$6)*($MG$6:$MG$42=1))&gt;0)</f>
        <v>1</v>
      </c>
      <c r="MI6">
        <f>$MI$5+--($MH6)</f>
        <v>3</v>
      </c>
      <c r="MJ6">
        <f t="shared" si="114"/>
        <v>21060</v>
      </c>
      <c r="MK6">
        <f>IF(COUNTIF('Buyer Groups'!DG6:DN6,0)+COUNTIF('Buyer Groups'!DP6:EN6,0)&gt;0,0,1)</f>
        <v>1</v>
      </c>
      <c r="ML6" t="b">
        <f>IF($BC$6="",FALSE,SUMPRODUCT(('Final Calculation Sheet'!$I$4:$I$40=$BC$6)*($MK$6:$MK$42=1))&gt;0)</f>
        <v>1</v>
      </c>
      <c r="MM6">
        <f>$MM$5+--($ML6)</f>
        <v>3</v>
      </c>
      <c r="MN6">
        <f t="shared" si="115"/>
        <v>3791</v>
      </c>
      <c r="MO6">
        <f>IF(COUNTIF('Buyer Groups'!DG6:DO6,0)+COUNTIF('Buyer Groups'!DQ6:EN6,0)&gt;0,0,1)</f>
        <v>1</v>
      </c>
      <c r="MP6" t="b">
        <f>IF($BH$6="",FALSE,SUMPRODUCT(('Final Calculation Sheet'!$J$4:$J$40=$BH$6)*($MO$6:$MO$42=1))&gt;0)</f>
        <v>1</v>
      </c>
      <c r="MQ6">
        <f>$MQ$5+--($MP6)</f>
        <v>3</v>
      </c>
      <c r="MR6">
        <f t="shared" si="116"/>
        <v>24851</v>
      </c>
      <c r="MS6">
        <f>IF(COUNTIF('Buyer Groups'!DG6:DP6,0)+COUNTIF('Buyer Groups'!DR6:EN6,0)&gt;0,0,1)</f>
        <v>1</v>
      </c>
      <c r="MT6" t="b">
        <f>IF($BM$6="",FALSE,SUMPRODUCT(('Final Calculation Sheet'!$K$4:$K$40=$BM$6)*($MS$6:$MS$42=1))&gt;0)</f>
        <v>1</v>
      </c>
      <c r="MU6">
        <f>$MU$5+--($MT6)</f>
        <v>3</v>
      </c>
      <c r="MV6">
        <f t="shared" si="117"/>
        <v>497</v>
      </c>
      <c r="MW6">
        <f>IF(COUNTIF('Buyer Groups'!DG6:DQ6,0)+COUNTIF('Buyer Groups'!DS6:EN6,0)&gt;0,0,1)</f>
        <v>1</v>
      </c>
      <c r="MX6" t="b">
        <f>IF($BR$6="",FALSE,SUMPRODUCT(('Final Calculation Sheet'!$L$4:$L$40=$BR$6)*($MW$6:$MW$42=1))&gt;0)</f>
        <v>1</v>
      </c>
      <c r="MY6">
        <f>$MY$5+--($MX6)</f>
        <v>3</v>
      </c>
      <c r="MZ6">
        <f t="shared" si="118"/>
        <v>21.06</v>
      </c>
      <c r="NA6">
        <f>IF(COUNTIF('Buyer Groups'!DG6:DR6,0)+COUNTIF('Buyer Groups'!DT6:EN6,0)&gt;0,0,1)</f>
        <v>1</v>
      </c>
      <c r="NB6" t="b">
        <f>IF($BW$6="",FALSE,SUMPRODUCT(('Final Calculation Sheet'!$M$4:$M$40=$BW$6)*($NA$6:$NA$42=1))&gt;0)</f>
        <v>1</v>
      </c>
      <c r="NC6">
        <f>$NC$5+--($NB6)</f>
        <v>3</v>
      </c>
      <c r="ND6">
        <f t="shared" si="119"/>
        <v>559.14299999999992</v>
      </c>
      <c r="NE6">
        <f>IF(COUNTIF('Buyer Groups'!DG6:DS6,0)+COUNTIF('Buyer Groups'!DU6:EN6,0)&gt;0,0,1)</f>
        <v>1</v>
      </c>
      <c r="NF6" t="b">
        <f>IF($CB$6="",FALSE,SUMPRODUCT(('Final Calculation Sheet'!$N$4:$N$40=$CB$6)*($NE$6:$NE$42=1))&gt;0)</f>
        <v>1</v>
      </c>
      <c r="NG6">
        <f>$NG$5+--($NF6)</f>
        <v>3</v>
      </c>
      <c r="NH6">
        <f t="shared" si="120"/>
        <v>9.4770000000000003</v>
      </c>
      <c r="NI6">
        <f>IF(COUNTIF('Buyer Groups'!DG6:DT6,0)+COUNTIF('Buyer Groups'!DV6:EN6,0)&gt;0,0,1)</f>
        <v>1</v>
      </c>
      <c r="NJ6" t="b">
        <f>IF($CG$6="",FALSE,SUMPRODUCT(('Final Calculation Sheet'!$O$4:$O$40=$CG$6)*($NI$6:$NI$42=1))&gt;0)</f>
        <v>1</v>
      </c>
      <c r="NK6">
        <f>$NK$5+--($NJ6)</f>
        <v>3</v>
      </c>
      <c r="NL6">
        <f t="shared" si="121"/>
        <v>549.66599999999994</v>
      </c>
      <c r="NM6">
        <f>IF(COUNTIF('Buyer Groups'!DG6:DU6,0)+COUNTIF('Buyer Groups'!DW6:EN6,0)&gt;0,0,1)</f>
        <v>1</v>
      </c>
      <c r="NN6" t="b">
        <f>IF($CL$6="",FALSE,SUMPRODUCT(('Final Calculation Sheet'!$P$4:$P$40=$CL$6)*($NM$6:$NM$42=1))&gt;0)</f>
        <v>1</v>
      </c>
      <c r="NO6">
        <f>$NO$5+--($NN6)</f>
        <v>3</v>
      </c>
      <c r="NP6">
        <f t="shared" si="122"/>
        <v>571</v>
      </c>
      <c r="NQ6">
        <f>IF(COUNTIF('Buyer Groups'!DG6:DV6,0)+COUNTIF('Buyer Groups'!DX6:EN6,0)&gt;0,0,1)</f>
        <v>1</v>
      </c>
      <c r="NR6" t="b">
        <f>IF($CQ$6="",FALSE,SUMPRODUCT(('Final Calculation Sheet'!$Q$4:$Q$40=$CQ$6)*($NQ$6:$NQ$42=1))&gt;0)</f>
        <v>0</v>
      </c>
      <c r="NS6">
        <f>$NS$5+--($NR6)</f>
        <v>2</v>
      </c>
      <c r="NT6" t="str">
        <f t="shared" si="123"/>
        <v/>
      </c>
      <c r="NU6">
        <f>IF(COUNTIF('Buyer Groups'!DG6:DW6,0)+COUNTIF('Buyer Groups'!DY6:EN6,0)&gt;0,0,1)</f>
        <v>1</v>
      </c>
      <c r="NV6" t="b">
        <f>IF($CV$6="",FALSE,SUMPRODUCT(('Final Calculation Sheet'!$R$4:$R$40=$CV$6)*($NU$6:$NU$42=1))&gt;0)</f>
        <v>1</v>
      </c>
      <c r="NW6">
        <f>$NW$5+--($NV6)</f>
        <v>3</v>
      </c>
      <c r="NX6">
        <f t="shared" si="124"/>
        <v>15802</v>
      </c>
      <c r="NY6">
        <f>IF(COUNTIF('Buyer Groups'!DG6:DX6,0)+COUNTIF('Buyer Groups'!DZ6:EN6,0)&gt;0,0,1)</f>
        <v>1</v>
      </c>
      <c r="NZ6" t="b">
        <f>IF($DA$6="",FALSE,SUMPRODUCT(('Final Calculation Sheet'!$S$4:$S$40=$DA$6)*($NY$6:$NY$42=1))&gt;0)</f>
        <v>1</v>
      </c>
      <c r="OA6">
        <f>$OA$5+--($NZ6)</f>
        <v>3</v>
      </c>
      <c r="OB6">
        <f t="shared" si="125"/>
        <v>24777</v>
      </c>
      <c r="OC6">
        <f>IF(COUNTIF('Buyer Groups'!DG6:DY6,0)+COUNTIF('Buyer Groups'!EA6:EN6,0)&gt;0,0,1)</f>
        <v>1</v>
      </c>
      <c r="OD6" t="b">
        <f>IF($DF$6="",FALSE,SUMPRODUCT(('Final Calculation Sheet'!$T$4:$T$40=$DF$6)*($OC$6:$OC$42=1))&gt;0)</f>
        <v>1</v>
      </c>
      <c r="OE6">
        <f>$OE$5+--($OD6)</f>
        <v>3</v>
      </c>
      <c r="OF6">
        <f t="shared" si="126"/>
        <v>5265</v>
      </c>
      <c r="OG6">
        <f>IF(COUNTIF('Buyer Groups'!DG6:DZ6,0)+COUNTIF('Buyer Groups'!EB6:EN6,0)&gt;0,0,1)</f>
        <v>1</v>
      </c>
      <c r="OH6" t="b">
        <f>IF($DK$6="",FALSE,SUMPRODUCT(('Final Calculation Sheet'!$U$4:$U$40=$DK$6)*($OG$6:$OG$42=1))&gt;0)</f>
        <v>1</v>
      </c>
      <c r="OI6">
        <f>$OI$5+--($OH6)</f>
        <v>3</v>
      </c>
      <c r="OJ6">
        <f t="shared" si="127"/>
        <v>5265</v>
      </c>
      <c r="OK6">
        <f>IF(COUNTIF('Buyer Groups'!DG6:EA6,0)+COUNTIF('Buyer Groups'!EC6:EN6,0)&gt;0,0,1)</f>
        <v>1</v>
      </c>
      <c r="OL6" t="b">
        <f>IF($DP$6="",FALSE,SUMPRODUCT(('Final Calculation Sheet'!$V$4:$V$40=$DP$6)*($OK$6:$OK$42=1))&gt;0)</f>
        <v>1</v>
      </c>
      <c r="OM6">
        <f>$OM$5+--($OL6)</f>
        <v>3</v>
      </c>
      <c r="ON6" t="str">
        <f t="shared" si="128"/>
        <v>13.08.2026</v>
      </c>
      <c r="OO6">
        <f>IF(COUNTIF('Buyer Groups'!DG6:EB6,0)+COUNTIF('Buyer Groups'!ED6:EN6,0)&gt;0,0,1)</f>
        <v>1</v>
      </c>
      <c r="OP6" t="b">
        <f>IF($DU$6="",FALSE,SUMPRODUCT(('Final Calculation Sheet'!$W$4:$W$40=$DU$6)*($OO$6:$OO$42=1))&gt;0)</f>
        <v>1</v>
      </c>
      <c r="OQ6">
        <f>$OQ$5+--($OP6)</f>
        <v>3</v>
      </c>
      <c r="OR6">
        <f t="shared" si="129"/>
        <v>19512</v>
      </c>
      <c r="OS6">
        <f>IF(COUNTIF('Buyer Groups'!DG6:EC6,0)+COUNTIF('Buyer Groups'!EE6:EN6,0)&gt;0,0,1)</f>
        <v>1</v>
      </c>
      <c r="OT6" t="e">
        <f>IF($DZ$6="",FALSE,SUMPRODUCT(('Final Calculation Sheet'!$X$4:$X$40=$DZ$6)*($OS$6:$OS$42=1))&gt;0)</f>
        <v>#N/A</v>
      </c>
      <c r="OU6" t="e">
        <f>$OU$5+--($OT6)</f>
        <v>#N/A</v>
      </c>
      <c r="OV6" t="e">
        <f t="shared" si="130"/>
        <v>#N/A</v>
      </c>
      <c r="OW6">
        <f>IF(COUNTIF('Buyer Groups'!DG6:ED6,0)+COUNTIF('Buyer Groups'!EF6:EN6,0)&gt;0,0,1)</f>
        <v>1</v>
      </c>
      <c r="OX6" t="e">
        <f>IF($EE$6="",FALSE,SUMPRODUCT(('Final Calculation Sheet'!$Y$4:$Y$40=$EE$6)*($OW$6:$OW$42=1))&gt;0)</f>
        <v>#N/A</v>
      </c>
      <c r="OY6" t="e">
        <f>$OY$5+--($OX6)</f>
        <v>#N/A</v>
      </c>
      <c r="OZ6" t="e">
        <f t="shared" si="131"/>
        <v>#N/A</v>
      </c>
      <c r="PA6">
        <f>IF(COUNTIF('Buyer Groups'!DG6:EE6,0)+COUNTIF('Buyer Groups'!EG6:EN6,0)&gt;0,0,1)</f>
        <v>1</v>
      </c>
      <c r="PB6" t="b">
        <f ca="1">IF($EJ$6="",FALSE,SUMPRODUCT(('Final Calculation Sheet'!$Z$4:$Z$40=$EJ$6)*($PA$6:$PA$42=1))&gt;0)</f>
        <v>1</v>
      </c>
      <c r="PC6">
        <f ca="1">$PC$5+--($PB6)</f>
        <v>3</v>
      </c>
      <c r="PD6">
        <f t="shared" ca="1" si="132"/>
        <v>708.28319999999997</v>
      </c>
      <c r="PE6">
        <f>IF(COUNTIF('Buyer Groups'!DG6:EF6,0)+COUNTIF('Buyer Groups'!EH6:EN6,0)&gt;0,0,1)</f>
        <v>1</v>
      </c>
      <c r="PF6" t="e">
        <f>IF($EO$6="",FALSE,SUMPRODUCT(('Final Calculation Sheet'!$AA$4:$AA$40=$EO$6)*($PE$6:$PE$42=1))&gt;0)</f>
        <v>#N/A</v>
      </c>
      <c r="PG6" t="e">
        <f>$PG$5+--($PF6)</f>
        <v>#N/A</v>
      </c>
      <c r="PH6" t="e">
        <f t="shared" si="133"/>
        <v>#N/A</v>
      </c>
      <c r="PI6">
        <f>IF(COUNTIF('Buyer Groups'!DG6:EG6,0)+COUNTIF('Buyer Groups'!EI6:EN6,0)&gt;0,0,1)</f>
        <v>1</v>
      </c>
      <c r="PJ6" t="e">
        <f>IF($ET$6="",FALSE,SUMPRODUCT(('Final Calculation Sheet'!$AB$4:$AB$40=$ET$6)*($PI$6:$PI$42=1))&gt;0)</f>
        <v>#N/A</v>
      </c>
      <c r="PK6" t="e">
        <f>$PK$5+--($PJ6)</f>
        <v>#N/A</v>
      </c>
      <c r="PL6" t="e">
        <f t="shared" si="134"/>
        <v>#N/A</v>
      </c>
      <c r="PM6">
        <f>IF(COUNTIF('Buyer Groups'!DG6:EH6,0)+COUNTIF('Buyer Groups'!EJ6:EN6,0)&gt;0,0,1)</f>
        <v>1</v>
      </c>
      <c r="PN6" t="b">
        <f>IF($EY$6="",FALSE,SUMPRODUCT(('Final Calculation Sheet'!$AC$4:$AC$40=$EY$6)*($PM$6:$PM$42=1))&gt;0)</f>
        <v>1</v>
      </c>
      <c r="PO6">
        <f>$PO$5+--($PN6)</f>
        <v>3</v>
      </c>
      <c r="PP6">
        <f t="shared" si="135"/>
        <v>20589</v>
      </c>
      <c r="PQ6">
        <f>IF(COUNTIF('Buyer Groups'!DG6:EI6,0)+COUNTIF('Buyer Groups'!EK6:EN6,0)&gt;0,0,1)</f>
        <v>1</v>
      </c>
      <c r="PR6" t="b">
        <f>IF($FD$6="",FALSE,SUMPRODUCT(('Final Calculation Sheet'!$AD$4:$AD$40=$FD$6)*($PQ$6:$PQ$42=1))&gt;0)</f>
        <v>1</v>
      </c>
      <c r="PS6">
        <f>$PS$5+--($PR6)</f>
        <v>3</v>
      </c>
      <c r="PT6">
        <f t="shared" si="136"/>
        <v>-48</v>
      </c>
      <c r="PU6">
        <f>IF(COUNTIF('Buyer Groups'!DG6:EJ6,0)+COUNTIF('Buyer Groups'!EL6:EN6,0)&gt;0,0,1)</f>
        <v>1</v>
      </c>
      <c r="PV6" t="b">
        <f>IF($FX$6="",FALSE,SUMPRODUCT((IF('Final Calculation Sheet'!$AD$4:$AD$40&lt;=5,"SETTLED","OUTSTANDING")=$FX$6)*($PU$6:$PU$42=1))&gt;0)</f>
        <v>0</v>
      </c>
      <c r="PW6">
        <f>$PW$5+--($PV6)</f>
        <v>1</v>
      </c>
      <c r="PX6" t="str">
        <f t="shared" si="137"/>
        <v/>
      </c>
      <c r="PY6">
        <f>IF(COUNTIF('Buyer Groups'!DG6:EK6,0)+COUNTIF('Buyer Groups'!EM6:EN6,0)&gt;0,0,1)</f>
        <v>1</v>
      </c>
      <c r="PZ6" t="e">
        <f>IF($FI$6="",FALSE,SUMPRODUCT(('Final Calculation Sheet'!$AF$4:$AF$40=$FI$6)*($PY$6:$PY$42=1))&gt;0)</f>
        <v>#N/A</v>
      </c>
      <c r="QA6" t="e">
        <f>$QA$5+--($PZ6)</f>
        <v>#N/A</v>
      </c>
      <c r="QB6" t="e">
        <f t="shared" si="138"/>
        <v>#N/A</v>
      </c>
      <c r="QC6">
        <f>IF(COUNTIF('Buyer Groups'!DG6:EL6,0)+COUNTIF('Buyer Groups'!EN6:EN6,0)&gt;0,0,1)</f>
        <v>1</v>
      </c>
      <c r="QD6" t="e">
        <f>IF($FN$6="",FALSE,SUMPRODUCT(('Final Calculation Sheet'!$AG$4:$AG$40=$FN$6)*($QC$6:$QC$42=1))&gt;0)</f>
        <v>#N/A</v>
      </c>
      <c r="QE6" t="e">
        <f>$QE$5+--($QD6)</f>
        <v>#N/A</v>
      </c>
      <c r="QF6" t="e">
        <f t="shared" si="139"/>
        <v>#N/A</v>
      </c>
      <c r="QG6">
        <f>IF(COUNTIF('Buyer Groups'!DG6:EM6,0)&gt;0,0,1)</f>
        <v>1</v>
      </c>
      <c r="QH6" t="e">
        <f>IF($FS$6="",FALSE,SUMPRODUCT(('Final Calculation Sheet'!$AH$4:$AH$40=$FS$6)*($QG$6:$QG$42=1))&gt;0)</f>
        <v>#N/A</v>
      </c>
      <c r="QI6" t="e">
        <f>$QI$5+--($QH6)</f>
        <v>#N/A</v>
      </c>
      <c r="QJ6" t="e">
        <f t="shared" si="140"/>
        <v>#N/A</v>
      </c>
      <c r="QK6" t="str">
        <f>IF('Final Calculation Sheet'!$AH$6="","",'Final Calculation Sheet'!$AH$6)</f>
        <v>27.08.2026</v>
      </c>
      <c r="QL6">
        <f>IF(QK6="","",COUNTIFS(QK$4:QK$40,"&lt;"&amp;QK6,QK$4:QK$40,"&lt;&gt;"&amp;"")+COUNTIF(QK$4:QK6,QK6))</f>
        <v>20</v>
      </c>
      <c r="QM6" t="e">
        <f t="shared" si="141"/>
        <v>#N/A</v>
      </c>
      <c r="QN6" t="e">
        <f ca="1">QN5+F(AND(QM6&lt;&gt;"",COUNTIF(QM$4:QM6,QM6)=1),1,0)</f>
        <v>#N/A</v>
      </c>
      <c r="QO6" t="e">
        <f t="shared" si="142"/>
        <v>#N/A</v>
      </c>
      <c r="QP6">
        <f>IF(COUNTIF('Final Calculation Sheet'!$AM6:$BS6,0)&gt;0,0,1)</f>
        <v>1</v>
      </c>
      <c r="QQ6" t="b">
        <f>IF($AI$6="",FALSE,SUMPRODUCT(('Final Calculation Sheet'!$A$4:$A$40=$AI$6)*($QP$4:$QP$40=1))&gt;0)</f>
        <v>1</v>
      </c>
      <c r="QR6">
        <f t="shared" si="177"/>
        <v>3</v>
      </c>
      <c r="QS6">
        <f t="shared" si="143"/>
        <v>3</v>
      </c>
      <c r="QT6">
        <f>IF(COUNTIF('Final Calculation Sheet'!$AL6:$AL6,0)+COUNTIF('Final Calculation Sheet'!$AN6:$BS6,0)&gt;0,0,1)</f>
        <v>1</v>
      </c>
      <c r="QU6" t="b">
        <f>IF($Y$6="",FALSE,SUMPRODUCT(('Final Calculation Sheet'!$B$4:$B$40=$Y$6)*($QT$4:$QT$40=1))&gt;0)</f>
        <v>1</v>
      </c>
      <c r="QV6">
        <f t="shared" si="178"/>
        <v>3</v>
      </c>
      <c r="QW6" t="str">
        <f t="shared" si="144"/>
        <v>SCRAP ACSR CONDUCTORS (Conductor Pieces)</v>
      </c>
      <c r="QX6">
        <f>IF(COUNTIF('Final Calculation Sheet'!$AL6:$AM6,0)+COUNTIF('Final Calculation Sheet'!$AO6:$BS6,0)&gt;0,0,1)</f>
        <v>1</v>
      </c>
      <c r="QY6" t="b">
        <f>IF($AS$6="",FALSE,SUMPRODUCT(('Final Calculation Sheet'!$C$4:$C$40=$AS$6)*($QX$4:$QX$40=1))&gt;0)</f>
        <v>1</v>
      </c>
      <c r="QZ6">
        <f t="shared" si="179"/>
        <v>3</v>
      </c>
      <c r="RA6">
        <f t="shared" si="145"/>
        <v>309</v>
      </c>
      <c r="RB6">
        <f>IF(COUNTIF('Final Calculation Sheet'!$AL6:$AN6,0)+COUNTIF('Final Calculation Sheet'!$AP6:$BS6,0)&gt;0,0,1)</f>
        <v>1</v>
      </c>
      <c r="RC6" t="b">
        <f>IF($AD$6="",FALSE,SUMPRODUCT(('Final Calculation Sheet'!$D$4:$D$40=$AD$6)*($RB$4:$RB$40=1))&gt;0)</f>
        <v>1</v>
      </c>
      <c r="RD6">
        <f t="shared" si="180"/>
        <v>3</v>
      </c>
      <c r="RE6">
        <f t="shared" si="146"/>
        <v>21979</v>
      </c>
      <c r="RF6">
        <f>IF(COUNTIF('Final Calculation Sheet'!$AL6:$AO6,0)+COUNTIF('Final Calculation Sheet'!$AQ6:$BS6,0)&gt;0,0,1)</f>
        <v>1</v>
      </c>
      <c r="RG6" t="b">
        <f>IF($AN$6="",FALSE,SUMPRODUCT(('Final Calculation Sheet'!$E$4:$E$40=$AN$6)*($RF$4:$RF$40=1))&gt;0)</f>
        <v>1</v>
      </c>
      <c r="RH6">
        <f t="shared" si="181"/>
        <v>3</v>
      </c>
      <c r="RI6" t="str">
        <f t="shared" si="147"/>
        <v>NO</v>
      </c>
      <c r="RJ6">
        <f>IF(COUNTIF('Final Calculation Sheet'!$AL6:$AP6,0)+COUNTIF('Final Calculation Sheet'!$AR6:$BS6,0)&gt;0,0,1)</f>
        <v>1</v>
      </c>
      <c r="RK6" t="b">
        <f>IF($O$6="",FALSE,SUMPRODUCT(('Final Calculation Sheet'!$F$4:$F$40=$O$6)*($RJ$4:$RJ$40=1))&gt;0)</f>
        <v>1</v>
      </c>
      <c r="RL6">
        <f t="shared" si="182"/>
        <v>3</v>
      </c>
      <c r="RM6">
        <f t="shared" si="148"/>
        <v>1875</v>
      </c>
      <c r="RN6">
        <f>IF(COUNTIF('Final Calculation Sheet'!$AL6:$AQ6,0)+COUNTIF('Final Calculation Sheet'!$AS6:$BS6,0)&gt;0,0,1)</f>
        <v>1</v>
      </c>
      <c r="RO6" t="b">
        <f>IF($T$6="",FALSE,SUMPRODUCT(('Final Calculation Sheet'!$G$4:$G$40=$T$6)*($RN$4:$RN$40=1))&gt;0)</f>
        <v>1</v>
      </c>
      <c r="RP6">
        <f t="shared" si="183"/>
        <v>3</v>
      </c>
      <c r="RQ6" t="str">
        <f t="shared" si="149"/>
        <v>HIND TRADERS</v>
      </c>
      <c r="RR6">
        <f>IF(COUNTIF('Final Calculation Sheet'!$AL6:$AR6,0)+COUNTIF('Final Calculation Sheet'!$AT6:$BS6,0)&gt;0,0,1)</f>
        <v>1</v>
      </c>
      <c r="RS6" t="b">
        <f>IF($AX$6="",FALSE,SUMPRODUCT(('Final Calculation Sheet'!$H$4:$H$40=$AX$6)*($RR$4:$RR$40=1))&gt;0)</f>
        <v>1</v>
      </c>
      <c r="RT6">
        <f t="shared" si="184"/>
        <v>3</v>
      </c>
      <c r="RU6">
        <f t="shared" si="150"/>
        <v>21060</v>
      </c>
      <c r="RV6">
        <f>IF(COUNTIF('Final Calculation Sheet'!$AL6:$AS6,0)+COUNTIF('Final Calculation Sheet'!$AU6:$BS6,0)&gt;0,0,1)</f>
        <v>1</v>
      </c>
      <c r="RW6" t="b">
        <f>IF($BC$6="",FALSE,SUMPRODUCT(('Final Calculation Sheet'!$I$4:$I$40=$BC$6)*($RV$4:$RV$40=1))&gt;0)</f>
        <v>1</v>
      </c>
      <c r="RX6">
        <f t="shared" si="185"/>
        <v>3</v>
      </c>
      <c r="RY6">
        <f t="shared" si="151"/>
        <v>3791</v>
      </c>
      <c r="RZ6">
        <f>IF(COUNTIF('Final Calculation Sheet'!$AL6:$AT6,0)+COUNTIF('Final Calculation Sheet'!$AV6:$BS6,0)&gt;0,0,1)</f>
        <v>1</v>
      </c>
      <c r="SA6" t="b">
        <f>IF($BH$6="",FALSE,SUMPRODUCT(('Final Calculation Sheet'!$J$4:$J$40=$BH$6)*($RZ$4:$RZ$40=1))&gt;0)</f>
        <v>1</v>
      </c>
      <c r="SB6">
        <f t="shared" si="186"/>
        <v>3</v>
      </c>
      <c r="SC6">
        <f t="shared" si="152"/>
        <v>24851</v>
      </c>
      <c r="SD6">
        <f>IF(COUNTIF('Final Calculation Sheet'!$AL6:$AU6,0)+COUNTIF('Final Calculation Sheet'!$AW6:$BS6,0)&gt;0,0,1)</f>
        <v>1</v>
      </c>
      <c r="SE6" t="b">
        <f>IF($BM$6="",FALSE,SUMPRODUCT(('Final Calculation Sheet'!$K$4:$K$40=$BM$6)*($SD$4:$SD$40=1))&gt;0)</f>
        <v>1</v>
      </c>
      <c r="SF6">
        <f t="shared" si="187"/>
        <v>3</v>
      </c>
      <c r="SG6">
        <f t="shared" si="153"/>
        <v>497</v>
      </c>
      <c r="SH6">
        <f>IF(COUNTIF('Final Calculation Sheet'!$AL6:$AV6,0)+COUNTIF('Final Calculation Sheet'!$AX6:$BS6,0)&gt;0,0,1)</f>
        <v>1</v>
      </c>
      <c r="SI6" t="b">
        <f>IF($BR$6="",FALSE,SUMPRODUCT(('Final Calculation Sheet'!$L$4:$L$40=$BR$6)*($SH$4:$SH$40=1))&gt;0)</f>
        <v>1</v>
      </c>
      <c r="SJ6">
        <f t="shared" si="188"/>
        <v>3</v>
      </c>
      <c r="SK6">
        <f t="shared" si="154"/>
        <v>21.06</v>
      </c>
      <c r="SL6">
        <f>IF(COUNTIF('Final Calculation Sheet'!$AL6:$AW6,0)+COUNTIF('Final Calculation Sheet'!$AY6:$BS6,0)&gt;0,0,1)</f>
        <v>1</v>
      </c>
      <c r="SM6" t="b">
        <f>IF($BW$6="",FALSE,SUMPRODUCT(('Final Calculation Sheet'!$M$4:$M$40=$BW$6)*($SL$4:$SL$40=1))&gt;0)</f>
        <v>1</v>
      </c>
      <c r="SN6">
        <f t="shared" si="189"/>
        <v>3</v>
      </c>
      <c r="SO6">
        <f t="shared" si="155"/>
        <v>559.14299999999992</v>
      </c>
      <c r="SP6">
        <f>IF(COUNTIF('Final Calculation Sheet'!$AL6:$AX6,0)+COUNTIF('Final Calculation Sheet'!$AZ6:$BS6,0)&gt;0,0,1)</f>
        <v>1</v>
      </c>
      <c r="SQ6" t="b">
        <f>IF($CB$6="",FALSE,SUMPRODUCT(('Final Calculation Sheet'!$N$4:$N$40=$CB$6)*($SP$4:$SP$40=1))&gt;0)</f>
        <v>1</v>
      </c>
      <c r="SR6">
        <f t="shared" si="190"/>
        <v>3</v>
      </c>
      <c r="SS6">
        <f t="shared" si="156"/>
        <v>9.4770000000000003</v>
      </c>
      <c r="ST6">
        <f>IF(COUNTIF('Final Calculation Sheet'!$AL6:$AY6,0)+COUNTIF('Final Calculation Sheet'!$BA6:$BS6,0)&gt;0,0,1)</f>
        <v>1</v>
      </c>
      <c r="SU6" t="b">
        <f>IF($CG$6="",FALSE,SUMPRODUCT(('Final Calculation Sheet'!$O$4:$O$40=$CG$6)*($ST$4:$ST$40=1))&gt;0)</f>
        <v>1</v>
      </c>
      <c r="SV6">
        <f t="shared" si="191"/>
        <v>3</v>
      </c>
      <c r="SW6">
        <f t="shared" si="157"/>
        <v>549.66599999999994</v>
      </c>
      <c r="SX6">
        <f>IF(COUNTIF('Final Calculation Sheet'!$AL6:$AZ6,0)+COUNTIF('Final Calculation Sheet'!$BB6:$BS6,0)&gt;0,0,1)</f>
        <v>1</v>
      </c>
      <c r="SY6" t="b">
        <f>IF($CL$6="",FALSE,SUMPRODUCT(('Final Calculation Sheet'!$P$4:$P$40=$CL$6)*($SX$4:$SX$40=1))&gt;0)</f>
        <v>1</v>
      </c>
      <c r="SZ6">
        <f t="shared" si="192"/>
        <v>3</v>
      </c>
      <c r="TA6">
        <f t="shared" si="158"/>
        <v>571</v>
      </c>
      <c r="TB6">
        <f>IF(COUNTIF('Final Calculation Sheet'!$AL6:$BA6,0)+COUNTIF('Final Calculation Sheet'!$BC6:$BS6,0)&gt;0,0,1)</f>
        <v>1</v>
      </c>
      <c r="TC6" t="b">
        <f>IF($CQ$6="",FALSE,SUMPRODUCT(('Final Calculation Sheet'!$Q$4:$Q$40=$CQ$6)*($TB$4:$TB$40=1))&gt;0)</f>
        <v>0</v>
      </c>
      <c r="TD6">
        <f t="shared" si="193"/>
        <v>2</v>
      </c>
      <c r="TE6" t="str">
        <f t="shared" si="159"/>
        <v/>
      </c>
      <c r="TF6">
        <f>IF(COUNTIF('Final Calculation Sheet'!$AL6:$BB6,0)+COUNTIF('Final Calculation Sheet'!$BD6:$BS6,0)&gt;0,0,1)</f>
        <v>1</v>
      </c>
      <c r="TG6" t="b">
        <f>IF($CV$6="",FALSE,SUMPRODUCT(('Final Calculation Sheet'!$R$4:$R$40=$CV$6)*($TF$4:$TF$40=1))&gt;0)</f>
        <v>1</v>
      </c>
      <c r="TH6">
        <f t="shared" si="194"/>
        <v>3</v>
      </c>
      <c r="TI6">
        <f t="shared" si="160"/>
        <v>15802</v>
      </c>
      <c r="TJ6">
        <f>IF(COUNTIF('Final Calculation Sheet'!$AL6:$BC6,0)+COUNTIF('Final Calculation Sheet'!$BE6:$BS6,0)&gt;0,0,1)</f>
        <v>1</v>
      </c>
      <c r="TK6" t="b">
        <f>IF($DA$6="",FALSE,SUMPRODUCT(('Final Calculation Sheet'!$S$4:$S$40=$DA$6)*($TJ$4:$TJ$40=1))&gt;0)</f>
        <v>1</v>
      </c>
      <c r="TL6">
        <f t="shared" si="195"/>
        <v>3</v>
      </c>
      <c r="TM6">
        <f t="shared" si="161"/>
        <v>24777</v>
      </c>
      <c r="TN6">
        <f>IF(COUNTIF('Final Calculation Sheet'!$AL6:$BD6,0)+COUNTIF('Final Calculation Sheet'!$BF6:$BS6,0)&gt;0,0,1)</f>
        <v>1</v>
      </c>
      <c r="TO6" t="b">
        <f>IF($DF$6="",FALSE,SUMPRODUCT(('Final Calculation Sheet'!$T$4:$T$40=$DF$6)*($TN$4:$TN$40=1))&gt;0)</f>
        <v>1</v>
      </c>
      <c r="TP6">
        <f t="shared" si="196"/>
        <v>3</v>
      </c>
      <c r="TQ6">
        <f t="shared" si="162"/>
        <v>5265</v>
      </c>
      <c r="TR6">
        <f>IF(COUNTIF('Final Calculation Sheet'!$AL6:$BE6,0)+COUNTIF('Final Calculation Sheet'!$BG6:$BS6,0)&gt;0,0,1)</f>
        <v>1</v>
      </c>
      <c r="TS6" t="b">
        <f>IF($DK$6="",FALSE,SUMPRODUCT(('Final Calculation Sheet'!$U$4:$U$40=$DK$6)*($TR$4:$TR$40=1))&gt;0)</f>
        <v>1</v>
      </c>
      <c r="TT6">
        <f t="shared" si="197"/>
        <v>3</v>
      </c>
      <c r="TU6">
        <f t="shared" si="163"/>
        <v>5265</v>
      </c>
      <c r="TV6">
        <f>IF(COUNTIF('Final Calculation Sheet'!$AL6:$BF6,0)+COUNTIF('Final Calculation Sheet'!$BH6:$BS6,0)&gt;0,0,1)</f>
        <v>1</v>
      </c>
      <c r="TW6" t="b">
        <f>IF($DP$6="",FALSE,SUMPRODUCT(('Final Calculation Sheet'!$V$4:$V$40=$DP$6)*($TV$4:$TV$40=1))&gt;0)</f>
        <v>1</v>
      </c>
      <c r="TX6">
        <f t="shared" si="198"/>
        <v>3</v>
      </c>
      <c r="TY6" t="str">
        <f t="shared" si="164"/>
        <v>13.08.2026</v>
      </c>
      <c r="TZ6">
        <f>IF(COUNTIF('Final Calculation Sheet'!$AL6:$BG6,0)+COUNTIF('Final Calculation Sheet'!$BI6:$BS6,0)&gt;0,0,1)</f>
        <v>1</v>
      </c>
      <c r="UA6" t="b">
        <f>IF($DU$6="",FALSE,SUMPRODUCT(('Final Calculation Sheet'!$W$4:$W$40=$DU$6)*($TZ$4:$TZ$40=1))&gt;0)</f>
        <v>1</v>
      </c>
      <c r="UB6">
        <f t="shared" si="199"/>
        <v>3</v>
      </c>
      <c r="UC6">
        <f t="shared" si="165"/>
        <v>19512</v>
      </c>
      <c r="UD6">
        <f>IF(COUNTIF('Final Calculation Sheet'!$AL6:$BH6,0)+COUNTIF('Final Calculation Sheet'!$BJ6:$BS6,0)&gt;0,0,1)</f>
        <v>1</v>
      </c>
      <c r="UE6" t="e">
        <f>IF($DZ$6="",FALSE,SUMPRODUCT(('Final Calculation Sheet'!$X$4:$X$40=$DZ$6)*($UD$4:$UD$40=1))&gt;0)</f>
        <v>#N/A</v>
      </c>
      <c r="UF6" t="e">
        <f t="shared" si="200"/>
        <v>#N/A</v>
      </c>
      <c r="UG6" t="e">
        <f t="shared" si="166"/>
        <v>#N/A</v>
      </c>
      <c r="UH6">
        <f>IF(COUNTIF('Final Calculation Sheet'!$AL6:$BI6,0)+COUNTIF('Final Calculation Sheet'!$BK6:$BS6,0)&gt;0,0,1)</f>
        <v>1</v>
      </c>
      <c r="UI6" t="e">
        <f>IF($EE$6="",FALSE,SUMPRODUCT(('Final Calculation Sheet'!$Y$4:$Y$40=$EE$6)*($UH$4:$UH$40=1))&gt;0)</f>
        <v>#N/A</v>
      </c>
      <c r="UJ6" t="e">
        <f t="shared" si="201"/>
        <v>#N/A</v>
      </c>
      <c r="UK6" t="e">
        <f t="shared" si="167"/>
        <v>#N/A</v>
      </c>
      <c r="UL6">
        <f>IF(COUNTIF('Final Calculation Sheet'!$AL6:$BJ6,0)+COUNTIF('Final Calculation Sheet'!$BL6:$BS6,0)&gt;0,0,1)</f>
        <v>1</v>
      </c>
      <c r="UM6" t="b">
        <f ca="1">IF($EJ$6="",FALSE,SUMPRODUCT(('Final Calculation Sheet'!$Z$4:$Z$40=$EJ$6)*($UL$4:$UL$40=1))&gt;0)</f>
        <v>1</v>
      </c>
      <c r="UN6">
        <f t="shared" ca="1" si="202"/>
        <v>3</v>
      </c>
      <c r="UO6">
        <f t="shared" ca="1" si="168"/>
        <v>708.28319999999997</v>
      </c>
      <c r="UP6">
        <f>IF(COUNTIF('Final Calculation Sheet'!$AL6:$BK6,0)+COUNTIF('Final Calculation Sheet'!$BM6:$BS6,0)&gt;0,0,1)</f>
        <v>1</v>
      </c>
      <c r="UQ6" t="e">
        <f>IF($EO$6="",FALSE,SUMPRODUCT(('Final Calculation Sheet'!$AA$4:$AA$40=$EO$6)*($UP$4:$UP$40=1))&gt;0)</f>
        <v>#N/A</v>
      </c>
      <c r="UR6" t="e">
        <f t="shared" si="203"/>
        <v>#N/A</v>
      </c>
      <c r="US6" t="e">
        <f t="shared" si="169"/>
        <v>#N/A</v>
      </c>
      <c r="UT6">
        <f>IF(COUNTIF('Final Calculation Sheet'!$AL6:$BL6,0)+COUNTIF('Final Calculation Sheet'!$BN6:$BS6,0)&gt;0,0,1)</f>
        <v>1</v>
      </c>
      <c r="UU6" t="e">
        <f>IF($ET$6="",FALSE,SUMPRODUCT(('Final Calculation Sheet'!$AB$4:$AB$40=$ET$6)*($UT$4:$UT$40=1))&gt;0)</f>
        <v>#N/A</v>
      </c>
      <c r="UV6" t="e">
        <f t="shared" si="204"/>
        <v>#N/A</v>
      </c>
      <c r="UW6" t="e">
        <f t="shared" si="170"/>
        <v>#N/A</v>
      </c>
      <c r="UX6">
        <f>IF(COUNTIF('Final Calculation Sheet'!$AL6:$BM6,0)+COUNTIF('Final Calculation Sheet'!$BO6:$BS6,0)&gt;0,0,1)</f>
        <v>1</v>
      </c>
      <c r="UY6" t="b">
        <f>IF($EY$6="",FALSE,SUMPRODUCT(('Final Calculation Sheet'!$AC$4:$AC$40=$EY$6)*($UX$4:$UX$40=1))&gt;0)</f>
        <v>1</v>
      </c>
      <c r="UZ6">
        <f t="shared" si="205"/>
        <v>3</v>
      </c>
      <c r="VA6">
        <f t="shared" si="171"/>
        <v>20589</v>
      </c>
      <c r="VB6">
        <f>IF(COUNTIF('Final Calculation Sheet'!$AL6:$BN6,0)+COUNTIF('Final Calculation Sheet'!$BP6:$BS6,0)&gt;0,0,1)</f>
        <v>1</v>
      </c>
      <c r="VC6" t="b">
        <f>IF($FD$6="",FALSE,SUMPRODUCT(('Final Calculation Sheet'!$AD$4:$AD$40=$FD$6)*($VB$4:$VB$40=1))&gt;0)</f>
        <v>1</v>
      </c>
      <c r="VD6">
        <f t="shared" si="206"/>
        <v>3</v>
      </c>
      <c r="VE6">
        <f t="shared" si="172"/>
        <v>-48</v>
      </c>
      <c r="VF6">
        <f>IF(COUNTIF('Final Calculation Sheet'!$AL6:$BO6,0)+COUNTIF('Final Calculation Sheet'!$BQ6:$BS6,0)&gt;0,0,1)</f>
        <v>1</v>
      </c>
      <c r="VG6" t="e">
        <f>IF($FI$6="",FALSE,SUMPRODUCT(('Final Calculation Sheet'!$AE$4:$AE$40=$FI$6)*($VF$4:$VF$40=1))&gt;0)</f>
        <v>#N/A</v>
      </c>
      <c r="VH6" t="e">
        <f t="shared" si="207"/>
        <v>#N/A</v>
      </c>
      <c r="VI6" t="e">
        <f t="shared" si="173"/>
        <v>#N/A</v>
      </c>
      <c r="VJ6">
        <f>IF(COUNTIF('Final Calculation Sheet'!$AL6:$BP6,0)+COUNTIF('Final Calculation Sheet'!$BR6:$BS6,0)&gt;0,0,1)</f>
        <v>1</v>
      </c>
      <c r="VK6" t="e">
        <f>IF($FN$6="",FALSE,SUMPRODUCT(('Final Calculation Sheet'!$AF$4:$AF$40=$FN$6)*($VJ$4:$VJ$40=1))&gt;0)</f>
        <v>#N/A</v>
      </c>
      <c r="VL6" t="e">
        <f t="shared" si="208"/>
        <v>#N/A</v>
      </c>
      <c r="VM6" t="e">
        <f t="shared" si="174"/>
        <v>#N/A</v>
      </c>
      <c r="VN6">
        <f>IF(COUNTIF('Final Calculation Sheet'!$AL6:$BQ6,0)+COUNTIF('Final Calculation Sheet'!$BS6:$BS6,0)&gt;0,0,1)</f>
        <v>1</v>
      </c>
      <c r="VO6" t="e">
        <f>IF($FS$6="",FALSE,SUMPRODUCT(('Final Calculation Sheet'!$AG$4:$AG$40=$FS$6)*($VN$4:$VN$40=1))&gt;0)</f>
        <v>#N/A</v>
      </c>
      <c r="VP6" t="e">
        <f t="shared" si="209"/>
        <v>#N/A</v>
      </c>
      <c r="VQ6" t="e">
        <f t="shared" si="175"/>
        <v>#N/A</v>
      </c>
      <c r="VR6">
        <f>IF(COUNTIF('Final Calculation Sheet'!$AL6:$BR6,0)&gt;0,0,1)</f>
        <v>1</v>
      </c>
      <c r="VS6" t="e">
        <f>IF($QO$6="",FALSE,SUMPRODUCT(('Final Calculation Sheet'!$AH$4:$AH$40=$QO$6)*($VR$4:$VR$40=1))&gt;0)</f>
        <v>#N/A</v>
      </c>
      <c r="VT6" t="e">
        <f t="shared" si="210"/>
        <v>#N/A</v>
      </c>
      <c r="VU6" t="e">
        <f t="shared" si="176"/>
        <v>#N/A</v>
      </c>
    </row>
    <row r="7" spans="1:593" x14ac:dyDescent="0.3">
      <c r="A7">
        <f>IF('Final Calculation Sheet'!$F$7="","",'Final Calculation Sheet'!$F$7)</f>
        <v>1876</v>
      </c>
      <c r="B7">
        <f>IF(A7="","",COUNTIFS(A$4:A$114,"&lt;"&amp;A7,A$4:A$114,"&lt;&gt;"&amp;"")+COUNTIF(A$4:A7,A7))</f>
        <v>4</v>
      </c>
      <c r="C7">
        <f t="shared" si="0"/>
        <v>1876</v>
      </c>
      <c r="D7">
        <f>D6+IF(AND(C7&lt;&gt;"",COUNTIF(C$4:C7,C7)=1),1,0)</f>
        <v>4</v>
      </c>
      <c r="E7" t="e">
        <f t="shared" si="1"/>
        <v>#N/A</v>
      </c>
      <c r="F7">
        <f t="shared" si="2"/>
        <v>4</v>
      </c>
      <c r="G7">
        <f>IF(F7="","",COUNTIFS(F$4:F$40,"&lt;"&amp;F7,F$4:F$40,"&lt;&gt;"&amp;"")+COUNTIF(F$4:F7,F7))</f>
        <v>4</v>
      </c>
      <c r="H7">
        <f t="shared" si="3"/>
        <v>4</v>
      </c>
      <c r="I7">
        <f>I6+IF(AND(H7&lt;&gt;"",COUNTIF(H$4:H7,H7)=1),1,0)</f>
        <v>4</v>
      </c>
      <c r="J7">
        <f t="shared" si="4"/>
        <v>4</v>
      </c>
      <c r="K7">
        <f>IF('Final Calculation Sheet'!$F$7="","",'Final Calculation Sheet'!$F$7)</f>
        <v>1876</v>
      </c>
      <c r="L7">
        <f>IF(K7="","",COUNTIFS(K$4:K$40,"&lt;"&amp;K7,K$4:K$40,"&lt;&gt;"&amp;"")+COUNTIF(K$4:K7,K7))</f>
        <v>4</v>
      </c>
      <c r="M7">
        <f t="shared" si="5"/>
        <v>1876</v>
      </c>
      <c r="N7">
        <f>N6+IF(AND(M7&lt;&gt;"",COUNTIF(M$4:M7,M7)=1),1,0)</f>
        <v>4</v>
      </c>
      <c r="O7">
        <f t="shared" si="6"/>
        <v>1876</v>
      </c>
      <c r="P7" t="str">
        <f>IF('Final Calculation Sheet'!$G$7="","",'Final Calculation Sheet'!$G$7)</f>
        <v>F R KHANS ENTERPRISES</v>
      </c>
      <c r="Q7">
        <f>IF(P7="","",COUNTIFS(P$4:P$40,"&lt;"&amp;P7,P$4:P$40,"&lt;&gt;"&amp;"")+COUNTIF(P$4:P7,P7))</f>
        <v>3</v>
      </c>
      <c r="R7" t="str">
        <f t="shared" si="7"/>
        <v>HIND TRADERS</v>
      </c>
      <c r="S7">
        <f>S6+IF(AND(R7&lt;&gt;"",COUNTIF(R$4:R7,R7)=1),1,0)</f>
        <v>3</v>
      </c>
      <c r="T7" t="str">
        <f t="shared" si="8"/>
        <v>KASHYAP TRADING CO</v>
      </c>
      <c r="U7" t="str">
        <f>IF('Final Calculation Sheet'!$B$7="","",'Final Calculation Sheet'!$B$7)</f>
        <v>Scrap of MS (extracted from equip cage and empty Sf6 gas cylinder)</v>
      </c>
      <c r="V7">
        <f>IF(U7="","",COUNTIFS(U$4:U$40,"&lt;"&amp;U7,U$4:U$40,"&lt;&gt;"&amp;"")+COUNTIF(U$4:U7,U7))</f>
        <v>35</v>
      </c>
      <c r="W7" t="str">
        <f t="shared" si="9"/>
        <v>SCRAP COPPER OF T/F WINDING (Oil impregnated paper insulated T/F winding)</v>
      </c>
      <c r="X7">
        <f>X6+IF(AND(W7&lt;&gt;"",COUNTIF(W$4:W7,W7)=1),1,0)</f>
        <v>4</v>
      </c>
      <c r="Y7" t="str">
        <f t="shared" si="10"/>
        <v>SCRAP COPPER OF T/F WINDING (Oil impregnated paper insulated T/F winding)</v>
      </c>
      <c r="Z7">
        <f>IF('Final Calculation Sheet'!$D$7="","",'Final Calculation Sheet'!$D$7)</f>
        <v>21977</v>
      </c>
      <c r="AA7">
        <f>IF(Z7="","",COUNTIFS(Z$4:Z$40,"&lt;"&amp;Z7,Z$4:Z$40,"&lt;&gt;"&amp;"")+COUNTIF(Z$4:Z7,Z7))</f>
        <v>3</v>
      </c>
      <c r="AB7">
        <f t="shared" si="11"/>
        <v>21977</v>
      </c>
      <c r="AC7">
        <f>AC6+IF(AND(AB7&lt;&gt;"",COUNTIF(AB$4:AB7,AB7)=1),1,0)</f>
        <v>1</v>
      </c>
      <c r="AD7">
        <f t="shared" si="12"/>
        <v>21980</v>
      </c>
      <c r="AE7">
        <f>IF('Final Calculation Sheet'!$A$7="","",'Final Calculation Sheet'!$A$7)</f>
        <v>3000</v>
      </c>
      <c r="AF7">
        <f>IF(AE7="","",COUNTIFS(AE$4:AE$40,"&lt;"&amp;AE7,AE$4:AE$40,"&lt;&gt;"&amp;"")+COUNTIF(AE$4:AE7,AE7))</f>
        <v>35</v>
      </c>
      <c r="AG7">
        <f t="shared" si="13"/>
        <v>1</v>
      </c>
      <c r="AH7">
        <f>AH6+IF(AND(AG7&lt;&gt;"",COUNTIF(AG$4:AG7,AG7)=1),1,0)</f>
        <v>1</v>
      </c>
      <c r="AI7">
        <f t="shared" si="14"/>
        <v>4</v>
      </c>
      <c r="AJ7" t="str">
        <f>IF('Final Calculation Sheet'!$E$7="","",'Final Calculation Sheet'!$E$7)</f>
        <v>KG</v>
      </c>
      <c r="AK7">
        <f>IF(AJ7="","",COUNTIFS(AJ$4:AJ$40,"&lt;"&amp;AJ7,AJ$4:AJ$40,"&lt;&gt;"&amp;"")+COUNTIF(AJ$4:AJ7,AJ7))</f>
        <v>3</v>
      </c>
      <c r="AL7" t="str">
        <f t="shared" si="15"/>
        <v>KG</v>
      </c>
      <c r="AM7">
        <f>AM6+IF(AND(AL7&lt;&gt;"",COUNTIF(AL$4:AL7,AL7)=1),1,0)</f>
        <v>1</v>
      </c>
      <c r="AN7" t="str">
        <f t="shared" si="16"/>
        <v/>
      </c>
      <c r="AO7" s="50">
        <f>IF('Final Calculation Sheet'!$C$7="","",'Final Calculation Sheet'!$C$7)</f>
        <v>66</v>
      </c>
      <c r="AP7">
        <f>IF(AO7="","",COUNTIFS(AO$4:AO$40,"&lt;"&amp;AO7,AO$4:AO$40,"&lt;&gt;"&amp;"")+COUNTIF(AO$4:AO7,AO7))</f>
        <v>1</v>
      </c>
      <c r="AQ7" s="50">
        <f t="shared" si="17"/>
        <v>333</v>
      </c>
      <c r="AR7">
        <f>AR6+IF(AND(AQ7&lt;&gt;"",COUNTIF(AQ$4:AQ7,AQ7)=1),1,0)</f>
        <v>4</v>
      </c>
      <c r="AS7" s="50">
        <f t="shared" si="18"/>
        <v>333</v>
      </c>
      <c r="AT7" s="50">
        <f>IF('Final Calculation Sheet'!$H$7="","",'Final Calculation Sheet'!$H$7)</f>
        <v>198000</v>
      </c>
      <c r="AU7">
        <f>IF(AT7="","",COUNTIFS(AT$4:AT$40,"&lt;"&amp;AT7,AT$4:AT$40,"&lt;&gt;"&amp;"")+COUNTIF(AT$4:AT7,AT7))</f>
        <v>21</v>
      </c>
      <c r="AV7" s="50">
        <f t="shared" si="19"/>
        <v>26550</v>
      </c>
      <c r="AW7">
        <f>AW6+IF(AND(AV7&lt;&gt;"",COUNTIF(AV$4:AV7,AV7)=1),1,0)</f>
        <v>4</v>
      </c>
      <c r="AX7" s="50">
        <f t="shared" si="20"/>
        <v>26550</v>
      </c>
      <c r="AY7" s="50">
        <f>IF('Final Calculation Sheet'!$I$7="","",'Final Calculation Sheet'!$I$7)</f>
        <v>35640</v>
      </c>
      <c r="AZ7">
        <f>IF(AY7="","",COUNTIFS(AY$4:AY$40,"&lt;"&amp;AY7,AY$4:AY$40,"&lt;&gt;"&amp;"")+COUNTIF(AY$4:AY7,AY7))</f>
        <v>21</v>
      </c>
      <c r="BA7" s="50">
        <f t="shared" si="21"/>
        <v>4779</v>
      </c>
      <c r="BB7">
        <f>BB6+IF(AND(BA7&lt;&gt;"",COUNTIF(BA$4:BA7,BA7)=1),1,0)</f>
        <v>4</v>
      </c>
      <c r="BC7" s="50">
        <f t="shared" si="22"/>
        <v>4779</v>
      </c>
      <c r="BD7" s="50">
        <f>IF('Final Calculation Sheet'!$J$7="","",'Final Calculation Sheet'!$J$7)</f>
        <v>233640</v>
      </c>
      <c r="BE7">
        <f>IF(BD7="","",COUNTIFS(BD$4:BD$40,"&lt;"&amp;BD7,BD$4:BD$40,"&lt;&gt;"&amp;"")+COUNTIF(BD$4:BD7,BD7))</f>
        <v>21</v>
      </c>
      <c r="BF7" s="50">
        <f t="shared" si="23"/>
        <v>31329</v>
      </c>
      <c r="BG7">
        <f>BG6+IF(AND(BF7&lt;&gt;"",COUNTIF(BF$4:BF7,BF7)=1),1,0)</f>
        <v>4</v>
      </c>
      <c r="BH7" s="50">
        <f t="shared" si="24"/>
        <v>31329</v>
      </c>
      <c r="BI7" s="50">
        <f>IF('Final Calculation Sheet'!$K$7="","",'Final Calculation Sheet'!$K$7)</f>
        <v>4673</v>
      </c>
      <c r="BJ7">
        <f>IF(BI7="","",COUNTIFS(BI$4:BI$40,"&lt;"&amp;BI7,BI$4:BI$40,"&lt;&gt;"&amp;"")+COUNTIF(BI$4:BI7,BI7))</f>
        <v>21</v>
      </c>
      <c r="BK7" s="50">
        <f t="shared" si="25"/>
        <v>627</v>
      </c>
      <c r="BL7">
        <f>BL6+IF(AND(BK7&lt;&gt;"",COUNTIF(BK$4:BK7,BK7)=1),1,0)</f>
        <v>4</v>
      </c>
      <c r="BM7" s="50">
        <f t="shared" si="26"/>
        <v>627</v>
      </c>
      <c r="BN7" s="50">
        <f>IF('Final Calculation Sheet'!$L$7="","",'Final Calculation Sheet'!$L$7)</f>
        <v>198</v>
      </c>
      <c r="BO7">
        <f>IF(BN7="","",COUNTIFS(BN$4:BN$40,"&lt;"&amp;BN7,BN$4:BN$40,"&lt;&gt;"&amp;"")+COUNTIF(BN$4:BN7,BN7))</f>
        <v>21</v>
      </c>
      <c r="BP7" s="50">
        <f t="shared" si="27"/>
        <v>26.55</v>
      </c>
      <c r="BQ7">
        <f>BQ6+IF(AND(BP7&lt;&gt;"",COUNTIF(BP$4:BP7,BP7)=1),1,0)</f>
        <v>4</v>
      </c>
      <c r="BR7" s="50">
        <f t="shared" si="28"/>
        <v>26.55</v>
      </c>
      <c r="BS7" s="50">
        <f>IF('Final Calculation Sheet'!$M$7="","",'Final Calculation Sheet'!$M$7)</f>
        <v>5256.9</v>
      </c>
      <c r="BT7">
        <f>IF(BS7="","",COUNTIFS(BS$4:BS$40,"&lt;"&amp;BS7,BS$4:BS$40,"&lt;&gt;"&amp;"")+COUNTIF(BS$4:BS7,BS7))</f>
        <v>21</v>
      </c>
      <c r="BU7" s="50">
        <f t="shared" si="29"/>
        <v>704.90249999999992</v>
      </c>
      <c r="BV7">
        <f>BV6+IF(AND(BU7&lt;&gt;"",COUNTIF(BU$4:BU7,BU7)=1),1,0)</f>
        <v>4</v>
      </c>
      <c r="BW7" s="50">
        <f t="shared" si="30"/>
        <v>704.90249999999992</v>
      </c>
      <c r="BX7" s="126">
        <f>IF('Final Calculation Sheet'!$N$7="","",'Final Calculation Sheet'!$N$7)</f>
        <v>89.100000000000009</v>
      </c>
      <c r="BY7">
        <f>IF(BX7="","",COUNTIFS(BX$4:BX$40,"&lt;"&amp;BX7,BX$4:BX$40,"&lt;&gt;"&amp;"")+COUNTIF(BX$4:BX7,BX7))</f>
        <v>21</v>
      </c>
      <c r="BZ7" s="126">
        <f t="shared" si="31"/>
        <v>11.9475</v>
      </c>
      <c r="CA7">
        <f>CA6+IF(AND(BZ7&lt;&gt;"",COUNTIF(BZ$4:BZ7,BZ7)=1),1,0)</f>
        <v>4</v>
      </c>
      <c r="CB7" s="126">
        <f t="shared" si="32"/>
        <v>11.9475</v>
      </c>
      <c r="CC7" s="50">
        <f>IF('Final Calculation Sheet'!$O$7="","",'Final Calculation Sheet'!$O$7)</f>
        <v>5167.7999999999993</v>
      </c>
      <c r="CD7">
        <f>IF(CC7="","",COUNTIFS(CC$4:CC$40,"&lt;"&amp;CC7,CC$4:CC$40,"&lt;&gt;"&amp;"")+COUNTIF(CC$4:CC7,CC7))</f>
        <v>21</v>
      </c>
      <c r="CE7" s="50">
        <f t="shared" si="33"/>
        <v>692.95499999999993</v>
      </c>
      <c r="CF7">
        <f>CF6+IF(AND(CE7&lt;&gt;"",COUNTIF(CE$4:CE7,CE7)=1),1,0)</f>
        <v>4</v>
      </c>
      <c r="CG7" s="50">
        <f t="shared" si="34"/>
        <v>692.95499999999993</v>
      </c>
      <c r="CH7" s="50">
        <f>IF('Final Calculation Sheet'!$P$7="","",'Final Calculation Sheet'!$P$7)</f>
        <v>5366</v>
      </c>
      <c r="CI7">
        <f>IF(CH7="","",COUNTIFS(CH$4:CH$40,"&lt;"&amp;CH7,CH$4:CH$40,"&lt;&gt;"&amp;"")+COUNTIF(CH$4:CH7,CH7))</f>
        <v>21</v>
      </c>
      <c r="CJ7" s="50">
        <f t="shared" si="35"/>
        <v>720</v>
      </c>
      <c r="CK7">
        <f>CK6+IF(AND(CJ7&lt;&gt;"",COUNTIF(CJ$4:CJ7,CJ7)=1),1,0)</f>
        <v>4</v>
      </c>
      <c r="CL7" s="50">
        <f t="shared" si="36"/>
        <v>720</v>
      </c>
      <c r="CM7" s="127">
        <f>IF('Final Calculation Sheet'!$Q$7="","",'Final Calculation Sheet'!$Q$7)</f>
        <v>0</v>
      </c>
      <c r="CN7">
        <f>IF(CM7="","",COUNTIFS(CM$4:CM$40,"&lt;"&amp;CM7,CM$4:CM$40,"&lt;&gt;"&amp;"")+COUNTIF(CM$4:CM7,CM7))</f>
        <v>3</v>
      </c>
      <c r="CO7" s="127">
        <f t="shared" si="37"/>
        <v>0</v>
      </c>
      <c r="CP7">
        <f>CP6+IF(AND(CO7&lt;&gt;"",COUNTIF(CO$4:CO7,CO7)=1),1,0)</f>
        <v>1</v>
      </c>
      <c r="CQ7" t="str">
        <f t="shared" si="38"/>
        <v/>
      </c>
      <c r="CR7" s="50">
        <f>IF('Final Calculation Sheet'!$R$7="","",'Final Calculation Sheet'!$R$7)</f>
        <v>0</v>
      </c>
      <c r="CS7">
        <f>IF(CR7="","",COUNTIFS(CR$4:CR$40,"&lt;"&amp;CR7,CR$4:CR$40,"&lt;&gt;"&amp;"")+COUNTIF(CR$4:CR7,CR7))</f>
        <v>3</v>
      </c>
      <c r="CT7" s="50">
        <f t="shared" si="39"/>
        <v>0</v>
      </c>
      <c r="CU7">
        <f>CU6+IF(AND(CT7&lt;&gt;"",COUNTIF(CT$4:CT7,CT7)=1),1,0)</f>
        <v>1</v>
      </c>
      <c r="CV7" s="50">
        <f t="shared" si="40"/>
        <v>23310</v>
      </c>
      <c r="CW7" s="50">
        <f>IF('Final Calculation Sheet'!$S$7="","",'Final Calculation Sheet'!$S$7)</f>
        <v>232947</v>
      </c>
      <c r="CX7">
        <f>IF(CW7="","",COUNTIFS(CW$4:CW$40,"&lt;"&amp;CW7,CW$4:CW$40,"&lt;&gt;"&amp;"")+COUNTIF(CW$4:CW7,CW7))</f>
        <v>21</v>
      </c>
      <c r="CY7" s="50">
        <f t="shared" si="41"/>
        <v>31236</v>
      </c>
      <c r="CZ7">
        <f>CZ6+IF(AND(CY7&lt;&gt;"",COUNTIF(CY$4:CY7,CY7)=1),1,0)</f>
        <v>4</v>
      </c>
      <c r="DA7" s="50">
        <f t="shared" si="42"/>
        <v>31236</v>
      </c>
      <c r="DB7" s="50">
        <f>IF('Final Calculation Sheet'!$T$7="","",'Final Calculation Sheet'!$T$7)</f>
        <v>49500</v>
      </c>
      <c r="DC7">
        <f>IF(DB7="","",COUNTIFS(DB$4:DB$40,"&lt;"&amp;DB7,DB$4:DB$40,"&lt;&gt;"&amp;"")+COUNTIF(DB$4:DB7,DB7))</f>
        <v>21</v>
      </c>
      <c r="DD7" s="50">
        <f t="shared" si="43"/>
        <v>6638</v>
      </c>
      <c r="DE7">
        <f>DE6+IF(AND(DD7&lt;&gt;"",COUNTIF(DD$4:DD7,DD7)=1),1,0)</f>
        <v>4</v>
      </c>
      <c r="DF7" s="50">
        <f t="shared" si="44"/>
        <v>6638</v>
      </c>
      <c r="DG7" s="128">
        <f>IF('Final Calculation Sheet'!$U$7="","",'Final Calculation Sheet'!$U$7)</f>
        <v>49500</v>
      </c>
      <c r="DH7">
        <f>IF(DG7="","",COUNTIFS(DG$4:DG$40,"&lt;"&amp;DG7,DG$4:DG$40,"&lt;&gt;"&amp;"")+COUNTIF(DG$4:DG7,DG7))</f>
        <v>21</v>
      </c>
      <c r="DI7" s="128">
        <f t="shared" si="45"/>
        <v>6638</v>
      </c>
      <c r="DJ7">
        <f>DJ6+IF(AND(DI7&lt;&gt;"",COUNTIF(DI$4:DI7,DI7)=1),1,0)</f>
        <v>4</v>
      </c>
      <c r="DK7" s="128">
        <f t="shared" si="46"/>
        <v>6638</v>
      </c>
      <c r="DL7" t="str">
        <f>IF('Final Calculation Sheet'!$V$7="","",'Final Calculation Sheet'!$V$7)</f>
        <v>11.08.2026</v>
      </c>
      <c r="DM7">
        <f>IF(DL7="","",COUNTIFS(DL$4:DL$40,"&lt;"&amp;DL7,DL$4:DL$40,"&lt;&gt;"&amp;"")+COUNTIF(DL$4:DL7,DL7))</f>
        <v>3</v>
      </c>
      <c r="DN7" t="str">
        <f t="shared" si="47"/>
        <v>11.08.2026</v>
      </c>
      <c r="DO7">
        <f>DO6+IF(AND(DN7&lt;&gt;"",COUNTIF(DN$4:DN7,DN7)=1),1,0)</f>
        <v>2</v>
      </c>
      <c r="DP7" t="str">
        <f t="shared" si="48"/>
        <v>14.08.2026</v>
      </c>
      <c r="DQ7" s="50">
        <f>IF('Final Calculation Sheet'!$W$7="","",'Final Calculation Sheet'!$W$7)</f>
        <v>183447</v>
      </c>
      <c r="DR7">
        <f>IF(DQ7="","",COUNTIFS(DQ$4:DQ$40,"&lt;"&amp;DQ7,DQ$4:DQ$40,"&lt;&gt;"&amp;"")+COUNTIF(DQ$4:DQ7,DQ7))</f>
        <v>21</v>
      </c>
      <c r="DS7" s="50">
        <f t="shared" si="49"/>
        <v>24599</v>
      </c>
      <c r="DT7">
        <f>DT6+IF(AND(DS7&lt;&gt;"",COUNTIF(DS$4:DS7,DS7)=1),1,0)</f>
        <v>4</v>
      </c>
      <c r="DU7" s="50">
        <f t="shared" si="50"/>
        <v>24599</v>
      </c>
      <c r="DV7" s="50">
        <f>IF('Final Calculation Sheet'!$X$7="","",'Final Calculation Sheet'!$X$7)</f>
        <v>183446</v>
      </c>
      <c r="DW7">
        <f>IF(DV7="","",COUNTIFS(DV$4:DV$40,"&lt;"&amp;DV7,DV$4:DV$40,"&lt;&gt;"&amp;"")+COUNTIF(DV$4:DV7,DV7))</f>
        <v>20</v>
      </c>
      <c r="DX7" s="50">
        <f t="shared" si="51"/>
        <v>24598</v>
      </c>
      <c r="DY7">
        <f>DY6+IF(AND(DX7&lt;&gt;"",COUNTIF(DX$4:DX7,DX7)=1),1,0)</f>
        <v>4</v>
      </c>
      <c r="DZ7" t="e">
        <f t="shared" si="52"/>
        <v>#N/A</v>
      </c>
      <c r="EA7" t="str">
        <f>IF('Final Calculation Sheet'!$Y$7="","",'Final Calculation Sheet'!$Y$7)</f>
        <v>20.08.2026</v>
      </c>
      <c r="EB7">
        <f>IF(EA7="","",COUNTIFS(EA$4:EA$40,"&lt;"&amp;EA7,EA$4:EA$40,"&lt;&gt;"&amp;"")+COUNTIF(EA$4:EA7,EA7))</f>
        <v>15</v>
      </c>
      <c r="EC7" t="str">
        <f t="shared" si="53"/>
        <v>11.08.2026</v>
      </c>
      <c r="ED7">
        <f>ED6+IF(AND(EC7&lt;&gt;"",COUNTIF(EC$4:EC7,EC7)=1),1,0)</f>
        <v>3</v>
      </c>
      <c r="EE7" t="e">
        <f t="shared" si="54"/>
        <v>#N/A</v>
      </c>
      <c r="EF7" s="50">
        <f ca="1">IF('Final Calculation Sheet'!$Z$7="","",'Final Calculation Sheet'!$Z$7)</f>
        <v>7009.2000000000007</v>
      </c>
      <c r="EG7">
        <f ca="1">IF(EF7="","",COUNTIFS(EF$4:EF$40,"&lt;"&amp;EF7,EF$4:EF$40,"&lt;&gt;"&amp;"")+COUNTIF(EF$4:EF7,EF7))</f>
        <v>21</v>
      </c>
      <c r="EH7" s="50">
        <f t="shared" ca="1" si="55"/>
        <v>745.52399999999989</v>
      </c>
      <c r="EI7">
        <f ca="1">EI6+IF(AND(EH7&lt;&gt;"",COUNTIF(EH$4:EH7,EH7)=1),1,0)</f>
        <v>4</v>
      </c>
      <c r="EJ7" s="50">
        <f t="shared" ca="1" si="56"/>
        <v>745.52399999999989</v>
      </c>
      <c r="EK7" t="str">
        <f>IF('Final Calculation Sheet'!$AA$7="","",'Final Calculation Sheet'!$AA$7)</f>
        <v/>
      </c>
      <c r="EL7" t="str">
        <f>IF(EK7="","",COUNTIFS(EK$4:EK$40,"&lt;"&amp;EK7,EK$4:EK$40,"&lt;&gt;"&amp;"")+COUNTIF(EK$4:EK7,EK7))</f>
        <v/>
      </c>
      <c r="EM7" t="e">
        <f t="shared" si="57"/>
        <v>#N/A</v>
      </c>
      <c r="EN7" t="e">
        <f>EN6+IF(AND(EM7&lt;&gt;"",COUNTIF(EM$4:EM7,EM7)=1),1,0)</f>
        <v>#N/A</v>
      </c>
      <c r="EO7" t="e">
        <f t="shared" si="58"/>
        <v>#N/A</v>
      </c>
      <c r="EP7" t="str">
        <f>IF('Final Calculation Sheet'!$AB$7="","",'Final Calculation Sheet'!$AB$7)</f>
        <v/>
      </c>
      <c r="EQ7" t="str">
        <f>IF(EP7="","",COUNTIFS(EP$4:EP$40,"&lt;"&amp;EP7,EP$4:EP$40,"&lt;&gt;"&amp;"")+COUNTIF(EP$4:EP7,EP7))</f>
        <v/>
      </c>
      <c r="ER7" t="e">
        <f t="shared" si="59"/>
        <v>#N/A</v>
      </c>
      <c r="ES7" t="e">
        <f>ES6+IF(AND(ER7&lt;&gt;"",COUNTIF(ER$4:ER7,ER7)=1),1,0)</f>
        <v>#N/A</v>
      </c>
      <c r="ET7" t="e">
        <f t="shared" si="60"/>
        <v>#N/A</v>
      </c>
      <c r="EU7" s="50">
        <f>IF('Final Calculation Sheet'!$AC$7="","",'Final Calculation Sheet'!$AC$7)</f>
        <v>232946</v>
      </c>
      <c r="EV7">
        <f>IF(EU7="","",COUNTIFS(EU$4:EU$40,"&lt;"&amp;EU7,EU$4:EU$40,"&lt;&gt;"&amp;"")+COUNTIF(EU$4:EU7,EU7))</f>
        <v>23</v>
      </c>
      <c r="EW7" s="50">
        <f t="shared" si="61"/>
        <v>24777</v>
      </c>
      <c r="EX7">
        <f>EX6+IF(AND(EW7&lt;&gt;"",COUNTIF(EW$4:EW7,EW7)=1),1,0)</f>
        <v>4</v>
      </c>
      <c r="EY7" s="50">
        <f t="shared" si="62"/>
        <v>24777</v>
      </c>
      <c r="EZ7" s="50">
        <f>IF('Final Calculation Sheet'!$AD$7="","",'Final Calculation Sheet'!$AD$7)</f>
        <v>1</v>
      </c>
      <c r="FA7">
        <f>IF(EZ7="","",COUNTIFS(EZ$4:EZ$40,"&lt;"&amp;EZ7,EZ$4:EZ$40,"&lt;&gt;"&amp;"")+COUNTIF(EZ$4:EZ7,EZ7))</f>
        <v>29</v>
      </c>
      <c r="FB7" s="50">
        <f t="shared" si="63"/>
        <v>-1.0942916101776063</v>
      </c>
      <c r="FC7">
        <f>FC6+IF(AND(FB7&lt;&gt;"",COUNTIF(FB$4:FB7,FB7)=1),1,0)</f>
        <v>4</v>
      </c>
      <c r="FD7" s="50">
        <f t="shared" si="64"/>
        <v>-1.0942916101776063</v>
      </c>
      <c r="FE7" t="str">
        <f>IF('Final Calculation Sheet'!$AF$7="","",'Final Calculation Sheet'!$AF$7)</f>
        <v>DR2640100048</v>
      </c>
      <c r="FF7">
        <f>IF(FE7="","",COUNTIFS(FE$4:FE$40,"&lt;"&amp;FE7,FE$4:FE$40,"&lt;&gt;"&amp;"")+COUNTIF(FE$4:FE7,FE7))</f>
        <v>37</v>
      </c>
      <c r="FG7" t="e">
        <f t="shared" si="65"/>
        <v>#N/A</v>
      </c>
      <c r="FH7" t="e">
        <f>FH6+IF(AND(FG7&lt;&gt;"",COUNTIF(FG$4:FG7,FG7)=1),1,0)</f>
        <v>#N/A</v>
      </c>
      <c r="FI7" t="e">
        <f t="shared" si="66"/>
        <v>#N/A</v>
      </c>
      <c r="FJ7" s="129">
        <f>IF('Final Calculation Sheet'!$AG$7="","",'Final Calculation Sheet'!$AG$7)</f>
        <v>1800003347</v>
      </c>
      <c r="FK7">
        <f>IF(FJ7="","",COUNTIFS(FJ$4:FJ$40,"&lt;"&amp;FJ7,FJ$4:FJ$40,"&lt;&gt;"&amp;"")+COUNTIF(FJ$4:FJ7,FJ7))</f>
        <v>32</v>
      </c>
      <c r="FL7" s="129">
        <f t="shared" si="67"/>
        <v>1800003158</v>
      </c>
      <c r="FM7">
        <f>FM6+IF(AND(FL7&lt;&gt;"",COUNTIF(FL$4:FL7,FL7)=1),1,0)</f>
        <v>4</v>
      </c>
      <c r="FN7" t="e">
        <f t="shared" si="68"/>
        <v>#N/A</v>
      </c>
      <c r="FO7" t="str">
        <f>IF('Final Calculation Sheet'!$AH$7="","",'Final Calculation Sheet'!$AH$7)</f>
        <v>27.08.2026</v>
      </c>
      <c r="FP7">
        <f>IF(FO7="","",COUNTIFS(FO$4:FO$40,"&lt;"&amp;FO7,FO$4:FO$40,"&lt;&gt;"&amp;"")+COUNTIF(FO$4:FO7,FO7))</f>
        <v>21</v>
      </c>
      <c r="FQ7" t="e">
        <f t="shared" si="69"/>
        <v>#N/A</v>
      </c>
      <c r="FR7" t="e">
        <f>FR6+IF(AND(FQ7&lt;&gt;"",COUNTIF(FQ$4:FQ7,FQ7)=1),1,0)</f>
        <v>#N/A</v>
      </c>
      <c r="FS7" t="e">
        <f t="shared" si="70"/>
        <v>#N/A</v>
      </c>
      <c r="FU7" t="str">
        <f>IF(FT7="","",COUNTIFS(FT$4:FT$40,"&lt;"&amp;FT7,FT$4:FT$40,"&lt;&gt;"&amp;"")+COUNTIF(FT$4:FT7,FT7))</f>
        <v/>
      </c>
      <c r="FV7" t="str">
        <f t="shared" si="71"/>
        <v/>
      </c>
      <c r="FW7">
        <f>FW6+IF(AND(FV7&lt;&gt;"",COUNTIF(FV$4:FV7,FV7)=1),1,0)</f>
        <v>2</v>
      </c>
      <c r="FX7" t="str">
        <f t="shared" si="72"/>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7" t="b">
        <f>IF($Y$7="",FALSE,SUMPRODUCT(('Final Calculation Sheet'!$B$4:$B$40=$Y$7)*($FY$6:$FY$42=1))&gt;0)</f>
        <v>1</v>
      </c>
      <c r="GA7">
        <f>$GA$6+--($FZ$7)</f>
        <v>4</v>
      </c>
      <c r="GB7" t="str">
        <f t="shared" si="73"/>
        <v>SCRAP COPPER OF T/F WINDING (Oil impregnated paper insulated T/F winding)</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D7" t="b">
        <f>IF($O$7="",FALSE,SUMPRODUCT(('Final Calculation Sheet'!$F$4:$F$40=$O$7)*($GC$6:$GC$42=1))&gt;0)</f>
        <v>1</v>
      </c>
      <c r="GE7">
        <f>$GE$6+--($GD7)</f>
        <v>4</v>
      </c>
      <c r="GF7">
        <f t="shared" si="74"/>
        <v>1876</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H7" t="b">
        <f>IF($T$7="",FALSE,SUMPRODUCT(('Final Calculation Sheet'!$G$4:$G$40=$T$7)*($GG$6:$GG$42=1))&gt;0)</f>
        <v>1</v>
      </c>
      <c r="GI7">
        <f>$GI$6+--($GH7)</f>
        <v>4</v>
      </c>
      <c r="GJ7" t="str">
        <f t="shared" si="75"/>
        <v>KASHYAP TRADING CO</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L7" t="b">
        <f>IF($AD$7="",FALSE,SUMPRODUCT(('Final Calculation Sheet'!$D$4:$D$40=$AD$7)*($GK$6:$GK$42=1))&gt;0)</f>
        <v>1</v>
      </c>
      <c r="GM7">
        <f>$GM$6+--($GL7)</f>
        <v>4</v>
      </c>
      <c r="GN7">
        <f t="shared" si="76"/>
        <v>21980</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P7" t="b">
        <f>IF($AI$7="",FALSE,SUMPRODUCT(('Final Calculation Sheet'!$A$4:$A$40=$AI$7)*($GO$6:$GO$42=1))&gt;0)</f>
        <v>1</v>
      </c>
      <c r="GQ7">
        <f>$GQ$6+--($GP7)</f>
        <v>4</v>
      </c>
      <c r="GR7">
        <f t="shared" si="77"/>
        <v>4</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T7" t="b">
        <f>IF($AN$7="",FALSE,SUMPRODUCT(('Final Calculation Sheet'!$E$4:$E$40=$AN$7)*($GS$6:$GS$42=1))&gt;0)</f>
        <v>0</v>
      </c>
      <c r="GU7">
        <f>$GU$6+--($GT7)</f>
        <v>3</v>
      </c>
      <c r="GV7" t="str">
        <f t="shared" si="78"/>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GX7" t="b">
        <f>IF($AS$7="",FALSE,SUMPRODUCT(('Final Calculation Sheet'!$C$4:$C$40=$AS$7)*($GW$6:$GW$42=1))&gt;0)</f>
        <v>1</v>
      </c>
      <c r="GY7">
        <f>$GY$6+--($GX7)</f>
        <v>4</v>
      </c>
      <c r="GZ7">
        <f t="shared" si="79"/>
        <v>333</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B7" t="b">
        <f>IF($AX$7="",FALSE,SUMPRODUCT(('Final Calculation Sheet'!$H$4:$H$40=$AX$7)*($HA$6:$HA$42=1))&gt;0)</f>
        <v>1</v>
      </c>
      <c r="HC7">
        <f>$HC$6+--($HB7)</f>
        <v>4</v>
      </c>
      <c r="HD7">
        <f t="shared" si="80"/>
        <v>26550</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F7" t="b">
        <f>IF($BC$7="",FALSE,SUMPRODUCT(('Final Calculation Sheet'!$I$4:$I$40=$BC$7)*($HE$6:$HE$42=1))&gt;0)</f>
        <v>1</v>
      </c>
      <c r="HG7">
        <f>$HG$6+--($HF7)</f>
        <v>4</v>
      </c>
      <c r="HH7">
        <f t="shared" si="81"/>
        <v>4779</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J7" t="b">
        <f>IF($BH$7="",FALSE,SUMPRODUCT(('Final Calculation Sheet'!$J$4:$J$40=$BH$7)*($HI$6:$HI$42=1))&gt;0)</f>
        <v>1</v>
      </c>
      <c r="HK7">
        <f>$HK$6+--($HJ7)</f>
        <v>4</v>
      </c>
      <c r="HL7">
        <f t="shared" si="82"/>
        <v>31329</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N7" t="b">
        <f>IF($BM$7="",FALSE,SUMPRODUCT(('Final Calculation Sheet'!$K$4:$K$40=$BM$7)*($HM$6:$HM$42=1))&gt;0)</f>
        <v>1</v>
      </c>
      <c r="HO7">
        <f>$HO$6+--($HN7)</f>
        <v>4</v>
      </c>
      <c r="HP7">
        <f t="shared" si="83"/>
        <v>627</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R7" t="b">
        <f>IF($BR$7="",FALSE,SUMPRODUCT(('Final Calculation Sheet'!$L$4:$L$40=$BR$7)*($HQ$6:$HQ$42=1))&gt;0)</f>
        <v>1</v>
      </c>
      <c r="HS7">
        <f>$HS$6+--($HR7)</f>
        <v>4</v>
      </c>
      <c r="HT7">
        <f t="shared" si="84"/>
        <v>26.55</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V7" t="b">
        <f>IF($BW$7="",FALSE,SUMPRODUCT(('Final Calculation Sheet'!$M$4:$M$40=$BW$7)*($HU$6:$HU$42=1))&gt;0)</f>
        <v>1</v>
      </c>
      <c r="HW7">
        <f>$HW$6+--($HV7)</f>
        <v>4</v>
      </c>
      <c r="HX7">
        <f t="shared" si="85"/>
        <v>704.90249999999992</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HZ7" t="b">
        <f>IF($CB$7="",FALSE,SUMPRODUCT(('Final Calculation Sheet'!$N$4:$N$40=$CB$7)*($HY$6:$HY$42=1))&gt;0)</f>
        <v>1</v>
      </c>
      <c r="IA7">
        <f>$IA$6+--($HZ7)</f>
        <v>4</v>
      </c>
      <c r="IB7">
        <f t="shared" si="86"/>
        <v>11.9475</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D7" t="b">
        <f>IF($CG$7="",FALSE,SUMPRODUCT(('Final Calculation Sheet'!$O$4:$O$40=$CG$7)*($IC$6:$IC$42=1))&gt;0)</f>
        <v>1</v>
      </c>
      <c r="IE7">
        <f>$IE$6+--($ID7)</f>
        <v>4</v>
      </c>
      <c r="IF7">
        <f t="shared" si="87"/>
        <v>692.95499999999993</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H7" t="b">
        <f>IF($CL$7="",FALSE,SUMPRODUCT(('Final Calculation Sheet'!$P$4:$P$40=$CL$7)*($IG$6:$IG$42=1))&gt;0)</f>
        <v>1</v>
      </c>
      <c r="II7">
        <f>$II$6+--($IH7)</f>
        <v>4</v>
      </c>
      <c r="IJ7">
        <f t="shared" si="88"/>
        <v>720</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L7" t="b">
        <f>IF($CQ$7="",FALSE,SUMPRODUCT(('Final Calculation Sheet'!$Q$4:$Q$40=$CQ$7)*($IK$6:$IK$42=1))&gt;0)</f>
        <v>0</v>
      </c>
      <c r="IM7">
        <f>$IM$6+--($IL7)</f>
        <v>2</v>
      </c>
      <c r="IN7" t="str">
        <f t="shared" si="89"/>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P7" t="b">
        <f>IF($CV$7="",FALSE,SUMPRODUCT(('Final Calculation Sheet'!$R$4:$R$40=$CV$7)*($IO$6:$IO$42=1))&gt;0)</f>
        <v>1</v>
      </c>
      <c r="IQ7">
        <f>$IQ$6+--($IP7)</f>
        <v>4</v>
      </c>
      <c r="IR7">
        <f t="shared" si="90"/>
        <v>23310</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T7" t="b">
        <f>IF($DA$7="",FALSE,SUMPRODUCT(('Final Calculation Sheet'!$S$4:$S$40=$DA$7)*($IS$6:$IS$42=1))&gt;0)</f>
        <v>1</v>
      </c>
      <c r="IU7">
        <f>$IU$6+--($IT7)</f>
        <v>4</v>
      </c>
      <c r="IV7">
        <f t="shared" si="91"/>
        <v>31236</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IX7" t="b">
        <f>IF($DF$7="",FALSE,SUMPRODUCT(('Final Calculation Sheet'!$T$4:$T$40=$DF$7)*($IW$6:$IW$42=1))&gt;0)</f>
        <v>1</v>
      </c>
      <c r="IY7">
        <f>$IY$6+--($IX7)</f>
        <v>4</v>
      </c>
      <c r="IZ7">
        <f t="shared" si="92"/>
        <v>6638</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B7" t="b">
        <f>IF($DK$7="",FALSE,SUMPRODUCT(('Final Calculation Sheet'!$U$4:$U$40=$DK$7)*($JA$6:$JA$42=1))&gt;0)</f>
        <v>1</v>
      </c>
      <c r="JC7">
        <f>$JC$6+--($JB7)</f>
        <v>4</v>
      </c>
      <c r="JD7">
        <f t="shared" si="93"/>
        <v>6638</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F7" t="b">
        <f>IF($DP$7="",FALSE,SUMPRODUCT(('Final Calculation Sheet'!$V$4:$V$40=$DP$7)*($JE$6:$JE$42=1))&gt;0)</f>
        <v>1</v>
      </c>
      <c r="JG7">
        <f>$JG$6+--($JF7)</f>
        <v>4</v>
      </c>
      <c r="JH7" t="str">
        <f t="shared" si="94"/>
        <v>14.08.2026</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J7" t="b">
        <f>IF($DU$7="",FALSE,SUMPRODUCT(('Final Calculation Sheet'!$W$4:$W$40=$DU$7)*($JI$6:$JI$42=1))&gt;0)</f>
        <v>1</v>
      </c>
      <c r="JK7">
        <f>$JK$6+--($JJ7)</f>
        <v>4</v>
      </c>
      <c r="JL7">
        <f t="shared" si="95"/>
        <v>24599</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N7" t="e">
        <f>IF($DZ$7="",FALSE,SUMPRODUCT(('Final Calculation Sheet'!$X$4:$X$40=$DZ$7)*($JM$6:$JM$42=1))&gt;0)</f>
        <v>#N/A</v>
      </c>
      <c r="JO7" t="e">
        <f>$JO$6+--($JN7)</f>
        <v>#N/A</v>
      </c>
      <c r="JP7" t="e">
        <f t="shared" si="96"/>
        <v>#N/A</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R7" t="e">
        <f>IF($EE$7="",FALSE,SUMPRODUCT(('Final Calculation Sheet'!$Y$4:$Y$40=$EE$7)*($JQ$6:$JQ$42=1))&gt;0)</f>
        <v>#N/A</v>
      </c>
      <c r="JS7" t="e">
        <f>$JS$6+--($JR7)</f>
        <v>#N/A</v>
      </c>
      <c r="JT7" t="e">
        <f t="shared" si="97"/>
        <v>#N/A</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V7" t="b">
        <f ca="1">IF($EJ$7="",FALSE,SUMPRODUCT(('Final Calculation Sheet'!$Z$4:$Z$40=$EJ$7)*($JU$6:$JU$42=1))&gt;0)</f>
        <v>1</v>
      </c>
      <c r="JW7">
        <f ca="1">$JW$6+--($JV7)</f>
        <v>4</v>
      </c>
      <c r="JX7">
        <f t="shared" ca="1" si="98"/>
        <v>745.52399999999989</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JZ7" t="e">
        <f>IF($EO$7="",FALSE,SUMPRODUCT(('Final Calculation Sheet'!$AA$4:$AA$40=$EO$7)*($JY$6:$JY$42=1))&gt;0)</f>
        <v>#N/A</v>
      </c>
      <c r="KA7" t="e">
        <f>$KA$6+--($JZ7)</f>
        <v>#N/A</v>
      </c>
      <c r="KB7" t="e">
        <f t="shared" si="99"/>
        <v>#N/A</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D7" t="e">
        <f>IF($ET$7="",FALSE,SUMPRODUCT(('Final Calculation Sheet'!$AB$4:$AB$40=$ET$7)*($KC$6:$KC$42=1))&gt;0)</f>
        <v>#N/A</v>
      </c>
      <c r="KE7" t="e">
        <f>$KE$6+--($KD7)</f>
        <v>#N/A</v>
      </c>
      <c r="KF7" t="e">
        <f t="shared" si="100"/>
        <v>#N/A</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H7" t="b">
        <f>IF($EY$7="",FALSE,SUMPRODUCT(('Final Calculation Sheet'!$AC$4:$AC$40=$EY$7)*($KG$6:$KG$42=1))&gt;0)</f>
        <v>1</v>
      </c>
      <c r="KI7">
        <f>$KI$6+--($KH7)</f>
        <v>4</v>
      </c>
      <c r="KJ7">
        <f t="shared" si="101"/>
        <v>24777</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L7" t="b">
        <f>IF($FD$7="",FALSE,SUMPRODUCT(('Final Calculation Sheet'!$AD$4:$AD$40=$FD$7)*($KK$6:$KK$42=1))&gt;0)</f>
        <v>1</v>
      </c>
      <c r="KM7">
        <f>$KM$6+--($KL7)</f>
        <v>4</v>
      </c>
      <c r="KN7">
        <f t="shared" si="102"/>
        <v>-1.0942916101776063</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P7" t="b">
        <f>IF($FX$7="",FALSE,SUMPRODUCT((IF('Final Calculation Sheet'!$AD$4:$AD$40&lt;=5,"SETTLED","OUTSTANDING")=$FX$7)*($KO$6:$KO$42=1))&gt;0)</f>
        <v>0</v>
      </c>
      <c r="KQ7">
        <f>$KQ$6+--($KP7)</f>
        <v>1</v>
      </c>
      <c r="KR7" t="str">
        <f t="shared" si="103"/>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T7" t="e">
        <f>IF($FI$7="",FALSE,SUMPRODUCT(('Final Calculation Sheet'!$AF$4:$AF$40=$FI$7)*($KS$6:$KS$42=1))&gt;0)</f>
        <v>#N/A</v>
      </c>
      <c r="KU7" t="e">
        <f>$KU$6+--($KT7)</f>
        <v>#N/A</v>
      </c>
      <c r="KV7" t="e">
        <f t="shared" si="104"/>
        <v>#N/A</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KX7" t="e">
        <f>IF($FN$7="",FALSE,SUMPRODUCT(('Final Calculation Sheet'!$AG$4:$AG$40=$FN$7)*($KW$6:$KW$42=1))&gt;0)</f>
        <v>#N/A</v>
      </c>
      <c r="KY7" t="e">
        <f>$KY$6+--($KX7)</f>
        <v>#N/A</v>
      </c>
      <c r="KZ7" t="e">
        <f t="shared" si="105"/>
        <v>#N/A</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LB7" t="e">
        <f>IF($FS$7="",FALSE,SUMPRODUCT(('Final Calculation Sheet'!$AH$4:$AH$40=$FS$7)*($LA$6:$LA$42=1))&gt;0)</f>
        <v>#N/A</v>
      </c>
      <c r="LC7" t="e">
        <f>$LC$6+--($LB7)</f>
        <v>#N/A</v>
      </c>
      <c r="LD7" t="e">
        <f t="shared" si="106"/>
        <v>#N/A</v>
      </c>
      <c r="LE7">
        <f>IF(COUNTIF('Buyer Groups'!DH7:EN7,0)&gt;0,0,1)</f>
        <v>1</v>
      </c>
      <c r="LF7" t="b">
        <f>IF($O$7="",FALSE,SUMPRODUCT(('Final Calculation Sheet'!$F$4:$F$40=$O$7)*($LE$6:$LE$42=1))&gt;0)</f>
        <v>1</v>
      </c>
      <c r="LG7">
        <f>$LG$6+--($LF7)</f>
        <v>4</v>
      </c>
      <c r="LH7">
        <f t="shared" si="107"/>
        <v>1876</v>
      </c>
      <c r="LI7">
        <f>IF(COUNTIF('Buyer Groups'!DG7:DG7,0)+COUNTIF('Buyer Groups'!DI7:EN7,0)&gt;0,0,1)</f>
        <v>1</v>
      </c>
      <c r="LJ7" t="b">
        <f>IF($T$7="",FALSE,SUMPRODUCT(('Final Calculation Sheet'!$G$4:$G$40=$T$7)*($LI$6:$LI$42=1))&gt;0)</f>
        <v>1</v>
      </c>
      <c r="LK7">
        <f>$LK$6+--($LJ7)</f>
        <v>4</v>
      </c>
      <c r="LL7" t="str">
        <f t="shared" si="108"/>
        <v>KASHYAP TRADING CO</v>
      </c>
      <c r="LM7">
        <f>IF(COUNTIF('Buyer Groups'!DG7:DH7,0)+COUNTIF('Buyer Groups'!DJ7:EN7,0)&gt;0,0,1)</f>
        <v>1</v>
      </c>
      <c r="LN7" t="b">
        <f>IF($Y$7="",FALSE,SUMPRODUCT(('Final Calculation Sheet'!$B$4:$B$40=$Y$7)*($LM$6:$LM$42=1))&gt;0)</f>
        <v>1</v>
      </c>
      <c r="LO7">
        <f>$LO$6+--($LN7)</f>
        <v>4</v>
      </c>
      <c r="LP7" t="str">
        <f t="shared" si="109"/>
        <v>SCRAP COPPER OF T/F WINDING (Oil impregnated paper insulated T/F winding)</v>
      </c>
      <c r="LQ7">
        <f>IF(COUNTIF('Buyer Groups'!DG7:DI7,0)+COUNTIF('Buyer Groups'!DK7:EN7,0)&gt;0,0,1)</f>
        <v>1</v>
      </c>
      <c r="LR7" t="b">
        <f>IF($AD$7="",FALSE,SUMPRODUCT(('Final Calculation Sheet'!$D$4:$D$40=$AD$7)*($LQ$6:$LQ$42=1))&gt;0)</f>
        <v>1</v>
      </c>
      <c r="LS7">
        <f>$LS$6+--($LR7)</f>
        <v>4</v>
      </c>
      <c r="LT7">
        <f t="shared" si="110"/>
        <v>21980</v>
      </c>
      <c r="LU7">
        <f>IF(COUNTIF('Buyer Groups'!DG7:DJ7,0)+COUNTIF('Buyer Groups'!DL7:EN7,0)&gt;0,0,1)</f>
        <v>1</v>
      </c>
      <c r="LV7" t="b">
        <f>IF($AI$7="",FALSE,SUMPRODUCT(('Final Calculation Sheet'!$A$4:$A$40=$AI$7)*($LU$6:$LU$42=1))&gt;0)</f>
        <v>1</v>
      </c>
      <c r="LW7">
        <f>$LW$6+--($LV7)</f>
        <v>4</v>
      </c>
      <c r="LX7">
        <f t="shared" si="111"/>
        <v>4</v>
      </c>
      <c r="LY7">
        <f>IF(COUNTIF('Buyer Groups'!DG7:DK7,0)+COUNTIF('Buyer Groups'!DM7:EN7,0)&gt;0,0,1)</f>
        <v>1</v>
      </c>
      <c r="LZ7" t="b">
        <f>IF($AN$7="",FALSE,SUMPRODUCT(('Final Calculation Sheet'!$E$4:$E$40=$AN$7)*($LY$6:$LY$42=1))&gt;0)</f>
        <v>0</v>
      </c>
      <c r="MA7">
        <f>$MA$6+--($LZ7)</f>
        <v>3</v>
      </c>
      <c r="MB7" t="str">
        <f t="shared" si="112"/>
        <v/>
      </c>
      <c r="MC7">
        <f>IF(COUNTIF('Buyer Groups'!DG7:DL7,0)+COUNTIF('Buyer Groups'!DN7:EN7,0)&gt;0,0,1)</f>
        <v>1</v>
      </c>
      <c r="MD7" t="b">
        <f>IF($AS$7="",FALSE,SUMPRODUCT(('Final Calculation Sheet'!$C$4:$C$40=$AS$7)*($MC$6:$MC$42=1))&gt;0)</f>
        <v>1</v>
      </c>
      <c r="ME7">
        <f>$ME$6+--($MD7)</f>
        <v>4</v>
      </c>
      <c r="MF7">
        <f t="shared" si="113"/>
        <v>333</v>
      </c>
      <c r="MG7">
        <f>IF(COUNTIF('Buyer Groups'!DG7:DM7,0)+COUNTIF('Buyer Groups'!DO7:EN7,0)&gt;0,0,1)</f>
        <v>1</v>
      </c>
      <c r="MH7" t="b">
        <f>IF($AX$7="",FALSE,SUMPRODUCT(('Final Calculation Sheet'!$H$4:$H$40=$AX$7)*($MG$6:$MG$42=1))&gt;0)</f>
        <v>1</v>
      </c>
      <c r="MI7">
        <f>$MI$6+--($MH7)</f>
        <v>4</v>
      </c>
      <c r="MJ7">
        <f t="shared" si="114"/>
        <v>26550</v>
      </c>
      <c r="MK7">
        <f>IF(COUNTIF('Buyer Groups'!DG7:DN7,0)+COUNTIF('Buyer Groups'!DP7:EN7,0)&gt;0,0,1)</f>
        <v>1</v>
      </c>
      <c r="ML7" t="b">
        <f>IF($BC$7="",FALSE,SUMPRODUCT(('Final Calculation Sheet'!$I$4:$I$40=$BC$7)*($MK$6:$MK$42=1))&gt;0)</f>
        <v>1</v>
      </c>
      <c r="MM7">
        <f>$MM$6+--($ML7)</f>
        <v>4</v>
      </c>
      <c r="MN7">
        <f t="shared" si="115"/>
        <v>4779</v>
      </c>
      <c r="MO7">
        <f>IF(COUNTIF('Buyer Groups'!DG7:DO7,0)+COUNTIF('Buyer Groups'!DQ7:EN7,0)&gt;0,0,1)</f>
        <v>1</v>
      </c>
      <c r="MP7" t="b">
        <f>IF($BH$7="",FALSE,SUMPRODUCT(('Final Calculation Sheet'!$J$4:$J$40=$BH$7)*($MO$6:$MO$42=1))&gt;0)</f>
        <v>1</v>
      </c>
      <c r="MQ7">
        <f>$MQ$6+--($MP7)</f>
        <v>4</v>
      </c>
      <c r="MR7">
        <f t="shared" si="116"/>
        <v>31329</v>
      </c>
      <c r="MS7">
        <f>IF(COUNTIF('Buyer Groups'!DG7:DP7,0)+COUNTIF('Buyer Groups'!DR7:EN7,0)&gt;0,0,1)</f>
        <v>1</v>
      </c>
      <c r="MT7" t="b">
        <f>IF($BM$7="",FALSE,SUMPRODUCT(('Final Calculation Sheet'!$K$4:$K$40=$BM$7)*($MS$6:$MS$42=1))&gt;0)</f>
        <v>1</v>
      </c>
      <c r="MU7">
        <f>$MU$6+--($MT7)</f>
        <v>4</v>
      </c>
      <c r="MV7">
        <f t="shared" si="117"/>
        <v>627</v>
      </c>
      <c r="MW7">
        <f>IF(COUNTIF('Buyer Groups'!DG7:DQ7,0)+COUNTIF('Buyer Groups'!DS7:EN7,0)&gt;0,0,1)</f>
        <v>1</v>
      </c>
      <c r="MX7" t="b">
        <f>IF($BR$7="",FALSE,SUMPRODUCT(('Final Calculation Sheet'!$L$4:$L$40=$BR$7)*($MW$6:$MW$42=1))&gt;0)</f>
        <v>1</v>
      </c>
      <c r="MY7">
        <f>$MY$6+--($MX7)</f>
        <v>4</v>
      </c>
      <c r="MZ7">
        <f t="shared" si="118"/>
        <v>26.55</v>
      </c>
      <c r="NA7">
        <f>IF(COUNTIF('Buyer Groups'!DG7:DR7,0)+COUNTIF('Buyer Groups'!DT7:EN7,0)&gt;0,0,1)</f>
        <v>1</v>
      </c>
      <c r="NB7" t="b">
        <f>IF($BW$7="",FALSE,SUMPRODUCT(('Final Calculation Sheet'!$M$4:$M$40=$BW$7)*($NA$6:$NA$42=1))&gt;0)</f>
        <v>1</v>
      </c>
      <c r="NC7">
        <f>$NC$6+--($NB7)</f>
        <v>4</v>
      </c>
      <c r="ND7">
        <f t="shared" si="119"/>
        <v>704.90249999999992</v>
      </c>
      <c r="NE7">
        <f>IF(COUNTIF('Buyer Groups'!DG7:DS7,0)+COUNTIF('Buyer Groups'!DU7:EN7,0)&gt;0,0,1)</f>
        <v>1</v>
      </c>
      <c r="NF7" t="b">
        <f>IF($CB$7="",FALSE,SUMPRODUCT(('Final Calculation Sheet'!$N$4:$N$40=$CB$7)*($NE$6:$NE$42=1))&gt;0)</f>
        <v>1</v>
      </c>
      <c r="NG7">
        <f>$NG$6+--($NF7)</f>
        <v>4</v>
      </c>
      <c r="NH7">
        <f t="shared" si="120"/>
        <v>11.9475</v>
      </c>
      <c r="NI7">
        <f>IF(COUNTIF('Buyer Groups'!DG7:DT7,0)+COUNTIF('Buyer Groups'!DV7:EN7,0)&gt;0,0,1)</f>
        <v>1</v>
      </c>
      <c r="NJ7" t="b">
        <f>IF($CG$7="",FALSE,SUMPRODUCT(('Final Calculation Sheet'!$O$4:$O$40=$CG$7)*($NI$6:$NI$42=1))&gt;0)</f>
        <v>1</v>
      </c>
      <c r="NK7">
        <f>$NK$6+--($NJ7)</f>
        <v>4</v>
      </c>
      <c r="NL7">
        <f t="shared" si="121"/>
        <v>692.95499999999993</v>
      </c>
      <c r="NM7">
        <f>IF(COUNTIF('Buyer Groups'!DG7:DU7,0)+COUNTIF('Buyer Groups'!DW7:EN7,0)&gt;0,0,1)</f>
        <v>1</v>
      </c>
      <c r="NN7" t="b">
        <f>IF($CL$7="",FALSE,SUMPRODUCT(('Final Calculation Sheet'!$P$4:$P$40=$CL$7)*($NM$6:$NM$42=1))&gt;0)</f>
        <v>1</v>
      </c>
      <c r="NO7">
        <f>$NO$6+--($NN7)</f>
        <v>4</v>
      </c>
      <c r="NP7">
        <f t="shared" si="122"/>
        <v>720</v>
      </c>
      <c r="NQ7">
        <f>IF(COUNTIF('Buyer Groups'!DG7:DV7,0)+COUNTIF('Buyer Groups'!DX7:EN7,0)&gt;0,0,1)</f>
        <v>1</v>
      </c>
      <c r="NR7" t="b">
        <f>IF($CQ$7="",FALSE,SUMPRODUCT(('Final Calculation Sheet'!$Q$4:$Q$40=$CQ$7)*($NQ$6:$NQ$42=1))&gt;0)</f>
        <v>0</v>
      </c>
      <c r="NS7">
        <f>$NS$6+--($NR7)</f>
        <v>2</v>
      </c>
      <c r="NT7" t="str">
        <f t="shared" si="123"/>
        <v/>
      </c>
      <c r="NU7">
        <f>IF(COUNTIF('Buyer Groups'!DG7:DW7,0)+COUNTIF('Buyer Groups'!DY7:EN7,0)&gt;0,0,1)</f>
        <v>1</v>
      </c>
      <c r="NV7" t="b">
        <f>IF($CV$7="",FALSE,SUMPRODUCT(('Final Calculation Sheet'!$R$4:$R$40=$CV$7)*($NU$6:$NU$42=1))&gt;0)</f>
        <v>1</v>
      </c>
      <c r="NW7">
        <f>$NW$6+--($NV7)</f>
        <v>4</v>
      </c>
      <c r="NX7">
        <f t="shared" si="124"/>
        <v>23310</v>
      </c>
      <c r="NY7">
        <f>IF(COUNTIF('Buyer Groups'!DG7:DX7,0)+COUNTIF('Buyer Groups'!DZ7:EN7,0)&gt;0,0,1)</f>
        <v>1</v>
      </c>
      <c r="NZ7" t="b">
        <f>IF($DA$7="",FALSE,SUMPRODUCT(('Final Calculation Sheet'!$S$4:$S$40=$DA$7)*($NY$6:$NY$42=1))&gt;0)</f>
        <v>1</v>
      </c>
      <c r="OA7">
        <f>$OA$6+--($NZ7)</f>
        <v>4</v>
      </c>
      <c r="OB7">
        <f t="shared" si="125"/>
        <v>31236</v>
      </c>
      <c r="OC7">
        <f>IF(COUNTIF('Buyer Groups'!DG7:DY7,0)+COUNTIF('Buyer Groups'!EA7:EN7,0)&gt;0,0,1)</f>
        <v>1</v>
      </c>
      <c r="OD7" t="b">
        <f>IF($DF$7="",FALSE,SUMPRODUCT(('Final Calculation Sheet'!$T$4:$T$40=$DF$7)*($OC$6:$OC$42=1))&gt;0)</f>
        <v>1</v>
      </c>
      <c r="OE7">
        <f>$OE$6+--($OD7)</f>
        <v>4</v>
      </c>
      <c r="OF7">
        <f t="shared" si="126"/>
        <v>6638</v>
      </c>
      <c r="OG7">
        <f>IF(COUNTIF('Buyer Groups'!DG7:DZ7,0)+COUNTIF('Buyer Groups'!EB7:EN7,0)&gt;0,0,1)</f>
        <v>1</v>
      </c>
      <c r="OH7" t="b">
        <f>IF($DK$7="",FALSE,SUMPRODUCT(('Final Calculation Sheet'!$U$4:$U$40=$DK$7)*($OG$6:$OG$42=1))&gt;0)</f>
        <v>1</v>
      </c>
      <c r="OI7">
        <f>$OI$6+--($OH7)</f>
        <v>4</v>
      </c>
      <c r="OJ7">
        <f t="shared" si="127"/>
        <v>6638</v>
      </c>
      <c r="OK7">
        <f>IF(COUNTIF('Buyer Groups'!DG7:EA7,0)+COUNTIF('Buyer Groups'!EC7:EN7,0)&gt;0,0,1)</f>
        <v>1</v>
      </c>
      <c r="OL7" t="b">
        <f>IF($DP$7="",FALSE,SUMPRODUCT(('Final Calculation Sheet'!$V$4:$V$40=$DP$7)*($OK$6:$OK$42=1))&gt;0)</f>
        <v>1</v>
      </c>
      <c r="OM7">
        <f>$OM$6+--($OL7)</f>
        <v>4</v>
      </c>
      <c r="ON7" t="str">
        <f t="shared" si="128"/>
        <v>14.08.2026</v>
      </c>
      <c r="OO7">
        <f>IF(COUNTIF('Buyer Groups'!DG7:EB7,0)+COUNTIF('Buyer Groups'!ED7:EN7,0)&gt;0,0,1)</f>
        <v>1</v>
      </c>
      <c r="OP7" t="b">
        <f>IF($DU$7="",FALSE,SUMPRODUCT(('Final Calculation Sheet'!$W$4:$W$40=$DU$7)*($OO$6:$OO$42=1))&gt;0)</f>
        <v>1</v>
      </c>
      <c r="OQ7">
        <f>$OQ$6+--($OP7)</f>
        <v>4</v>
      </c>
      <c r="OR7">
        <f t="shared" si="129"/>
        <v>24599</v>
      </c>
      <c r="OS7">
        <f>IF(COUNTIF('Buyer Groups'!DG7:EC7,0)+COUNTIF('Buyer Groups'!EE7:EN7,0)&gt;0,0,1)</f>
        <v>1</v>
      </c>
      <c r="OT7" t="e">
        <f>IF($DZ$7="",FALSE,SUMPRODUCT(('Final Calculation Sheet'!$X$4:$X$40=$DZ$7)*($OS$6:$OS$42=1))&gt;0)</f>
        <v>#N/A</v>
      </c>
      <c r="OU7" t="e">
        <f>$OU$6+--($OT7)</f>
        <v>#N/A</v>
      </c>
      <c r="OV7" t="e">
        <f t="shared" si="130"/>
        <v>#N/A</v>
      </c>
      <c r="OW7">
        <f>IF(COUNTIF('Buyer Groups'!DG7:ED7,0)+COUNTIF('Buyer Groups'!EF7:EN7,0)&gt;0,0,1)</f>
        <v>1</v>
      </c>
      <c r="OX7" t="e">
        <f>IF($EE$7="",FALSE,SUMPRODUCT(('Final Calculation Sheet'!$Y$4:$Y$40=$EE$7)*($OW$6:$OW$42=1))&gt;0)</f>
        <v>#N/A</v>
      </c>
      <c r="OY7" t="e">
        <f>$OY$6+--($OX7)</f>
        <v>#N/A</v>
      </c>
      <c r="OZ7" t="e">
        <f t="shared" si="131"/>
        <v>#N/A</v>
      </c>
      <c r="PA7">
        <f>IF(COUNTIF('Buyer Groups'!DG7:EE7,0)+COUNTIF('Buyer Groups'!EG7:EN7,0)&gt;0,0,1)</f>
        <v>1</v>
      </c>
      <c r="PB7" t="b">
        <f ca="1">IF($EJ$7="",FALSE,SUMPRODUCT(('Final Calculation Sheet'!$Z$4:$Z$40=$EJ$7)*($PA$6:$PA$42=1))&gt;0)</f>
        <v>1</v>
      </c>
      <c r="PC7">
        <f ca="1">$PC$6+--($PB7)</f>
        <v>4</v>
      </c>
      <c r="PD7">
        <f t="shared" ca="1" si="132"/>
        <v>745.52399999999989</v>
      </c>
      <c r="PE7">
        <f>IF(COUNTIF('Buyer Groups'!DG7:EF7,0)+COUNTIF('Buyer Groups'!EH7:EN7,0)&gt;0,0,1)</f>
        <v>1</v>
      </c>
      <c r="PF7" t="e">
        <f>IF($EO$7="",FALSE,SUMPRODUCT(('Final Calculation Sheet'!$AA$4:$AA$40=$EO$7)*($PE$6:$PE$42=1))&gt;0)</f>
        <v>#N/A</v>
      </c>
      <c r="PG7" t="e">
        <f>$PG$6+--($PF7)</f>
        <v>#N/A</v>
      </c>
      <c r="PH7" t="e">
        <f t="shared" si="133"/>
        <v>#N/A</v>
      </c>
      <c r="PI7">
        <f>IF(COUNTIF('Buyer Groups'!DG7:EG7,0)+COUNTIF('Buyer Groups'!EI7:EN7,0)&gt;0,0,1)</f>
        <v>1</v>
      </c>
      <c r="PJ7" t="e">
        <f>IF($ET$7="",FALSE,SUMPRODUCT(('Final Calculation Sheet'!$AB$4:$AB$40=$ET$7)*($PI$6:$PI$42=1))&gt;0)</f>
        <v>#N/A</v>
      </c>
      <c r="PK7" t="e">
        <f>$PK$6+--($PJ7)</f>
        <v>#N/A</v>
      </c>
      <c r="PL7" t="e">
        <f t="shared" si="134"/>
        <v>#N/A</v>
      </c>
      <c r="PM7">
        <f>IF(COUNTIF('Buyer Groups'!DG7:EH7,0)+COUNTIF('Buyer Groups'!EJ7:EN7,0)&gt;0,0,1)</f>
        <v>1</v>
      </c>
      <c r="PN7" t="b">
        <f>IF($EY$7="",FALSE,SUMPRODUCT(('Final Calculation Sheet'!$AC$4:$AC$40=$EY$7)*($PM$6:$PM$42=1))&gt;0)</f>
        <v>1</v>
      </c>
      <c r="PO7">
        <f>$PO$6+--($PN7)</f>
        <v>4</v>
      </c>
      <c r="PP7">
        <f t="shared" si="135"/>
        <v>24777</v>
      </c>
      <c r="PQ7">
        <f>IF(COUNTIF('Buyer Groups'!DG7:EI7,0)+COUNTIF('Buyer Groups'!EK7:EN7,0)&gt;0,0,1)</f>
        <v>1</v>
      </c>
      <c r="PR7" t="b">
        <f>IF($FD$7="",FALSE,SUMPRODUCT(('Final Calculation Sheet'!$AD$4:$AD$40=$FD$7)*($PQ$6:$PQ$42=1))&gt;0)</f>
        <v>1</v>
      </c>
      <c r="PS7">
        <f>$PS$6+--($PR7)</f>
        <v>4</v>
      </c>
      <c r="PT7">
        <f t="shared" si="136"/>
        <v>-1.0942916101776063</v>
      </c>
      <c r="PU7">
        <f>IF(COUNTIF('Buyer Groups'!DG7:EJ7,0)+COUNTIF('Buyer Groups'!EL7:EN7,0)&gt;0,0,1)</f>
        <v>1</v>
      </c>
      <c r="PV7" t="b">
        <f>IF($FX$7="",FALSE,SUMPRODUCT((IF('Final Calculation Sheet'!$AD$4:$AD$40&lt;=5,"SETTLED","OUTSTANDING")=$FX$7)*($PU$6:$PU$42=1))&gt;0)</f>
        <v>0</v>
      </c>
      <c r="PW7">
        <f>$PW$6+--($PV7)</f>
        <v>1</v>
      </c>
      <c r="PX7" t="str">
        <f t="shared" si="137"/>
        <v/>
      </c>
      <c r="PY7">
        <f>IF(COUNTIF('Buyer Groups'!DG7:EK7,0)+COUNTIF('Buyer Groups'!EM7:EN7,0)&gt;0,0,1)</f>
        <v>1</v>
      </c>
      <c r="PZ7" t="e">
        <f>IF($FI$7="",FALSE,SUMPRODUCT(('Final Calculation Sheet'!$AF$4:$AF$40=$FI$7)*($PY$6:$PY$42=1))&gt;0)</f>
        <v>#N/A</v>
      </c>
      <c r="QA7" t="e">
        <f>$QA$6+--($PZ7)</f>
        <v>#N/A</v>
      </c>
      <c r="QB7" t="e">
        <f t="shared" si="138"/>
        <v>#N/A</v>
      </c>
      <c r="QC7">
        <f>IF(COUNTIF('Buyer Groups'!DG7:EL7,0)+COUNTIF('Buyer Groups'!EN7:EN7,0)&gt;0,0,1)</f>
        <v>1</v>
      </c>
      <c r="QD7" t="e">
        <f>IF($FN$7="",FALSE,SUMPRODUCT(('Final Calculation Sheet'!$AG$4:$AG$40=$FN$7)*($QC$6:$QC$42=1))&gt;0)</f>
        <v>#N/A</v>
      </c>
      <c r="QE7" t="e">
        <f>$QE$6+--($QD7)</f>
        <v>#N/A</v>
      </c>
      <c r="QF7" t="e">
        <f t="shared" si="139"/>
        <v>#N/A</v>
      </c>
      <c r="QG7">
        <f>IF(COUNTIF('Buyer Groups'!DG7:EM7,0)&gt;0,0,1)</f>
        <v>1</v>
      </c>
      <c r="QH7" t="e">
        <f>IF($FS$7="",FALSE,SUMPRODUCT(('Final Calculation Sheet'!$AH$4:$AH$40=$FS$7)*($QG$6:$QG$42=1))&gt;0)</f>
        <v>#N/A</v>
      </c>
      <c r="QI7" t="e">
        <f>$QI$6+--($QH7)</f>
        <v>#N/A</v>
      </c>
      <c r="QJ7" t="e">
        <f t="shared" si="140"/>
        <v>#N/A</v>
      </c>
      <c r="QK7" t="str">
        <f>IF('Final Calculation Sheet'!$AH$7="","",'Final Calculation Sheet'!$AH$7)</f>
        <v>27.08.2026</v>
      </c>
      <c r="QL7">
        <f>IF(QK7="","",COUNTIFS(QK$4:QK$40,"&lt;"&amp;QK7,QK$4:QK$40,"&lt;&gt;"&amp;"")+COUNTIF(QK$4:QK7,QK7))</f>
        <v>21</v>
      </c>
      <c r="QM7" t="e">
        <f t="shared" si="141"/>
        <v>#N/A</v>
      </c>
      <c r="QN7" t="e">
        <f ca="1">QN6+F(AND(QM7&lt;&gt;"",COUNTIF(QM$4:QM7,QM7)=1),1,0)</f>
        <v>#N/A</v>
      </c>
      <c r="QO7" t="e">
        <f t="shared" si="142"/>
        <v>#N/A</v>
      </c>
      <c r="QP7">
        <f>IF(COUNTIF('Final Calculation Sheet'!$AM7:$BS7,0)&gt;0,0,1)</f>
        <v>1</v>
      </c>
      <c r="QQ7" t="b">
        <f>IF($AI$7="",FALSE,SUMPRODUCT(('Final Calculation Sheet'!$A$4:$A$40=$AI$7)*($QP$4:$QP$40=1))&gt;0)</f>
        <v>1</v>
      </c>
      <c r="QR7">
        <f t="shared" si="177"/>
        <v>4</v>
      </c>
      <c r="QS7">
        <f t="shared" si="143"/>
        <v>4</v>
      </c>
      <c r="QT7">
        <f>IF(COUNTIF('Final Calculation Sheet'!$AL7:$AL7,0)+COUNTIF('Final Calculation Sheet'!$AN7:$BS7,0)&gt;0,0,1)</f>
        <v>1</v>
      </c>
      <c r="QU7" t="b">
        <f>IF($Y$7="",FALSE,SUMPRODUCT(('Final Calculation Sheet'!$B$4:$B$40=$Y$7)*($QT$4:$QT$40=1))&gt;0)</f>
        <v>1</v>
      </c>
      <c r="QV7">
        <f t="shared" si="178"/>
        <v>4</v>
      </c>
      <c r="QW7" t="str">
        <f t="shared" si="144"/>
        <v>SCRAP COPPER OF T/F WINDING (Oil impregnated paper insulated T/F winding)</v>
      </c>
      <c r="QX7">
        <f>IF(COUNTIF('Final Calculation Sheet'!$AL7:$AM7,0)+COUNTIF('Final Calculation Sheet'!$AO7:$BS7,0)&gt;0,0,1)</f>
        <v>1</v>
      </c>
      <c r="QY7" t="b">
        <f>IF($AS$7="",FALSE,SUMPRODUCT(('Final Calculation Sheet'!$C$4:$C$40=$AS$7)*($QX$4:$QX$40=1))&gt;0)</f>
        <v>1</v>
      </c>
      <c r="QZ7">
        <f t="shared" si="179"/>
        <v>4</v>
      </c>
      <c r="RA7">
        <f t="shared" si="145"/>
        <v>333</v>
      </c>
      <c r="RB7">
        <f>IF(COUNTIF('Final Calculation Sheet'!$AL7:$AN7,0)+COUNTIF('Final Calculation Sheet'!$AP7:$BS7,0)&gt;0,0,1)</f>
        <v>1</v>
      </c>
      <c r="RC7" t="b">
        <f>IF($AD$7="",FALSE,SUMPRODUCT(('Final Calculation Sheet'!$D$4:$D$40=$AD$7)*($RB$4:$RB$40=1))&gt;0)</f>
        <v>1</v>
      </c>
      <c r="RD7">
        <f t="shared" si="180"/>
        <v>4</v>
      </c>
      <c r="RE7">
        <f t="shared" si="146"/>
        <v>21980</v>
      </c>
      <c r="RF7">
        <f>IF(COUNTIF('Final Calculation Sheet'!$AL7:$AO7,0)+COUNTIF('Final Calculation Sheet'!$AQ7:$BS7,0)&gt;0,0,1)</f>
        <v>1</v>
      </c>
      <c r="RG7" t="b">
        <f>IF($AN$7="",FALSE,SUMPRODUCT(('Final Calculation Sheet'!$E$4:$E$40=$AN$7)*($RF$4:$RF$40=1))&gt;0)</f>
        <v>0</v>
      </c>
      <c r="RH7">
        <f t="shared" si="181"/>
        <v>3</v>
      </c>
      <c r="RI7" t="str">
        <f t="shared" si="147"/>
        <v/>
      </c>
      <c r="RJ7">
        <f>IF(COUNTIF('Final Calculation Sheet'!$AL7:$AP7,0)+COUNTIF('Final Calculation Sheet'!$AR7:$BS7,0)&gt;0,0,1)</f>
        <v>1</v>
      </c>
      <c r="RK7" t="b">
        <f>IF($O$7="",FALSE,SUMPRODUCT(('Final Calculation Sheet'!$F$4:$F$40=$O$7)*($RJ$4:$RJ$40=1))&gt;0)</f>
        <v>1</v>
      </c>
      <c r="RL7">
        <f t="shared" si="182"/>
        <v>4</v>
      </c>
      <c r="RM7">
        <f t="shared" si="148"/>
        <v>1876</v>
      </c>
      <c r="RN7">
        <f>IF(COUNTIF('Final Calculation Sheet'!$AL7:$AQ7,0)+COUNTIF('Final Calculation Sheet'!$AS7:$BS7,0)&gt;0,0,1)</f>
        <v>1</v>
      </c>
      <c r="RO7" t="b">
        <f>IF($T$7="",FALSE,SUMPRODUCT(('Final Calculation Sheet'!$G$4:$G$40=$T$7)*($RN$4:$RN$40=1))&gt;0)</f>
        <v>1</v>
      </c>
      <c r="RP7">
        <f t="shared" si="183"/>
        <v>4</v>
      </c>
      <c r="RQ7" t="str">
        <f t="shared" si="149"/>
        <v>KASHYAP TRADING CO</v>
      </c>
      <c r="RR7">
        <f>IF(COUNTIF('Final Calculation Sheet'!$AL7:$AR7,0)+COUNTIF('Final Calculation Sheet'!$AT7:$BS7,0)&gt;0,0,1)</f>
        <v>1</v>
      </c>
      <c r="RS7" t="b">
        <f>IF($AX$7="",FALSE,SUMPRODUCT(('Final Calculation Sheet'!$H$4:$H$40=$AX$7)*($RR$4:$RR$40=1))&gt;0)</f>
        <v>1</v>
      </c>
      <c r="RT7">
        <f t="shared" si="184"/>
        <v>4</v>
      </c>
      <c r="RU7">
        <f t="shared" si="150"/>
        <v>26550</v>
      </c>
      <c r="RV7">
        <f>IF(COUNTIF('Final Calculation Sheet'!$AL7:$AS7,0)+COUNTIF('Final Calculation Sheet'!$AU7:$BS7,0)&gt;0,0,1)</f>
        <v>1</v>
      </c>
      <c r="RW7" t="b">
        <f>IF($BC$7="",FALSE,SUMPRODUCT(('Final Calculation Sheet'!$I$4:$I$40=$BC$7)*($RV$4:$RV$40=1))&gt;0)</f>
        <v>1</v>
      </c>
      <c r="RX7">
        <f t="shared" si="185"/>
        <v>4</v>
      </c>
      <c r="RY7">
        <f t="shared" si="151"/>
        <v>4779</v>
      </c>
      <c r="RZ7">
        <f>IF(COUNTIF('Final Calculation Sheet'!$AL7:$AT7,0)+COUNTIF('Final Calculation Sheet'!$AV7:$BS7,0)&gt;0,0,1)</f>
        <v>1</v>
      </c>
      <c r="SA7" t="b">
        <f>IF($BH$7="",FALSE,SUMPRODUCT(('Final Calculation Sheet'!$J$4:$J$40=$BH$7)*($RZ$4:$RZ$40=1))&gt;0)</f>
        <v>1</v>
      </c>
      <c r="SB7">
        <f t="shared" si="186"/>
        <v>4</v>
      </c>
      <c r="SC7">
        <f t="shared" si="152"/>
        <v>31329</v>
      </c>
      <c r="SD7">
        <f>IF(COUNTIF('Final Calculation Sheet'!$AL7:$AU7,0)+COUNTIF('Final Calculation Sheet'!$AW7:$BS7,0)&gt;0,0,1)</f>
        <v>1</v>
      </c>
      <c r="SE7" t="b">
        <f>IF($BM$7="",FALSE,SUMPRODUCT(('Final Calculation Sheet'!$K$4:$K$40=$BM$7)*($SD$4:$SD$40=1))&gt;0)</f>
        <v>1</v>
      </c>
      <c r="SF7">
        <f t="shared" si="187"/>
        <v>4</v>
      </c>
      <c r="SG7">
        <f t="shared" si="153"/>
        <v>627</v>
      </c>
      <c r="SH7">
        <f>IF(COUNTIF('Final Calculation Sheet'!$AL7:$AV7,0)+COUNTIF('Final Calculation Sheet'!$AX7:$BS7,0)&gt;0,0,1)</f>
        <v>1</v>
      </c>
      <c r="SI7" t="b">
        <f>IF($BR$7="",FALSE,SUMPRODUCT(('Final Calculation Sheet'!$L$4:$L$40=$BR$7)*($SH$4:$SH$40=1))&gt;0)</f>
        <v>1</v>
      </c>
      <c r="SJ7">
        <f t="shared" si="188"/>
        <v>4</v>
      </c>
      <c r="SK7">
        <f t="shared" si="154"/>
        <v>26.55</v>
      </c>
      <c r="SL7">
        <f>IF(COUNTIF('Final Calculation Sheet'!$AL7:$AW7,0)+COUNTIF('Final Calculation Sheet'!$AY7:$BS7,0)&gt;0,0,1)</f>
        <v>1</v>
      </c>
      <c r="SM7" t="b">
        <f>IF($BW$7="",FALSE,SUMPRODUCT(('Final Calculation Sheet'!$M$4:$M$40=$BW$7)*($SL$4:$SL$40=1))&gt;0)</f>
        <v>1</v>
      </c>
      <c r="SN7">
        <f t="shared" si="189"/>
        <v>4</v>
      </c>
      <c r="SO7">
        <f t="shared" si="155"/>
        <v>704.90249999999992</v>
      </c>
      <c r="SP7">
        <f>IF(COUNTIF('Final Calculation Sheet'!$AL7:$AX7,0)+COUNTIF('Final Calculation Sheet'!$AZ7:$BS7,0)&gt;0,0,1)</f>
        <v>1</v>
      </c>
      <c r="SQ7" t="b">
        <f>IF($CB$7="",FALSE,SUMPRODUCT(('Final Calculation Sheet'!$N$4:$N$40=$CB$7)*($SP$4:$SP$40=1))&gt;0)</f>
        <v>1</v>
      </c>
      <c r="SR7">
        <f t="shared" si="190"/>
        <v>4</v>
      </c>
      <c r="SS7">
        <f t="shared" si="156"/>
        <v>11.9475</v>
      </c>
      <c r="ST7">
        <f>IF(COUNTIF('Final Calculation Sheet'!$AL7:$AY7,0)+COUNTIF('Final Calculation Sheet'!$BA7:$BS7,0)&gt;0,0,1)</f>
        <v>1</v>
      </c>
      <c r="SU7" t="b">
        <f>IF($CG$7="",FALSE,SUMPRODUCT(('Final Calculation Sheet'!$O$4:$O$40=$CG$7)*($ST$4:$ST$40=1))&gt;0)</f>
        <v>1</v>
      </c>
      <c r="SV7">
        <f t="shared" si="191"/>
        <v>4</v>
      </c>
      <c r="SW7">
        <f t="shared" si="157"/>
        <v>692.95499999999993</v>
      </c>
      <c r="SX7">
        <f>IF(COUNTIF('Final Calculation Sheet'!$AL7:$AZ7,0)+COUNTIF('Final Calculation Sheet'!$BB7:$BS7,0)&gt;0,0,1)</f>
        <v>1</v>
      </c>
      <c r="SY7" t="b">
        <f>IF($CL$7="",FALSE,SUMPRODUCT(('Final Calculation Sheet'!$P$4:$P$40=$CL$7)*($SX$4:$SX$40=1))&gt;0)</f>
        <v>1</v>
      </c>
      <c r="SZ7">
        <f t="shared" si="192"/>
        <v>4</v>
      </c>
      <c r="TA7">
        <f t="shared" si="158"/>
        <v>720</v>
      </c>
      <c r="TB7">
        <f>IF(COUNTIF('Final Calculation Sheet'!$AL7:$BA7,0)+COUNTIF('Final Calculation Sheet'!$BC7:$BS7,0)&gt;0,0,1)</f>
        <v>1</v>
      </c>
      <c r="TC7" t="b">
        <f>IF($CQ$7="",FALSE,SUMPRODUCT(('Final Calculation Sheet'!$Q$4:$Q$40=$CQ$7)*($TB$4:$TB$40=1))&gt;0)</f>
        <v>0</v>
      </c>
      <c r="TD7">
        <f t="shared" si="193"/>
        <v>2</v>
      </c>
      <c r="TE7" t="str">
        <f t="shared" si="159"/>
        <v/>
      </c>
      <c r="TF7">
        <f>IF(COUNTIF('Final Calculation Sheet'!$AL7:$BB7,0)+COUNTIF('Final Calculation Sheet'!$BD7:$BS7,0)&gt;0,0,1)</f>
        <v>1</v>
      </c>
      <c r="TG7" t="b">
        <f>IF($CV$7="",FALSE,SUMPRODUCT(('Final Calculation Sheet'!$R$4:$R$40=$CV$7)*($TF$4:$TF$40=1))&gt;0)</f>
        <v>1</v>
      </c>
      <c r="TH7">
        <f t="shared" si="194"/>
        <v>4</v>
      </c>
      <c r="TI7">
        <f t="shared" si="160"/>
        <v>23310</v>
      </c>
      <c r="TJ7">
        <f>IF(COUNTIF('Final Calculation Sheet'!$AL7:$BC7,0)+COUNTIF('Final Calculation Sheet'!$BE7:$BS7,0)&gt;0,0,1)</f>
        <v>1</v>
      </c>
      <c r="TK7" t="b">
        <f>IF($DA$7="",FALSE,SUMPRODUCT(('Final Calculation Sheet'!$S$4:$S$40=$DA$7)*($TJ$4:$TJ$40=1))&gt;0)</f>
        <v>1</v>
      </c>
      <c r="TL7">
        <f t="shared" si="195"/>
        <v>4</v>
      </c>
      <c r="TM7">
        <f t="shared" si="161"/>
        <v>31236</v>
      </c>
      <c r="TN7">
        <f>IF(COUNTIF('Final Calculation Sheet'!$AL7:$BD7,0)+COUNTIF('Final Calculation Sheet'!$BF7:$BS7,0)&gt;0,0,1)</f>
        <v>1</v>
      </c>
      <c r="TO7" t="b">
        <f>IF($DF$7="",FALSE,SUMPRODUCT(('Final Calculation Sheet'!$T$4:$T$40=$DF$7)*($TN$4:$TN$40=1))&gt;0)</f>
        <v>1</v>
      </c>
      <c r="TP7">
        <f t="shared" si="196"/>
        <v>4</v>
      </c>
      <c r="TQ7">
        <f t="shared" si="162"/>
        <v>6638</v>
      </c>
      <c r="TR7">
        <f>IF(COUNTIF('Final Calculation Sheet'!$AL7:$BE7,0)+COUNTIF('Final Calculation Sheet'!$BG7:$BS7,0)&gt;0,0,1)</f>
        <v>1</v>
      </c>
      <c r="TS7" t="b">
        <f>IF($DK$7="",FALSE,SUMPRODUCT(('Final Calculation Sheet'!$U$4:$U$40=$DK$7)*($TR$4:$TR$40=1))&gt;0)</f>
        <v>1</v>
      </c>
      <c r="TT7">
        <f t="shared" si="197"/>
        <v>4</v>
      </c>
      <c r="TU7">
        <f t="shared" si="163"/>
        <v>6638</v>
      </c>
      <c r="TV7">
        <f>IF(COUNTIF('Final Calculation Sheet'!$AL7:$BF7,0)+COUNTIF('Final Calculation Sheet'!$BH7:$BS7,0)&gt;0,0,1)</f>
        <v>1</v>
      </c>
      <c r="TW7" t="b">
        <f>IF($DP$7="",FALSE,SUMPRODUCT(('Final Calculation Sheet'!$V$4:$V$40=$DP$7)*($TV$4:$TV$40=1))&gt;0)</f>
        <v>1</v>
      </c>
      <c r="TX7">
        <f t="shared" si="198"/>
        <v>4</v>
      </c>
      <c r="TY7" t="str">
        <f t="shared" si="164"/>
        <v>14.08.2026</v>
      </c>
      <c r="TZ7">
        <f>IF(COUNTIF('Final Calculation Sheet'!$AL7:$BG7,0)+COUNTIF('Final Calculation Sheet'!$BI7:$BS7,0)&gt;0,0,1)</f>
        <v>1</v>
      </c>
      <c r="UA7" t="b">
        <f>IF($DU$7="",FALSE,SUMPRODUCT(('Final Calculation Sheet'!$W$4:$W$40=$DU$7)*($TZ$4:$TZ$40=1))&gt;0)</f>
        <v>1</v>
      </c>
      <c r="UB7">
        <f t="shared" si="199"/>
        <v>4</v>
      </c>
      <c r="UC7">
        <f t="shared" si="165"/>
        <v>24599</v>
      </c>
      <c r="UD7">
        <f>IF(COUNTIF('Final Calculation Sheet'!$AL7:$BH7,0)+COUNTIF('Final Calculation Sheet'!$BJ7:$BS7,0)&gt;0,0,1)</f>
        <v>1</v>
      </c>
      <c r="UE7" t="e">
        <f>IF($DZ$7="",FALSE,SUMPRODUCT(('Final Calculation Sheet'!$X$4:$X$40=$DZ$7)*($UD$4:$UD$40=1))&gt;0)</f>
        <v>#N/A</v>
      </c>
      <c r="UF7" t="e">
        <f t="shared" si="200"/>
        <v>#N/A</v>
      </c>
      <c r="UG7" t="e">
        <f t="shared" si="166"/>
        <v>#N/A</v>
      </c>
      <c r="UH7">
        <f>IF(COUNTIF('Final Calculation Sheet'!$AL7:$BI7,0)+COUNTIF('Final Calculation Sheet'!$BK7:$BS7,0)&gt;0,0,1)</f>
        <v>1</v>
      </c>
      <c r="UI7" t="e">
        <f>IF($EE$7="",FALSE,SUMPRODUCT(('Final Calculation Sheet'!$Y$4:$Y$40=$EE$7)*($UH$4:$UH$40=1))&gt;0)</f>
        <v>#N/A</v>
      </c>
      <c r="UJ7" t="e">
        <f t="shared" si="201"/>
        <v>#N/A</v>
      </c>
      <c r="UK7" t="e">
        <f t="shared" si="167"/>
        <v>#N/A</v>
      </c>
      <c r="UL7">
        <f>IF(COUNTIF('Final Calculation Sheet'!$AL7:$BJ7,0)+COUNTIF('Final Calculation Sheet'!$BL7:$BS7,0)&gt;0,0,1)</f>
        <v>1</v>
      </c>
      <c r="UM7" t="b">
        <f ca="1">IF($EJ$7="",FALSE,SUMPRODUCT(('Final Calculation Sheet'!$Z$4:$Z$40=$EJ$7)*($UL$4:$UL$40=1))&gt;0)</f>
        <v>1</v>
      </c>
      <c r="UN7">
        <f t="shared" ca="1" si="202"/>
        <v>4</v>
      </c>
      <c r="UO7">
        <f t="shared" ca="1" si="168"/>
        <v>745.52399999999989</v>
      </c>
      <c r="UP7">
        <f>IF(COUNTIF('Final Calculation Sheet'!$AL7:$BK7,0)+COUNTIF('Final Calculation Sheet'!$BM7:$BS7,0)&gt;0,0,1)</f>
        <v>1</v>
      </c>
      <c r="UQ7" t="e">
        <f>IF($EO$7="",FALSE,SUMPRODUCT(('Final Calculation Sheet'!$AA$4:$AA$40=$EO$7)*($UP$4:$UP$40=1))&gt;0)</f>
        <v>#N/A</v>
      </c>
      <c r="UR7" t="e">
        <f t="shared" si="203"/>
        <v>#N/A</v>
      </c>
      <c r="US7" t="e">
        <f t="shared" si="169"/>
        <v>#N/A</v>
      </c>
      <c r="UT7">
        <f>IF(COUNTIF('Final Calculation Sheet'!$AL7:$BL7,0)+COUNTIF('Final Calculation Sheet'!$BN7:$BS7,0)&gt;0,0,1)</f>
        <v>1</v>
      </c>
      <c r="UU7" t="e">
        <f>IF($ET$7="",FALSE,SUMPRODUCT(('Final Calculation Sheet'!$AB$4:$AB$40=$ET$7)*($UT$4:$UT$40=1))&gt;0)</f>
        <v>#N/A</v>
      </c>
      <c r="UV7" t="e">
        <f t="shared" si="204"/>
        <v>#N/A</v>
      </c>
      <c r="UW7" t="e">
        <f t="shared" si="170"/>
        <v>#N/A</v>
      </c>
      <c r="UX7">
        <f>IF(COUNTIF('Final Calculation Sheet'!$AL7:$BM7,0)+COUNTIF('Final Calculation Sheet'!$BO7:$BS7,0)&gt;0,0,1)</f>
        <v>1</v>
      </c>
      <c r="UY7" t="b">
        <f>IF($EY$7="",FALSE,SUMPRODUCT(('Final Calculation Sheet'!$AC$4:$AC$40=$EY$7)*($UX$4:$UX$40=1))&gt;0)</f>
        <v>1</v>
      </c>
      <c r="UZ7">
        <f t="shared" si="205"/>
        <v>4</v>
      </c>
      <c r="VA7">
        <f t="shared" si="171"/>
        <v>24777</v>
      </c>
      <c r="VB7">
        <f>IF(COUNTIF('Final Calculation Sheet'!$AL7:$BN7,0)+COUNTIF('Final Calculation Sheet'!$BP7:$BS7,0)&gt;0,0,1)</f>
        <v>1</v>
      </c>
      <c r="VC7" t="b">
        <f>IF($FD$7="",FALSE,SUMPRODUCT(('Final Calculation Sheet'!$AD$4:$AD$40=$FD$7)*($VB$4:$VB$40=1))&gt;0)</f>
        <v>1</v>
      </c>
      <c r="VD7">
        <f t="shared" si="206"/>
        <v>4</v>
      </c>
      <c r="VE7">
        <f t="shared" si="172"/>
        <v>-1.0942916101776063</v>
      </c>
      <c r="VF7">
        <f>IF(COUNTIF('Final Calculation Sheet'!$AL7:$BO7,0)+COUNTIF('Final Calculation Sheet'!$BQ7:$BS7,0)&gt;0,0,1)</f>
        <v>1</v>
      </c>
      <c r="VG7" t="e">
        <f>IF($FI$7="",FALSE,SUMPRODUCT(('Final Calculation Sheet'!$AE$4:$AE$40=$FI$7)*($VF$4:$VF$40=1))&gt;0)</f>
        <v>#N/A</v>
      </c>
      <c r="VH7" t="e">
        <f t="shared" si="207"/>
        <v>#N/A</v>
      </c>
      <c r="VI7" t="e">
        <f t="shared" si="173"/>
        <v>#N/A</v>
      </c>
      <c r="VJ7">
        <f>IF(COUNTIF('Final Calculation Sheet'!$AL7:$BP7,0)+COUNTIF('Final Calculation Sheet'!$BR7:$BS7,0)&gt;0,0,1)</f>
        <v>1</v>
      </c>
      <c r="VK7" t="e">
        <f>IF($FN$7="",FALSE,SUMPRODUCT(('Final Calculation Sheet'!$AF$4:$AF$40=$FN$7)*($VJ$4:$VJ$40=1))&gt;0)</f>
        <v>#N/A</v>
      </c>
      <c r="VL7" t="e">
        <f t="shared" si="208"/>
        <v>#N/A</v>
      </c>
      <c r="VM7" t="e">
        <f t="shared" si="174"/>
        <v>#N/A</v>
      </c>
      <c r="VN7">
        <f>IF(COUNTIF('Final Calculation Sheet'!$AL7:$BQ7,0)+COUNTIF('Final Calculation Sheet'!$BS7:$BS7,0)&gt;0,0,1)</f>
        <v>1</v>
      </c>
      <c r="VO7" t="e">
        <f>IF($FS$7="",FALSE,SUMPRODUCT(('Final Calculation Sheet'!$AG$4:$AG$40=$FS$7)*($VN$4:$VN$40=1))&gt;0)</f>
        <v>#N/A</v>
      </c>
      <c r="VP7" t="e">
        <f t="shared" si="209"/>
        <v>#N/A</v>
      </c>
      <c r="VQ7" t="e">
        <f t="shared" si="175"/>
        <v>#N/A</v>
      </c>
      <c r="VR7">
        <f>IF(COUNTIF('Final Calculation Sheet'!$AL7:$BR7,0)&gt;0,0,1)</f>
        <v>1</v>
      </c>
      <c r="VS7" t="e">
        <f>IF($QO$7="",FALSE,SUMPRODUCT(('Final Calculation Sheet'!$AH$4:$AH$40=$QO$7)*($VR$4:$VR$40=1))&gt;0)</f>
        <v>#N/A</v>
      </c>
      <c r="VT7" t="e">
        <f t="shared" si="210"/>
        <v>#N/A</v>
      </c>
      <c r="VU7" t="e">
        <f t="shared" si="176"/>
        <v>#N/A</v>
      </c>
    </row>
    <row r="8" spans="1:593" x14ac:dyDescent="0.3">
      <c r="A8">
        <f>IF('Final Calculation Sheet'!$F$8="","",'Final Calculation Sheet'!$F$8)</f>
        <v>1923</v>
      </c>
      <c r="B8">
        <f>IF(A8="","",COUNTIFS(A$4:A$114,"&lt;"&amp;A8,A$4:A$114,"&lt;&gt;"&amp;"")+COUNTIF(A$4:A8,A8))</f>
        <v>5</v>
      </c>
      <c r="C8">
        <f t="shared" si="0"/>
        <v>1923</v>
      </c>
      <c r="D8">
        <f>D7+IF(AND(C8&lt;&gt;"",COUNTIF(C$4:C8,C8)=1),1,0)</f>
        <v>5</v>
      </c>
      <c r="E8" t="e">
        <f t="shared" si="1"/>
        <v>#N/A</v>
      </c>
      <c r="F8">
        <f t="shared" si="2"/>
        <v>5</v>
      </c>
      <c r="G8">
        <f>IF(F8="","",COUNTIFS(F$4:F$40,"&lt;"&amp;F8,F$4:F$40,"&lt;&gt;"&amp;"")+COUNTIF(F$4:F8,F8))</f>
        <v>5</v>
      </c>
      <c r="H8">
        <f t="shared" si="3"/>
        <v>5</v>
      </c>
      <c r="I8">
        <f>I7+IF(AND(H8&lt;&gt;"",COUNTIF(H$4:H8,H8)=1),1,0)</f>
        <v>5</v>
      </c>
      <c r="J8">
        <f t="shared" si="4"/>
        <v>5</v>
      </c>
      <c r="K8">
        <f>IF('Final Calculation Sheet'!$F$8="","",'Final Calculation Sheet'!$F$8)</f>
        <v>1923</v>
      </c>
      <c r="L8">
        <f>IF(K8="","",COUNTIFS(K$4:K$40,"&lt;"&amp;K8,K$4:K$40,"&lt;&gt;"&amp;"")+COUNTIF(K$4:K8,K8))</f>
        <v>5</v>
      </c>
      <c r="M8">
        <f t="shared" si="5"/>
        <v>1923</v>
      </c>
      <c r="N8">
        <f>N7+IF(AND(M8&lt;&gt;"",COUNTIF(M$4:M8,M8)=1),1,0)</f>
        <v>5</v>
      </c>
      <c r="O8">
        <f t="shared" si="6"/>
        <v>1923</v>
      </c>
      <c r="P8" t="str">
        <f>IF('Final Calculation Sheet'!$G$8="","",'Final Calculation Sheet'!$G$8)</f>
        <v>OMKAR STEELS</v>
      </c>
      <c r="Q8">
        <f>IF(P8="","",COUNTIFS(P$4:P$40,"&lt;"&amp;P8,P$4:P$40,"&lt;&gt;"&amp;"")+COUNTIF(P$4:P8,P8))</f>
        <v>21</v>
      </c>
      <c r="R8" t="str">
        <f t="shared" si="7"/>
        <v>KASHYAP TRADING CO</v>
      </c>
      <c r="S8">
        <f>S7+IF(AND(R8&lt;&gt;"",COUNTIF(R$4:R8,R8)=1),1,0)</f>
        <v>4</v>
      </c>
      <c r="T8" t="str">
        <f t="shared" si="8"/>
        <v>M I SCRAP TRADERS</v>
      </c>
      <c r="U8" t="str">
        <f>IF('Final Calculation Sheet'!$B$8="","",'Final Calculation Sheet'!$B$8)</f>
        <v>SCRAP ACSR CONDUCTORS (Conductor Pieces)</v>
      </c>
      <c r="V8">
        <f>IF(U8="","",COUNTIFS(U$4:U$40,"&lt;"&amp;U8,U$4:U$40,"&lt;&gt;"&amp;"")+COUNTIF(U$4:U8,U8))</f>
        <v>3</v>
      </c>
      <c r="W8" t="str">
        <f t="shared" si="9"/>
        <v>Scrap Empty Oil Drum/ Barrel</v>
      </c>
      <c r="X8">
        <f>X7+IF(AND(W8&lt;&gt;"",COUNTIF(W$4:W8,W8)=1),1,0)</f>
        <v>5</v>
      </c>
      <c r="Y8" t="str">
        <f t="shared" si="10"/>
        <v>Scrap Empty Oil Drum/ Barrel</v>
      </c>
      <c r="Z8">
        <f>IF('Final Calculation Sheet'!$D$8="","",'Final Calculation Sheet'!$D$8)</f>
        <v>21980</v>
      </c>
      <c r="AA8">
        <f>IF(Z8="","",COUNTIFS(Z$4:Z$40,"&lt;"&amp;Z8,Z$4:Z$40,"&lt;&gt;"&amp;"")+COUNTIF(Z$4:Z8,Z8))</f>
        <v>31</v>
      </c>
      <c r="AB8">
        <f t="shared" si="11"/>
        <v>21977</v>
      </c>
      <c r="AC8">
        <f>AC7+IF(AND(AB8&lt;&gt;"",COUNTIF(AB$4:AB8,AB8)=1),1,0)</f>
        <v>1</v>
      </c>
      <c r="AD8" t="str">
        <f t="shared" si="12"/>
        <v/>
      </c>
      <c r="AE8">
        <f>IF('Final Calculation Sheet'!$A$8="","",'Final Calculation Sheet'!$A$8)</f>
        <v>7253</v>
      </c>
      <c r="AF8">
        <f>IF(AE8="","",COUNTIFS(AE$4:AE$40,"&lt;"&amp;AE8,AE$4:AE$40,"&lt;&gt;"&amp;"")+COUNTIF(AE$4:AE8,AE8))</f>
        <v>37</v>
      </c>
      <c r="AG8">
        <f t="shared" si="13"/>
        <v>1</v>
      </c>
      <c r="AH8">
        <f>AH7+IF(AND(AG8&lt;&gt;"",COUNTIF(AG$4:AG8,AG8)=1),1,0)</f>
        <v>1</v>
      </c>
      <c r="AI8">
        <f t="shared" si="14"/>
        <v>5</v>
      </c>
      <c r="AJ8" t="str">
        <f>IF('Final Calculation Sheet'!$E$8="","",'Final Calculation Sheet'!$E$8)</f>
        <v>KG</v>
      </c>
      <c r="AK8">
        <f>IF(AJ8="","",COUNTIFS(AJ$4:AJ$40,"&lt;"&amp;AJ8,AJ$4:AJ$40,"&lt;&gt;"&amp;"")+COUNTIF(AJ$4:AJ8,AJ8))</f>
        <v>4</v>
      </c>
      <c r="AL8" t="str">
        <f t="shared" si="15"/>
        <v>KG</v>
      </c>
      <c r="AM8">
        <f>AM7+IF(AND(AL8&lt;&gt;"",COUNTIF(AL$4:AL8,AL8)=1),1,0)</f>
        <v>1</v>
      </c>
      <c r="AN8" t="str">
        <f t="shared" si="16"/>
        <v/>
      </c>
      <c r="AO8" s="50">
        <f>IF('Final Calculation Sheet'!$C$8="","",'Final Calculation Sheet'!$C$8)</f>
        <v>227</v>
      </c>
      <c r="AP8">
        <f>IF(AO8="","",COUNTIFS(AO$4:AO$40,"&lt;"&amp;AO8,AO$4:AO$40,"&lt;&gt;"&amp;"")+COUNTIF(AO$4:AO8,AO8))</f>
        <v>2</v>
      </c>
      <c r="AQ8" s="50">
        <f t="shared" si="17"/>
        <v>517</v>
      </c>
      <c r="AR8">
        <f>AR7+IF(AND(AQ8&lt;&gt;"",COUNTIF(AQ$4:AQ8,AQ8)=1),1,0)</f>
        <v>5</v>
      </c>
      <c r="AS8" s="50">
        <f t="shared" si="18"/>
        <v>517</v>
      </c>
      <c r="AT8" s="50">
        <f>IF('Final Calculation Sheet'!$H$8="","",'Final Calculation Sheet'!$H$8)</f>
        <v>1646431</v>
      </c>
      <c r="AU8">
        <f>IF(AT8="","",COUNTIFS(AT$4:AT$40,"&lt;"&amp;AT8,AT$4:AT$40,"&lt;&gt;"&amp;"")+COUNTIF(AT$4:AT8,AT8))</f>
        <v>35</v>
      </c>
      <c r="AV8" s="50">
        <f t="shared" si="19"/>
        <v>28002</v>
      </c>
      <c r="AW8">
        <f>AW7+IF(AND(AV8&lt;&gt;"",COUNTIF(AV$4:AV8,AV8)=1),1,0)</f>
        <v>5</v>
      </c>
      <c r="AX8" s="50">
        <f t="shared" si="20"/>
        <v>28002</v>
      </c>
      <c r="AY8" s="50">
        <f>IF('Final Calculation Sheet'!$I$8="","",'Final Calculation Sheet'!$I$8)</f>
        <v>296358</v>
      </c>
      <c r="AZ8">
        <f>IF(AY8="","",COUNTIFS(AY$4:AY$40,"&lt;"&amp;AY8,AY$4:AY$40,"&lt;&gt;"&amp;"")+COUNTIF(AY$4:AY8,AY8))</f>
        <v>35</v>
      </c>
      <c r="BA8" s="50">
        <f t="shared" si="21"/>
        <v>5040</v>
      </c>
      <c r="BB8">
        <f>BB7+IF(AND(BA8&lt;&gt;"",COUNTIF(BA$4:BA8,BA8)=1),1,0)</f>
        <v>5</v>
      </c>
      <c r="BC8" s="50">
        <f t="shared" si="22"/>
        <v>5040</v>
      </c>
      <c r="BD8" s="50">
        <f>IF('Final Calculation Sheet'!$J$8="","",'Final Calculation Sheet'!$J$8)</f>
        <v>1942789</v>
      </c>
      <c r="BE8">
        <f>IF(BD8="","",COUNTIFS(BD$4:BD$40,"&lt;"&amp;BD8,BD$4:BD$40,"&lt;&gt;"&amp;"")+COUNTIF(BD$4:BD8,BD8))</f>
        <v>35</v>
      </c>
      <c r="BF8" s="50">
        <f t="shared" si="23"/>
        <v>33042</v>
      </c>
      <c r="BG8">
        <f>BG7+IF(AND(BF8&lt;&gt;"",COUNTIF(BF$4:BF8,BF8)=1),1,0)</f>
        <v>5</v>
      </c>
      <c r="BH8" s="50">
        <f t="shared" si="24"/>
        <v>33042</v>
      </c>
      <c r="BI8" s="50">
        <f>IF('Final Calculation Sheet'!$K$8="","",'Final Calculation Sheet'!$K$8)</f>
        <v>38856</v>
      </c>
      <c r="BJ8">
        <f>IF(BI8="","",COUNTIFS(BI$4:BI$40,"&lt;"&amp;BI8,BI$4:BI$40,"&lt;&gt;"&amp;"")+COUNTIF(BI$4:BI8,BI8))</f>
        <v>35</v>
      </c>
      <c r="BK8" s="50">
        <f t="shared" si="25"/>
        <v>661</v>
      </c>
      <c r="BL8">
        <f>BL7+IF(AND(BK8&lt;&gt;"",COUNTIF(BK$4:BK8,BK8)=1),1,0)</f>
        <v>5</v>
      </c>
      <c r="BM8" s="50">
        <f t="shared" si="26"/>
        <v>661</v>
      </c>
      <c r="BN8" s="50">
        <f>IF('Final Calculation Sheet'!$L$8="","",'Final Calculation Sheet'!$L$8)</f>
        <v>1646.431</v>
      </c>
      <c r="BO8">
        <f>IF(BN8="","",COUNTIFS(BN$4:BN$40,"&lt;"&amp;BN8,BN$4:BN$40,"&lt;&gt;"&amp;"")+COUNTIF(BN$4:BN8,BN8))</f>
        <v>35</v>
      </c>
      <c r="BP8" s="50">
        <f t="shared" si="27"/>
        <v>28.001999999999999</v>
      </c>
      <c r="BQ8">
        <f>BQ7+IF(AND(BP8&lt;&gt;"",COUNTIF(BP$4:BP8,BP8)=1),1,0)</f>
        <v>5</v>
      </c>
      <c r="BR8" s="50">
        <f t="shared" si="28"/>
        <v>28.001999999999999</v>
      </c>
      <c r="BS8" s="50">
        <f>IF('Final Calculation Sheet'!$M$8="","",'Final Calculation Sheet'!$M$8)</f>
        <v>43712.743049999997</v>
      </c>
      <c r="BT8">
        <f>IF(BS8="","",COUNTIFS(BS$4:BS$40,"&lt;"&amp;BS8,BS$4:BS$40,"&lt;&gt;"&amp;"")+COUNTIF(BS$4:BS8,BS8))</f>
        <v>35</v>
      </c>
      <c r="BU8" s="50">
        <f t="shared" si="29"/>
        <v>743.45309999999995</v>
      </c>
      <c r="BV8">
        <f>BV7+IF(AND(BU8&lt;&gt;"",COUNTIF(BU$4:BU8,BU8)=1),1,0)</f>
        <v>5</v>
      </c>
      <c r="BW8" s="50">
        <f t="shared" si="30"/>
        <v>743.45309999999995</v>
      </c>
      <c r="BX8" s="126">
        <f>IF('Final Calculation Sheet'!$N$8="","",'Final Calculation Sheet'!$N$8)</f>
        <v>740.89395000000002</v>
      </c>
      <c r="BY8">
        <f>IF(BX8="","",COUNTIFS(BX$4:BX$40,"&lt;"&amp;BX8,BX$4:BX$40,"&lt;&gt;"&amp;"")+COUNTIF(BX$4:BX8,BX8))</f>
        <v>35</v>
      </c>
      <c r="BZ8" s="126">
        <f t="shared" si="31"/>
        <v>12.600899999999999</v>
      </c>
      <c r="CA8">
        <f>CA7+IF(AND(BZ8&lt;&gt;"",COUNTIF(BZ$4:BZ8,BZ8)=1),1,0)</f>
        <v>5</v>
      </c>
      <c r="CB8" s="126">
        <f t="shared" si="32"/>
        <v>12.600899999999999</v>
      </c>
      <c r="CC8" s="50">
        <f>IF('Final Calculation Sheet'!$O$8="","",'Final Calculation Sheet'!$O$8)</f>
        <v>42971.849099999999</v>
      </c>
      <c r="CD8">
        <f>IF(CC8="","",COUNTIFS(CC$4:CC$40,"&lt;"&amp;CC8,CC$4:CC$40,"&lt;&gt;"&amp;"")+COUNTIF(CC$4:CC8,CC8))</f>
        <v>35</v>
      </c>
      <c r="CE8" s="50">
        <f t="shared" si="33"/>
        <v>730.85219999999993</v>
      </c>
      <c r="CF8">
        <f>CF7+IF(AND(CE8&lt;&gt;"",COUNTIF(CE$4:CE8,CE8)=1),1,0)</f>
        <v>5</v>
      </c>
      <c r="CG8" s="50">
        <f t="shared" si="34"/>
        <v>730.85219999999993</v>
      </c>
      <c r="CH8" s="50">
        <f>IF('Final Calculation Sheet'!$P$8="","",'Final Calculation Sheet'!$P$8)</f>
        <v>44618</v>
      </c>
      <c r="CI8">
        <f>IF(CH8="","",COUNTIFS(CH$4:CH$40,"&lt;"&amp;CH8,CH$4:CH$40,"&lt;&gt;"&amp;"")+COUNTIF(CH$4:CH8,CH8))</f>
        <v>35</v>
      </c>
      <c r="CJ8" s="50">
        <f t="shared" si="35"/>
        <v>759</v>
      </c>
      <c r="CK8">
        <f>CK7+IF(AND(CJ8&lt;&gt;"",COUNTIF(CJ$4:CJ8,CJ8)=1),1,0)</f>
        <v>5</v>
      </c>
      <c r="CL8" s="50">
        <f t="shared" si="36"/>
        <v>759</v>
      </c>
      <c r="CM8" s="127">
        <f>IF('Final Calculation Sheet'!$Q$8="","",'Final Calculation Sheet'!$Q$8)</f>
        <v>0.02</v>
      </c>
      <c r="CN8">
        <f>IF(CM8="","",COUNTIFS(CM$4:CM$40,"&lt;"&amp;CM8,CM$4:CM$40,"&lt;&gt;"&amp;"")+COUNTIF(CM$4:CM8,CM8))</f>
        <v>35</v>
      </c>
      <c r="CO8" s="127">
        <f t="shared" si="37"/>
        <v>0</v>
      </c>
      <c r="CP8">
        <f>CP7+IF(AND(CO8&lt;&gt;"",COUNTIF(CO$4:CO8,CO8)=1),1,0)</f>
        <v>1</v>
      </c>
      <c r="CQ8" t="str">
        <f t="shared" si="38"/>
        <v/>
      </c>
      <c r="CR8" s="50">
        <f>IF('Final Calculation Sheet'!$R$8="","",'Final Calculation Sheet'!$R$8)</f>
        <v>32929</v>
      </c>
      <c r="CS8">
        <f>IF(CR8="","",COUNTIFS(CR$4:CR$40,"&lt;"&amp;CR8,CR$4:CR$40,"&lt;&gt;"&amp;"")+COUNTIF(CR$4:CR8,CR8))</f>
        <v>37</v>
      </c>
      <c r="CT8" s="50">
        <f t="shared" si="39"/>
        <v>0</v>
      </c>
      <c r="CU8">
        <f>CU7+IF(AND(CT8&lt;&gt;"",COUNTIF(CT$4:CT8,CT8)=1),1,0)</f>
        <v>1</v>
      </c>
      <c r="CV8" s="50">
        <f t="shared" si="40"/>
        <v>32929</v>
      </c>
      <c r="CW8" s="50">
        <f>IF('Final Calculation Sheet'!$S$8="","",'Final Calculation Sheet'!$S$8)</f>
        <v>1904097</v>
      </c>
      <c r="CX8">
        <f>IF(CW8="","",COUNTIFS(CW$4:CW$40,"&lt;"&amp;CW8,CW$4:CW$40,"&lt;&gt;"&amp;"")+COUNTIF(CW$4:CW8,CW8))</f>
        <v>35</v>
      </c>
      <c r="CY8" s="50">
        <f t="shared" si="41"/>
        <v>32944</v>
      </c>
      <c r="CZ8">
        <f>CZ7+IF(AND(CY8&lt;&gt;"",COUNTIF(CY$4:CY8,CY8)=1),1,0)</f>
        <v>5</v>
      </c>
      <c r="DA8" s="50">
        <f t="shared" si="42"/>
        <v>32944</v>
      </c>
      <c r="DB8" s="50">
        <f>IF('Final Calculation Sheet'!$T$8="","",'Final Calculation Sheet'!$T$8)</f>
        <v>411608</v>
      </c>
      <c r="DC8">
        <f>IF(DB8="","",COUNTIFS(DB$4:DB$40,"&lt;"&amp;DB8,DB$4:DB$40,"&lt;&gt;"&amp;"")+COUNTIF(DB$4:DB8,DB8))</f>
        <v>35</v>
      </c>
      <c r="DD8" s="50">
        <f t="shared" si="43"/>
        <v>7001</v>
      </c>
      <c r="DE8">
        <f>DE7+IF(AND(DD8&lt;&gt;"",COUNTIF(DD$4:DD8,DD8)=1),1,0)</f>
        <v>5</v>
      </c>
      <c r="DF8" s="50">
        <f t="shared" si="44"/>
        <v>7001</v>
      </c>
      <c r="DG8" s="128">
        <f>IF('Final Calculation Sheet'!$U$8="","",'Final Calculation Sheet'!$U$8)</f>
        <v>411608</v>
      </c>
      <c r="DH8">
        <f>IF(DG8="","",COUNTIFS(DG$4:DG$40,"&lt;"&amp;DG8,DG$4:DG$40,"&lt;&gt;"&amp;"")+COUNTIF(DG$4:DG8,DG8))</f>
        <v>35</v>
      </c>
      <c r="DI8" s="128">
        <f t="shared" si="45"/>
        <v>7001</v>
      </c>
      <c r="DJ8">
        <f>DJ7+IF(AND(DI8&lt;&gt;"",COUNTIF(DI$4:DI8,DI8)=1),1,0)</f>
        <v>5</v>
      </c>
      <c r="DK8" s="128">
        <f t="shared" si="46"/>
        <v>7001</v>
      </c>
      <c r="DL8" t="str">
        <f>IF('Final Calculation Sheet'!$V$8="","",'Final Calculation Sheet'!$V$8)</f>
        <v>14.08.2026</v>
      </c>
      <c r="DM8">
        <f>IF(DL8="","",COUNTIFS(DL$4:DL$40,"&lt;"&amp;DL8,DL$4:DL$40,"&lt;&gt;"&amp;"")+COUNTIF(DL$4:DL8,DL8))</f>
        <v>27</v>
      </c>
      <c r="DN8" t="str">
        <f t="shared" si="47"/>
        <v>11.08.2026</v>
      </c>
      <c r="DO8">
        <f>DO7+IF(AND(DN8&lt;&gt;"",COUNTIF(DN$4:DN8,DN8)=1),1,0)</f>
        <v>2</v>
      </c>
      <c r="DP8" t="str">
        <f t="shared" si="48"/>
        <v>17.08.2026</v>
      </c>
      <c r="DQ8" s="50">
        <f>IF('Final Calculation Sheet'!$W$8="","",'Final Calculation Sheet'!$W$8)</f>
        <v>1492489</v>
      </c>
      <c r="DR8">
        <f>IF(DQ8="","",COUNTIFS(DQ$4:DQ$40,"&lt;"&amp;DQ8,DQ$4:DQ$40,"&lt;&gt;"&amp;"")+COUNTIF(DQ$4:DQ8,DQ8))</f>
        <v>35</v>
      </c>
      <c r="DS8" s="50">
        <f t="shared" si="49"/>
        <v>25944</v>
      </c>
      <c r="DT8">
        <f>DT7+IF(AND(DS8&lt;&gt;"",COUNTIF(DS$4:DS8,DS8)=1),1,0)</f>
        <v>5</v>
      </c>
      <c r="DU8" s="50">
        <f t="shared" si="50"/>
        <v>25944</v>
      </c>
      <c r="DV8" s="50">
        <f>IF('Final Calculation Sheet'!$X$8="","",'Final Calculation Sheet'!$X$8)</f>
        <v>1492490</v>
      </c>
      <c r="DW8">
        <f>IF(DV8="","",COUNTIFS(DV$4:DV$40,"&lt;"&amp;DV8,DV$4:DV$40,"&lt;&gt;"&amp;"")+COUNTIF(DV$4:DV8,DV8))</f>
        <v>32</v>
      </c>
      <c r="DX8" s="50">
        <f t="shared" si="51"/>
        <v>25943</v>
      </c>
      <c r="DY8">
        <f>DY7+IF(AND(DX8&lt;&gt;"",COUNTIF(DX$4:DX8,DX8)=1),1,0)</f>
        <v>5</v>
      </c>
      <c r="DZ8" t="e">
        <f t="shared" si="52"/>
        <v>#N/A</v>
      </c>
      <c r="EA8" t="str">
        <f>IF('Final Calculation Sheet'!$Y$8="","",'Final Calculation Sheet'!$Y$8)</f>
        <v>24.08.2026</v>
      </c>
      <c r="EB8">
        <f>IF(EA8="","",COUNTIFS(EA$4:EA$40,"&lt;"&amp;EA8,EA$4:EA$40,"&lt;&gt;"&amp;"")+COUNTIF(EA$4:EA8,EA8))</f>
        <v>22</v>
      </c>
      <c r="EC8" t="str">
        <f t="shared" si="53"/>
        <v>11.08.2026</v>
      </c>
      <c r="ED8">
        <f>ED7+IF(AND(EC8&lt;&gt;"",COUNTIF(EC$4:EC8,EC8)=1),1,0)</f>
        <v>3</v>
      </c>
      <c r="EE8" t="e">
        <f t="shared" si="54"/>
        <v>#N/A</v>
      </c>
      <c r="EF8" s="50">
        <f ca="1">IF('Final Calculation Sheet'!$Z$8="","",'Final Calculation Sheet'!$Z$8)</f>
        <v>58283.657399999996</v>
      </c>
      <c r="EG8">
        <f ca="1">IF(EF8="","",COUNTIFS(EF$4:EF$40,"&lt;"&amp;EF8,EF$4:EF$40,"&lt;&gt;"&amp;"")+COUNTIF(EF$4:EF8,EF8))</f>
        <v>35</v>
      </c>
      <c r="EH8" s="50">
        <f t="shared" ca="1" si="55"/>
        <v>939.87000000000012</v>
      </c>
      <c r="EI8">
        <f ca="1">EI7+IF(AND(EH8&lt;&gt;"",COUNTIF(EH$4:EH8,EH8)=1),1,0)</f>
        <v>5</v>
      </c>
      <c r="EJ8" s="50">
        <f t="shared" ca="1" si="56"/>
        <v>939.87000000000012</v>
      </c>
      <c r="EK8" t="str">
        <f>IF('Final Calculation Sheet'!$AA$8="","",'Final Calculation Sheet'!$AA$8)</f>
        <v/>
      </c>
      <c r="EL8" t="str">
        <f>IF(EK8="","",COUNTIFS(EK$4:EK$40,"&lt;"&amp;EK8,EK$4:EK$40,"&lt;&gt;"&amp;"")+COUNTIF(EK$4:EK8,EK8))</f>
        <v/>
      </c>
      <c r="EM8" t="e">
        <f t="shared" si="57"/>
        <v>#N/A</v>
      </c>
      <c r="EN8" t="e">
        <f>EN7+IF(AND(EM8&lt;&gt;"",COUNTIF(EM$4:EM8,EM8)=1),1,0)</f>
        <v>#N/A</v>
      </c>
      <c r="EO8" t="e">
        <f t="shared" si="58"/>
        <v>#N/A</v>
      </c>
      <c r="EP8" t="str">
        <f>IF('Final Calculation Sheet'!$AB$8="","",'Final Calculation Sheet'!$AB$8)</f>
        <v/>
      </c>
      <c r="EQ8" t="str">
        <f>IF(EP8="","",COUNTIFS(EP$4:EP$40,"&lt;"&amp;EP8,EP$4:EP$40,"&lt;&gt;"&amp;"")+COUNTIF(EP$4:EP8,EP8))</f>
        <v/>
      </c>
      <c r="ER8" t="e">
        <f t="shared" si="59"/>
        <v>#N/A</v>
      </c>
      <c r="ES8" t="e">
        <f>ES7+IF(AND(ER8&lt;&gt;"",COUNTIF(ER$4:ER8,ER8)=1),1,0)</f>
        <v>#N/A</v>
      </c>
      <c r="ET8" t="e">
        <f t="shared" si="60"/>
        <v>#N/A</v>
      </c>
      <c r="EU8" s="50">
        <f>IF('Final Calculation Sheet'!$AC$8="","",'Final Calculation Sheet'!$AC$8)</f>
        <v>1904098</v>
      </c>
      <c r="EV8">
        <f>IF(EU8="","",COUNTIFS(EU$4:EU$40,"&lt;"&amp;EU8,EU$4:EU$40,"&lt;&gt;"&amp;"")+COUNTIF(EU$4:EU8,EU8))</f>
        <v>35</v>
      </c>
      <c r="EW8" s="50">
        <f t="shared" si="61"/>
        <v>31236</v>
      </c>
      <c r="EX8">
        <f>EX7+IF(AND(EW8&lt;&gt;"",COUNTIF(EW$4:EW8,EW8)=1),1,0)</f>
        <v>5</v>
      </c>
      <c r="EY8" s="50">
        <f t="shared" si="62"/>
        <v>31236</v>
      </c>
      <c r="EZ8" s="50">
        <f>IF('Final Calculation Sheet'!$AD$8="","",'Final Calculation Sheet'!$AD$8)</f>
        <v>-1</v>
      </c>
      <c r="FA8">
        <f>IF(EZ8="","",COUNTIFS(EZ$4:EZ$40,"&lt;"&amp;EZ8,EZ$4:EZ$40,"&lt;&gt;"&amp;"")+COUNTIF(EZ$4:EZ8,EZ8))</f>
        <v>5</v>
      </c>
      <c r="FB8" s="50">
        <f t="shared" si="63"/>
        <v>-1</v>
      </c>
      <c r="FC8">
        <f>FC7+IF(AND(FB8&lt;&gt;"",COUNTIF(FB$4:FB8,FB8)=1),1,0)</f>
        <v>5</v>
      </c>
      <c r="FD8" s="50">
        <f t="shared" si="64"/>
        <v>-1</v>
      </c>
      <c r="FE8" t="str">
        <f>IF('Final Calculation Sheet'!$AF$8="","",'Final Calculation Sheet'!$AF$8)</f>
        <v>DR2640100045</v>
      </c>
      <c r="FF8">
        <f>IF(FE8="","",COUNTIFS(FE$4:FE$40,"&lt;"&amp;FE8,FE$4:FE$40,"&lt;&gt;"&amp;"")+COUNTIF(FE$4:FE8,FE8))</f>
        <v>34</v>
      </c>
      <c r="FG8" t="e">
        <f t="shared" si="65"/>
        <v>#N/A</v>
      </c>
      <c r="FH8" t="e">
        <f>FH7+IF(AND(FG8&lt;&gt;"",COUNTIF(FG$4:FG8,FG8)=1),1,0)</f>
        <v>#N/A</v>
      </c>
      <c r="FI8" t="e">
        <f t="shared" si="66"/>
        <v>#N/A</v>
      </c>
      <c r="FJ8" s="129">
        <f>IF('Final Calculation Sheet'!$AG$8="","",'Final Calculation Sheet'!$AG$8)</f>
        <v>1800003315</v>
      </c>
      <c r="FK8">
        <f>IF(FJ8="","",COUNTIFS(FJ$4:FJ$40,"&lt;"&amp;FJ8,FJ$4:FJ$40,"&lt;&gt;"&amp;"")+COUNTIF(FJ$4:FJ8,FJ8))</f>
        <v>27</v>
      </c>
      <c r="FL8" s="129">
        <f t="shared" si="67"/>
        <v>1800003160</v>
      </c>
      <c r="FM8">
        <f>FM7+IF(AND(FL8&lt;&gt;"",COUNTIF(FL$4:FL8,FL8)=1),1,0)</f>
        <v>5</v>
      </c>
      <c r="FN8" t="e">
        <f t="shared" si="68"/>
        <v>#N/A</v>
      </c>
      <c r="FO8" t="str">
        <f>IF('Final Calculation Sheet'!$AH$8="","",'Final Calculation Sheet'!$AH$8)</f>
        <v>27.08.2026</v>
      </c>
      <c r="FP8">
        <f>IF(FO8="","",COUNTIFS(FO$4:FO$40,"&lt;"&amp;FO8,FO$4:FO$40,"&lt;&gt;"&amp;"")+COUNTIF(FO$4:FO8,FO8))</f>
        <v>22</v>
      </c>
      <c r="FQ8" t="e">
        <f t="shared" si="69"/>
        <v>#N/A</v>
      </c>
      <c r="FR8" t="e">
        <f>FR7+IF(AND(FQ8&lt;&gt;"",COUNTIF(FQ$4:FQ8,FQ8)=1),1,0)</f>
        <v>#N/A</v>
      </c>
      <c r="FS8" t="e">
        <f t="shared" si="70"/>
        <v>#N/A</v>
      </c>
      <c r="FU8" t="str">
        <f>IF(FT8="","",COUNTIFS(FT$4:FT$40,"&lt;"&amp;FT8,FT$4:FT$40,"&lt;&gt;"&amp;"")+COUNTIF(FT$4:FT8,FT8))</f>
        <v/>
      </c>
      <c r="FV8" t="str">
        <f t="shared" si="71"/>
        <v/>
      </c>
      <c r="FW8">
        <f>FW7+IF(AND(FV8&lt;&gt;"",COUNTIF(FV$4:FV8,FV8)=1),1,0)</f>
        <v>2</v>
      </c>
      <c r="FX8" t="str">
        <f t="shared" si="72"/>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8" t="b">
        <f>IF($Y$8="",FALSE,SUMPRODUCT(('Final Calculation Sheet'!$B$4:$B$40=$Y$8)*($FY$6:$FY$42=1))&gt;0)</f>
        <v>1</v>
      </c>
      <c r="GA8">
        <f>$GA$7+--($FZ$8)</f>
        <v>5</v>
      </c>
      <c r="GB8" t="str">
        <f t="shared" si="73"/>
        <v>Scrap Empty Oil Drum/ Barrel</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D8" t="b">
        <f>IF($O$8="",FALSE,SUMPRODUCT(('Final Calculation Sheet'!$F$4:$F$40=$O$8)*($GC$6:$GC$42=1))&gt;0)</f>
        <v>1</v>
      </c>
      <c r="GE8">
        <f>$GE$7+--($GD8)</f>
        <v>5</v>
      </c>
      <c r="GF8">
        <f t="shared" si="74"/>
        <v>1923</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H8" t="b">
        <f>IF($T$8="",FALSE,SUMPRODUCT(('Final Calculation Sheet'!$G$4:$G$40=$T$8)*($GG$6:$GG$42=1))&gt;0)</f>
        <v>1</v>
      </c>
      <c r="GI8">
        <f>$GI$7+--($GH8)</f>
        <v>5</v>
      </c>
      <c r="GJ8" t="str">
        <f t="shared" si="75"/>
        <v>M I SCRAP TRADERS</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L8" t="b">
        <f>IF($AD$8="",FALSE,SUMPRODUCT(('Final Calculation Sheet'!$D$4:$D$40=$AD$8)*($GK$6:$GK$42=1))&gt;0)</f>
        <v>0</v>
      </c>
      <c r="GM8">
        <f>$GM$7+--($GL8)</f>
        <v>4</v>
      </c>
      <c r="GN8" t="str">
        <f t="shared" si="76"/>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P8" t="b">
        <f>IF($AI$8="",FALSE,SUMPRODUCT(('Final Calculation Sheet'!$A$4:$A$40=$AI$8)*($GO$6:$GO$42=1))&gt;0)</f>
        <v>1</v>
      </c>
      <c r="GQ8">
        <f>$GQ$7+--($GP8)</f>
        <v>5</v>
      </c>
      <c r="GR8">
        <f t="shared" si="77"/>
        <v>5</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T8" t="b">
        <f>IF($AN$8="",FALSE,SUMPRODUCT(('Final Calculation Sheet'!$E$4:$E$40=$AN$8)*($GS$6:$GS$42=1))&gt;0)</f>
        <v>0</v>
      </c>
      <c r="GU8">
        <f>$GU$7+--($GT8)</f>
        <v>3</v>
      </c>
      <c r="GV8" t="str">
        <f t="shared" si="78"/>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GX8" t="b">
        <f>IF($AS$8="",FALSE,SUMPRODUCT(('Final Calculation Sheet'!$C$4:$C$40=$AS$8)*($GW$6:$GW$42=1))&gt;0)</f>
        <v>1</v>
      </c>
      <c r="GY8">
        <f>$GY$7+--($GX8)</f>
        <v>5</v>
      </c>
      <c r="GZ8">
        <f t="shared" si="79"/>
        <v>517</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B8" t="b">
        <f>IF($AX$8="",FALSE,SUMPRODUCT(('Final Calculation Sheet'!$H$4:$H$40=$AX$8)*($HA$6:$HA$42=1))&gt;0)</f>
        <v>1</v>
      </c>
      <c r="HC8">
        <f>$HC$7+--($HB8)</f>
        <v>5</v>
      </c>
      <c r="HD8">
        <f t="shared" si="80"/>
        <v>28002</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F8" t="b">
        <f>IF($BC$8="",FALSE,SUMPRODUCT(('Final Calculation Sheet'!$I$4:$I$40=$BC$8)*($HE$6:$HE$42=1))&gt;0)</f>
        <v>1</v>
      </c>
      <c r="HG8">
        <f>$HG$7+--($HF8)</f>
        <v>5</v>
      </c>
      <c r="HH8">
        <f t="shared" si="81"/>
        <v>5040</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J8" t="b">
        <f>IF($BH$8="",FALSE,SUMPRODUCT(('Final Calculation Sheet'!$J$4:$J$40=$BH$8)*($HI$6:$HI$42=1))&gt;0)</f>
        <v>1</v>
      </c>
      <c r="HK8">
        <f>$HK$7+--($HJ8)</f>
        <v>5</v>
      </c>
      <c r="HL8">
        <f t="shared" si="82"/>
        <v>33042</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N8" t="b">
        <f>IF($BM$8="",FALSE,SUMPRODUCT(('Final Calculation Sheet'!$K$4:$K$40=$BM$8)*($HM$6:$HM$42=1))&gt;0)</f>
        <v>1</v>
      </c>
      <c r="HO8">
        <f>$HO$7+--($HN8)</f>
        <v>5</v>
      </c>
      <c r="HP8">
        <f t="shared" si="83"/>
        <v>661</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R8" t="b">
        <f>IF($BR$8="",FALSE,SUMPRODUCT(('Final Calculation Sheet'!$L$4:$L$40=$BR$8)*($HQ$6:$HQ$42=1))&gt;0)</f>
        <v>1</v>
      </c>
      <c r="HS8">
        <f>$HS$7+--($HR8)</f>
        <v>5</v>
      </c>
      <c r="HT8">
        <f t="shared" si="84"/>
        <v>28.001999999999999</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V8" t="b">
        <f>IF($BW$8="",FALSE,SUMPRODUCT(('Final Calculation Sheet'!$M$4:$M$40=$BW$8)*($HU$6:$HU$42=1))&gt;0)</f>
        <v>1</v>
      </c>
      <c r="HW8">
        <f>$HW$7+--($HV8)</f>
        <v>5</v>
      </c>
      <c r="HX8">
        <f t="shared" si="85"/>
        <v>743.45309999999995</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HZ8" t="b">
        <f>IF($CB$8="",FALSE,SUMPRODUCT(('Final Calculation Sheet'!$N$4:$N$40=$CB$8)*($HY$6:$HY$42=1))&gt;0)</f>
        <v>1</v>
      </c>
      <c r="IA8">
        <f>$IA$7+--($HZ8)</f>
        <v>5</v>
      </c>
      <c r="IB8">
        <f t="shared" si="86"/>
        <v>12.600899999999999</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D8" t="b">
        <f>IF($CG$8="",FALSE,SUMPRODUCT(('Final Calculation Sheet'!$O$4:$O$40=$CG$8)*($IC$6:$IC$42=1))&gt;0)</f>
        <v>1</v>
      </c>
      <c r="IE8">
        <f>$IE$7+--($ID8)</f>
        <v>5</v>
      </c>
      <c r="IF8">
        <f t="shared" si="87"/>
        <v>730.85219999999993</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H8" t="b">
        <f>IF($CL$8="",FALSE,SUMPRODUCT(('Final Calculation Sheet'!$P$4:$P$40=$CL$8)*($IG$6:$IG$42=1))&gt;0)</f>
        <v>1</v>
      </c>
      <c r="II8">
        <f>$II$7+--($IH8)</f>
        <v>5</v>
      </c>
      <c r="IJ8">
        <f t="shared" si="88"/>
        <v>759</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L8" t="b">
        <f>IF($CQ$8="",FALSE,SUMPRODUCT(('Final Calculation Sheet'!$Q$4:$Q$40=$CQ$8)*($IK$6:$IK$42=1))&gt;0)</f>
        <v>0</v>
      </c>
      <c r="IM8">
        <f>$IM$7+--($IL8)</f>
        <v>2</v>
      </c>
      <c r="IN8" t="str">
        <f t="shared" si="89"/>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P8" t="b">
        <f>IF($CV$8="",FALSE,SUMPRODUCT(('Final Calculation Sheet'!$R$4:$R$40=$CV$8)*($IO$6:$IO$42=1))&gt;0)</f>
        <v>1</v>
      </c>
      <c r="IQ8">
        <f>$IQ$7+--($IP8)</f>
        <v>5</v>
      </c>
      <c r="IR8">
        <f t="shared" si="90"/>
        <v>32929</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T8" t="b">
        <f>IF($DA$8="",FALSE,SUMPRODUCT(('Final Calculation Sheet'!$S$4:$S$40=$DA$8)*($IS$6:$IS$42=1))&gt;0)</f>
        <v>1</v>
      </c>
      <c r="IU8">
        <f>$IU$7+--($IT8)</f>
        <v>5</v>
      </c>
      <c r="IV8">
        <f t="shared" si="91"/>
        <v>32944</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IX8" t="b">
        <f>IF($DF$8="",FALSE,SUMPRODUCT(('Final Calculation Sheet'!$T$4:$T$40=$DF$8)*($IW$6:$IW$42=1))&gt;0)</f>
        <v>1</v>
      </c>
      <c r="IY8">
        <f>$IY$7+--($IX8)</f>
        <v>5</v>
      </c>
      <c r="IZ8">
        <f t="shared" si="92"/>
        <v>7001</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B8" t="b">
        <f>IF($DK$8="",FALSE,SUMPRODUCT(('Final Calculation Sheet'!$U$4:$U$40=$DK$8)*($JA$6:$JA$42=1))&gt;0)</f>
        <v>1</v>
      </c>
      <c r="JC8">
        <f>$JC$7+--($JB8)</f>
        <v>5</v>
      </c>
      <c r="JD8">
        <f t="shared" si="93"/>
        <v>7001</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F8" t="b">
        <f>IF($DP$8="",FALSE,SUMPRODUCT(('Final Calculation Sheet'!$V$4:$V$40=$DP$8)*($JE$6:$JE$42=1))&gt;0)</f>
        <v>1</v>
      </c>
      <c r="JG8">
        <f>$JG$7+--($JF8)</f>
        <v>5</v>
      </c>
      <c r="JH8" t="str">
        <f t="shared" si="94"/>
        <v>17.08.2026</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J8" t="b">
        <f>IF($DU$8="",FALSE,SUMPRODUCT(('Final Calculation Sheet'!$W$4:$W$40=$DU$8)*($JI$6:$JI$42=1))&gt;0)</f>
        <v>1</v>
      </c>
      <c r="JK8">
        <f>$JK$7+--($JJ8)</f>
        <v>5</v>
      </c>
      <c r="JL8">
        <f t="shared" si="95"/>
        <v>25944</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N8" t="e">
        <f>IF($DZ$8="",FALSE,SUMPRODUCT(('Final Calculation Sheet'!$X$4:$X$40=$DZ$8)*($JM$6:$JM$42=1))&gt;0)</f>
        <v>#N/A</v>
      </c>
      <c r="JO8" t="e">
        <f>$JO$7+--($JN8)</f>
        <v>#N/A</v>
      </c>
      <c r="JP8" t="e">
        <f t="shared" si="96"/>
        <v>#N/A</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R8" t="e">
        <f>IF($EE$8="",FALSE,SUMPRODUCT(('Final Calculation Sheet'!$Y$4:$Y$40=$EE$8)*($JQ$6:$JQ$42=1))&gt;0)</f>
        <v>#N/A</v>
      </c>
      <c r="JS8" t="e">
        <f>$JS$7+--($JR8)</f>
        <v>#N/A</v>
      </c>
      <c r="JT8" t="e">
        <f t="shared" si="97"/>
        <v>#N/A</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V8" t="b">
        <f ca="1">IF($EJ$8="",FALSE,SUMPRODUCT(('Final Calculation Sheet'!$Z$4:$Z$40=$EJ$8)*($JU$6:$JU$42=1))&gt;0)</f>
        <v>1</v>
      </c>
      <c r="JW8">
        <f ca="1">$JW$7+--($JV8)</f>
        <v>5</v>
      </c>
      <c r="JX8">
        <f t="shared" ca="1" si="98"/>
        <v>939.87000000000012</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JZ8" t="e">
        <f>IF($EO$8="",FALSE,SUMPRODUCT(('Final Calculation Sheet'!$AA$4:$AA$40=$EO$8)*($JY$6:$JY$42=1))&gt;0)</f>
        <v>#N/A</v>
      </c>
      <c r="KA8" t="e">
        <f>$KA$7+--($JZ8)</f>
        <v>#N/A</v>
      </c>
      <c r="KB8" t="e">
        <f t="shared" si="99"/>
        <v>#N/A</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D8" t="e">
        <f>IF($ET$8="",FALSE,SUMPRODUCT(('Final Calculation Sheet'!$AB$4:$AB$40=$ET$8)*($KC$6:$KC$42=1))&gt;0)</f>
        <v>#N/A</v>
      </c>
      <c r="KE8" t="e">
        <f>$KE$7+--($KD8)</f>
        <v>#N/A</v>
      </c>
      <c r="KF8" t="e">
        <f t="shared" si="100"/>
        <v>#N/A</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H8" t="b">
        <f>IF($EY$8="",FALSE,SUMPRODUCT(('Final Calculation Sheet'!$AC$4:$AC$40=$EY$8)*($KG$6:$KG$42=1))&gt;0)</f>
        <v>1</v>
      </c>
      <c r="KI8">
        <f>$KI$7+--($KH8)</f>
        <v>5</v>
      </c>
      <c r="KJ8">
        <f t="shared" si="101"/>
        <v>31236</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L8" t="b">
        <f>IF($FD$8="",FALSE,SUMPRODUCT(('Final Calculation Sheet'!$AD$4:$AD$40=$FD$8)*($KK$6:$KK$42=1))&gt;0)</f>
        <v>1</v>
      </c>
      <c r="KM8">
        <f>$KM$7+--($KL8)</f>
        <v>5</v>
      </c>
      <c r="KN8">
        <f t="shared" si="102"/>
        <v>-1</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P8" t="b">
        <f>IF($FX$8="",FALSE,SUMPRODUCT((IF('Final Calculation Sheet'!$AD$4:$AD$40&lt;=5,"SETTLED","OUTSTANDING")=$FX$8)*($KO$6:$KO$42=1))&gt;0)</f>
        <v>0</v>
      </c>
      <c r="KQ8">
        <f>$KQ$7+--($KP8)</f>
        <v>1</v>
      </c>
      <c r="KR8" t="str">
        <f t="shared" si="103"/>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T8" t="e">
        <f>IF($FI$8="",FALSE,SUMPRODUCT(('Final Calculation Sheet'!$AF$4:$AF$40=$FI$8)*($KS$6:$KS$42=1))&gt;0)</f>
        <v>#N/A</v>
      </c>
      <c r="KU8" t="e">
        <f>$KU$7+--($KT8)</f>
        <v>#N/A</v>
      </c>
      <c r="KV8" t="e">
        <f t="shared" si="104"/>
        <v>#N/A</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KX8" t="e">
        <f>IF($FN$8="",FALSE,SUMPRODUCT(('Final Calculation Sheet'!$AG$4:$AG$40=$FN$8)*($KW$6:$KW$42=1))&gt;0)</f>
        <v>#N/A</v>
      </c>
      <c r="KY8" t="e">
        <f>$KY$7+--($KX8)</f>
        <v>#N/A</v>
      </c>
      <c r="KZ8" t="e">
        <f t="shared" si="105"/>
        <v>#N/A</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LB8" t="e">
        <f>IF($FS$8="",FALSE,SUMPRODUCT(('Final Calculation Sheet'!$AH$4:$AH$40=$FS$8)*($LA$6:$LA$42=1))&gt;0)</f>
        <v>#N/A</v>
      </c>
      <c r="LC8" t="e">
        <f>$LC$7+--($LB8)</f>
        <v>#N/A</v>
      </c>
      <c r="LD8" t="e">
        <f t="shared" si="106"/>
        <v>#N/A</v>
      </c>
      <c r="LE8">
        <f>IF(COUNTIF('Buyer Groups'!DH8:EN8,0)&gt;0,0,1)</f>
        <v>1</v>
      </c>
      <c r="LF8" t="b">
        <f>IF($O$8="",FALSE,SUMPRODUCT(('Final Calculation Sheet'!$F$4:$F$40=$O$8)*($LE$6:$LE$42=1))&gt;0)</f>
        <v>1</v>
      </c>
      <c r="LG8">
        <f>$LG$7+--($LF8)</f>
        <v>5</v>
      </c>
      <c r="LH8">
        <f t="shared" si="107"/>
        <v>1923</v>
      </c>
      <c r="LI8">
        <f>IF(COUNTIF('Buyer Groups'!DG8:DG8,0)+COUNTIF('Buyer Groups'!DI8:EN8,0)&gt;0,0,1)</f>
        <v>1</v>
      </c>
      <c r="LJ8" t="b">
        <f>IF($T$8="",FALSE,SUMPRODUCT(('Final Calculation Sheet'!$G$4:$G$40=$T$8)*($LI$6:$LI$42=1))&gt;0)</f>
        <v>1</v>
      </c>
      <c r="LK8">
        <f>$LK$7+--($LJ8)</f>
        <v>5</v>
      </c>
      <c r="LL8" t="str">
        <f t="shared" si="108"/>
        <v>M I SCRAP TRADERS</v>
      </c>
      <c r="LM8">
        <f>IF(COUNTIF('Buyer Groups'!DG8:DH8,0)+COUNTIF('Buyer Groups'!DJ8:EN8,0)&gt;0,0,1)</f>
        <v>1</v>
      </c>
      <c r="LN8" t="b">
        <f>IF($Y$8="",FALSE,SUMPRODUCT(('Final Calculation Sheet'!$B$4:$B$40=$Y$8)*($LM$6:$LM$42=1))&gt;0)</f>
        <v>1</v>
      </c>
      <c r="LO8">
        <f>$LO$7+--($LN8)</f>
        <v>5</v>
      </c>
      <c r="LP8" t="str">
        <f t="shared" si="109"/>
        <v>Scrap Empty Oil Drum/ Barrel</v>
      </c>
      <c r="LQ8">
        <f>IF(COUNTIF('Buyer Groups'!DG8:DI8,0)+COUNTIF('Buyer Groups'!DK8:EN8,0)&gt;0,0,1)</f>
        <v>1</v>
      </c>
      <c r="LR8" t="b">
        <f>IF($AD$8="",FALSE,SUMPRODUCT(('Final Calculation Sheet'!$D$4:$D$40=$AD$8)*($LQ$6:$LQ$42=1))&gt;0)</f>
        <v>0</v>
      </c>
      <c r="LS8">
        <f>$LS$7+--($LR8)</f>
        <v>4</v>
      </c>
      <c r="LT8" t="str">
        <f t="shared" si="110"/>
        <v/>
      </c>
      <c r="LU8">
        <f>IF(COUNTIF('Buyer Groups'!DG8:DJ8,0)+COUNTIF('Buyer Groups'!DL8:EN8,0)&gt;0,0,1)</f>
        <v>1</v>
      </c>
      <c r="LV8" t="b">
        <f>IF($AI$8="",FALSE,SUMPRODUCT(('Final Calculation Sheet'!$A$4:$A$40=$AI$8)*($LU$6:$LU$42=1))&gt;0)</f>
        <v>1</v>
      </c>
      <c r="LW8">
        <f>$LW$7+--($LV8)</f>
        <v>5</v>
      </c>
      <c r="LX8">
        <f t="shared" si="111"/>
        <v>5</v>
      </c>
      <c r="LY8">
        <f>IF(COUNTIF('Buyer Groups'!DG8:DK8,0)+COUNTIF('Buyer Groups'!DM8:EN8,0)&gt;0,0,1)</f>
        <v>1</v>
      </c>
      <c r="LZ8" t="b">
        <f>IF($AN$8="",FALSE,SUMPRODUCT(('Final Calculation Sheet'!$E$4:$E$40=$AN$8)*($LY$6:$LY$42=1))&gt;0)</f>
        <v>0</v>
      </c>
      <c r="MA8">
        <f>$MA$7+--($LZ8)</f>
        <v>3</v>
      </c>
      <c r="MB8" t="str">
        <f t="shared" si="112"/>
        <v/>
      </c>
      <c r="MC8">
        <f>IF(COUNTIF('Buyer Groups'!DG8:DL8,0)+COUNTIF('Buyer Groups'!DN8:EN8,0)&gt;0,0,1)</f>
        <v>1</v>
      </c>
      <c r="MD8" t="b">
        <f>IF($AS$8="",FALSE,SUMPRODUCT(('Final Calculation Sheet'!$C$4:$C$40=$AS$8)*($MC$6:$MC$42=1))&gt;0)</f>
        <v>1</v>
      </c>
      <c r="ME8">
        <f>$ME$7+--($MD8)</f>
        <v>5</v>
      </c>
      <c r="MF8">
        <f t="shared" si="113"/>
        <v>517</v>
      </c>
      <c r="MG8">
        <f>IF(COUNTIF('Buyer Groups'!DG8:DM8,0)+COUNTIF('Buyer Groups'!DO8:EN8,0)&gt;0,0,1)</f>
        <v>1</v>
      </c>
      <c r="MH8" t="b">
        <f>IF($AX$8="",FALSE,SUMPRODUCT(('Final Calculation Sheet'!$H$4:$H$40=$AX$8)*($MG$6:$MG$42=1))&gt;0)</f>
        <v>1</v>
      </c>
      <c r="MI8">
        <f>$MI$7+--($MH8)</f>
        <v>5</v>
      </c>
      <c r="MJ8">
        <f t="shared" si="114"/>
        <v>28002</v>
      </c>
      <c r="MK8">
        <f>IF(COUNTIF('Buyer Groups'!DG8:DN8,0)+COUNTIF('Buyer Groups'!DP8:EN8,0)&gt;0,0,1)</f>
        <v>1</v>
      </c>
      <c r="ML8" t="b">
        <f>IF($BC$8="",FALSE,SUMPRODUCT(('Final Calculation Sheet'!$I$4:$I$40=$BC$8)*($MK$6:$MK$42=1))&gt;0)</f>
        <v>1</v>
      </c>
      <c r="MM8">
        <f>$MM$7+--($ML8)</f>
        <v>5</v>
      </c>
      <c r="MN8">
        <f t="shared" si="115"/>
        <v>5040</v>
      </c>
      <c r="MO8">
        <f>IF(COUNTIF('Buyer Groups'!DG8:DO8,0)+COUNTIF('Buyer Groups'!DQ8:EN8,0)&gt;0,0,1)</f>
        <v>1</v>
      </c>
      <c r="MP8" t="b">
        <f>IF($BH$8="",FALSE,SUMPRODUCT(('Final Calculation Sheet'!$J$4:$J$40=$BH$8)*($MO$6:$MO$42=1))&gt;0)</f>
        <v>1</v>
      </c>
      <c r="MQ8">
        <f>$MQ$7+--($MP8)</f>
        <v>5</v>
      </c>
      <c r="MR8">
        <f t="shared" si="116"/>
        <v>33042</v>
      </c>
      <c r="MS8">
        <f>IF(COUNTIF('Buyer Groups'!DG8:DP8,0)+COUNTIF('Buyer Groups'!DR8:EN8,0)&gt;0,0,1)</f>
        <v>1</v>
      </c>
      <c r="MT8" t="b">
        <f>IF($BM$8="",FALSE,SUMPRODUCT(('Final Calculation Sheet'!$K$4:$K$40=$BM$8)*($MS$6:$MS$42=1))&gt;0)</f>
        <v>1</v>
      </c>
      <c r="MU8">
        <f>$MU$7+--($MT8)</f>
        <v>5</v>
      </c>
      <c r="MV8">
        <f t="shared" si="117"/>
        <v>661</v>
      </c>
      <c r="MW8">
        <f>IF(COUNTIF('Buyer Groups'!DG8:DQ8,0)+COUNTIF('Buyer Groups'!DS8:EN8,0)&gt;0,0,1)</f>
        <v>1</v>
      </c>
      <c r="MX8" t="b">
        <f>IF($BR$8="",FALSE,SUMPRODUCT(('Final Calculation Sheet'!$L$4:$L$40=$BR$8)*($MW$6:$MW$42=1))&gt;0)</f>
        <v>1</v>
      </c>
      <c r="MY8">
        <f>$MY$7+--($MX8)</f>
        <v>5</v>
      </c>
      <c r="MZ8">
        <f t="shared" si="118"/>
        <v>28.001999999999999</v>
      </c>
      <c r="NA8">
        <f>IF(COUNTIF('Buyer Groups'!DG8:DR8,0)+COUNTIF('Buyer Groups'!DT8:EN8,0)&gt;0,0,1)</f>
        <v>1</v>
      </c>
      <c r="NB8" t="b">
        <f>IF($BW$8="",FALSE,SUMPRODUCT(('Final Calculation Sheet'!$M$4:$M$40=$BW$8)*($NA$6:$NA$42=1))&gt;0)</f>
        <v>1</v>
      </c>
      <c r="NC8">
        <f>$NC$7+--($NB8)</f>
        <v>5</v>
      </c>
      <c r="ND8">
        <f t="shared" si="119"/>
        <v>743.45309999999995</v>
      </c>
      <c r="NE8">
        <f>IF(COUNTIF('Buyer Groups'!DG8:DS8,0)+COUNTIF('Buyer Groups'!DU8:EN8,0)&gt;0,0,1)</f>
        <v>1</v>
      </c>
      <c r="NF8" t="b">
        <f>IF($CB$8="",FALSE,SUMPRODUCT(('Final Calculation Sheet'!$N$4:$N$40=$CB$8)*($NE$6:$NE$42=1))&gt;0)</f>
        <v>1</v>
      </c>
      <c r="NG8">
        <f>$NG$7+--($NF8)</f>
        <v>5</v>
      </c>
      <c r="NH8">
        <f t="shared" si="120"/>
        <v>12.600899999999999</v>
      </c>
      <c r="NI8">
        <f>IF(COUNTIF('Buyer Groups'!DG8:DT8,0)+COUNTIF('Buyer Groups'!DV8:EN8,0)&gt;0,0,1)</f>
        <v>1</v>
      </c>
      <c r="NJ8" t="b">
        <f>IF($CG$8="",FALSE,SUMPRODUCT(('Final Calculation Sheet'!$O$4:$O$40=$CG$8)*($NI$6:$NI$42=1))&gt;0)</f>
        <v>1</v>
      </c>
      <c r="NK8">
        <f>$NK$7+--($NJ8)</f>
        <v>5</v>
      </c>
      <c r="NL8">
        <f t="shared" si="121"/>
        <v>730.85219999999993</v>
      </c>
      <c r="NM8">
        <f>IF(COUNTIF('Buyer Groups'!DG8:DU8,0)+COUNTIF('Buyer Groups'!DW8:EN8,0)&gt;0,0,1)</f>
        <v>1</v>
      </c>
      <c r="NN8" t="b">
        <f>IF($CL$8="",FALSE,SUMPRODUCT(('Final Calculation Sheet'!$P$4:$P$40=$CL$8)*($NM$6:$NM$42=1))&gt;0)</f>
        <v>1</v>
      </c>
      <c r="NO8">
        <f>$NO$7+--($NN8)</f>
        <v>5</v>
      </c>
      <c r="NP8">
        <f t="shared" si="122"/>
        <v>759</v>
      </c>
      <c r="NQ8">
        <f>IF(COUNTIF('Buyer Groups'!DG8:DV8,0)+COUNTIF('Buyer Groups'!DX8:EN8,0)&gt;0,0,1)</f>
        <v>1</v>
      </c>
      <c r="NR8" t="b">
        <f>IF($CQ$8="",FALSE,SUMPRODUCT(('Final Calculation Sheet'!$Q$4:$Q$40=$CQ$8)*($NQ$6:$NQ$42=1))&gt;0)</f>
        <v>0</v>
      </c>
      <c r="NS8">
        <f>$NS$7+--($NR8)</f>
        <v>2</v>
      </c>
      <c r="NT8" t="str">
        <f t="shared" si="123"/>
        <v/>
      </c>
      <c r="NU8">
        <f>IF(COUNTIF('Buyer Groups'!DG8:DW8,0)+COUNTIF('Buyer Groups'!DY8:EN8,0)&gt;0,0,1)</f>
        <v>1</v>
      </c>
      <c r="NV8" t="b">
        <f>IF($CV$8="",FALSE,SUMPRODUCT(('Final Calculation Sheet'!$R$4:$R$40=$CV$8)*($NU$6:$NU$42=1))&gt;0)</f>
        <v>1</v>
      </c>
      <c r="NW8">
        <f>$NW$7+--($NV8)</f>
        <v>5</v>
      </c>
      <c r="NX8">
        <f t="shared" si="124"/>
        <v>32929</v>
      </c>
      <c r="NY8">
        <f>IF(COUNTIF('Buyer Groups'!DG8:DX8,0)+COUNTIF('Buyer Groups'!DZ8:EN8,0)&gt;0,0,1)</f>
        <v>1</v>
      </c>
      <c r="NZ8" t="b">
        <f>IF($DA$8="",FALSE,SUMPRODUCT(('Final Calculation Sheet'!$S$4:$S$40=$DA$8)*($NY$6:$NY$42=1))&gt;0)</f>
        <v>1</v>
      </c>
      <c r="OA8">
        <f>$OA$7+--($NZ8)</f>
        <v>5</v>
      </c>
      <c r="OB8">
        <f t="shared" si="125"/>
        <v>32944</v>
      </c>
      <c r="OC8">
        <f>IF(COUNTIF('Buyer Groups'!DG8:DY8,0)+COUNTIF('Buyer Groups'!EA8:EN8,0)&gt;0,0,1)</f>
        <v>1</v>
      </c>
      <c r="OD8" t="b">
        <f>IF($DF$8="",FALSE,SUMPRODUCT(('Final Calculation Sheet'!$T$4:$T$40=$DF$8)*($OC$6:$OC$42=1))&gt;0)</f>
        <v>1</v>
      </c>
      <c r="OE8">
        <f>$OE$7+--($OD8)</f>
        <v>5</v>
      </c>
      <c r="OF8">
        <f t="shared" si="126"/>
        <v>7001</v>
      </c>
      <c r="OG8">
        <f>IF(COUNTIF('Buyer Groups'!DG8:DZ8,0)+COUNTIF('Buyer Groups'!EB8:EN8,0)&gt;0,0,1)</f>
        <v>1</v>
      </c>
      <c r="OH8" t="b">
        <f>IF($DK$8="",FALSE,SUMPRODUCT(('Final Calculation Sheet'!$U$4:$U$40=$DK$8)*($OG$6:$OG$42=1))&gt;0)</f>
        <v>1</v>
      </c>
      <c r="OI8">
        <f>$OI$7+--($OH8)</f>
        <v>5</v>
      </c>
      <c r="OJ8">
        <f t="shared" si="127"/>
        <v>7001</v>
      </c>
      <c r="OK8">
        <f>IF(COUNTIF('Buyer Groups'!DG8:EA8,0)+COUNTIF('Buyer Groups'!EC8:EN8,0)&gt;0,0,1)</f>
        <v>1</v>
      </c>
      <c r="OL8" t="b">
        <f>IF($DP$8="",FALSE,SUMPRODUCT(('Final Calculation Sheet'!$V$4:$V$40=$DP$8)*($OK$6:$OK$42=1))&gt;0)</f>
        <v>1</v>
      </c>
      <c r="OM8">
        <f>$OM$7+--($OL8)</f>
        <v>5</v>
      </c>
      <c r="ON8" t="str">
        <f t="shared" si="128"/>
        <v>17.08.2026</v>
      </c>
      <c r="OO8">
        <f>IF(COUNTIF('Buyer Groups'!DG8:EB8,0)+COUNTIF('Buyer Groups'!ED8:EN8,0)&gt;0,0,1)</f>
        <v>1</v>
      </c>
      <c r="OP8" t="b">
        <f>IF($DU$8="",FALSE,SUMPRODUCT(('Final Calculation Sheet'!$W$4:$W$40=$DU$8)*($OO$6:$OO$42=1))&gt;0)</f>
        <v>1</v>
      </c>
      <c r="OQ8">
        <f>$OQ$7+--($OP8)</f>
        <v>5</v>
      </c>
      <c r="OR8">
        <f t="shared" si="129"/>
        <v>25944</v>
      </c>
      <c r="OS8">
        <f>IF(COUNTIF('Buyer Groups'!DG8:EC8,0)+COUNTIF('Buyer Groups'!EE8:EN8,0)&gt;0,0,1)</f>
        <v>1</v>
      </c>
      <c r="OT8" t="e">
        <f>IF($DZ$8="",FALSE,SUMPRODUCT(('Final Calculation Sheet'!$X$4:$X$40=$DZ$8)*($OS$6:$OS$42=1))&gt;0)</f>
        <v>#N/A</v>
      </c>
      <c r="OU8" t="e">
        <f>$OU$7+--($OT8)</f>
        <v>#N/A</v>
      </c>
      <c r="OV8" t="e">
        <f t="shared" si="130"/>
        <v>#N/A</v>
      </c>
      <c r="OW8">
        <f>IF(COUNTIF('Buyer Groups'!DG8:ED8,0)+COUNTIF('Buyer Groups'!EF8:EN8,0)&gt;0,0,1)</f>
        <v>1</v>
      </c>
      <c r="OX8" t="e">
        <f>IF($EE$8="",FALSE,SUMPRODUCT(('Final Calculation Sheet'!$Y$4:$Y$40=$EE$8)*($OW$6:$OW$42=1))&gt;0)</f>
        <v>#N/A</v>
      </c>
      <c r="OY8" t="e">
        <f>$OY$7+--($OX8)</f>
        <v>#N/A</v>
      </c>
      <c r="OZ8" t="e">
        <f t="shared" si="131"/>
        <v>#N/A</v>
      </c>
      <c r="PA8">
        <f>IF(COUNTIF('Buyer Groups'!DG8:EE8,0)+COUNTIF('Buyer Groups'!EG8:EN8,0)&gt;0,0,1)</f>
        <v>1</v>
      </c>
      <c r="PB8" t="b">
        <f ca="1">IF($EJ$8="",FALSE,SUMPRODUCT(('Final Calculation Sheet'!$Z$4:$Z$40=$EJ$8)*($PA$6:$PA$42=1))&gt;0)</f>
        <v>1</v>
      </c>
      <c r="PC8">
        <f ca="1">$PC$7+--($PB8)</f>
        <v>5</v>
      </c>
      <c r="PD8">
        <f t="shared" ca="1" si="132"/>
        <v>939.87000000000012</v>
      </c>
      <c r="PE8">
        <f>IF(COUNTIF('Buyer Groups'!DG8:EF8,0)+COUNTIF('Buyer Groups'!EH8:EN8,0)&gt;0,0,1)</f>
        <v>1</v>
      </c>
      <c r="PF8" t="e">
        <f>IF($EO$8="",FALSE,SUMPRODUCT(('Final Calculation Sheet'!$AA$4:$AA$40=$EO$8)*($PE$6:$PE$42=1))&gt;0)</f>
        <v>#N/A</v>
      </c>
      <c r="PG8" t="e">
        <f>$PG$7+--($PF8)</f>
        <v>#N/A</v>
      </c>
      <c r="PH8" t="e">
        <f t="shared" si="133"/>
        <v>#N/A</v>
      </c>
      <c r="PI8">
        <f>IF(COUNTIF('Buyer Groups'!DG8:EG8,0)+COUNTIF('Buyer Groups'!EI8:EN8,0)&gt;0,0,1)</f>
        <v>1</v>
      </c>
      <c r="PJ8" t="e">
        <f>IF($ET$8="",FALSE,SUMPRODUCT(('Final Calculation Sheet'!$AB$4:$AB$40=$ET$8)*($PI$6:$PI$42=1))&gt;0)</f>
        <v>#N/A</v>
      </c>
      <c r="PK8" t="e">
        <f>$PK$7+--($PJ8)</f>
        <v>#N/A</v>
      </c>
      <c r="PL8" t="e">
        <f t="shared" si="134"/>
        <v>#N/A</v>
      </c>
      <c r="PM8">
        <f>IF(COUNTIF('Buyer Groups'!DG8:EH8,0)+COUNTIF('Buyer Groups'!EJ8:EN8,0)&gt;0,0,1)</f>
        <v>1</v>
      </c>
      <c r="PN8" t="b">
        <f>IF($EY$8="",FALSE,SUMPRODUCT(('Final Calculation Sheet'!$AC$4:$AC$40=$EY$8)*($PM$6:$PM$42=1))&gt;0)</f>
        <v>1</v>
      </c>
      <c r="PO8">
        <f>$PO$7+--($PN8)</f>
        <v>5</v>
      </c>
      <c r="PP8">
        <f t="shared" si="135"/>
        <v>31236</v>
      </c>
      <c r="PQ8">
        <f>IF(COUNTIF('Buyer Groups'!DG8:EI8,0)+COUNTIF('Buyer Groups'!EK8:EN8,0)&gt;0,0,1)</f>
        <v>1</v>
      </c>
      <c r="PR8" t="b">
        <f>IF($FD$8="",FALSE,SUMPRODUCT(('Final Calculation Sheet'!$AD$4:$AD$40=$FD$8)*($PQ$6:$PQ$42=1))&gt;0)</f>
        <v>1</v>
      </c>
      <c r="PS8">
        <f>$PS$7+--($PR8)</f>
        <v>5</v>
      </c>
      <c r="PT8">
        <f t="shared" si="136"/>
        <v>-1</v>
      </c>
      <c r="PU8">
        <f>IF(COUNTIF('Buyer Groups'!DG8:EJ8,0)+COUNTIF('Buyer Groups'!EL8:EN8,0)&gt;0,0,1)</f>
        <v>1</v>
      </c>
      <c r="PV8" t="b">
        <f>IF($FX$8="",FALSE,SUMPRODUCT((IF('Final Calculation Sheet'!$AD$4:$AD$40&lt;=5,"SETTLED","OUTSTANDING")=$FX$8)*($PU$6:$PU$42=1))&gt;0)</f>
        <v>0</v>
      </c>
      <c r="PW8">
        <f>$PW$7+--($PV8)</f>
        <v>1</v>
      </c>
      <c r="PX8" t="str">
        <f t="shared" si="137"/>
        <v/>
      </c>
      <c r="PY8">
        <f>IF(COUNTIF('Buyer Groups'!DG8:EK8,0)+COUNTIF('Buyer Groups'!EM8:EN8,0)&gt;0,0,1)</f>
        <v>1</v>
      </c>
      <c r="PZ8" t="e">
        <f>IF($FI$8="",FALSE,SUMPRODUCT(('Final Calculation Sheet'!$AF$4:$AF$40=$FI$8)*($PY$6:$PY$42=1))&gt;0)</f>
        <v>#N/A</v>
      </c>
      <c r="QA8" t="e">
        <f>$QA$7+--($PZ8)</f>
        <v>#N/A</v>
      </c>
      <c r="QB8" t="e">
        <f t="shared" si="138"/>
        <v>#N/A</v>
      </c>
      <c r="QC8">
        <f>IF(COUNTIF('Buyer Groups'!DG8:EL8,0)+COUNTIF('Buyer Groups'!EN8:EN8,0)&gt;0,0,1)</f>
        <v>1</v>
      </c>
      <c r="QD8" t="e">
        <f>IF($FN$8="",FALSE,SUMPRODUCT(('Final Calculation Sheet'!$AG$4:$AG$40=$FN$8)*($QC$6:$QC$42=1))&gt;0)</f>
        <v>#N/A</v>
      </c>
      <c r="QE8" t="e">
        <f>$QE$7+--($QD8)</f>
        <v>#N/A</v>
      </c>
      <c r="QF8" t="e">
        <f t="shared" si="139"/>
        <v>#N/A</v>
      </c>
      <c r="QG8">
        <f>IF(COUNTIF('Buyer Groups'!DG8:EM8,0)&gt;0,0,1)</f>
        <v>1</v>
      </c>
      <c r="QH8" t="e">
        <f>IF($FS$8="",FALSE,SUMPRODUCT(('Final Calculation Sheet'!$AH$4:$AH$40=$FS$8)*($QG$6:$QG$42=1))&gt;0)</f>
        <v>#N/A</v>
      </c>
      <c r="QI8" t="e">
        <f>$QI$7+--($QH8)</f>
        <v>#N/A</v>
      </c>
      <c r="QJ8" t="e">
        <f t="shared" si="140"/>
        <v>#N/A</v>
      </c>
      <c r="QK8" t="str">
        <f>IF('Final Calculation Sheet'!$AH$8="","",'Final Calculation Sheet'!$AH$8)</f>
        <v>27.08.2026</v>
      </c>
      <c r="QL8">
        <f>IF(QK8="","",COUNTIFS(QK$4:QK$40,"&lt;"&amp;QK8,QK$4:QK$40,"&lt;&gt;"&amp;"")+COUNTIF(QK$4:QK8,QK8))</f>
        <v>22</v>
      </c>
      <c r="QM8" t="e">
        <f t="shared" si="141"/>
        <v>#N/A</v>
      </c>
      <c r="QN8" t="e">
        <f ca="1">QN7+F(AND(QM8&lt;&gt;"",COUNTIF(QM$4:QM8,QM8)=1),1,0)</f>
        <v>#N/A</v>
      </c>
      <c r="QO8" t="e">
        <f t="shared" si="142"/>
        <v>#N/A</v>
      </c>
      <c r="QP8">
        <f>IF(COUNTIF('Final Calculation Sheet'!$AM8:$BS8,0)&gt;0,0,1)</f>
        <v>1</v>
      </c>
      <c r="QQ8" t="b">
        <f>IF($AI$8="",FALSE,SUMPRODUCT(('Final Calculation Sheet'!$A$4:$A$40=$AI$8)*($QP$4:$QP$40=1))&gt;0)</f>
        <v>1</v>
      </c>
      <c r="QR8">
        <f t="shared" si="177"/>
        <v>5</v>
      </c>
      <c r="QS8">
        <f t="shared" si="143"/>
        <v>5</v>
      </c>
      <c r="QT8">
        <f>IF(COUNTIF('Final Calculation Sheet'!$AL8:$AL8,0)+COUNTIF('Final Calculation Sheet'!$AN8:$BS8,0)&gt;0,0,1)</f>
        <v>1</v>
      </c>
      <c r="QU8" t="b">
        <f>IF($Y$8="",FALSE,SUMPRODUCT(('Final Calculation Sheet'!$B$4:$B$40=$Y$8)*($QT$4:$QT$40=1))&gt;0)</f>
        <v>1</v>
      </c>
      <c r="QV8">
        <f t="shared" si="178"/>
        <v>5</v>
      </c>
      <c r="QW8" t="str">
        <f t="shared" si="144"/>
        <v>Scrap Empty Oil Drum/ Barrel</v>
      </c>
      <c r="QX8">
        <f>IF(COUNTIF('Final Calculation Sheet'!$AL8:$AM8,0)+COUNTIF('Final Calculation Sheet'!$AO8:$BS8,0)&gt;0,0,1)</f>
        <v>1</v>
      </c>
      <c r="QY8" t="b">
        <f>IF($AS$8="",FALSE,SUMPRODUCT(('Final Calculation Sheet'!$C$4:$C$40=$AS$8)*($QX$4:$QX$40=1))&gt;0)</f>
        <v>1</v>
      </c>
      <c r="QZ8">
        <f t="shared" si="179"/>
        <v>5</v>
      </c>
      <c r="RA8">
        <f t="shared" si="145"/>
        <v>517</v>
      </c>
      <c r="RB8">
        <f>IF(COUNTIF('Final Calculation Sheet'!$AL8:$AN8,0)+COUNTIF('Final Calculation Sheet'!$AP8:$BS8,0)&gt;0,0,1)</f>
        <v>1</v>
      </c>
      <c r="RC8" t="b">
        <f>IF($AD$8="",FALSE,SUMPRODUCT(('Final Calculation Sheet'!$D$4:$D$40=$AD$8)*($RB$4:$RB$40=1))&gt;0)</f>
        <v>0</v>
      </c>
      <c r="RD8">
        <f t="shared" si="180"/>
        <v>4</v>
      </c>
      <c r="RE8" t="str">
        <f t="shared" si="146"/>
        <v/>
      </c>
      <c r="RF8">
        <f>IF(COUNTIF('Final Calculation Sheet'!$AL8:$AO8,0)+COUNTIF('Final Calculation Sheet'!$AQ8:$BS8,0)&gt;0,0,1)</f>
        <v>1</v>
      </c>
      <c r="RG8" t="b">
        <f>IF($AN$8="",FALSE,SUMPRODUCT(('Final Calculation Sheet'!$E$4:$E$40=$AN$8)*($RF$4:$RF$40=1))&gt;0)</f>
        <v>0</v>
      </c>
      <c r="RH8">
        <f t="shared" si="181"/>
        <v>3</v>
      </c>
      <c r="RI8" t="str">
        <f t="shared" si="147"/>
        <v/>
      </c>
      <c r="RJ8">
        <f>IF(COUNTIF('Final Calculation Sheet'!$AL8:$AP8,0)+COUNTIF('Final Calculation Sheet'!$AR8:$BS8,0)&gt;0,0,1)</f>
        <v>1</v>
      </c>
      <c r="RK8" t="b">
        <f>IF($O$8="",FALSE,SUMPRODUCT(('Final Calculation Sheet'!$F$4:$F$40=$O$8)*($RJ$4:$RJ$40=1))&gt;0)</f>
        <v>1</v>
      </c>
      <c r="RL8">
        <f t="shared" si="182"/>
        <v>5</v>
      </c>
      <c r="RM8">
        <f t="shared" si="148"/>
        <v>1923</v>
      </c>
      <c r="RN8">
        <f>IF(COUNTIF('Final Calculation Sheet'!$AL8:$AQ8,0)+COUNTIF('Final Calculation Sheet'!$AS8:$BS8,0)&gt;0,0,1)</f>
        <v>1</v>
      </c>
      <c r="RO8" t="b">
        <f>IF($T$8="",FALSE,SUMPRODUCT(('Final Calculation Sheet'!$G$4:$G$40=$T$8)*($RN$4:$RN$40=1))&gt;0)</f>
        <v>1</v>
      </c>
      <c r="RP8">
        <f t="shared" si="183"/>
        <v>5</v>
      </c>
      <c r="RQ8" t="str">
        <f t="shared" si="149"/>
        <v>M I SCRAP TRADERS</v>
      </c>
      <c r="RR8">
        <f>IF(COUNTIF('Final Calculation Sheet'!$AL8:$AR8,0)+COUNTIF('Final Calculation Sheet'!$AT8:$BS8,0)&gt;0,0,1)</f>
        <v>1</v>
      </c>
      <c r="RS8" t="b">
        <f>IF($AX$8="",FALSE,SUMPRODUCT(('Final Calculation Sheet'!$H$4:$H$40=$AX$8)*($RR$4:$RR$40=1))&gt;0)</f>
        <v>1</v>
      </c>
      <c r="RT8">
        <f t="shared" si="184"/>
        <v>5</v>
      </c>
      <c r="RU8">
        <f t="shared" si="150"/>
        <v>28002</v>
      </c>
      <c r="RV8">
        <f>IF(COUNTIF('Final Calculation Sheet'!$AL8:$AS8,0)+COUNTIF('Final Calculation Sheet'!$AU8:$BS8,0)&gt;0,0,1)</f>
        <v>1</v>
      </c>
      <c r="RW8" t="b">
        <f>IF($BC$8="",FALSE,SUMPRODUCT(('Final Calculation Sheet'!$I$4:$I$40=$BC$8)*($RV$4:$RV$40=1))&gt;0)</f>
        <v>1</v>
      </c>
      <c r="RX8">
        <f t="shared" si="185"/>
        <v>5</v>
      </c>
      <c r="RY8">
        <f t="shared" si="151"/>
        <v>5040</v>
      </c>
      <c r="RZ8">
        <f>IF(COUNTIF('Final Calculation Sheet'!$AL8:$AT8,0)+COUNTIF('Final Calculation Sheet'!$AV8:$BS8,0)&gt;0,0,1)</f>
        <v>1</v>
      </c>
      <c r="SA8" t="b">
        <f>IF($BH$8="",FALSE,SUMPRODUCT(('Final Calculation Sheet'!$J$4:$J$40=$BH$8)*($RZ$4:$RZ$40=1))&gt;0)</f>
        <v>1</v>
      </c>
      <c r="SB8">
        <f t="shared" si="186"/>
        <v>5</v>
      </c>
      <c r="SC8">
        <f t="shared" si="152"/>
        <v>33042</v>
      </c>
      <c r="SD8">
        <f>IF(COUNTIF('Final Calculation Sheet'!$AL8:$AU8,0)+COUNTIF('Final Calculation Sheet'!$AW8:$BS8,0)&gt;0,0,1)</f>
        <v>1</v>
      </c>
      <c r="SE8" t="b">
        <f>IF($BM$8="",FALSE,SUMPRODUCT(('Final Calculation Sheet'!$K$4:$K$40=$BM$8)*($SD$4:$SD$40=1))&gt;0)</f>
        <v>1</v>
      </c>
      <c r="SF8">
        <f t="shared" si="187"/>
        <v>5</v>
      </c>
      <c r="SG8">
        <f t="shared" si="153"/>
        <v>661</v>
      </c>
      <c r="SH8">
        <f>IF(COUNTIF('Final Calculation Sheet'!$AL8:$AV8,0)+COUNTIF('Final Calculation Sheet'!$AX8:$BS8,0)&gt;0,0,1)</f>
        <v>1</v>
      </c>
      <c r="SI8" t="b">
        <f>IF($BR$8="",FALSE,SUMPRODUCT(('Final Calculation Sheet'!$L$4:$L$40=$BR$8)*($SH$4:$SH$40=1))&gt;0)</f>
        <v>1</v>
      </c>
      <c r="SJ8">
        <f t="shared" si="188"/>
        <v>5</v>
      </c>
      <c r="SK8">
        <f t="shared" si="154"/>
        <v>28.001999999999999</v>
      </c>
      <c r="SL8">
        <f>IF(COUNTIF('Final Calculation Sheet'!$AL8:$AW8,0)+COUNTIF('Final Calculation Sheet'!$AY8:$BS8,0)&gt;0,0,1)</f>
        <v>1</v>
      </c>
      <c r="SM8" t="b">
        <f>IF($BW$8="",FALSE,SUMPRODUCT(('Final Calculation Sheet'!$M$4:$M$40=$BW$8)*($SL$4:$SL$40=1))&gt;0)</f>
        <v>1</v>
      </c>
      <c r="SN8">
        <f t="shared" si="189"/>
        <v>5</v>
      </c>
      <c r="SO8">
        <f t="shared" si="155"/>
        <v>743.45309999999995</v>
      </c>
      <c r="SP8">
        <f>IF(COUNTIF('Final Calculation Sheet'!$AL8:$AX8,0)+COUNTIF('Final Calculation Sheet'!$AZ8:$BS8,0)&gt;0,0,1)</f>
        <v>1</v>
      </c>
      <c r="SQ8" t="b">
        <f>IF($CB$8="",FALSE,SUMPRODUCT(('Final Calculation Sheet'!$N$4:$N$40=$CB$8)*($SP$4:$SP$40=1))&gt;0)</f>
        <v>1</v>
      </c>
      <c r="SR8">
        <f t="shared" si="190"/>
        <v>5</v>
      </c>
      <c r="SS8">
        <f t="shared" si="156"/>
        <v>12.600899999999999</v>
      </c>
      <c r="ST8">
        <f>IF(COUNTIF('Final Calculation Sheet'!$AL8:$AY8,0)+COUNTIF('Final Calculation Sheet'!$BA8:$BS8,0)&gt;0,0,1)</f>
        <v>1</v>
      </c>
      <c r="SU8" t="b">
        <f>IF($CG$8="",FALSE,SUMPRODUCT(('Final Calculation Sheet'!$O$4:$O$40=$CG$8)*($ST$4:$ST$40=1))&gt;0)</f>
        <v>1</v>
      </c>
      <c r="SV8">
        <f t="shared" si="191"/>
        <v>5</v>
      </c>
      <c r="SW8">
        <f t="shared" si="157"/>
        <v>730.85219999999993</v>
      </c>
      <c r="SX8">
        <f>IF(COUNTIF('Final Calculation Sheet'!$AL8:$AZ8,0)+COUNTIF('Final Calculation Sheet'!$BB8:$BS8,0)&gt;0,0,1)</f>
        <v>1</v>
      </c>
      <c r="SY8" t="b">
        <f>IF($CL$8="",FALSE,SUMPRODUCT(('Final Calculation Sheet'!$P$4:$P$40=$CL$8)*($SX$4:$SX$40=1))&gt;0)</f>
        <v>1</v>
      </c>
      <c r="SZ8">
        <f t="shared" si="192"/>
        <v>5</v>
      </c>
      <c r="TA8">
        <f t="shared" si="158"/>
        <v>759</v>
      </c>
      <c r="TB8">
        <f>IF(COUNTIF('Final Calculation Sheet'!$AL8:$BA8,0)+COUNTIF('Final Calculation Sheet'!$BC8:$BS8,0)&gt;0,0,1)</f>
        <v>1</v>
      </c>
      <c r="TC8" t="b">
        <f>IF($CQ$8="",FALSE,SUMPRODUCT(('Final Calculation Sheet'!$Q$4:$Q$40=$CQ$8)*($TB$4:$TB$40=1))&gt;0)</f>
        <v>0</v>
      </c>
      <c r="TD8">
        <f t="shared" si="193"/>
        <v>2</v>
      </c>
      <c r="TE8" t="str">
        <f t="shared" si="159"/>
        <v/>
      </c>
      <c r="TF8">
        <f>IF(COUNTIF('Final Calculation Sheet'!$AL8:$BB8,0)+COUNTIF('Final Calculation Sheet'!$BD8:$BS8,0)&gt;0,0,1)</f>
        <v>1</v>
      </c>
      <c r="TG8" t="b">
        <f>IF($CV$8="",FALSE,SUMPRODUCT(('Final Calculation Sheet'!$R$4:$R$40=$CV$8)*($TF$4:$TF$40=1))&gt;0)</f>
        <v>1</v>
      </c>
      <c r="TH8">
        <f t="shared" si="194"/>
        <v>5</v>
      </c>
      <c r="TI8">
        <f t="shared" si="160"/>
        <v>32929</v>
      </c>
      <c r="TJ8">
        <f>IF(COUNTIF('Final Calculation Sheet'!$AL8:$BC8,0)+COUNTIF('Final Calculation Sheet'!$BE8:$BS8,0)&gt;0,0,1)</f>
        <v>1</v>
      </c>
      <c r="TK8" t="b">
        <f>IF($DA$8="",FALSE,SUMPRODUCT(('Final Calculation Sheet'!$S$4:$S$40=$DA$8)*($TJ$4:$TJ$40=1))&gt;0)</f>
        <v>1</v>
      </c>
      <c r="TL8">
        <f t="shared" si="195"/>
        <v>5</v>
      </c>
      <c r="TM8">
        <f t="shared" si="161"/>
        <v>32944</v>
      </c>
      <c r="TN8">
        <f>IF(COUNTIF('Final Calculation Sheet'!$AL8:$BD8,0)+COUNTIF('Final Calculation Sheet'!$BF8:$BS8,0)&gt;0,0,1)</f>
        <v>1</v>
      </c>
      <c r="TO8" t="b">
        <f>IF($DF$8="",FALSE,SUMPRODUCT(('Final Calculation Sheet'!$T$4:$T$40=$DF$8)*($TN$4:$TN$40=1))&gt;0)</f>
        <v>1</v>
      </c>
      <c r="TP8">
        <f t="shared" si="196"/>
        <v>5</v>
      </c>
      <c r="TQ8">
        <f t="shared" si="162"/>
        <v>7001</v>
      </c>
      <c r="TR8">
        <f>IF(COUNTIF('Final Calculation Sheet'!$AL8:$BE8,0)+COUNTIF('Final Calculation Sheet'!$BG8:$BS8,0)&gt;0,0,1)</f>
        <v>1</v>
      </c>
      <c r="TS8" t="b">
        <f>IF($DK$8="",FALSE,SUMPRODUCT(('Final Calculation Sheet'!$U$4:$U$40=$DK$8)*($TR$4:$TR$40=1))&gt;0)</f>
        <v>1</v>
      </c>
      <c r="TT8">
        <f t="shared" si="197"/>
        <v>5</v>
      </c>
      <c r="TU8">
        <f t="shared" si="163"/>
        <v>7001</v>
      </c>
      <c r="TV8">
        <f>IF(COUNTIF('Final Calculation Sheet'!$AL8:$BF8,0)+COUNTIF('Final Calculation Sheet'!$BH8:$BS8,0)&gt;0,0,1)</f>
        <v>1</v>
      </c>
      <c r="TW8" t="b">
        <f>IF($DP$8="",FALSE,SUMPRODUCT(('Final Calculation Sheet'!$V$4:$V$40=$DP$8)*($TV$4:$TV$40=1))&gt;0)</f>
        <v>1</v>
      </c>
      <c r="TX8">
        <f t="shared" si="198"/>
        <v>5</v>
      </c>
      <c r="TY8" t="str">
        <f t="shared" si="164"/>
        <v>17.08.2026</v>
      </c>
      <c r="TZ8">
        <f>IF(COUNTIF('Final Calculation Sheet'!$AL8:$BG8,0)+COUNTIF('Final Calculation Sheet'!$BI8:$BS8,0)&gt;0,0,1)</f>
        <v>1</v>
      </c>
      <c r="UA8" t="b">
        <f>IF($DU$8="",FALSE,SUMPRODUCT(('Final Calculation Sheet'!$W$4:$W$40=$DU$8)*($TZ$4:$TZ$40=1))&gt;0)</f>
        <v>1</v>
      </c>
      <c r="UB8">
        <f t="shared" si="199"/>
        <v>5</v>
      </c>
      <c r="UC8">
        <f t="shared" si="165"/>
        <v>25944</v>
      </c>
      <c r="UD8">
        <f>IF(COUNTIF('Final Calculation Sheet'!$AL8:$BH8,0)+COUNTIF('Final Calculation Sheet'!$BJ8:$BS8,0)&gt;0,0,1)</f>
        <v>1</v>
      </c>
      <c r="UE8" t="e">
        <f>IF($DZ$8="",FALSE,SUMPRODUCT(('Final Calculation Sheet'!$X$4:$X$40=$DZ$8)*($UD$4:$UD$40=1))&gt;0)</f>
        <v>#N/A</v>
      </c>
      <c r="UF8" t="e">
        <f t="shared" si="200"/>
        <v>#N/A</v>
      </c>
      <c r="UG8" t="e">
        <f t="shared" si="166"/>
        <v>#N/A</v>
      </c>
      <c r="UH8">
        <f>IF(COUNTIF('Final Calculation Sheet'!$AL8:$BI8,0)+COUNTIF('Final Calculation Sheet'!$BK8:$BS8,0)&gt;0,0,1)</f>
        <v>1</v>
      </c>
      <c r="UI8" t="e">
        <f>IF($EE$8="",FALSE,SUMPRODUCT(('Final Calculation Sheet'!$Y$4:$Y$40=$EE$8)*($UH$4:$UH$40=1))&gt;0)</f>
        <v>#N/A</v>
      </c>
      <c r="UJ8" t="e">
        <f t="shared" si="201"/>
        <v>#N/A</v>
      </c>
      <c r="UK8" t="e">
        <f t="shared" si="167"/>
        <v>#N/A</v>
      </c>
      <c r="UL8">
        <f>IF(COUNTIF('Final Calculation Sheet'!$AL8:$BJ8,0)+COUNTIF('Final Calculation Sheet'!$BL8:$BS8,0)&gt;0,0,1)</f>
        <v>1</v>
      </c>
      <c r="UM8" t="b">
        <f ca="1">IF($EJ$8="",FALSE,SUMPRODUCT(('Final Calculation Sheet'!$Z$4:$Z$40=$EJ$8)*($UL$4:$UL$40=1))&gt;0)</f>
        <v>1</v>
      </c>
      <c r="UN8">
        <f t="shared" ca="1" si="202"/>
        <v>5</v>
      </c>
      <c r="UO8">
        <f t="shared" ca="1" si="168"/>
        <v>939.87000000000012</v>
      </c>
      <c r="UP8">
        <f>IF(COUNTIF('Final Calculation Sheet'!$AL8:$BK8,0)+COUNTIF('Final Calculation Sheet'!$BM8:$BS8,0)&gt;0,0,1)</f>
        <v>1</v>
      </c>
      <c r="UQ8" t="e">
        <f>IF($EO$8="",FALSE,SUMPRODUCT(('Final Calculation Sheet'!$AA$4:$AA$40=$EO$8)*($UP$4:$UP$40=1))&gt;0)</f>
        <v>#N/A</v>
      </c>
      <c r="UR8" t="e">
        <f t="shared" si="203"/>
        <v>#N/A</v>
      </c>
      <c r="US8" t="e">
        <f t="shared" si="169"/>
        <v>#N/A</v>
      </c>
      <c r="UT8">
        <f>IF(COUNTIF('Final Calculation Sheet'!$AL8:$BL8,0)+COUNTIF('Final Calculation Sheet'!$BN8:$BS8,0)&gt;0,0,1)</f>
        <v>1</v>
      </c>
      <c r="UU8" t="e">
        <f>IF($ET$8="",FALSE,SUMPRODUCT(('Final Calculation Sheet'!$AB$4:$AB$40=$ET$8)*($UT$4:$UT$40=1))&gt;0)</f>
        <v>#N/A</v>
      </c>
      <c r="UV8" t="e">
        <f t="shared" si="204"/>
        <v>#N/A</v>
      </c>
      <c r="UW8" t="e">
        <f t="shared" si="170"/>
        <v>#N/A</v>
      </c>
      <c r="UX8">
        <f>IF(COUNTIF('Final Calculation Sheet'!$AL8:$BM8,0)+COUNTIF('Final Calculation Sheet'!$BO8:$BS8,0)&gt;0,0,1)</f>
        <v>1</v>
      </c>
      <c r="UY8" t="b">
        <f>IF($EY$8="",FALSE,SUMPRODUCT(('Final Calculation Sheet'!$AC$4:$AC$40=$EY$8)*($UX$4:$UX$40=1))&gt;0)</f>
        <v>1</v>
      </c>
      <c r="UZ8">
        <f t="shared" si="205"/>
        <v>5</v>
      </c>
      <c r="VA8">
        <f t="shared" si="171"/>
        <v>31236</v>
      </c>
      <c r="VB8">
        <f>IF(COUNTIF('Final Calculation Sheet'!$AL8:$BN8,0)+COUNTIF('Final Calculation Sheet'!$BP8:$BS8,0)&gt;0,0,1)</f>
        <v>1</v>
      </c>
      <c r="VC8" t="b">
        <f>IF($FD$8="",FALSE,SUMPRODUCT(('Final Calculation Sheet'!$AD$4:$AD$40=$FD$8)*($VB$4:$VB$40=1))&gt;0)</f>
        <v>1</v>
      </c>
      <c r="VD8">
        <f t="shared" si="206"/>
        <v>5</v>
      </c>
      <c r="VE8">
        <f t="shared" si="172"/>
        <v>-1</v>
      </c>
      <c r="VF8">
        <f>IF(COUNTIF('Final Calculation Sheet'!$AL8:$BO8,0)+COUNTIF('Final Calculation Sheet'!$BQ8:$BS8,0)&gt;0,0,1)</f>
        <v>1</v>
      </c>
      <c r="VG8" t="e">
        <f>IF($FI$8="",FALSE,SUMPRODUCT(('Final Calculation Sheet'!$AE$4:$AE$40=$FI$8)*($VF$4:$VF$40=1))&gt;0)</f>
        <v>#N/A</v>
      </c>
      <c r="VH8" t="e">
        <f t="shared" si="207"/>
        <v>#N/A</v>
      </c>
      <c r="VI8" t="e">
        <f t="shared" si="173"/>
        <v>#N/A</v>
      </c>
      <c r="VJ8">
        <f>IF(COUNTIF('Final Calculation Sheet'!$AL8:$BP8,0)+COUNTIF('Final Calculation Sheet'!$BR8:$BS8,0)&gt;0,0,1)</f>
        <v>1</v>
      </c>
      <c r="VK8" t="e">
        <f>IF($FN$8="",FALSE,SUMPRODUCT(('Final Calculation Sheet'!$AF$4:$AF$40=$FN$8)*($VJ$4:$VJ$40=1))&gt;0)</f>
        <v>#N/A</v>
      </c>
      <c r="VL8" t="e">
        <f t="shared" si="208"/>
        <v>#N/A</v>
      </c>
      <c r="VM8" t="e">
        <f t="shared" si="174"/>
        <v>#N/A</v>
      </c>
      <c r="VN8">
        <f>IF(COUNTIF('Final Calculation Sheet'!$AL8:$BQ8,0)+COUNTIF('Final Calculation Sheet'!$BS8:$BS8,0)&gt;0,0,1)</f>
        <v>1</v>
      </c>
      <c r="VO8" t="e">
        <f>IF($FS$8="",FALSE,SUMPRODUCT(('Final Calculation Sheet'!$AG$4:$AG$40=$FS$8)*($VN$4:$VN$40=1))&gt;0)</f>
        <v>#N/A</v>
      </c>
      <c r="VP8" t="e">
        <f t="shared" si="209"/>
        <v>#N/A</v>
      </c>
      <c r="VQ8" t="e">
        <f t="shared" si="175"/>
        <v>#N/A</v>
      </c>
      <c r="VR8">
        <f>IF(COUNTIF('Final Calculation Sheet'!$AL8:$BR8,0)&gt;0,0,1)</f>
        <v>1</v>
      </c>
      <c r="VS8" t="e">
        <f>IF($QO$8="",FALSE,SUMPRODUCT(('Final Calculation Sheet'!$AH$4:$AH$40=$QO$8)*($VR$4:$VR$40=1))&gt;0)</f>
        <v>#N/A</v>
      </c>
      <c r="VT8" t="e">
        <f t="shared" si="210"/>
        <v>#N/A</v>
      </c>
      <c r="VU8" t="e">
        <f t="shared" si="176"/>
        <v>#N/A</v>
      </c>
    </row>
    <row r="9" spans="1:593" x14ac:dyDescent="0.3">
      <c r="A9">
        <f>IF('Final Calculation Sheet'!$F$9="","",'Final Calculation Sheet'!$F$9)</f>
        <v>1976</v>
      </c>
      <c r="B9">
        <f>IF(A9="","",COUNTIFS(A$4:A$114,"&lt;"&amp;A9,A$4:A$114,"&lt;&gt;"&amp;"")+COUNTIF(A$4:A9,A9))</f>
        <v>6</v>
      </c>
      <c r="C9">
        <f t="shared" si="0"/>
        <v>1976</v>
      </c>
      <c r="D9">
        <f>D8+IF(AND(C9&lt;&gt;"",COUNTIF(C$4:C9,C9)=1),1,0)</f>
        <v>6</v>
      </c>
      <c r="E9" t="e">
        <f t="shared" si="1"/>
        <v>#N/A</v>
      </c>
      <c r="F9">
        <f t="shared" si="2"/>
        <v>6</v>
      </c>
      <c r="G9">
        <f>IF(F9="","",COUNTIFS(F$4:F$40,"&lt;"&amp;F9,F$4:F$40,"&lt;&gt;"&amp;"")+COUNTIF(F$4:F9,F9))</f>
        <v>6</v>
      </c>
      <c r="H9">
        <f t="shared" si="3"/>
        <v>6</v>
      </c>
      <c r="I9">
        <f>I8+IF(AND(H9&lt;&gt;"",COUNTIF(H$4:H9,H9)=1),1,0)</f>
        <v>6</v>
      </c>
      <c r="J9">
        <f t="shared" si="4"/>
        <v>6</v>
      </c>
      <c r="K9">
        <f>IF('Final Calculation Sheet'!$F$9="","",'Final Calculation Sheet'!$F$9)</f>
        <v>1976</v>
      </c>
      <c r="L9">
        <f>IF(K9="","",COUNTIFS(K$4:K$40,"&lt;"&amp;K9,K$4:K$40,"&lt;&gt;"&amp;"")+COUNTIF(K$4:K9,K9))</f>
        <v>6</v>
      </c>
      <c r="M9">
        <f t="shared" si="5"/>
        <v>1976</v>
      </c>
      <c r="N9">
        <f>N8+IF(AND(M9&lt;&gt;"",COUNTIF(M$4:M9,M9)=1),1,0)</f>
        <v>6</v>
      </c>
      <c r="O9">
        <f t="shared" si="6"/>
        <v>1976</v>
      </c>
      <c r="P9" t="str">
        <f>IF('Final Calculation Sheet'!$G$9="","",'Final Calculation Sheet'!$G$9)</f>
        <v>SHAR JAHAN TRADERS</v>
      </c>
      <c r="Q9">
        <f>IF(P9="","",COUNTIFS(P$4:P$40,"&lt;"&amp;P9,P$4:P$40,"&lt;&gt;"&amp;"")+COUNTIF(P$4:P9,P9))</f>
        <v>26</v>
      </c>
      <c r="R9" t="str">
        <f t="shared" si="7"/>
        <v>M I SCRAP TRADERS</v>
      </c>
      <c r="S9">
        <f>S8+IF(AND(R9&lt;&gt;"",COUNTIF(R$4:R9,R9)=1),1,0)</f>
        <v>5</v>
      </c>
      <c r="T9" t="str">
        <f t="shared" si="8"/>
        <v>NATIONAL ENTERPRISES</v>
      </c>
      <c r="U9" t="str">
        <f>IF('Final Calculation Sheet'!$B$9="","",'Final Calculation Sheet'!$B$9)</f>
        <v>Scrap Power Transformer</v>
      </c>
      <c r="V9">
        <f>IF(U9="","",COUNTIFS(U$4:U$40,"&lt;"&amp;U9,U$4:U$40,"&lt;&gt;"&amp;"")+COUNTIF(U$4:U9,U9))</f>
        <v>36</v>
      </c>
      <c r="W9" t="str">
        <f t="shared" si="9"/>
        <v>Scrap of 132 KV CT</v>
      </c>
      <c r="X9">
        <f>X8+IF(AND(W9&lt;&gt;"",COUNTIF(W$4:W9,W9)=1),1,0)</f>
        <v>6</v>
      </c>
      <c r="Y9" t="str">
        <f t="shared" si="10"/>
        <v>Scrap of 132 KV CT</v>
      </c>
      <c r="Z9">
        <f>IF('Final Calculation Sheet'!$D$9="","",'Final Calculation Sheet'!$D$9)</f>
        <v>21977</v>
      </c>
      <c r="AA9">
        <f>IF(Z9="","",COUNTIFS(Z$4:Z$40,"&lt;"&amp;Z9,Z$4:Z$40,"&lt;&gt;"&amp;"")+COUNTIF(Z$4:Z9,Z9))</f>
        <v>4</v>
      </c>
      <c r="AB9">
        <f t="shared" si="11"/>
        <v>21977</v>
      </c>
      <c r="AC9">
        <f>AC8+IF(AND(AB9&lt;&gt;"",COUNTIF(AB$4:AB9,AB9)=1),1,0)</f>
        <v>1</v>
      </c>
      <c r="AD9" t="str">
        <f t="shared" si="12"/>
        <v/>
      </c>
      <c r="AE9">
        <f>IF('Final Calculation Sheet'!$A$9="","",'Final Calculation Sheet'!$A$9)</f>
        <v>1</v>
      </c>
      <c r="AF9">
        <f>IF(AE9="","",COUNTIFS(AE$4:AE$40,"&lt;"&amp;AE9,AE$4:AE$40,"&lt;&gt;"&amp;"")+COUNTIF(AE$4:AE9,AE9))</f>
        <v>1</v>
      </c>
      <c r="AG9">
        <f t="shared" si="13"/>
        <v>1</v>
      </c>
      <c r="AH9">
        <f>AH8+IF(AND(AG9&lt;&gt;"",COUNTIF(AG$4:AG9,AG9)=1),1,0)</f>
        <v>1</v>
      </c>
      <c r="AI9">
        <f t="shared" si="14"/>
        <v>8.1999999999999993</v>
      </c>
      <c r="AJ9" t="str">
        <f>IF('Final Calculation Sheet'!$E$9="","",'Final Calculation Sheet'!$E$9)</f>
        <v>NO</v>
      </c>
      <c r="AK9">
        <f>IF(AJ9="","",COUNTIFS(AJ$4:AJ$40,"&lt;"&amp;AJ9,AJ$4:AJ$40,"&lt;&gt;"&amp;"")+COUNTIF(AJ$4:AJ9,AJ9))</f>
        <v>9</v>
      </c>
      <c r="AL9" t="str">
        <f t="shared" si="15"/>
        <v>KG</v>
      </c>
      <c r="AM9">
        <f>AM8+IF(AND(AL9&lt;&gt;"",COUNTIF(AL$4:AL9,AL9)=1),1,0)</f>
        <v>1</v>
      </c>
      <c r="AN9" t="str">
        <f t="shared" si="16"/>
        <v/>
      </c>
      <c r="AO9" s="50">
        <f>IF('Final Calculation Sheet'!$C$9="","",'Final Calculation Sheet'!$C$9)</f>
        <v>2787314</v>
      </c>
      <c r="AP9">
        <f>IF(AO9="","",COUNTIFS(AO$4:AO$40,"&lt;"&amp;AO9,AO$4:AO$40,"&lt;&gt;"&amp;"")+COUNTIF(AO$4:AO9,AO9))</f>
        <v>36</v>
      </c>
      <c r="AQ9" s="50">
        <f t="shared" si="17"/>
        <v>531</v>
      </c>
      <c r="AR9">
        <f>AR8+IF(AND(AQ9&lt;&gt;"",COUNTIF(AQ$4:AQ9,AQ9)=1),1,0)</f>
        <v>6</v>
      </c>
      <c r="AS9" s="50">
        <f t="shared" si="18"/>
        <v>531</v>
      </c>
      <c r="AT9" s="50">
        <f>IF('Final Calculation Sheet'!$H$9="","",'Final Calculation Sheet'!$H$9)</f>
        <v>2787314</v>
      </c>
      <c r="AU9">
        <f>IF(AT9="","",COUNTIFS(AT$4:AT$40,"&lt;"&amp;AT9,AT$4:AT$40,"&lt;&gt;"&amp;"")+COUNTIF(AT$4:AT9,AT9))</f>
        <v>36</v>
      </c>
      <c r="AV9" s="50">
        <f t="shared" si="19"/>
        <v>29502</v>
      </c>
      <c r="AW9">
        <f>AW8+IF(AND(AV9&lt;&gt;"",COUNTIF(AV$4:AV9,AV9)=1),1,0)</f>
        <v>6</v>
      </c>
      <c r="AX9" s="50">
        <f t="shared" si="20"/>
        <v>29502</v>
      </c>
      <c r="AY9" s="50">
        <f>IF('Final Calculation Sheet'!$I$9="","",'Final Calculation Sheet'!$I$9)</f>
        <v>501717</v>
      </c>
      <c r="AZ9">
        <f>IF(AY9="","",COUNTIFS(AY$4:AY$40,"&lt;"&amp;AY9,AY$4:AY$40,"&lt;&gt;"&amp;"")+COUNTIF(AY$4:AY9,AY9))</f>
        <v>36</v>
      </c>
      <c r="BA9" s="50">
        <f t="shared" si="21"/>
        <v>5310</v>
      </c>
      <c r="BB9">
        <f>BB8+IF(AND(BA9&lt;&gt;"",COUNTIF(BA$4:BA9,BA9)=1),1,0)</f>
        <v>6</v>
      </c>
      <c r="BC9" s="50">
        <f t="shared" si="22"/>
        <v>5310</v>
      </c>
      <c r="BD9" s="50">
        <f>IF('Final Calculation Sheet'!$J$9="","",'Final Calculation Sheet'!$J$9)</f>
        <v>3289031</v>
      </c>
      <c r="BE9">
        <f>IF(BD9="","",COUNTIFS(BD$4:BD$40,"&lt;"&amp;BD9,BD$4:BD$40,"&lt;&gt;"&amp;"")+COUNTIF(BD$4:BD9,BD9))</f>
        <v>36</v>
      </c>
      <c r="BF9" s="50">
        <f t="shared" si="23"/>
        <v>34812</v>
      </c>
      <c r="BG9">
        <f>BG8+IF(AND(BF9&lt;&gt;"",COUNTIF(BF$4:BF9,BF9)=1),1,0)</f>
        <v>6</v>
      </c>
      <c r="BH9" s="50">
        <f t="shared" si="24"/>
        <v>34812</v>
      </c>
      <c r="BI9" s="50">
        <f>IF('Final Calculation Sheet'!$K$9="","",'Final Calculation Sheet'!$K$9)</f>
        <v>65781</v>
      </c>
      <c r="BJ9">
        <f>IF(BI9="","",COUNTIFS(BI$4:BI$40,"&lt;"&amp;BI9,BI$4:BI$40,"&lt;&gt;"&amp;"")+COUNTIF(BI$4:BI9,BI9))</f>
        <v>36</v>
      </c>
      <c r="BK9" s="50">
        <f t="shared" si="25"/>
        <v>696</v>
      </c>
      <c r="BL9">
        <f>BL8+IF(AND(BK9&lt;&gt;"",COUNTIF(BK$4:BK9,BK9)=1),1,0)</f>
        <v>6</v>
      </c>
      <c r="BM9" s="50">
        <f t="shared" si="26"/>
        <v>696</v>
      </c>
      <c r="BN9" s="50">
        <f>IF('Final Calculation Sheet'!$L$9="","",'Final Calculation Sheet'!$L$9)</f>
        <v>2787.3139999999999</v>
      </c>
      <c r="BO9">
        <f>IF(BN9="","",COUNTIFS(BN$4:BN$40,"&lt;"&amp;BN9,BN$4:BN$40,"&lt;&gt;"&amp;"")+COUNTIF(BN$4:BN9,BN9))</f>
        <v>36</v>
      </c>
      <c r="BP9" s="50">
        <f t="shared" si="27"/>
        <v>29.501999999999999</v>
      </c>
      <c r="BQ9">
        <f>BQ8+IF(AND(BP9&lt;&gt;"",COUNTIF(BP$4:BP9,BP9)=1),1,0)</f>
        <v>6</v>
      </c>
      <c r="BR9" s="50">
        <f t="shared" si="28"/>
        <v>29.501999999999999</v>
      </c>
      <c r="BS9" s="50">
        <f>IF('Final Calculation Sheet'!$M$9="","",'Final Calculation Sheet'!$M$9)</f>
        <v>74003.186699999991</v>
      </c>
      <c r="BT9">
        <f>IF(BS9="","",COUNTIFS(BS$4:BS$40,"&lt;"&amp;BS9,BS$4:BS$40,"&lt;&gt;"&amp;"")+COUNTIF(BS$4:BS9,BS9))</f>
        <v>36</v>
      </c>
      <c r="BU9" s="50">
        <f t="shared" si="29"/>
        <v>783.27809999999988</v>
      </c>
      <c r="BV9">
        <f>BV8+IF(AND(BU9&lt;&gt;"",COUNTIF(BU$4:BU9,BU9)=1),1,0)</f>
        <v>6</v>
      </c>
      <c r="BW9" s="50">
        <f t="shared" si="30"/>
        <v>783.27809999999988</v>
      </c>
      <c r="BX9" s="126">
        <f>IF('Final Calculation Sheet'!$N$9="","",'Final Calculation Sheet'!$N$9)</f>
        <v>1254.2912999999999</v>
      </c>
      <c r="BY9">
        <f>IF(BX9="","",COUNTIFS(BX$4:BX$40,"&lt;"&amp;BX9,BX$4:BX$40,"&lt;&gt;"&amp;"")+COUNTIF(BX$4:BX9,BX9))</f>
        <v>36</v>
      </c>
      <c r="BZ9" s="126">
        <f t="shared" si="31"/>
        <v>13.2759</v>
      </c>
      <c r="CA9">
        <f>CA8+IF(AND(BZ9&lt;&gt;"",COUNTIF(BZ$4:BZ9,BZ9)=1),1,0)</f>
        <v>6</v>
      </c>
      <c r="CB9" s="126">
        <f t="shared" si="32"/>
        <v>13.2759</v>
      </c>
      <c r="CC9" s="50">
        <f>IF('Final Calculation Sheet'!$O$9="","",'Final Calculation Sheet'!$O$9)</f>
        <v>72748.895399999994</v>
      </c>
      <c r="CD9">
        <f>IF(CC9="","",COUNTIFS(CC$4:CC$40,"&lt;"&amp;CC9,CC$4:CC$40,"&lt;&gt;"&amp;"")+COUNTIF(CC$4:CC9,CC9))</f>
        <v>36</v>
      </c>
      <c r="CE9" s="50">
        <f t="shared" si="33"/>
        <v>770.0021999999999</v>
      </c>
      <c r="CF9">
        <f>CF8+IF(AND(CE9&lt;&gt;"",COUNTIF(CE$4:CE9,CE9)=1),1,0)</f>
        <v>6</v>
      </c>
      <c r="CG9" s="50">
        <f t="shared" si="34"/>
        <v>770.0021999999999</v>
      </c>
      <c r="CH9" s="50">
        <f>IF('Final Calculation Sheet'!$P$9="","",'Final Calculation Sheet'!$P$9)</f>
        <v>75536</v>
      </c>
      <c r="CI9">
        <f>IF(CH9="","",COUNTIFS(CH$4:CH$40,"&lt;"&amp;CH9,CH$4:CH$40,"&lt;&gt;"&amp;"")+COUNTIF(CH$4:CH9,CH9))</f>
        <v>36</v>
      </c>
      <c r="CJ9" s="50">
        <f t="shared" si="35"/>
        <v>800</v>
      </c>
      <c r="CK9">
        <f>CK8+IF(AND(CJ9&lt;&gt;"",COUNTIF(CJ$4:CJ9,CJ9)=1),1,0)</f>
        <v>6</v>
      </c>
      <c r="CL9" s="50">
        <f t="shared" si="36"/>
        <v>800</v>
      </c>
      <c r="CM9" s="127">
        <f>IF('Final Calculation Sheet'!$Q$9="","",'Final Calculation Sheet'!$Q$9)</f>
        <v>0</v>
      </c>
      <c r="CN9">
        <f>IF(CM9="","",COUNTIFS(CM$4:CM$40,"&lt;"&amp;CM9,CM$4:CM$40,"&lt;&gt;"&amp;"")+COUNTIF(CM$4:CM9,CM9))</f>
        <v>4</v>
      </c>
      <c r="CO9" s="127">
        <f t="shared" si="37"/>
        <v>0</v>
      </c>
      <c r="CP9">
        <f>CP8+IF(AND(CO9&lt;&gt;"",COUNTIF(CO$4:CO9,CO9)=1),1,0)</f>
        <v>1</v>
      </c>
      <c r="CQ9" t="str">
        <f t="shared" si="38"/>
        <v/>
      </c>
      <c r="CR9" s="50">
        <f>IF('Final Calculation Sheet'!$R$9="","",'Final Calculation Sheet'!$R$9)</f>
        <v>0</v>
      </c>
      <c r="CS9">
        <f>IF(CR9="","",COUNTIFS(CR$4:CR$40,"&lt;"&amp;CR9,CR$4:CR$40,"&lt;&gt;"&amp;"")+COUNTIF(CR$4:CR9,CR9))</f>
        <v>4</v>
      </c>
      <c r="CT9" s="50">
        <f t="shared" si="39"/>
        <v>0</v>
      </c>
      <c r="CU9">
        <f>CU8+IF(AND(CT9&lt;&gt;"",COUNTIF(CT$4:CT9,CT9)=1),1,0)</f>
        <v>1</v>
      </c>
      <c r="CV9" t="str">
        <f t="shared" si="40"/>
        <v/>
      </c>
      <c r="CW9" s="50">
        <f>IF('Final Calculation Sheet'!$S$9="","",'Final Calculation Sheet'!$S$9)</f>
        <v>3279275</v>
      </c>
      <c r="CX9">
        <f>IF(CW9="","",COUNTIFS(CW$4:CW$40,"&lt;"&amp;CW9,CW$4:CW$40,"&lt;&gt;"&amp;"")+COUNTIF(CW$4:CW9,CW9))</f>
        <v>36</v>
      </c>
      <c r="CY9" s="50">
        <f t="shared" si="41"/>
        <v>34709</v>
      </c>
      <c r="CZ9">
        <f>CZ8+IF(AND(CY9&lt;&gt;"",COUNTIF(CY$4:CY9,CY9)=1),1,0)</f>
        <v>6</v>
      </c>
      <c r="DA9" s="50">
        <f t="shared" si="42"/>
        <v>34709</v>
      </c>
      <c r="DB9" s="50">
        <f>IF('Final Calculation Sheet'!$T$9="","",'Final Calculation Sheet'!$T$9)</f>
        <v>696829</v>
      </c>
      <c r="DC9">
        <f>IF(DB9="","",COUNTIFS(DB$4:DB$40,"&lt;"&amp;DB9,DB$4:DB$40,"&lt;&gt;"&amp;"")+COUNTIF(DB$4:DB9,DB9))</f>
        <v>36</v>
      </c>
      <c r="DD9" s="50">
        <f t="shared" si="43"/>
        <v>7376</v>
      </c>
      <c r="DE9">
        <f>DE8+IF(AND(DD9&lt;&gt;"",COUNTIF(DD$4:DD9,DD9)=1),1,0)</f>
        <v>6</v>
      </c>
      <c r="DF9" s="50">
        <f t="shared" si="44"/>
        <v>7376</v>
      </c>
      <c r="DG9" s="128">
        <f>IF('Final Calculation Sheet'!$U$9="","",'Final Calculation Sheet'!$U$9)</f>
        <v>696829</v>
      </c>
      <c r="DH9">
        <f>IF(DG9="","",COUNTIFS(DG$4:DG$40,"&lt;"&amp;DG9,DG$4:DG$40,"&lt;&gt;"&amp;"")+COUNTIF(DG$4:DG9,DG9))</f>
        <v>36</v>
      </c>
      <c r="DI9" s="128">
        <f t="shared" si="45"/>
        <v>7376</v>
      </c>
      <c r="DJ9">
        <f>DJ8+IF(AND(DI9&lt;&gt;"",COUNTIF(DI$4:DI9,DI9)=1),1,0)</f>
        <v>6</v>
      </c>
      <c r="DK9" s="128">
        <f t="shared" si="46"/>
        <v>7376</v>
      </c>
      <c r="DL9" t="str">
        <f>IF('Final Calculation Sheet'!$V$9="","",'Final Calculation Sheet'!$V$9)</f>
        <v>13.08.2026</v>
      </c>
      <c r="DM9">
        <f>IF(DL9="","",COUNTIFS(DL$4:DL$40,"&lt;"&amp;DL9,DL$4:DL$40,"&lt;&gt;"&amp;"")+COUNTIF(DL$4:DL9,DL9))</f>
        <v>13</v>
      </c>
      <c r="DN9" t="str">
        <f t="shared" si="47"/>
        <v>11.08.2026</v>
      </c>
      <c r="DO9">
        <f>DO8+IF(AND(DN9&lt;&gt;"",COUNTIF(DN$4:DN9,DN9)=1),1,0)</f>
        <v>2</v>
      </c>
      <c r="DP9" t="str">
        <f t="shared" si="48"/>
        <v>24.08.2026</v>
      </c>
      <c r="DQ9" s="50">
        <f>IF('Final Calculation Sheet'!$W$9="","",'Final Calculation Sheet'!$W$9)</f>
        <v>2582446</v>
      </c>
      <c r="DR9">
        <f>IF(DQ9="","",COUNTIFS(DQ$4:DQ$40,"&lt;"&amp;DQ9,DQ$4:DQ$40,"&lt;&gt;"&amp;"")+COUNTIF(DQ$4:DQ9,DQ9))</f>
        <v>36</v>
      </c>
      <c r="DS9" s="50">
        <f t="shared" si="49"/>
        <v>27334</v>
      </c>
      <c r="DT9">
        <f>DT8+IF(AND(DS9&lt;&gt;"",COUNTIF(DS$4:DS9,DS9)=1),1,0)</f>
        <v>6</v>
      </c>
      <c r="DU9" s="50">
        <f t="shared" si="50"/>
        <v>27334</v>
      </c>
      <c r="DV9" s="50">
        <f>IF('Final Calculation Sheet'!$X$9="","",'Final Calculation Sheet'!$X$9)</f>
        <v>2582447.0942916102</v>
      </c>
      <c r="DW9">
        <f>IF(DV9="","",COUNTIFS(DV$4:DV$40,"&lt;"&amp;DV9,DV$4:DV$40,"&lt;&gt;"&amp;"")+COUNTIF(DV$4:DV9,DV9))</f>
        <v>33</v>
      </c>
      <c r="DX9" s="50">
        <f t="shared" si="51"/>
        <v>27332</v>
      </c>
      <c r="DY9">
        <f>DY8+IF(AND(DX9&lt;&gt;"",COUNTIF(DX$4:DX9,DX9)=1),1,0)</f>
        <v>6</v>
      </c>
      <c r="DZ9" t="e">
        <f t="shared" si="52"/>
        <v>#N/A</v>
      </c>
      <c r="EA9" t="str">
        <f>IF('Final Calculation Sheet'!$Y$9="","",'Final Calculation Sheet'!$Y$9)</f>
        <v>13.08.2026</v>
      </c>
      <c r="EB9">
        <f>IF(EA9="","",COUNTIFS(EA$4:EA$40,"&lt;"&amp;EA9,EA$4:EA$40,"&lt;&gt;"&amp;"")+COUNTIF(EA$4:EA9,EA9))</f>
        <v>9</v>
      </c>
      <c r="EC9" t="str">
        <f t="shared" si="53"/>
        <v>11.08.2026</v>
      </c>
      <c r="ED9">
        <f>ED8+IF(AND(EC9&lt;&gt;"",COUNTIF(EC$4:EC9,EC9)=1),1,0)</f>
        <v>3</v>
      </c>
      <c r="EE9" t="e">
        <f t="shared" si="54"/>
        <v>#N/A</v>
      </c>
      <c r="EF9" s="50">
        <f ca="1">IF('Final Calculation Sheet'!$Z$9="","",'Final Calculation Sheet'!$Z$9)</f>
        <v>98670.915600000008</v>
      </c>
      <c r="EG9">
        <f ca="1">IF(EF9="","",COUNTIFS(EF$4:EF$40,"&lt;"&amp;EF9,EF$4:EF$40,"&lt;&gt;"&amp;"")+COUNTIF(EF$4:EF9,EF9))</f>
        <v>36</v>
      </c>
      <c r="EH9" s="50">
        <f t="shared" ca="1" si="55"/>
        <v>991.27079999999989</v>
      </c>
      <c r="EI9">
        <f ca="1">EI8+IF(AND(EH9&lt;&gt;"",COUNTIF(EH$4:EH9,EH9)=1),1,0)</f>
        <v>6</v>
      </c>
      <c r="EJ9" s="50">
        <f t="shared" ca="1" si="56"/>
        <v>991.27079999999989</v>
      </c>
      <c r="EK9" t="str">
        <f>IF('Final Calculation Sheet'!$AA$9="","",'Final Calculation Sheet'!$AA$9)</f>
        <v/>
      </c>
      <c r="EL9" t="str">
        <f>IF(EK9="","",COUNTIFS(EK$4:EK$40,"&lt;"&amp;EK9,EK$4:EK$40,"&lt;&gt;"&amp;"")+COUNTIF(EK$4:EK9,EK9))</f>
        <v/>
      </c>
      <c r="EM9" t="e">
        <f t="shared" si="57"/>
        <v>#N/A</v>
      </c>
      <c r="EN9" t="e">
        <f>EN8+IF(AND(EM9&lt;&gt;"",COUNTIF(EM$4:EM9,EM9)=1),1,0)</f>
        <v>#N/A</v>
      </c>
      <c r="EO9" t="e">
        <f t="shared" si="58"/>
        <v>#N/A</v>
      </c>
      <c r="EP9" t="str">
        <f>IF('Final Calculation Sheet'!$AB$9="","",'Final Calculation Sheet'!$AB$9)</f>
        <v/>
      </c>
      <c r="EQ9" t="str">
        <f>IF(EP9="","",COUNTIFS(EP$4:EP$40,"&lt;"&amp;EP9,EP$4:EP$40,"&lt;&gt;"&amp;"")+COUNTIF(EP$4:EP9,EP9))</f>
        <v/>
      </c>
      <c r="ER9" t="e">
        <f t="shared" si="59"/>
        <v>#N/A</v>
      </c>
      <c r="ES9" t="e">
        <f>ES8+IF(AND(ER9&lt;&gt;"",COUNTIF(ER$4:ER9,ER9)=1),1,0)</f>
        <v>#N/A</v>
      </c>
      <c r="ET9" t="e">
        <f t="shared" si="60"/>
        <v>#N/A</v>
      </c>
      <c r="EU9" s="50">
        <f>IF('Final Calculation Sheet'!$AC$9="","",'Final Calculation Sheet'!$AC$9)</f>
        <v>3279276.0942916102</v>
      </c>
      <c r="EV9">
        <f>IF(EU9="","",COUNTIFS(EU$4:EU$40,"&lt;"&amp;EU9,EU$4:EU$40,"&lt;&gt;"&amp;"")+COUNTIF(EU$4:EU9,EU9))</f>
        <v>36</v>
      </c>
      <c r="EW9" s="50">
        <f t="shared" si="61"/>
        <v>32944</v>
      </c>
      <c r="EX9">
        <f>EX8+IF(AND(EW9&lt;&gt;"",COUNTIF(EW$4:EW9,EW9)=1),1,0)</f>
        <v>6</v>
      </c>
      <c r="EY9" s="50">
        <f t="shared" si="62"/>
        <v>32944</v>
      </c>
      <c r="EZ9" s="50">
        <f>IF('Final Calculation Sheet'!$AD$9="","",'Final Calculation Sheet'!$AD$9)</f>
        <v>-1.0942916101776063</v>
      </c>
      <c r="FA9">
        <f>IF(EZ9="","",COUNTIFS(EZ$4:EZ$40,"&lt;"&amp;EZ9,EZ$4:EZ$40,"&lt;&gt;"&amp;"")+COUNTIF(EZ$4:EZ9,EZ9))</f>
        <v>4</v>
      </c>
      <c r="FB9" s="50">
        <f t="shared" si="63"/>
        <v>-1</v>
      </c>
      <c r="FC9">
        <f>FC8+IF(AND(FB9&lt;&gt;"",COUNTIF(FB$4:FB9,FB9)=1),1,0)</f>
        <v>5</v>
      </c>
      <c r="FD9" s="50">
        <f t="shared" si="64"/>
        <v>-0.90570838935673237</v>
      </c>
      <c r="FE9" t="str">
        <f>IF('Final Calculation Sheet'!$AF$9="","",'Final Calculation Sheet'!$AF$9)</f>
        <v>DR2640100023</v>
      </c>
      <c r="FF9">
        <f>IF(FE9="","",COUNTIFS(FE$4:FE$40,"&lt;"&amp;FE9,FE$4:FE$40,"&lt;&gt;"&amp;"")+COUNTIF(FE$4:FE9,FE9))</f>
        <v>12</v>
      </c>
      <c r="FG9" t="str">
        <f t="shared" si="65"/>
        <v>DR2640100017</v>
      </c>
      <c r="FH9" t="e">
        <f>FH8+IF(AND(FG9&lt;&gt;"",COUNTIF(FG$4:FG9,FG9)=1),1,0)</f>
        <v>#N/A</v>
      </c>
      <c r="FI9" t="e">
        <f t="shared" si="66"/>
        <v>#N/A</v>
      </c>
      <c r="FJ9" s="129">
        <f>IF('Final Calculation Sheet'!$AG$9="","",'Final Calculation Sheet'!$AG$9)</f>
        <v>1800003194</v>
      </c>
      <c r="FK9">
        <f>IF(FJ9="","",COUNTIFS(FJ$4:FJ$40,"&lt;"&amp;FJ9,FJ$4:FJ$40,"&lt;&gt;"&amp;"")+COUNTIF(FJ$4:FJ9,FJ9))</f>
        <v>7</v>
      </c>
      <c r="FL9" s="129">
        <f t="shared" si="67"/>
        <v>1800003161</v>
      </c>
      <c r="FM9">
        <f>FM8+IF(AND(FL9&lt;&gt;"",COUNTIF(FL$4:FL9,FL9)=1),1,0)</f>
        <v>6</v>
      </c>
      <c r="FN9" t="e">
        <f t="shared" si="68"/>
        <v>#N/A</v>
      </c>
      <c r="FO9" t="str">
        <f>IF('Final Calculation Sheet'!$AH$9="","",'Final Calculation Sheet'!$AH$9)</f>
        <v>17.08.2026</v>
      </c>
      <c r="FP9">
        <f>IF(FO9="","",COUNTIFS(FO$4:FO$40,"&lt;"&amp;FO9,FO$4:FO$40,"&lt;&gt;"&amp;"")+COUNTIF(FO$4:FO9,FO9))</f>
        <v>12</v>
      </c>
      <c r="FQ9" t="str">
        <f t="shared" si="69"/>
        <v>12.08.2026</v>
      </c>
      <c r="FR9" t="e">
        <f>FR8+IF(AND(FQ9&lt;&gt;"",COUNTIF(FQ$4:FQ9,FQ9)=1),1,0)</f>
        <v>#N/A</v>
      </c>
      <c r="FS9" t="e">
        <f t="shared" si="70"/>
        <v>#N/A</v>
      </c>
      <c r="FU9" t="str">
        <f>IF(FT9="","",COUNTIFS(FT$4:FT$40,"&lt;"&amp;FT9,FT$4:FT$40,"&lt;&gt;"&amp;"")+COUNTIF(FT$4:FT9,FT9))</f>
        <v/>
      </c>
      <c r="FV9" t="str">
        <f t="shared" si="71"/>
        <v/>
      </c>
      <c r="FW9">
        <f>FW8+IF(AND(FV9&lt;&gt;"",COUNTIF(FV$4:FV9,FV9)=1),1,0)</f>
        <v>2</v>
      </c>
      <c r="FX9" t="str">
        <f t="shared" si="72"/>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9" t="b">
        <f>IF($Y$9="",FALSE,SUMPRODUCT(('Final Calculation Sheet'!$B$4:$B$40=$Y$9)*($FY$6:$FY$42=1))&gt;0)</f>
        <v>1</v>
      </c>
      <c r="GA9">
        <f>$GA$8+--($FZ$9)</f>
        <v>6</v>
      </c>
      <c r="GB9" t="str">
        <f t="shared" si="73"/>
        <v>Scrap of 132 KV CT</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D9" t="b">
        <f>IF($O$9="",FALSE,SUMPRODUCT(('Final Calculation Sheet'!$F$4:$F$40=$O$9)*($GC$6:$GC$42=1))&gt;0)</f>
        <v>1</v>
      </c>
      <c r="GE9">
        <f>$GE$8+--($GD9)</f>
        <v>6</v>
      </c>
      <c r="GF9">
        <f t="shared" si="74"/>
        <v>1976</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H9" t="b">
        <f>IF($T$9="",FALSE,SUMPRODUCT(('Final Calculation Sheet'!$G$4:$G$40=$T$9)*($GG$6:$GG$42=1))&gt;0)</f>
        <v>1</v>
      </c>
      <c r="GI9">
        <f>$GI$8+--($GH9)</f>
        <v>6</v>
      </c>
      <c r="GJ9" t="str">
        <f t="shared" si="75"/>
        <v>NATIONAL ENTERPRISES</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L9" t="b">
        <f>IF($AD$9="",FALSE,SUMPRODUCT(('Final Calculation Sheet'!$D$4:$D$40=$AD$9)*($GK$6:$GK$42=1))&gt;0)</f>
        <v>0</v>
      </c>
      <c r="GM9">
        <f>$GM$8+--($GL9)</f>
        <v>4</v>
      </c>
      <c r="GN9" t="str">
        <f t="shared" si="76"/>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P9" t="b">
        <f>IF($AI$9="",FALSE,SUMPRODUCT(('Final Calculation Sheet'!$A$4:$A$40=$AI$9)*($GO$6:$GO$42=1))&gt;0)</f>
        <v>1</v>
      </c>
      <c r="GQ9">
        <f>$GQ$8+--($GP9)</f>
        <v>6</v>
      </c>
      <c r="GR9">
        <f t="shared" si="77"/>
        <v>8.1999999999999993</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T9" t="b">
        <f>IF($AN$9="",FALSE,SUMPRODUCT(('Final Calculation Sheet'!$E$4:$E$40=$AN$9)*($GS$6:$GS$42=1))&gt;0)</f>
        <v>0</v>
      </c>
      <c r="GU9">
        <f>$GU$8+--($GT9)</f>
        <v>3</v>
      </c>
      <c r="GV9" t="str">
        <f t="shared" si="78"/>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GX9" t="b">
        <f>IF($AS$9="",FALSE,SUMPRODUCT(('Final Calculation Sheet'!$C$4:$C$40=$AS$9)*($GW$6:$GW$42=1))&gt;0)</f>
        <v>1</v>
      </c>
      <c r="GY9">
        <f>$GY$8+--($GX9)</f>
        <v>6</v>
      </c>
      <c r="GZ9">
        <f t="shared" si="79"/>
        <v>531</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B9" t="b">
        <f>IF($AX$9="",FALSE,SUMPRODUCT(('Final Calculation Sheet'!$H$4:$H$40=$AX$9)*($HA$6:$HA$42=1))&gt;0)</f>
        <v>1</v>
      </c>
      <c r="HC9">
        <f>$HC$8+--($HB9)</f>
        <v>6</v>
      </c>
      <c r="HD9">
        <f t="shared" si="80"/>
        <v>29502</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F9" t="b">
        <f>IF($BC$9="",FALSE,SUMPRODUCT(('Final Calculation Sheet'!$I$4:$I$40=$BC$9)*($HE$6:$HE$42=1))&gt;0)</f>
        <v>1</v>
      </c>
      <c r="HG9">
        <f>$HG$8+--($HF9)</f>
        <v>6</v>
      </c>
      <c r="HH9">
        <f t="shared" si="81"/>
        <v>5310</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J9" t="b">
        <f>IF($BH$9="",FALSE,SUMPRODUCT(('Final Calculation Sheet'!$J$4:$J$40=$BH$9)*($HI$6:$HI$42=1))&gt;0)</f>
        <v>1</v>
      </c>
      <c r="HK9">
        <f>$HK$8+--($HJ9)</f>
        <v>6</v>
      </c>
      <c r="HL9">
        <f t="shared" si="82"/>
        <v>34812</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N9" t="b">
        <f>IF($BM$9="",FALSE,SUMPRODUCT(('Final Calculation Sheet'!$K$4:$K$40=$BM$9)*($HM$6:$HM$42=1))&gt;0)</f>
        <v>1</v>
      </c>
      <c r="HO9">
        <f>$HO$8+--($HN9)</f>
        <v>6</v>
      </c>
      <c r="HP9">
        <f t="shared" si="83"/>
        <v>696</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R9" t="b">
        <f>IF($BR$9="",FALSE,SUMPRODUCT(('Final Calculation Sheet'!$L$4:$L$40=$BR$9)*($HQ$6:$HQ$42=1))&gt;0)</f>
        <v>1</v>
      </c>
      <c r="HS9">
        <f>$HS$8+--($HR9)</f>
        <v>6</v>
      </c>
      <c r="HT9">
        <f t="shared" si="84"/>
        <v>29.501999999999999</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V9" t="b">
        <f>IF($BW$9="",FALSE,SUMPRODUCT(('Final Calculation Sheet'!$M$4:$M$40=$BW$9)*($HU$6:$HU$42=1))&gt;0)</f>
        <v>1</v>
      </c>
      <c r="HW9">
        <f>$HW$8+--($HV9)</f>
        <v>6</v>
      </c>
      <c r="HX9">
        <f t="shared" si="85"/>
        <v>783.27809999999988</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HZ9" t="b">
        <f>IF($CB$9="",FALSE,SUMPRODUCT(('Final Calculation Sheet'!$N$4:$N$40=$CB$9)*($HY$6:$HY$42=1))&gt;0)</f>
        <v>1</v>
      </c>
      <c r="IA9">
        <f>$IA$8+--($HZ9)</f>
        <v>6</v>
      </c>
      <c r="IB9">
        <f t="shared" si="86"/>
        <v>13.2759</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D9" t="b">
        <f>IF($CG$9="",FALSE,SUMPRODUCT(('Final Calculation Sheet'!$O$4:$O$40=$CG$9)*($IC$6:$IC$42=1))&gt;0)</f>
        <v>1</v>
      </c>
      <c r="IE9">
        <f>$IE$8+--($ID9)</f>
        <v>6</v>
      </c>
      <c r="IF9">
        <f t="shared" si="87"/>
        <v>770.0021999999999</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H9" t="b">
        <f>IF($CL$9="",FALSE,SUMPRODUCT(('Final Calculation Sheet'!$P$4:$P$40=$CL$9)*($IG$6:$IG$42=1))&gt;0)</f>
        <v>1</v>
      </c>
      <c r="II9">
        <f>$II$8+--($IH9)</f>
        <v>6</v>
      </c>
      <c r="IJ9">
        <f t="shared" si="88"/>
        <v>800</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L9" t="b">
        <f>IF($CQ$9="",FALSE,SUMPRODUCT(('Final Calculation Sheet'!$Q$4:$Q$40=$CQ$9)*($IK$6:$IK$42=1))&gt;0)</f>
        <v>0</v>
      </c>
      <c r="IM9">
        <f>$IM$8+--($IL9)</f>
        <v>2</v>
      </c>
      <c r="IN9" t="str">
        <f t="shared" si="89"/>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P9" t="b">
        <f>IF($CV$9="",FALSE,SUMPRODUCT(('Final Calculation Sheet'!$R$4:$R$40=$CV$9)*($IO$6:$IO$42=1))&gt;0)</f>
        <v>0</v>
      </c>
      <c r="IQ9">
        <f>$IQ$8+--($IP9)</f>
        <v>5</v>
      </c>
      <c r="IR9" t="str">
        <f t="shared" si="90"/>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T9" t="b">
        <f>IF($DA$9="",FALSE,SUMPRODUCT(('Final Calculation Sheet'!$S$4:$S$40=$DA$9)*($IS$6:$IS$42=1))&gt;0)</f>
        <v>1</v>
      </c>
      <c r="IU9">
        <f>$IU$8+--($IT9)</f>
        <v>6</v>
      </c>
      <c r="IV9">
        <f t="shared" si="91"/>
        <v>34709</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IX9" t="b">
        <f>IF($DF$9="",FALSE,SUMPRODUCT(('Final Calculation Sheet'!$T$4:$T$40=$DF$9)*($IW$6:$IW$42=1))&gt;0)</f>
        <v>1</v>
      </c>
      <c r="IY9">
        <f>$IY$8+--($IX9)</f>
        <v>6</v>
      </c>
      <c r="IZ9">
        <f t="shared" si="92"/>
        <v>7376</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B9" t="b">
        <f>IF($DK$9="",FALSE,SUMPRODUCT(('Final Calculation Sheet'!$U$4:$U$40=$DK$9)*($JA$6:$JA$42=1))&gt;0)</f>
        <v>1</v>
      </c>
      <c r="JC9">
        <f>$JC$8+--($JB9)</f>
        <v>6</v>
      </c>
      <c r="JD9">
        <f t="shared" si="93"/>
        <v>7376</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F9" t="b">
        <f>IF($DP$9="",FALSE,SUMPRODUCT(('Final Calculation Sheet'!$V$4:$V$40=$DP$9)*($JE$6:$JE$42=1))&gt;0)</f>
        <v>1</v>
      </c>
      <c r="JG9">
        <f>$JG$8+--($JF9)</f>
        <v>6</v>
      </c>
      <c r="JH9" t="str">
        <f t="shared" si="94"/>
        <v>24.08.2026</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J9" t="b">
        <f>IF($DU$9="",FALSE,SUMPRODUCT(('Final Calculation Sheet'!$W$4:$W$40=$DU$9)*($JI$6:$JI$42=1))&gt;0)</f>
        <v>1</v>
      </c>
      <c r="JK9">
        <f>$JK$8+--($JJ9)</f>
        <v>6</v>
      </c>
      <c r="JL9">
        <f t="shared" si="95"/>
        <v>27334</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N9" t="e">
        <f>IF($DZ$9="",FALSE,SUMPRODUCT(('Final Calculation Sheet'!$X$4:$X$40=$DZ$9)*($JM$6:$JM$42=1))&gt;0)</f>
        <v>#N/A</v>
      </c>
      <c r="JO9" t="e">
        <f>$JO$8+--($JN9)</f>
        <v>#N/A</v>
      </c>
      <c r="JP9" t="e">
        <f t="shared" si="96"/>
        <v>#N/A</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R9" t="e">
        <f>IF($EE$9="",FALSE,SUMPRODUCT(('Final Calculation Sheet'!$Y$4:$Y$40=$EE$9)*($JQ$6:$JQ$42=1))&gt;0)</f>
        <v>#N/A</v>
      </c>
      <c r="JS9" t="e">
        <f>$JS$8+--($JR9)</f>
        <v>#N/A</v>
      </c>
      <c r="JT9" t="e">
        <f t="shared" si="97"/>
        <v>#N/A</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V9" t="b">
        <f ca="1">IF($EJ$9="",FALSE,SUMPRODUCT(('Final Calculation Sheet'!$Z$4:$Z$40=$EJ$9)*($JU$6:$JU$42=1))&gt;0)</f>
        <v>1</v>
      </c>
      <c r="JW9">
        <f ca="1">$JW$8+--($JV9)</f>
        <v>6</v>
      </c>
      <c r="JX9">
        <f t="shared" ca="1" si="98"/>
        <v>991.27079999999989</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JZ9" t="e">
        <f>IF($EO$9="",FALSE,SUMPRODUCT(('Final Calculation Sheet'!$AA$4:$AA$40=$EO$9)*($JY$6:$JY$42=1))&gt;0)</f>
        <v>#N/A</v>
      </c>
      <c r="KA9" t="e">
        <f>$KA$8+--($JZ9)</f>
        <v>#N/A</v>
      </c>
      <c r="KB9" t="e">
        <f t="shared" si="99"/>
        <v>#N/A</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D9" t="e">
        <f>IF($ET$9="",FALSE,SUMPRODUCT(('Final Calculation Sheet'!$AB$4:$AB$40=$ET$9)*($KC$6:$KC$42=1))&gt;0)</f>
        <v>#N/A</v>
      </c>
      <c r="KE9" t="e">
        <f>$KE$8+--($KD9)</f>
        <v>#N/A</v>
      </c>
      <c r="KF9" t="e">
        <f t="shared" si="100"/>
        <v>#N/A</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H9" t="b">
        <f>IF($EY$9="",FALSE,SUMPRODUCT(('Final Calculation Sheet'!$AC$4:$AC$40=$EY$9)*($KG$6:$KG$42=1))&gt;0)</f>
        <v>1</v>
      </c>
      <c r="KI9">
        <f>$KI$8+--($KH9)</f>
        <v>6</v>
      </c>
      <c r="KJ9">
        <f t="shared" si="101"/>
        <v>32944</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L9" t="b">
        <f>IF($FD$9="",FALSE,SUMPRODUCT(('Final Calculation Sheet'!$AD$4:$AD$40=$FD$9)*($KK$6:$KK$42=1))&gt;0)</f>
        <v>1</v>
      </c>
      <c r="KM9">
        <f>$KM$8+--($KL9)</f>
        <v>6</v>
      </c>
      <c r="KN9">
        <f t="shared" si="102"/>
        <v>-0.90570838935673237</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P9" t="b">
        <f>IF($FX$9="",FALSE,SUMPRODUCT((IF('Final Calculation Sheet'!$AD$4:$AD$40&lt;=5,"SETTLED","OUTSTANDING")=$FX$9)*($KO$6:$KO$42=1))&gt;0)</f>
        <v>0</v>
      </c>
      <c r="KQ9">
        <f>$KQ$8+--($KP9)</f>
        <v>1</v>
      </c>
      <c r="KR9" t="str">
        <f t="shared" si="103"/>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T9" t="e">
        <f>IF($FI$9="",FALSE,SUMPRODUCT(('Final Calculation Sheet'!$AF$4:$AF$40=$FI$9)*($KS$6:$KS$42=1))&gt;0)</f>
        <v>#N/A</v>
      </c>
      <c r="KU9" t="e">
        <f>$KU$8+--($KT9)</f>
        <v>#N/A</v>
      </c>
      <c r="KV9" t="e">
        <f t="shared" si="104"/>
        <v>#N/A</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KX9" t="e">
        <f>IF($FN$9="",FALSE,SUMPRODUCT(('Final Calculation Sheet'!$AG$4:$AG$40=$FN$9)*($KW$6:$KW$42=1))&gt;0)</f>
        <v>#N/A</v>
      </c>
      <c r="KY9" t="e">
        <f>$KY$8+--($KX9)</f>
        <v>#N/A</v>
      </c>
      <c r="KZ9" t="e">
        <f t="shared" si="105"/>
        <v>#N/A</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LB9" t="e">
        <f>IF($FS$9="",FALSE,SUMPRODUCT(('Final Calculation Sheet'!$AH$4:$AH$40=$FS$9)*($LA$6:$LA$42=1))&gt;0)</f>
        <v>#N/A</v>
      </c>
      <c r="LC9" t="e">
        <f>$LC$8+--($LB9)</f>
        <v>#N/A</v>
      </c>
      <c r="LD9" t="e">
        <f t="shared" si="106"/>
        <v>#N/A</v>
      </c>
      <c r="LE9">
        <f>IF(COUNTIF('Buyer Groups'!DH9:EN9,0)&gt;0,0,1)</f>
        <v>1</v>
      </c>
      <c r="LF9" t="b">
        <f>IF($O$9="",FALSE,SUMPRODUCT(('Final Calculation Sheet'!$F$4:$F$40=$O$9)*($LE$6:$LE$42=1))&gt;0)</f>
        <v>1</v>
      </c>
      <c r="LG9">
        <f>$LG$8+--($LF9)</f>
        <v>6</v>
      </c>
      <c r="LH9">
        <f t="shared" si="107"/>
        <v>1976</v>
      </c>
      <c r="LI9">
        <f>IF(COUNTIF('Buyer Groups'!DG9:DG9,0)+COUNTIF('Buyer Groups'!DI9:EN9,0)&gt;0,0,1)</f>
        <v>1</v>
      </c>
      <c r="LJ9" t="b">
        <f>IF($T$9="",FALSE,SUMPRODUCT(('Final Calculation Sheet'!$G$4:$G$40=$T$9)*($LI$6:$LI$42=1))&gt;0)</f>
        <v>1</v>
      </c>
      <c r="LK9">
        <f>$LK$8+--($LJ9)</f>
        <v>6</v>
      </c>
      <c r="LL9" t="str">
        <f t="shared" si="108"/>
        <v>NATIONAL ENTERPRISES</v>
      </c>
      <c r="LM9">
        <f>IF(COUNTIF('Buyer Groups'!DG9:DH9,0)+COUNTIF('Buyer Groups'!DJ9:EN9,0)&gt;0,0,1)</f>
        <v>1</v>
      </c>
      <c r="LN9" t="b">
        <f>IF($Y$9="",FALSE,SUMPRODUCT(('Final Calculation Sheet'!$B$4:$B$40=$Y$9)*($LM$6:$LM$42=1))&gt;0)</f>
        <v>1</v>
      </c>
      <c r="LO9">
        <f>$LO$8+--($LN9)</f>
        <v>6</v>
      </c>
      <c r="LP9" t="str">
        <f t="shared" si="109"/>
        <v>Scrap of 132 KV CT</v>
      </c>
      <c r="LQ9">
        <f>IF(COUNTIF('Buyer Groups'!DG9:DI9,0)+COUNTIF('Buyer Groups'!DK9:EN9,0)&gt;0,0,1)</f>
        <v>1</v>
      </c>
      <c r="LR9" t="b">
        <f>IF($AD$9="",FALSE,SUMPRODUCT(('Final Calculation Sheet'!$D$4:$D$40=$AD$9)*($LQ$6:$LQ$42=1))&gt;0)</f>
        <v>0</v>
      </c>
      <c r="LS9">
        <f>$LS$8+--($LR9)</f>
        <v>4</v>
      </c>
      <c r="LT9" t="str">
        <f t="shared" si="110"/>
        <v/>
      </c>
      <c r="LU9">
        <f>IF(COUNTIF('Buyer Groups'!DG9:DJ9,0)+COUNTIF('Buyer Groups'!DL9:EN9,0)&gt;0,0,1)</f>
        <v>1</v>
      </c>
      <c r="LV9" t="b">
        <f>IF($AI$9="",FALSE,SUMPRODUCT(('Final Calculation Sheet'!$A$4:$A$40=$AI$9)*($LU$6:$LU$42=1))&gt;0)</f>
        <v>1</v>
      </c>
      <c r="LW9">
        <f>$LW$8+--($LV9)</f>
        <v>6</v>
      </c>
      <c r="LX9">
        <f t="shared" si="111"/>
        <v>8.1999999999999993</v>
      </c>
      <c r="LY9">
        <f>IF(COUNTIF('Buyer Groups'!DG9:DK9,0)+COUNTIF('Buyer Groups'!DM9:EN9,0)&gt;0,0,1)</f>
        <v>1</v>
      </c>
      <c r="LZ9" t="b">
        <f>IF($AN$9="",FALSE,SUMPRODUCT(('Final Calculation Sheet'!$E$4:$E$40=$AN$9)*($LY$6:$LY$42=1))&gt;0)</f>
        <v>0</v>
      </c>
      <c r="MA9">
        <f>$MA$8+--($LZ9)</f>
        <v>3</v>
      </c>
      <c r="MB9" t="str">
        <f t="shared" si="112"/>
        <v/>
      </c>
      <c r="MC9">
        <f>IF(COUNTIF('Buyer Groups'!DG9:DL9,0)+COUNTIF('Buyer Groups'!DN9:EN9,0)&gt;0,0,1)</f>
        <v>1</v>
      </c>
      <c r="MD9" t="b">
        <f>IF($AS$9="",FALSE,SUMPRODUCT(('Final Calculation Sheet'!$C$4:$C$40=$AS$9)*($MC$6:$MC$42=1))&gt;0)</f>
        <v>1</v>
      </c>
      <c r="ME9">
        <f>$ME$8+--($MD9)</f>
        <v>6</v>
      </c>
      <c r="MF9">
        <f t="shared" si="113"/>
        <v>531</v>
      </c>
      <c r="MG9">
        <f>IF(COUNTIF('Buyer Groups'!DG9:DM9,0)+COUNTIF('Buyer Groups'!DO9:EN9,0)&gt;0,0,1)</f>
        <v>1</v>
      </c>
      <c r="MH9" t="b">
        <f>IF($AX$9="",FALSE,SUMPRODUCT(('Final Calculation Sheet'!$H$4:$H$40=$AX$9)*($MG$6:$MG$42=1))&gt;0)</f>
        <v>1</v>
      </c>
      <c r="MI9">
        <f>$MI$8+--($MH9)</f>
        <v>6</v>
      </c>
      <c r="MJ9">
        <f t="shared" si="114"/>
        <v>29502</v>
      </c>
      <c r="MK9">
        <f>IF(COUNTIF('Buyer Groups'!DG9:DN9,0)+COUNTIF('Buyer Groups'!DP9:EN9,0)&gt;0,0,1)</f>
        <v>1</v>
      </c>
      <c r="ML9" t="b">
        <f>IF($BC$9="",FALSE,SUMPRODUCT(('Final Calculation Sheet'!$I$4:$I$40=$BC$9)*($MK$6:$MK$42=1))&gt;0)</f>
        <v>1</v>
      </c>
      <c r="MM9">
        <f>$MM$8+--($ML9)</f>
        <v>6</v>
      </c>
      <c r="MN9">
        <f t="shared" si="115"/>
        <v>5310</v>
      </c>
      <c r="MO9">
        <f>IF(COUNTIF('Buyer Groups'!DG9:DO9,0)+COUNTIF('Buyer Groups'!DQ9:EN9,0)&gt;0,0,1)</f>
        <v>1</v>
      </c>
      <c r="MP9" t="b">
        <f>IF($BH$9="",FALSE,SUMPRODUCT(('Final Calculation Sheet'!$J$4:$J$40=$BH$9)*($MO$6:$MO$42=1))&gt;0)</f>
        <v>1</v>
      </c>
      <c r="MQ9">
        <f>$MQ$8+--($MP9)</f>
        <v>6</v>
      </c>
      <c r="MR9">
        <f t="shared" si="116"/>
        <v>34812</v>
      </c>
      <c r="MS9">
        <f>IF(COUNTIF('Buyer Groups'!DG9:DP9,0)+COUNTIF('Buyer Groups'!DR9:EN9,0)&gt;0,0,1)</f>
        <v>1</v>
      </c>
      <c r="MT9" t="b">
        <f>IF($BM$9="",FALSE,SUMPRODUCT(('Final Calculation Sheet'!$K$4:$K$40=$BM$9)*($MS$6:$MS$42=1))&gt;0)</f>
        <v>1</v>
      </c>
      <c r="MU9">
        <f>$MU$8+--($MT9)</f>
        <v>6</v>
      </c>
      <c r="MV9">
        <f t="shared" si="117"/>
        <v>696</v>
      </c>
      <c r="MW9">
        <f>IF(COUNTIF('Buyer Groups'!DG9:DQ9,0)+COUNTIF('Buyer Groups'!DS9:EN9,0)&gt;0,0,1)</f>
        <v>1</v>
      </c>
      <c r="MX9" t="b">
        <f>IF($BR$9="",FALSE,SUMPRODUCT(('Final Calculation Sheet'!$L$4:$L$40=$BR$9)*($MW$6:$MW$42=1))&gt;0)</f>
        <v>1</v>
      </c>
      <c r="MY9">
        <f>$MY$8+--($MX9)</f>
        <v>6</v>
      </c>
      <c r="MZ9">
        <f t="shared" si="118"/>
        <v>29.501999999999999</v>
      </c>
      <c r="NA9">
        <f>IF(COUNTIF('Buyer Groups'!DG9:DR9,0)+COUNTIF('Buyer Groups'!DT9:EN9,0)&gt;0,0,1)</f>
        <v>1</v>
      </c>
      <c r="NB9" t="b">
        <f>IF($BW$9="",FALSE,SUMPRODUCT(('Final Calculation Sheet'!$M$4:$M$40=$BW$9)*($NA$6:$NA$42=1))&gt;0)</f>
        <v>1</v>
      </c>
      <c r="NC9">
        <f>$NC$8+--($NB9)</f>
        <v>6</v>
      </c>
      <c r="ND9">
        <f t="shared" si="119"/>
        <v>783.27809999999988</v>
      </c>
      <c r="NE9">
        <f>IF(COUNTIF('Buyer Groups'!DG9:DS9,0)+COUNTIF('Buyer Groups'!DU9:EN9,0)&gt;0,0,1)</f>
        <v>1</v>
      </c>
      <c r="NF9" t="b">
        <f>IF($CB$9="",FALSE,SUMPRODUCT(('Final Calculation Sheet'!$N$4:$N$40=$CB$9)*($NE$6:$NE$42=1))&gt;0)</f>
        <v>1</v>
      </c>
      <c r="NG9">
        <f>$NG$8+--($NF9)</f>
        <v>6</v>
      </c>
      <c r="NH9">
        <f t="shared" si="120"/>
        <v>13.2759</v>
      </c>
      <c r="NI9">
        <f>IF(COUNTIF('Buyer Groups'!DG9:DT9,0)+COUNTIF('Buyer Groups'!DV9:EN9,0)&gt;0,0,1)</f>
        <v>1</v>
      </c>
      <c r="NJ9" t="b">
        <f>IF($CG$9="",FALSE,SUMPRODUCT(('Final Calculation Sheet'!$O$4:$O$40=$CG$9)*($NI$6:$NI$42=1))&gt;0)</f>
        <v>1</v>
      </c>
      <c r="NK9">
        <f>$NK$8+--($NJ9)</f>
        <v>6</v>
      </c>
      <c r="NL9">
        <f t="shared" si="121"/>
        <v>770.0021999999999</v>
      </c>
      <c r="NM9">
        <f>IF(COUNTIF('Buyer Groups'!DG9:DU9,0)+COUNTIF('Buyer Groups'!DW9:EN9,0)&gt;0,0,1)</f>
        <v>1</v>
      </c>
      <c r="NN9" t="b">
        <f>IF($CL$9="",FALSE,SUMPRODUCT(('Final Calculation Sheet'!$P$4:$P$40=$CL$9)*($NM$6:$NM$42=1))&gt;0)</f>
        <v>1</v>
      </c>
      <c r="NO9">
        <f>$NO$8+--($NN9)</f>
        <v>6</v>
      </c>
      <c r="NP9">
        <f t="shared" si="122"/>
        <v>800</v>
      </c>
      <c r="NQ9">
        <f>IF(COUNTIF('Buyer Groups'!DG9:DV9,0)+COUNTIF('Buyer Groups'!DX9:EN9,0)&gt;0,0,1)</f>
        <v>1</v>
      </c>
      <c r="NR9" t="b">
        <f>IF($CQ$9="",FALSE,SUMPRODUCT(('Final Calculation Sheet'!$Q$4:$Q$40=$CQ$9)*($NQ$6:$NQ$42=1))&gt;0)</f>
        <v>0</v>
      </c>
      <c r="NS9">
        <f>$NS$8+--($NR9)</f>
        <v>2</v>
      </c>
      <c r="NT9" t="str">
        <f t="shared" si="123"/>
        <v/>
      </c>
      <c r="NU9">
        <f>IF(COUNTIF('Buyer Groups'!DG9:DW9,0)+COUNTIF('Buyer Groups'!DY9:EN9,0)&gt;0,0,1)</f>
        <v>1</v>
      </c>
      <c r="NV9" t="b">
        <f>IF($CV$9="",FALSE,SUMPRODUCT(('Final Calculation Sheet'!$R$4:$R$40=$CV$9)*($NU$6:$NU$42=1))&gt;0)</f>
        <v>0</v>
      </c>
      <c r="NW9">
        <f>$NW$8+--($NV9)</f>
        <v>5</v>
      </c>
      <c r="NX9" t="str">
        <f t="shared" si="124"/>
        <v/>
      </c>
      <c r="NY9">
        <f>IF(COUNTIF('Buyer Groups'!DG9:DX9,0)+COUNTIF('Buyer Groups'!DZ9:EN9,0)&gt;0,0,1)</f>
        <v>1</v>
      </c>
      <c r="NZ9" t="b">
        <f>IF($DA$9="",FALSE,SUMPRODUCT(('Final Calculation Sheet'!$S$4:$S$40=$DA$9)*($NY$6:$NY$42=1))&gt;0)</f>
        <v>1</v>
      </c>
      <c r="OA9">
        <f>$OA$8+--($NZ9)</f>
        <v>6</v>
      </c>
      <c r="OB9">
        <f t="shared" si="125"/>
        <v>34709</v>
      </c>
      <c r="OC9">
        <f>IF(COUNTIF('Buyer Groups'!DG9:DY9,0)+COUNTIF('Buyer Groups'!EA9:EN9,0)&gt;0,0,1)</f>
        <v>1</v>
      </c>
      <c r="OD9" t="b">
        <f>IF($DF$9="",FALSE,SUMPRODUCT(('Final Calculation Sheet'!$T$4:$T$40=$DF$9)*($OC$6:$OC$42=1))&gt;0)</f>
        <v>1</v>
      </c>
      <c r="OE9">
        <f>$OE$8+--($OD9)</f>
        <v>6</v>
      </c>
      <c r="OF9">
        <f t="shared" si="126"/>
        <v>7376</v>
      </c>
      <c r="OG9">
        <f>IF(COUNTIF('Buyer Groups'!DG9:DZ9,0)+COUNTIF('Buyer Groups'!EB9:EN9,0)&gt;0,0,1)</f>
        <v>1</v>
      </c>
      <c r="OH9" t="b">
        <f>IF($DK$9="",FALSE,SUMPRODUCT(('Final Calculation Sheet'!$U$4:$U$40=$DK$9)*($OG$6:$OG$42=1))&gt;0)</f>
        <v>1</v>
      </c>
      <c r="OI9">
        <f>$OI$8+--($OH9)</f>
        <v>6</v>
      </c>
      <c r="OJ9">
        <f t="shared" si="127"/>
        <v>7376</v>
      </c>
      <c r="OK9">
        <f>IF(COUNTIF('Buyer Groups'!DG9:EA9,0)+COUNTIF('Buyer Groups'!EC9:EN9,0)&gt;0,0,1)</f>
        <v>1</v>
      </c>
      <c r="OL9" t="b">
        <f>IF($DP$9="",FALSE,SUMPRODUCT(('Final Calculation Sheet'!$V$4:$V$40=$DP$9)*($OK$6:$OK$42=1))&gt;0)</f>
        <v>1</v>
      </c>
      <c r="OM9">
        <f>$OM$8+--($OL9)</f>
        <v>6</v>
      </c>
      <c r="ON9" t="str">
        <f t="shared" si="128"/>
        <v>24.08.2026</v>
      </c>
      <c r="OO9">
        <f>IF(COUNTIF('Buyer Groups'!DG9:EB9,0)+COUNTIF('Buyer Groups'!ED9:EN9,0)&gt;0,0,1)</f>
        <v>1</v>
      </c>
      <c r="OP9" t="b">
        <f>IF($DU$9="",FALSE,SUMPRODUCT(('Final Calculation Sheet'!$W$4:$W$40=$DU$9)*($OO$6:$OO$42=1))&gt;0)</f>
        <v>1</v>
      </c>
      <c r="OQ9">
        <f>$OQ$8+--($OP9)</f>
        <v>6</v>
      </c>
      <c r="OR9">
        <f t="shared" si="129"/>
        <v>27334</v>
      </c>
      <c r="OS9">
        <f>IF(COUNTIF('Buyer Groups'!DG9:EC9,0)+COUNTIF('Buyer Groups'!EE9:EN9,0)&gt;0,0,1)</f>
        <v>1</v>
      </c>
      <c r="OT9" t="e">
        <f>IF($DZ$9="",FALSE,SUMPRODUCT(('Final Calculation Sheet'!$X$4:$X$40=$DZ$9)*($OS$6:$OS$42=1))&gt;0)</f>
        <v>#N/A</v>
      </c>
      <c r="OU9" t="e">
        <f>$OU$8+--($OT9)</f>
        <v>#N/A</v>
      </c>
      <c r="OV9" t="e">
        <f t="shared" si="130"/>
        <v>#N/A</v>
      </c>
      <c r="OW9">
        <f>IF(COUNTIF('Buyer Groups'!DG9:ED9,0)+COUNTIF('Buyer Groups'!EF9:EN9,0)&gt;0,0,1)</f>
        <v>1</v>
      </c>
      <c r="OX9" t="e">
        <f>IF($EE$9="",FALSE,SUMPRODUCT(('Final Calculation Sheet'!$Y$4:$Y$40=$EE$9)*($OW$6:$OW$42=1))&gt;0)</f>
        <v>#N/A</v>
      </c>
      <c r="OY9" t="e">
        <f>$OY$8+--($OX9)</f>
        <v>#N/A</v>
      </c>
      <c r="OZ9" t="e">
        <f t="shared" si="131"/>
        <v>#N/A</v>
      </c>
      <c r="PA9">
        <f>IF(COUNTIF('Buyer Groups'!DG9:EE9,0)+COUNTIF('Buyer Groups'!EG9:EN9,0)&gt;0,0,1)</f>
        <v>1</v>
      </c>
      <c r="PB9" t="b">
        <f ca="1">IF($EJ$9="",FALSE,SUMPRODUCT(('Final Calculation Sheet'!$Z$4:$Z$40=$EJ$9)*($PA$6:$PA$42=1))&gt;0)</f>
        <v>1</v>
      </c>
      <c r="PC9">
        <f ca="1">$PC$8+--($PB9)</f>
        <v>6</v>
      </c>
      <c r="PD9">
        <f t="shared" ca="1" si="132"/>
        <v>991.27079999999989</v>
      </c>
      <c r="PE9">
        <f>IF(COUNTIF('Buyer Groups'!DG9:EF9,0)+COUNTIF('Buyer Groups'!EH9:EN9,0)&gt;0,0,1)</f>
        <v>1</v>
      </c>
      <c r="PF9" t="e">
        <f>IF($EO$9="",FALSE,SUMPRODUCT(('Final Calculation Sheet'!$AA$4:$AA$40=$EO$9)*($PE$6:$PE$42=1))&gt;0)</f>
        <v>#N/A</v>
      </c>
      <c r="PG9" t="e">
        <f>$PG$8+--($PF9)</f>
        <v>#N/A</v>
      </c>
      <c r="PH9" t="e">
        <f t="shared" si="133"/>
        <v>#N/A</v>
      </c>
      <c r="PI9">
        <f>IF(COUNTIF('Buyer Groups'!DG9:EG9,0)+COUNTIF('Buyer Groups'!EI9:EN9,0)&gt;0,0,1)</f>
        <v>1</v>
      </c>
      <c r="PJ9" t="e">
        <f>IF($ET$9="",FALSE,SUMPRODUCT(('Final Calculation Sheet'!$AB$4:$AB$40=$ET$9)*($PI$6:$PI$42=1))&gt;0)</f>
        <v>#N/A</v>
      </c>
      <c r="PK9" t="e">
        <f>$PK$8+--($PJ9)</f>
        <v>#N/A</v>
      </c>
      <c r="PL9" t="e">
        <f t="shared" si="134"/>
        <v>#N/A</v>
      </c>
      <c r="PM9">
        <f>IF(COUNTIF('Buyer Groups'!DG9:EH9,0)+COUNTIF('Buyer Groups'!EJ9:EN9,0)&gt;0,0,1)</f>
        <v>1</v>
      </c>
      <c r="PN9" t="b">
        <f>IF($EY$9="",FALSE,SUMPRODUCT(('Final Calculation Sheet'!$AC$4:$AC$40=$EY$9)*($PM$6:$PM$42=1))&gt;0)</f>
        <v>1</v>
      </c>
      <c r="PO9">
        <f>$PO$8+--($PN9)</f>
        <v>6</v>
      </c>
      <c r="PP9">
        <f t="shared" si="135"/>
        <v>32944</v>
      </c>
      <c r="PQ9">
        <f>IF(COUNTIF('Buyer Groups'!DG9:EI9,0)+COUNTIF('Buyer Groups'!EK9:EN9,0)&gt;0,0,1)</f>
        <v>1</v>
      </c>
      <c r="PR9" t="b">
        <f>IF($FD$9="",FALSE,SUMPRODUCT(('Final Calculation Sheet'!$AD$4:$AD$40=$FD$9)*($PQ$6:$PQ$42=1))&gt;0)</f>
        <v>1</v>
      </c>
      <c r="PS9">
        <f>$PS$8+--($PR9)</f>
        <v>6</v>
      </c>
      <c r="PT9">
        <f t="shared" si="136"/>
        <v>-0.90570838935673237</v>
      </c>
      <c r="PU9">
        <f>IF(COUNTIF('Buyer Groups'!DG9:EJ9,0)+COUNTIF('Buyer Groups'!EL9:EN9,0)&gt;0,0,1)</f>
        <v>1</v>
      </c>
      <c r="PV9" t="b">
        <f>IF($FX$9="",FALSE,SUMPRODUCT((IF('Final Calculation Sheet'!$AD$4:$AD$40&lt;=5,"SETTLED","OUTSTANDING")=$FX$9)*($PU$6:$PU$42=1))&gt;0)</f>
        <v>0</v>
      </c>
      <c r="PW9">
        <f>$PW$8+--($PV9)</f>
        <v>1</v>
      </c>
      <c r="PX9" t="str">
        <f t="shared" si="137"/>
        <v/>
      </c>
      <c r="PY9">
        <f>IF(COUNTIF('Buyer Groups'!DG9:EK9,0)+COUNTIF('Buyer Groups'!EM9:EN9,0)&gt;0,0,1)</f>
        <v>1</v>
      </c>
      <c r="PZ9" t="e">
        <f>IF($FI$9="",FALSE,SUMPRODUCT(('Final Calculation Sheet'!$AF$4:$AF$40=$FI$9)*($PY$6:$PY$42=1))&gt;0)</f>
        <v>#N/A</v>
      </c>
      <c r="QA9" t="e">
        <f>$QA$8+--($PZ9)</f>
        <v>#N/A</v>
      </c>
      <c r="QB9" t="e">
        <f t="shared" si="138"/>
        <v>#N/A</v>
      </c>
      <c r="QC9">
        <f>IF(COUNTIF('Buyer Groups'!DG9:EL9,0)+COUNTIF('Buyer Groups'!EN9:EN9,0)&gt;0,0,1)</f>
        <v>1</v>
      </c>
      <c r="QD9" t="e">
        <f>IF($FN$9="",FALSE,SUMPRODUCT(('Final Calculation Sheet'!$AG$4:$AG$40=$FN$9)*($QC$6:$QC$42=1))&gt;0)</f>
        <v>#N/A</v>
      </c>
      <c r="QE9" t="e">
        <f>$QE$8+--($QD9)</f>
        <v>#N/A</v>
      </c>
      <c r="QF9" t="e">
        <f t="shared" si="139"/>
        <v>#N/A</v>
      </c>
      <c r="QG9">
        <f>IF(COUNTIF('Buyer Groups'!DG9:EM9,0)&gt;0,0,1)</f>
        <v>1</v>
      </c>
      <c r="QH9" t="e">
        <f>IF($FS$9="",FALSE,SUMPRODUCT(('Final Calculation Sheet'!$AH$4:$AH$40=$FS$9)*($QG$6:$QG$42=1))&gt;0)</f>
        <v>#N/A</v>
      </c>
      <c r="QI9" t="e">
        <f>$QI$8+--($QH9)</f>
        <v>#N/A</v>
      </c>
      <c r="QJ9" t="e">
        <f t="shared" si="140"/>
        <v>#N/A</v>
      </c>
      <c r="QK9" t="str">
        <f>IF('Final Calculation Sheet'!$AH$9="","",'Final Calculation Sheet'!$AH$9)</f>
        <v>17.08.2026</v>
      </c>
      <c r="QL9">
        <f>IF(QK9="","",COUNTIFS(QK$4:QK$40,"&lt;"&amp;QK9,QK$4:QK$40,"&lt;&gt;"&amp;"")+COUNTIF(QK$4:QK9,QK9))</f>
        <v>12</v>
      </c>
      <c r="QM9" t="str">
        <f t="shared" si="141"/>
        <v>12.08.2026</v>
      </c>
      <c r="QN9" t="e">
        <f ca="1">QN8+F(AND(QM9&lt;&gt;"",COUNTIF(QM$4:QM9,QM9)=1),1,0)</f>
        <v>#N/A</v>
      </c>
      <c r="QO9" t="e">
        <f t="shared" si="142"/>
        <v>#N/A</v>
      </c>
      <c r="QP9">
        <f>IF(COUNTIF('Final Calculation Sheet'!$AM9:$BS9,0)&gt;0,0,1)</f>
        <v>1</v>
      </c>
      <c r="QQ9" t="b">
        <f>IF($AI$9="",FALSE,SUMPRODUCT(('Final Calculation Sheet'!$A$4:$A$40=$AI$9)*($QP$4:$QP$40=1))&gt;0)</f>
        <v>1</v>
      </c>
      <c r="QR9">
        <f t="shared" si="177"/>
        <v>6</v>
      </c>
      <c r="QS9">
        <f t="shared" si="143"/>
        <v>8.1999999999999993</v>
      </c>
      <c r="QT9">
        <f>IF(COUNTIF('Final Calculation Sheet'!$AL9:$AL9,0)+COUNTIF('Final Calculation Sheet'!$AN9:$BS9,0)&gt;0,0,1)</f>
        <v>1</v>
      </c>
      <c r="QU9" t="b">
        <f>IF($Y$9="",FALSE,SUMPRODUCT(('Final Calculation Sheet'!$B$4:$B$40=$Y$9)*($QT$4:$QT$40=1))&gt;0)</f>
        <v>1</v>
      </c>
      <c r="QV9">
        <f t="shared" si="178"/>
        <v>6</v>
      </c>
      <c r="QW9" t="str">
        <f t="shared" si="144"/>
        <v>Scrap of 132 KV CT</v>
      </c>
      <c r="QX9">
        <f>IF(COUNTIF('Final Calculation Sheet'!$AL9:$AM9,0)+COUNTIF('Final Calculation Sheet'!$AO9:$BS9,0)&gt;0,0,1)</f>
        <v>1</v>
      </c>
      <c r="QY9" t="b">
        <f>IF($AS$9="",FALSE,SUMPRODUCT(('Final Calculation Sheet'!$C$4:$C$40=$AS$9)*($QX$4:$QX$40=1))&gt;0)</f>
        <v>1</v>
      </c>
      <c r="QZ9">
        <f t="shared" si="179"/>
        <v>6</v>
      </c>
      <c r="RA9">
        <f t="shared" si="145"/>
        <v>531</v>
      </c>
      <c r="RB9">
        <f>IF(COUNTIF('Final Calculation Sheet'!$AL9:$AN9,0)+COUNTIF('Final Calculation Sheet'!$AP9:$BS9,0)&gt;0,0,1)</f>
        <v>1</v>
      </c>
      <c r="RC9" t="b">
        <f>IF($AD$9="",FALSE,SUMPRODUCT(('Final Calculation Sheet'!$D$4:$D$40=$AD$9)*($RB$4:$RB$40=1))&gt;0)</f>
        <v>0</v>
      </c>
      <c r="RD9">
        <f t="shared" si="180"/>
        <v>4</v>
      </c>
      <c r="RE9" t="str">
        <f t="shared" si="146"/>
        <v/>
      </c>
      <c r="RF9">
        <f>IF(COUNTIF('Final Calculation Sheet'!$AL9:$AO9,0)+COUNTIF('Final Calculation Sheet'!$AQ9:$BS9,0)&gt;0,0,1)</f>
        <v>1</v>
      </c>
      <c r="RG9" t="b">
        <f>IF($AN$9="",FALSE,SUMPRODUCT(('Final Calculation Sheet'!$E$4:$E$40=$AN$9)*($RF$4:$RF$40=1))&gt;0)</f>
        <v>0</v>
      </c>
      <c r="RH9">
        <f t="shared" si="181"/>
        <v>3</v>
      </c>
      <c r="RI9" t="str">
        <f t="shared" si="147"/>
        <v/>
      </c>
      <c r="RJ9">
        <f>IF(COUNTIF('Final Calculation Sheet'!$AL9:$AP9,0)+COUNTIF('Final Calculation Sheet'!$AR9:$BS9,0)&gt;0,0,1)</f>
        <v>1</v>
      </c>
      <c r="RK9" t="b">
        <f>IF($O$9="",FALSE,SUMPRODUCT(('Final Calculation Sheet'!$F$4:$F$40=$O$9)*($RJ$4:$RJ$40=1))&gt;0)</f>
        <v>1</v>
      </c>
      <c r="RL9">
        <f t="shared" si="182"/>
        <v>6</v>
      </c>
      <c r="RM9">
        <f t="shared" si="148"/>
        <v>1976</v>
      </c>
      <c r="RN9">
        <f>IF(COUNTIF('Final Calculation Sheet'!$AL9:$AQ9,0)+COUNTIF('Final Calculation Sheet'!$AS9:$BS9,0)&gt;0,0,1)</f>
        <v>1</v>
      </c>
      <c r="RO9" t="b">
        <f>IF($T$9="",FALSE,SUMPRODUCT(('Final Calculation Sheet'!$G$4:$G$40=$T$9)*($RN$4:$RN$40=1))&gt;0)</f>
        <v>1</v>
      </c>
      <c r="RP9">
        <f t="shared" si="183"/>
        <v>6</v>
      </c>
      <c r="RQ9" t="str">
        <f t="shared" si="149"/>
        <v>NATIONAL ENTERPRISES</v>
      </c>
      <c r="RR9">
        <f>IF(COUNTIF('Final Calculation Sheet'!$AL9:$AR9,0)+COUNTIF('Final Calculation Sheet'!$AT9:$BS9,0)&gt;0,0,1)</f>
        <v>1</v>
      </c>
      <c r="RS9" t="b">
        <f>IF($AX$9="",FALSE,SUMPRODUCT(('Final Calculation Sheet'!$H$4:$H$40=$AX$9)*($RR$4:$RR$40=1))&gt;0)</f>
        <v>1</v>
      </c>
      <c r="RT9">
        <f t="shared" si="184"/>
        <v>6</v>
      </c>
      <c r="RU9">
        <f t="shared" si="150"/>
        <v>29502</v>
      </c>
      <c r="RV9">
        <f>IF(COUNTIF('Final Calculation Sheet'!$AL9:$AS9,0)+COUNTIF('Final Calculation Sheet'!$AU9:$BS9,0)&gt;0,0,1)</f>
        <v>1</v>
      </c>
      <c r="RW9" t="b">
        <f>IF($BC$9="",FALSE,SUMPRODUCT(('Final Calculation Sheet'!$I$4:$I$40=$BC$9)*($RV$4:$RV$40=1))&gt;0)</f>
        <v>1</v>
      </c>
      <c r="RX9">
        <f t="shared" si="185"/>
        <v>6</v>
      </c>
      <c r="RY9">
        <f t="shared" si="151"/>
        <v>5310</v>
      </c>
      <c r="RZ9">
        <f>IF(COUNTIF('Final Calculation Sheet'!$AL9:$AT9,0)+COUNTIF('Final Calculation Sheet'!$AV9:$BS9,0)&gt;0,0,1)</f>
        <v>1</v>
      </c>
      <c r="SA9" t="b">
        <f>IF($BH$9="",FALSE,SUMPRODUCT(('Final Calculation Sheet'!$J$4:$J$40=$BH$9)*($RZ$4:$RZ$40=1))&gt;0)</f>
        <v>1</v>
      </c>
      <c r="SB9">
        <f t="shared" si="186"/>
        <v>6</v>
      </c>
      <c r="SC9">
        <f t="shared" si="152"/>
        <v>34812</v>
      </c>
      <c r="SD9">
        <f>IF(COUNTIF('Final Calculation Sheet'!$AL9:$AU9,0)+COUNTIF('Final Calculation Sheet'!$AW9:$BS9,0)&gt;0,0,1)</f>
        <v>1</v>
      </c>
      <c r="SE9" t="b">
        <f>IF($BM$9="",FALSE,SUMPRODUCT(('Final Calculation Sheet'!$K$4:$K$40=$BM$9)*($SD$4:$SD$40=1))&gt;0)</f>
        <v>1</v>
      </c>
      <c r="SF9">
        <f t="shared" si="187"/>
        <v>6</v>
      </c>
      <c r="SG9">
        <f t="shared" si="153"/>
        <v>696</v>
      </c>
      <c r="SH9">
        <f>IF(COUNTIF('Final Calculation Sheet'!$AL9:$AV9,0)+COUNTIF('Final Calculation Sheet'!$AX9:$BS9,0)&gt;0,0,1)</f>
        <v>1</v>
      </c>
      <c r="SI9" t="b">
        <f>IF($BR$9="",FALSE,SUMPRODUCT(('Final Calculation Sheet'!$L$4:$L$40=$BR$9)*($SH$4:$SH$40=1))&gt;0)</f>
        <v>1</v>
      </c>
      <c r="SJ9">
        <f t="shared" si="188"/>
        <v>6</v>
      </c>
      <c r="SK9">
        <f t="shared" si="154"/>
        <v>29.501999999999999</v>
      </c>
      <c r="SL9">
        <f>IF(COUNTIF('Final Calculation Sheet'!$AL9:$AW9,0)+COUNTIF('Final Calculation Sheet'!$AY9:$BS9,0)&gt;0,0,1)</f>
        <v>1</v>
      </c>
      <c r="SM9" t="b">
        <f>IF($BW$9="",FALSE,SUMPRODUCT(('Final Calculation Sheet'!$M$4:$M$40=$BW$9)*($SL$4:$SL$40=1))&gt;0)</f>
        <v>1</v>
      </c>
      <c r="SN9">
        <f t="shared" si="189"/>
        <v>6</v>
      </c>
      <c r="SO9">
        <f t="shared" si="155"/>
        <v>783.27809999999988</v>
      </c>
      <c r="SP9">
        <f>IF(COUNTIF('Final Calculation Sheet'!$AL9:$AX9,0)+COUNTIF('Final Calculation Sheet'!$AZ9:$BS9,0)&gt;0,0,1)</f>
        <v>1</v>
      </c>
      <c r="SQ9" t="b">
        <f>IF($CB$9="",FALSE,SUMPRODUCT(('Final Calculation Sheet'!$N$4:$N$40=$CB$9)*($SP$4:$SP$40=1))&gt;0)</f>
        <v>1</v>
      </c>
      <c r="SR9">
        <f t="shared" si="190"/>
        <v>6</v>
      </c>
      <c r="SS9">
        <f t="shared" si="156"/>
        <v>13.2759</v>
      </c>
      <c r="ST9">
        <f>IF(COUNTIF('Final Calculation Sheet'!$AL9:$AY9,0)+COUNTIF('Final Calculation Sheet'!$BA9:$BS9,0)&gt;0,0,1)</f>
        <v>1</v>
      </c>
      <c r="SU9" t="b">
        <f>IF($CG$9="",FALSE,SUMPRODUCT(('Final Calculation Sheet'!$O$4:$O$40=$CG$9)*($ST$4:$ST$40=1))&gt;0)</f>
        <v>1</v>
      </c>
      <c r="SV9">
        <f t="shared" si="191"/>
        <v>6</v>
      </c>
      <c r="SW9">
        <f t="shared" si="157"/>
        <v>770.0021999999999</v>
      </c>
      <c r="SX9">
        <f>IF(COUNTIF('Final Calculation Sheet'!$AL9:$AZ9,0)+COUNTIF('Final Calculation Sheet'!$BB9:$BS9,0)&gt;0,0,1)</f>
        <v>1</v>
      </c>
      <c r="SY9" t="b">
        <f>IF($CL$9="",FALSE,SUMPRODUCT(('Final Calculation Sheet'!$P$4:$P$40=$CL$9)*($SX$4:$SX$40=1))&gt;0)</f>
        <v>1</v>
      </c>
      <c r="SZ9">
        <f t="shared" si="192"/>
        <v>6</v>
      </c>
      <c r="TA9">
        <f t="shared" si="158"/>
        <v>800</v>
      </c>
      <c r="TB9">
        <f>IF(COUNTIF('Final Calculation Sheet'!$AL9:$BA9,0)+COUNTIF('Final Calculation Sheet'!$BC9:$BS9,0)&gt;0,0,1)</f>
        <v>1</v>
      </c>
      <c r="TC9" t="b">
        <f>IF($CQ$9="",FALSE,SUMPRODUCT(('Final Calculation Sheet'!$Q$4:$Q$40=$CQ$9)*($TB$4:$TB$40=1))&gt;0)</f>
        <v>0</v>
      </c>
      <c r="TD9">
        <f t="shared" si="193"/>
        <v>2</v>
      </c>
      <c r="TE9" t="str">
        <f t="shared" si="159"/>
        <v/>
      </c>
      <c r="TF9">
        <f>IF(COUNTIF('Final Calculation Sheet'!$AL9:$BB9,0)+COUNTIF('Final Calculation Sheet'!$BD9:$BS9,0)&gt;0,0,1)</f>
        <v>1</v>
      </c>
      <c r="TG9" t="b">
        <f>IF($CV$9="",FALSE,SUMPRODUCT(('Final Calculation Sheet'!$R$4:$R$40=$CV$9)*($TF$4:$TF$40=1))&gt;0)</f>
        <v>0</v>
      </c>
      <c r="TH9">
        <f t="shared" si="194"/>
        <v>5</v>
      </c>
      <c r="TI9" t="str">
        <f t="shared" si="160"/>
        <v/>
      </c>
      <c r="TJ9">
        <f>IF(COUNTIF('Final Calculation Sheet'!$AL9:$BC9,0)+COUNTIF('Final Calculation Sheet'!$BE9:$BS9,0)&gt;0,0,1)</f>
        <v>1</v>
      </c>
      <c r="TK9" t="b">
        <f>IF($DA$9="",FALSE,SUMPRODUCT(('Final Calculation Sheet'!$S$4:$S$40=$DA$9)*($TJ$4:$TJ$40=1))&gt;0)</f>
        <v>1</v>
      </c>
      <c r="TL9">
        <f t="shared" si="195"/>
        <v>6</v>
      </c>
      <c r="TM9">
        <f t="shared" si="161"/>
        <v>34709</v>
      </c>
      <c r="TN9">
        <f>IF(COUNTIF('Final Calculation Sheet'!$AL9:$BD9,0)+COUNTIF('Final Calculation Sheet'!$BF9:$BS9,0)&gt;0,0,1)</f>
        <v>1</v>
      </c>
      <c r="TO9" t="b">
        <f>IF($DF$9="",FALSE,SUMPRODUCT(('Final Calculation Sheet'!$T$4:$T$40=$DF$9)*($TN$4:$TN$40=1))&gt;0)</f>
        <v>1</v>
      </c>
      <c r="TP9">
        <f t="shared" si="196"/>
        <v>6</v>
      </c>
      <c r="TQ9">
        <f t="shared" si="162"/>
        <v>7376</v>
      </c>
      <c r="TR9">
        <f>IF(COUNTIF('Final Calculation Sheet'!$AL9:$BE9,0)+COUNTIF('Final Calculation Sheet'!$BG9:$BS9,0)&gt;0,0,1)</f>
        <v>1</v>
      </c>
      <c r="TS9" t="b">
        <f>IF($DK$9="",FALSE,SUMPRODUCT(('Final Calculation Sheet'!$U$4:$U$40=$DK$9)*($TR$4:$TR$40=1))&gt;0)</f>
        <v>1</v>
      </c>
      <c r="TT9">
        <f t="shared" si="197"/>
        <v>6</v>
      </c>
      <c r="TU9">
        <f t="shared" si="163"/>
        <v>7376</v>
      </c>
      <c r="TV9">
        <f>IF(COUNTIF('Final Calculation Sheet'!$AL9:$BF9,0)+COUNTIF('Final Calculation Sheet'!$BH9:$BS9,0)&gt;0,0,1)</f>
        <v>1</v>
      </c>
      <c r="TW9" t="b">
        <f>IF($DP$9="",FALSE,SUMPRODUCT(('Final Calculation Sheet'!$V$4:$V$40=$DP$9)*($TV$4:$TV$40=1))&gt;0)</f>
        <v>1</v>
      </c>
      <c r="TX9">
        <f t="shared" si="198"/>
        <v>6</v>
      </c>
      <c r="TY9" t="str">
        <f t="shared" si="164"/>
        <v>24.08.2026</v>
      </c>
      <c r="TZ9">
        <f>IF(COUNTIF('Final Calculation Sheet'!$AL9:$BG9,0)+COUNTIF('Final Calculation Sheet'!$BI9:$BS9,0)&gt;0,0,1)</f>
        <v>1</v>
      </c>
      <c r="UA9" t="b">
        <f>IF($DU$9="",FALSE,SUMPRODUCT(('Final Calculation Sheet'!$W$4:$W$40=$DU$9)*($TZ$4:$TZ$40=1))&gt;0)</f>
        <v>1</v>
      </c>
      <c r="UB9">
        <f t="shared" si="199"/>
        <v>6</v>
      </c>
      <c r="UC9">
        <f t="shared" si="165"/>
        <v>27334</v>
      </c>
      <c r="UD9">
        <f>IF(COUNTIF('Final Calculation Sheet'!$AL9:$BH9,0)+COUNTIF('Final Calculation Sheet'!$BJ9:$BS9,0)&gt;0,0,1)</f>
        <v>1</v>
      </c>
      <c r="UE9" t="e">
        <f>IF($DZ$9="",FALSE,SUMPRODUCT(('Final Calculation Sheet'!$X$4:$X$40=$DZ$9)*($UD$4:$UD$40=1))&gt;0)</f>
        <v>#N/A</v>
      </c>
      <c r="UF9" t="e">
        <f t="shared" si="200"/>
        <v>#N/A</v>
      </c>
      <c r="UG9" t="e">
        <f t="shared" si="166"/>
        <v>#N/A</v>
      </c>
      <c r="UH9">
        <f>IF(COUNTIF('Final Calculation Sheet'!$AL9:$BI9,0)+COUNTIF('Final Calculation Sheet'!$BK9:$BS9,0)&gt;0,0,1)</f>
        <v>1</v>
      </c>
      <c r="UI9" t="e">
        <f>IF($EE$9="",FALSE,SUMPRODUCT(('Final Calculation Sheet'!$Y$4:$Y$40=$EE$9)*($UH$4:$UH$40=1))&gt;0)</f>
        <v>#N/A</v>
      </c>
      <c r="UJ9" t="e">
        <f t="shared" si="201"/>
        <v>#N/A</v>
      </c>
      <c r="UK9" t="e">
        <f t="shared" si="167"/>
        <v>#N/A</v>
      </c>
      <c r="UL9">
        <f>IF(COUNTIF('Final Calculation Sheet'!$AL9:$BJ9,0)+COUNTIF('Final Calculation Sheet'!$BL9:$BS9,0)&gt;0,0,1)</f>
        <v>1</v>
      </c>
      <c r="UM9" t="b">
        <f ca="1">IF($EJ$9="",FALSE,SUMPRODUCT(('Final Calculation Sheet'!$Z$4:$Z$40=$EJ$9)*($UL$4:$UL$40=1))&gt;0)</f>
        <v>1</v>
      </c>
      <c r="UN9">
        <f t="shared" ca="1" si="202"/>
        <v>6</v>
      </c>
      <c r="UO9">
        <f t="shared" ca="1" si="168"/>
        <v>991.27079999999989</v>
      </c>
      <c r="UP9">
        <f>IF(COUNTIF('Final Calculation Sheet'!$AL9:$BK9,0)+COUNTIF('Final Calculation Sheet'!$BM9:$BS9,0)&gt;0,0,1)</f>
        <v>1</v>
      </c>
      <c r="UQ9" t="e">
        <f>IF($EO$9="",FALSE,SUMPRODUCT(('Final Calculation Sheet'!$AA$4:$AA$40=$EO$9)*($UP$4:$UP$40=1))&gt;0)</f>
        <v>#N/A</v>
      </c>
      <c r="UR9" t="e">
        <f t="shared" si="203"/>
        <v>#N/A</v>
      </c>
      <c r="US9" t="e">
        <f t="shared" si="169"/>
        <v>#N/A</v>
      </c>
      <c r="UT9">
        <f>IF(COUNTIF('Final Calculation Sheet'!$AL9:$BL9,0)+COUNTIF('Final Calculation Sheet'!$BN9:$BS9,0)&gt;0,0,1)</f>
        <v>1</v>
      </c>
      <c r="UU9" t="e">
        <f>IF($ET$9="",FALSE,SUMPRODUCT(('Final Calculation Sheet'!$AB$4:$AB$40=$ET$9)*($UT$4:$UT$40=1))&gt;0)</f>
        <v>#N/A</v>
      </c>
      <c r="UV9" t="e">
        <f t="shared" si="204"/>
        <v>#N/A</v>
      </c>
      <c r="UW9" t="e">
        <f t="shared" si="170"/>
        <v>#N/A</v>
      </c>
      <c r="UX9">
        <f>IF(COUNTIF('Final Calculation Sheet'!$AL9:$BM9,0)+COUNTIF('Final Calculation Sheet'!$BO9:$BS9,0)&gt;0,0,1)</f>
        <v>1</v>
      </c>
      <c r="UY9" t="b">
        <f>IF($EY$9="",FALSE,SUMPRODUCT(('Final Calculation Sheet'!$AC$4:$AC$40=$EY$9)*($UX$4:$UX$40=1))&gt;0)</f>
        <v>1</v>
      </c>
      <c r="UZ9">
        <f t="shared" si="205"/>
        <v>6</v>
      </c>
      <c r="VA9">
        <f t="shared" si="171"/>
        <v>32944</v>
      </c>
      <c r="VB9">
        <f>IF(COUNTIF('Final Calculation Sheet'!$AL9:$BN9,0)+COUNTIF('Final Calculation Sheet'!$BP9:$BS9,0)&gt;0,0,1)</f>
        <v>1</v>
      </c>
      <c r="VC9" t="b">
        <f>IF($FD$9="",FALSE,SUMPRODUCT(('Final Calculation Sheet'!$AD$4:$AD$40=$FD$9)*($VB$4:$VB$40=1))&gt;0)</f>
        <v>1</v>
      </c>
      <c r="VD9">
        <f t="shared" si="206"/>
        <v>6</v>
      </c>
      <c r="VE9">
        <f t="shared" si="172"/>
        <v>-0.90570838935673237</v>
      </c>
      <c r="VF9">
        <f>IF(COUNTIF('Final Calculation Sheet'!$AL9:$BO9,0)+COUNTIF('Final Calculation Sheet'!$BQ9:$BS9,0)&gt;0,0,1)</f>
        <v>1</v>
      </c>
      <c r="VG9" t="e">
        <f>IF($FI$9="",FALSE,SUMPRODUCT(('Final Calculation Sheet'!$AE$4:$AE$40=$FI$9)*($VF$4:$VF$40=1))&gt;0)</f>
        <v>#N/A</v>
      </c>
      <c r="VH9" t="e">
        <f t="shared" si="207"/>
        <v>#N/A</v>
      </c>
      <c r="VI9" t="e">
        <f t="shared" si="173"/>
        <v>#N/A</v>
      </c>
      <c r="VJ9">
        <f>IF(COUNTIF('Final Calculation Sheet'!$AL9:$BP9,0)+COUNTIF('Final Calculation Sheet'!$BR9:$BS9,0)&gt;0,0,1)</f>
        <v>1</v>
      </c>
      <c r="VK9" t="e">
        <f>IF($FN$9="",FALSE,SUMPRODUCT(('Final Calculation Sheet'!$AF$4:$AF$40=$FN$9)*($VJ$4:$VJ$40=1))&gt;0)</f>
        <v>#N/A</v>
      </c>
      <c r="VL9" t="e">
        <f t="shared" si="208"/>
        <v>#N/A</v>
      </c>
      <c r="VM9" t="e">
        <f t="shared" si="174"/>
        <v>#N/A</v>
      </c>
      <c r="VN9">
        <f>IF(COUNTIF('Final Calculation Sheet'!$AL9:$BQ9,0)+COUNTIF('Final Calculation Sheet'!$BS9:$BS9,0)&gt;0,0,1)</f>
        <v>1</v>
      </c>
      <c r="VO9" t="e">
        <f>IF($FS$9="",FALSE,SUMPRODUCT(('Final Calculation Sheet'!$AG$4:$AG$40=$FS$9)*($VN$4:$VN$40=1))&gt;0)</f>
        <v>#N/A</v>
      </c>
      <c r="VP9" t="e">
        <f t="shared" si="209"/>
        <v>#N/A</v>
      </c>
      <c r="VQ9" t="e">
        <f t="shared" si="175"/>
        <v>#N/A</v>
      </c>
      <c r="VR9">
        <f>IF(COUNTIF('Final Calculation Sheet'!$AL9:$BR9,0)&gt;0,0,1)</f>
        <v>1</v>
      </c>
      <c r="VS9" t="e">
        <f>IF($QO$9="",FALSE,SUMPRODUCT(('Final Calculation Sheet'!$AH$4:$AH$40=$QO$9)*($VR$4:$VR$40=1))&gt;0)</f>
        <v>#N/A</v>
      </c>
      <c r="VT9" t="e">
        <f t="shared" si="210"/>
        <v>#N/A</v>
      </c>
      <c r="VU9" t="e">
        <f t="shared" si="176"/>
        <v>#N/A</v>
      </c>
    </row>
    <row r="10" spans="1:593" x14ac:dyDescent="0.3">
      <c r="A10">
        <f>IF('Final Calculation Sheet'!$F$10="","",'Final Calculation Sheet'!$F$10)</f>
        <v>2002</v>
      </c>
      <c r="B10">
        <f>IF(A10="","",COUNTIFS(A$4:A$114,"&lt;"&amp;A10,A$4:A$114,"&lt;&gt;"&amp;"")+COUNTIF(A$4:A10,A10))</f>
        <v>7</v>
      </c>
      <c r="C10">
        <f t="shared" si="0"/>
        <v>2002</v>
      </c>
      <c r="D10">
        <f>D9+IF(AND(C10&lt;&gt;"",COUNTIF(C$4:C10,C10)=1),1,0)</f>
        <v>7</v>
      </c>
      <c r="E10" t="e">
        <f t="shared" si="1"/>
        <v>#N/A</v>
      </c>
      <c r="F10">
        <f t="shared" si="2"/>
        <v>7</v>
      </c>
      <c r="G10">
        <f>IF(F10="","",COUNTIFS(F$4:F$40,"&lt;"&amp;F10,F$4:F$40,"&lt;&gt;"&amp;"")+COUNTIF(F$4:F10,F10))</f>
        <v>7</v>
      </c>
      <c r="H10">
        <f t="shared" si="3"/>
        <v>7</v>
      </c>
      <c r="I10">
        <f>I9+IF(AND(H10&lt;&gt;"",COUNTIF(H$4:H10,H10)=1),1,0)</f>
        <v>7</v>
      </c>
      <c r="J10">
        <f t="shared" si="4"/>
        <v>7</v>
      </c>
      <c r="K10">
        <f>IF('Final Calculation Sheet'!$F$10="","",'Final Calculation Sheet'!$F$10)</f>
        <v>2002</v>
      </c>
      <c r="L10">
        <f>IF(K10="","",COUNTIFS(K$4:K$40,"&lt;"&amp;K10,K$4:K$40,"&lt;&gt;"&amp;"")+COUNTIF(K$4:K10,K10))</f>
        <v>7</v>
      </c>
      <c r="M10">
        <f t="shared" si="5"/>
        <v>2002</v>
      </c>
      <c r="N10">
        <f>N9+IF(AND(M10&lt;&gt;"",COUNTIF(M$4:M10,M10)=1),1,0)</f>
        <v>7</v>
      </c>
      <c r="O10">
        <f t="shared" si="6"/>
        <v>2002</v>
      </c>
      <c r="P10" t="str">
        <f>IF('Final Calculation Sheet'!$G$10="","",'Final Calculation Sheet'!$G$10)</f>
        <v>NATIONAL ENTERPRISES</v>
      </c>
      <c r="Q10">
        <f>IF(P10="","",COUNTIFS(P$4:P$40,"&lt;"&amp;P10,P$4:P$40,"&lt;&gt;"&amp;"")+COUNTIF(P$4:P10,P10))</f>
        <v>8</v>
      </c>
      <c r="R10" t="str">
        <f t="shared" si="7"/>
        <v>NATIONAL ENTERPRISES</v>
      </c>
      <c r="S10">
        <f>S9+IF(AND(R10&lt;&gt;"",COUNTIF(R$4:R10,R10)=1),1,0)</f>
        <v>6</v>
      </c>
      <c r="T10" t="str">
        <f t="shared" si="8"/>
        <v>NATIONAL SCRAP AND BUILDING MATERIAL SUPPLIER</v>
      </c>
      <c r="U10" t="str">
        <f>IF('Final Calculation Sheet'!$B$10="","",'Final Calculation Sheet'!$B$10)</f>
        <v>Scrap of 132 KV CT</v>
      </c>
      <c r="V10">
        <f>IF(U10="","",COUNTIFS(U$4:U$40,"&lt;"&amp;U10,U$4:U$40,"&lt;&gt;"&amp;"")+COUNTIF(U$4:U10,U10))</f>
        <v>6</v>
      </c>
      <c r="W10" t="str">
        <f t="shared" si="9"/>
        <v>Scrap of 132 KV CT</v>
      </c>
      <c r="X10">
        <f>X9+IF(AND(W10&lt;&gt;"",COUNTIF(W$4:W10,W10)=1),1,0)</f>
        <v>6</v>
      </c>
      <c r="Y10" t="str">
        <f t="shared" si="10"/>
        <v>Scrap of 132 KV Wave Trap</v>
      </c>
      <c r="Z10">
        <f>IF('Final Calculation Sheet'!$D$10="","",'Final Calculation Sheet'!$D$10)</f>
        <v>21977</v>
      </c>
      <c r="AA10">
        <f>IF(Z10="","",COUNTIFS(Z$4:Z$40,"&lt;"&amp;Z10,Z$4:Z$40,"&lt;&gt;"&amp;"")+COUNTIF(Z$4:Z10,Z10))</f>
        <v>5</v>
      </c>
      <c r="AB10">
        <f t="shared" si="11"/>
        <v>21977</v>
      </c>
      <c r="AC10">
        <f>AC9+IF(AND(AB10&lt;&gt;"",COUNTIF(AB$4:AB10,AB10)=1),1,0)</f>
        <v>1</v>
      </c>
      <c r="AD10" t="str">
        <f t="shared" si="12"/>
        <v/>
      </c>
      <c r="AE10">
        <f>IF('Final Calculation Sheet'!$A$10="","",'Final Calculation Sheet'!$A$10)</f>
        <v>4</v>
      </c>
      <c r="AF10">
        <f>IF(AE10="","",COUNTIFS(AE$4:AE$40,"&lt;"&amp;AE10,AE$4:AE$40,"&lt;&gt;"&amp;"")+COUNTIF(AE$4:AE10,AE10))</f>
        <v>19</v>
      </c>
      <c r="AG10">
        <f t="shared" si="13"/>
        <v>1</v>
      </c>
      <c r="AH10">
        <f>AH9+IF(AND(AG10&lt;&gt;"",COUNTIF(AG$4:AG10,AG10)=1),1,0)</f>
        <v>1</v>
      </c>
      <c r="AI10">
        <f t="shared" si="14"/>
        <v>22</v>
      </c>
      <c r="AJ10" t="str">
        <f>IF('Final Calculation Sheet'!$E$10="","",'Final Calculation Sheet'!$E$10)</f>
        <v>NO</v>
      </c>
      <c r="AK10">
        <f>IF(AJ10="","",COUNTIFS(AJ$4:AJ$40,"&lt;"&amp;AJ10,AJ$4:AJ$40,"&lt;&gt;"&amp;"")+COUNTIF(AJ$4:AJ10,AJ10))</f>
        <v>10</v>
      </c>
      <c r="AL10" t="str">
        <f t="shared" si="15"/>
        <v>MT</v>
      </c>
      <c r="AM10">
        <f>AM9+IF(AND(AL10&lt;&gt;"",COUNTIF(AL$4:AL10,AL10)=1),1,0)</f>
        <v>2</v>
      </c>
      <c r="AN10" t="str">
        <f t="shared" si="16"/>
        <v/>
      </c>
      <c r="AO10" s="50">
        <f>IF('Final Calculation Sheet'!$C$10="","",'Final Calculation Sheet'!$C$10)</f>
        <v>51511</v>
      </c>
      <c r="AP10">
        <f>IF(AO10="","",COUNTIFS(AO$4:AO$40,"&lt;"&amp;AO10,AO$4:AO$40,"&lt;&gt;"&amp;"")+COUNTIF(AO$4:AO10,AO10))</f>
        <v>23</v>
      </c>
      <c r="AQ10" s="50">
        <f t="shared" si="17"/>
        <v>543</v>
      </c>
      <c r="AR10">
        <f>AR9+IF(AND(AQ10&lt;&gt;"",COUNTIF(AQ$4:AQ10,AQ10)=1),1,0)</f>
        <v>7</v>
      </c>
      <c r="AS10" s="50">
        <f t="shared" si="18"/>
        <v>543</v>
      </c>
      <c r="AT10" s="50">
        <f>IF('Final Calculation Sheet'!$H$10="","",'Final Calculation Sheet'!$H$10)</f>
        <v>206044</v>
      </c>
      <c r="AU10">
        <f>IF(AT10="","",COUNTIFS(AT$4:AT$40,"&lt;"&amp;AT10,AT$4:AT$40,"&lt;&gt;"&amp;"")+COUNTIF(AT$4:AT10,AT10))</f>
        <v>22</v>
      </c>
      <c r="AV10" s="50">
        <f t="shared" si="19"/>
        <v>30012</v>
      </c>
      <c r="AW10">
        <f>AW9+IF(AND(AV10&lt;&gt;"",COUNTIF(AV$4:AV10,AV10)=1),1,0)</f>
        <v>7</v>
      </c>
      <c r="AX10" s="50">
        <f t="shared" si="20"/>
        <v>30012</v>
      </c>
      <c r="AY10" s="50">
        <f>IF('Final Calculation Sheet'!$I$10="","",'Final Calculation Sheet'!$I$10)</f>
        <v>37088</v>
      </c>
      <c r="AZ10">
        <f>IF(AY10="","",COUNTIFS(AY$4:AY$40,"&lt;"&amp;AY10,AY$4:AY$40,"&lt;&gt;"&amp;"")+COUNTIF(AY$4:AY10,AY10))</f>
        <v>22</v>
      </c>
      <c r="BA10" s="50">
        <f t="shared" si="21"/>
        <v>5402</v>
      </c>
      <c r="BB10">
        <f>BB9+IF(AND(BA10&lt;&gt;"",COUNTIF(BA$4:BA10,BA10)=1),1,0)</f>
        <v>7</v>
      </c>
      <c r="BC10" s="50">
        <f t="shared" si="22"/>
        <v>5402</v>
      </c>
      <c r="BD10" s="50">
        <f>IF('Final Calculation Sheet'!$J$10="","",'Final Calculation Sheet'!$J$10)</f>
        <v>243132</v>
      </c>
      <c r="BE10">
        <f>IF(BD10="","",COUNTIFS(BD$4:BD$40,"&lt;"&amp;BD10,BD$4:BD$40,"&lt;&gt;"&amp;"")+COUNTIF(BD$4:BD10,BD10))</f>
        <v>22</v>
      </c>
      <c r="BF10" s="50">
        <f t="shared" si="23"/>
        <v>35414</v>
      </c>
      <c r="BG10">
        <f>BG9+IF(AND(BF10&lt;&gt;"",COUNTIF(BF$4:BF10,BF10)=1),1,0)</f>
        <v>7</v>
      </c>
      <c r="BH10" s="50">
        <f t="shared" si="24"/>
        <v>35414</v>
      </c>
      <c r="BI10" s="50">
        <f>IF('Final Calculation Sheet'!$K$10="","",'Final Calculation Sheet'!$K$10)</f>
        <v>4863</v>
      </c>
      <c r="BJ10">
        <f>IF(BI10="","",COUNTIFS(BI$4:BI$40,"&lt;"&amp;BI10,BI$4:BI$40,"&lt;&gt;"&amp;"")+COUNTIF(BI$4:BI10,BI10))</f>
        <v>22</v>
      </c>
      <c r="BK10" s="50">
        <f t="shared" si="25"/>
        <v>708</v>
      </c>
      <c r="BL10">
        <f>BL9+IF(AND(BK10&lt;&gt;"",COUNTIF(BK$4:BK10,BK10)=1),1,0)</f>
        <v>7</v>
      </c>
      <c r="BM10" s="50">
        <f t="shared" si="26"/>
        <v>708</v>
      </c>
      <c r="BN10" s="50">
        <f>IF('Final Calculation Sheet'!$L$10="","",'Final Calculation Sheet'!$L$10)</f>
        <v>206.04400000000001</v>
      </c>
      <c r="BO10">
        <f>IF(BN10="","",COUNTIFS(BN$4:BN$40,"&lt;"&amp;BN10,BN$4:BN$40,"&lt;&gt;"&amp;"")+COUNTIF(BN$4:BN10,BN10))</f>
        <v>22</v>
      </c>
      <c r="BP10" s="50">
        <f t="shared" si="27"/>
        <v>30.012</v>
      </c>
      <c r="BQ10">
        <f>BQ9+IF(AND(BP10&lt;&gt;"",COUNTIF(BP$4:BP10,BP10)=1),1,0)</f>
        <v>7</v>
      </c>
      <c r="BR10" s="50">
        <f t="shared" si="28"/>
        <v>30.012</v>
      </c>
      <c r="BS10" s="50">
        <f>IF('Final Calculation Sheet'!$M$10="","",'Final Calculation Sheet'!$M$10)</f>
        <v>5470.4681999999993</v>
      </c>
      <c r="BT10">
        <f>IF(BS10="","",COUNTIFS(BS$4:BS$40,"&lt;"&amp;BS10,BS$4:BS$40,"&lt;&gt;"&amp;"")+COUNTIF(BS$4:BS10,BS10))</f>
        <v>22</v>
      </c>
      <c r="BU10" s="50">
        <f t="shared" si="29"/>
        <v>796.81859999999995</v>
      </c>
      <c r="BV10">
        <f>BV9+IF(AND(BU10&lt;&gt;"",COUNTIF(BU$4:BU10,BU10)=1),1,0)</f>
        <v>7</v>
      </c>
      <c r="BW10" s="50">
        <f t="shared" si="30"/>
        <v>796.81859999999995</v>
      </c>
      <c r="BX10" s="126">
        <f>IF('Final Calculation Sheet'!$N$10="","",'Final Calculation Sheet'!$N$10)</f>
        <v>92.719799999999992</v>
      </c>
      <c r="BY10">
        <f>IF(BX10="","",COUNTIFS(BX$4:BX$40,"&lt;"&amp;BX10,BX$4:BX$40,"&lt;&gt;"&amp;"")+COUNTIF(BX$4:BX10,BX10))</f>
        <v>22</v>
      </c>
      <c r="BZ10" s="126">
        <f t="shared" si="31"/>
        <v>13.5054</v>
      </c>
      <c r="CA10">
        <f>CA9+IF(AND(BZ10&lt;&gt;"",COUNTIF(BZ$4:BZ10,BZ10)=1),1,0)</f>
        <v>7</v>
      </c>
      <c r="CB10" s="126">
        <f t="shared" si="32"/>
        <v>13.5054</v>
      </c>
      <c r="CC10" s="50">
        <f>IF('Final Calculation Sheet'!$O$10="","",'Final Calculation Sheet'!$O$10)</f>
        <v>5377.7483999999995</v>
      </c>
      <c r="CD10">
        <f>IF(CC10="","",COUNTIFS(CC$4:CC$40,"&lt;"&amp;CC10,CC$4:CC$40,"&lt;&gt;"&amp;"")+COUNTIF(CC$4:CC10,CC10))</f>
        <v>22</v>
      </c>
      <c r="CE10" s="50">
        <f t="shared" si="33"/>
        <v>783.31319999999994</v>
      </c>
      <c r="CF10">
        <f>CF9+IF(AND(CE10&lt;&gt;"",COUNTIF(CE$4:CE10,CE10)=1),1,0)</f>
        <v>7</v>
      </c>
      <c r="CG10" s="50">
        <f t="shared" si="34"/>
        <v>783.31319999999994</v>
      </c>
      <c r="CH10" s="50">
        <f>IF('Final Calculation Sheet'!$P$10="","",'Final Calculation Sheet'!$P$10)</f>
        <v>5584</v>
      </c>
      <c r="CI10">
        <f>IF(CH10="","",COUNTIFS(CH$4:CH$40,"&lt;"&amp;CH10,CH$4:CH$40,"&lt;&gt;"&amp;"")+COUNTIF(CH$4:CH10,CH10))</f>
        <v>22</v>
      </c>
      <c r="CJ10" s="50">
        <f t="shared" si="35"/>
        <v>813</v>
      </c>
      <c r="CK10">
        <f>CK9+IF(AND(CJ10&lt;&gt;"",COUNTIF(CJ$4:CJ10,CJ10)=1),1,0)</f>
        <v>7</v>
      </c>
      <c r="CL10" s="50">
        <f t="shared" si="36"/>
        <v>813</v>
      </c>
      <c r="CM10" s="127">
        <f>IF('Final Calculation Sheet'!$Q$10="","",'Final Calculation Sheet'!$Q$10)</f>
        <v>0</v>
      </c>
      <c r="CN10">
        <f>IF(CM10="","",COUNTIFS(CM$4:CM$40,"&lt;"&amp;CM10,CM$4:CM$40,"&lt;&gt;"&amp;"")+COUNTIF(CM$4:CM10,CM10))</f>
        <v>5</v>
      </c>
      <c r="CO10" s="127">
        <f t="shared" si="37"/>
        <v>0</v>
      </c>
      <c r="CP10">
        <f>CP9+IF(AND(CO10&lt;&gt;"",COUNTIF(CO$4:CO10,CO10)=1),1,0)</f>
        <v>1</v>
      </c>
      <c r="CQ10" t="str">
        <f t="shared" si="38"/>
        <v/>
      </c>
      <c r="CR10" s="50">
        <f>IF('Final Calculation Sheet'!$R$10="","",'Final Calculation Sheet'!$R$10)</f>
        <v>0</v>
      </c>
      <c r="CS10">
        <f>IF(CR10="","",COUNTIFS(CR$4:CR$40,"&lt;"&amp;CR10,CR$4:CR$40,"&lt;&gt;"&amp;"")+COUNTIF(CR$4:CR10,CR10))</f>
        <v>5</v>
      </c>
      <c r="CT10" s="50">
        <f t="shared" si="39"/>
        <v>0</v>
      </c>
      <c r="CU10">
        <f>CU9+IF(AND(CT10&lt;&gt;"",COUNTIF(CT$4:CT10,CT10)=1),1,0)</f>
        <v>1</v>
      </c>
      <c r="CV10" t="str">
        <f t="shared" si="40"/>
        <v/>
      </c>
      <c r="CW10" s="50">
        <f>IF('Final Calculation Sheet'!$S$10="","",'Final Calculation Sheet'!$S$10)</f>
        <v>242411</v>
      </c>
      <c r="CX10">
        <f>IF(CW10="","",COUNTIFS(CW$4:CW$40,"&lt;"&amp;CW10,CW$4:CW$40,"&lt;&gt;"&amp;"")+COUNTIF(CW$4:CW10,CW10))</f>
        <v>22</v>
      </c>
      <c r="CY10" s="50">
        <f t="shared" si="41"/>
        <v>35309</v>
      </c>
      <c r="CZ10">
        <f>CZ9+IF(AND(CY10&lt;&gt;"",COUNTIF(CY$4:CY10,CY10)=1),1,0)</f>
        <v>7</v>
      </c>
      <c r="DA10" s="50">
        <f t="shared" si="42"/>
        <v>35309</v>
      </c>
      <c r="DB10" s="50">
        <f>IF('Final Calculation Sheet'!$T$10="","",'Final Calculation Sheet'!$T$10)</f>
        <v>51511</v>
      </c>
      <c r="DC10">
        <f>IF(DB10="","",COUNTIFS(DB$4:DB$40,"&lt;"&amp;DB10,DB$4:DB$40,"&lt;&gt;"&amp;"")+COUNTIF(DB$4:DB10,DB10))</f>
        <v>22</v>
      </c>
      <c r="DD10" s="50">
        <f t="shared" si="43"/>
        <v>7503</v>
      </c>
      <c r="DE10">
        <f>DE9+IF(AND(DD10&lt;&gt;"",COUNTIF(DD$4:DD10,DD10)=1),1,0)</f>
        <v>7</v>
      </c>
      <c r="DF10" s="50">
        <f t="shared" si="44"/>
        <v>7503</v>
      </c>
      <c r="DG10" s="128">
        <f>IF('Final Calculation Sheet'!$U$10="","",'Final Calculation Sheet'!$U$10)</f>
        <v>51511</v>
      </c>
      <c r="DH10">
        <f>IF(DG10="","",COUNTIFS(DG$4:DG$40,"&lt;"&amp;DG10,DG$4:DG$40,"&lt;&gt;"&amp;"")+COUNTIF(DG$4:DG10,DG10))</f>
        <v>22</v>
      </c>
      <c r="DI10" s="128">
        <f t="shared" si="45"/>
        <v>7503</v>
      </c>
      <c r="DJ10">
        <f>DJ9+IF(AND(DI10&lt;&gt;"",COUNTIF(DI$4:DI10,DI10)=1),1,0)</f>
        <v>7</v>
      </c>
      <c r="DK10" s="128">
        <f t="shared" si="46"/>
        <v>7503</v>
      </c>
      <c r="DL10" t="str">
        <f>IF('Final Calculation Sheet'!$V$10="","",'Final Calculation Sheet'!$V$10)</f>
        <v>13.08.2026</v>
      </c>
      <c r="DM10">
        <f>IF(DL10="","",COUNTIFS(DL$4:DL$40,"&lt;"&amp;DL10,DL$4:DL$40,"&lt;&gt;"&amp;"")+COUNTIF(DL$4:DL10,DL10))</f>
        <v>14</v>
      </c>
      <c r="DN10" t="str">
        <f t="shared" si="47"/>
        <v>11.08.2026</v>
      </c>
      <c r="DO10">
        <f>DO9+IF(AND(DN10&lt;&gt;"",COUNTIF(DN$4:DN10,DN10)=1),1,0)</f>
        <v>2</v>
      </c>
      <c r="DP10" t="str">
        <f t="shared" si="48"/>
        <v/>
      </c>
      <c r="DQ10" s="50">
        <f>IF('Final Calculation Sheet'!$W$10="","",'Final Calculation Sheet'!$W$10)</f>
        <v>190900</v>
      </c>
      <c r="DR10">
        <f>IF(DQ10="","",COUNTIFS(DQ$4:DQ$40,"&lt;"&amp;DQ10,DQ$4:DQ$40,"&lt;&gt;"&amp;"")+COUNTIF(DQ$4:DQ10,DQ10))</f>
        <v>22</v>
      </c>
      <c r="DS10" s="50">
        <f t="shared" si="49"/>
        <v>27806</v>
      </c>
      <c r="DT10">
        <f>DT9+IF(AND(DS10&lt;&gt;"",COUNTIF(DS$4:DS10,DS10)=1),1,0)</f>
        <v>7</v>
      </c>
      <c r="DU10" s="50">
        <f t="shared" si="50"/>
        <v>27806</v>
      </c>
      <c r="DV10" s="50">
        <f>IF('Final Calculation Sheet'!$X$10="","",'Final Calculation Sheet'!$X$10)</f>
        <v>190900</v>
      </c>
      <c r="DW10">
        <f>IF(DV10="","",COUNTIFS(DV$4:DV$40,"&lt;"&amp;DV10,DV$4:DV$40,"&lt;&gt;"&amp;"")+COUNTIF(DV$4:DV10,DV10))</f>
        <v>21</v>
      </c>
      <c r="DX10" s="50">
        <f t="shared" si="51"/>
        <v>27806</v>
      </c>
      <c r="DY10">
        <f>DY9+IF(AND(DX10&lt;&gt;"",COUNTIF(DX$4:DX10,DX10)=1),1,0)</f>
        <v>7</v>
      </c>
      <c r="DZ10" t="e">
        <f t="shared" si="52"/>
        <v>#N/A</v>
      </c>
      <c r="EA10" t="str">
        <f>IF('Final Calculation Sheet'!$Y$10="","",'Final Calculation Sheet'!$Y$10)</f>
        <v>24.08.2026</v>
      </c>
      <c r="EB10">
        <f>IF(EA10="","",COUNTIFS(EA$4:EA$40,"&lt;"&amp;EA10,EA$4:EA$40,"&lt;&gt;"&amp;"")+COUNTIF(EA$4:EA10,EA10))</f>
        <v>23</v>
      </c>
      <c r="EC10" t="str">
        <f t="shared" si="53"/>
        <v>11.08.2026</v>
      </c>
      <c r="ED10">
        <f>ED9+IF(AND(EC10&lt;&gt;"",COUNTIF(EC$4:EC10,EC10)=1),1,0)</f>
        <v>3</v>
      </c>
      <c r="EE10" t="e">
        <f t="shared" si="54"/>
        <v>#N/A</v>
      </c>
      <c r="EF10" s="50">
        <f ca="1">IF('Final Calculation Sheet'!$Z$10="","",'Final Calculation Sheet'!$Z$10)</f>
        <v>7293.9575999999997</v>
      </c>
      <c r="EG10">
        <f ca="1">IF(EF10="","",COUNTIFS(EF$4:EF$40,"&lt;"&amp;EF10,EF$4:EF$40,"&lt;&gt;"&amp;"")+COUNTIF(EF$4:EF10,EF10))</f>
        <v>22</v>
      </c>
      <c r="EH10" s="50">
        <f t="shared" ca="1" si="55"/>
        <v>1044.3708000000001</v>
      </c>
      <c r="EI10">
        <f ca="1">EI9+IF(AND(EH10&lt;&gt;"",COUNTIF(EH$4:EH10,EH10)=1),1,0)</f>
        <v>7</v>
      </c>
      <c r="EJ10">
        <f t="shared" ca="1" si="56"/>
        <v>1044.3708000000001</v>
      </c>
      <c r="EK10" t="str">
        <f>IF('Final Calculation Sheet'!$AA$10="","",'Final Calculation Sheet'!$AA$10)</f>
        <v/>
      </c>
      <c r="EL10" t="str">
        <f>IF(EK10="","",COUNTIFS(EK$4:EK$40,"&lt;"&amp;EK10,EK$4:EK$40,"&lt;&gt;"&amp;"")+COUNTIF(EK$4:EK10,EK10))</f>
        <v/>
      </c>
      <c r="EM10" t="e">
        <f t="shared" si="57"/>
        <v>#N/A</v>
      </c>
      <c r="EN10" t="e">
        <f>EN9+IF(AND(EM10&lt;&gt;"",COUNTIF(EM$4:EM10,EM10)=1),1,0)</f>
        <v>#N/A</v>
      </c>
      <c r="EO10" t="e">
        <f t="shared" si="58"/>
        <v>#N/A</v>
      </c>
      <c r="EP10" t="str">
        <f>IF('Final Calculation Sheet'!$AB$10="","",'Final Calculation Sheet'!$AB$10)</f>
        <v/>
      </c>
      <c r="EQ10" t="str">
        <f>IF(EP10="","",COUNTIFS(EP$4:EP$40,"&lt;"&amp;EP10,EP$4:EP$40,"&lt;&gt;"&amp;"")+COUNTIF(EP$4:EP10,EP10))</f>
        <v/>
      </c>
      <c r="ER10" t="e">
        <f t="shared" si="59"/>
        <v>#N/A</v>
      </c>
      <c r="ES10" t="e">
        <f>ES9+IF(AND(ER10&lt;&gt;"",COUNTIF(ER$4:ER10,ER10)=1),1,0)</f>
        <v>#N/A</v>
      </c>
      <c r="ET10" t="e">
        <f t="shared" si="60"/>
        <v>#N/A</v>
      </c>
      <c r="EU10" s="50">
        <f>IF('Final Calculation Sheet'!$AC$10="","",'Final Calculation Sheet'!$AC$10)</f>
        <v>242411</v>
      </c>
      <c r="EV10">
        <f>IF(EU10="","",COUNTIFS(EU$4:EU$40,"&lt;"&amp;EU10,EU$4:EU$40,"&lt;&gt;"&amp;"")+COUNTIF(EU$4:EU10,EU10))</f>
        <v>24</v>
      </c>
      <c r="EW10" s="50">
        <f t="shared" si="61"/>
        <v>34708</v>
      </c>
      <c r="EX10">
        <f>EX9+IF(AND(EW10&lt;&gt;"",COUNTIF(EW$4:EW10,EW10)=1),1,0)</f>
        <v>7</v>
      </c>
      <c r="EY10" s="50">
        <f t="shared" si="62"/>
        <v>34708</v>
      </c>
      <c r="EZ10" s="50">
        <f>IF('Final Calculation Sheet'!$AD$10="","",'Final Calculation Sheet'!$AD$10)</f>
        <v>0</v>
      </c>
      <c r="FA10">
        <f>IF(EZ10="","",COUNTIFS(EZ$4:EZ$40,"&lt;"&amp;EZ10,EZ$4:EZ$40,"&lt;&gt;"&amp;"")+COUNTIF(EZ$4:EZ10,EZ10))</f>
        <v>11</v>
      </c>
      <c r="FB10" s="50">
        <f t="shared" si="63"/>
        <v>-0.90570838935673237</v>
      </c>
      <c r="FC10">
        <f>FC9+IF(AND(FB10&lt;&gt;"",COUNTIF(FB$4:FB10,FB10)=1),1,0)</f>
        <v>6</v>
      </c>
      <c r="FD10" s="50">
        <f t="shared" si="64"/>
        <v>0</v>
      </c>
      <c r="FE10" t="str">
        <f>IF('Final Calculation Sheet'!$AF$10="","",'Final Calculation Sheet'!$AF$10)</f>
        <v>DR2640100031</v>
      </c>
      <c r="FF10">
        <f>IF(FE10="","",COUNTIFS(FE$4:FE$40,"&lt;"&amp;FE10,FE$4:FE$40,"&lt;&gt;"&amp;"")+COUNTIF(FE$4:FE10,FE10))</f>
        <v>20</v>
      </c>
      <c r="FG10" t="str">
        <f t="shared" si="65"/>
        <v>DR2640100018</v>
      </c>
      <c r="FH10" t="e">
        <f>FH9+IF(AND(FG10&lt;&gt;"",COUNTIF(FG$4:FG10,FG10)=1),1,0)</f>
        <v>#N/A</v>
      </c>
      <c r="FI10" t="e">
        <f t="shared" si="66"/>
        <v>#N/A</v>
      </c>
      <c r="FJ10" s="129">
        <f>IF('Final Calculation Sheet'!$AG$10="","",'Final Calculation Sheet'!$AG$10)</f>
        <v>1800003303</v>
      </c>
      <c r="FK10">
        <f>IF(FJ10="","",COUNTIFS(FJ$4:FJ$40,"&lt;"&amp;FJ10,FJ$4:FJ$40,"&lt;&gt;"&amp;"")+COUNTIF(FJ$4:FJ10,FJ10))</f>
        <v>15</v>
      </c>
      <c r="FL10" s="129">
        <f t="shared" si="67"/>
        <v>1800003194</v>
      </c>
      <c r="FM10">
        <f>FM9+IF(AND(FL10&lt;&gt;"",COUNTIF(FL$4:FL10,FL10)=1),1,0)</f>
        <v>7</v>
      </c>
      <c r="FN10" t="e">
        <f t="shared" si="68"/>
        <v>#N/A</v>
      </c>
      <c r="FO10" t="str">
        <f>IF('Final Calculation Sheet'!$AH$10="","",'Final Calculation Sheet'!$AH$10)</f>
        <v>27.08.2026</v>
      </c>
      <c r="FP10">
        <f>IF(FO10="","",COUNTIFS(FO$4:FO$40,"&lt;"&amp;FO10,FO$4:FO$40,"&lt;&gt;"&amp;"")+COUNTIF(FO$4:FO10,FO10))</f>
        <v>23</v>
      </c>
      <c r="FQ10" t="str">
        <f t="shared" si="69"/>
        <v>14.08.2026</v>
      </c>
      <c r="FR10" t="e">
        <f>FR9+IF(AND(FQ10&lt;&gt;"",COUNTIF(FQ$4:FQ10,FQ10)=1),1,0)</f>
        <v>#N/A</v>
      </c>
      <c r="FS10" t="e">
        <f t="shared" si="70"/>
        <v>#N/A</v>
      </c>
      <c r="FU10" t="str">
        <f>IF(FT10="","",COUNTIFS(FT$4:FT$40,"&lt;"&amp;FT10,FT$4:FT$40,"&lt;&gt;"&amp;"")+COUNTIF(FT$4:FT10,FT10))</f>
        <v/>
      </c>
      <c r="FV10" t="str">
        <f t="shared" si="71"/>
        <v/>
      </c>
      <c r="FW10">
        <f>FW9+IF(AND(FV10&lt;&gt;"",COUNTIF(FV$4:FV10,FV10)=1),1,0)</f>
        <v>2</v>
      </c>
      <c r="FX10" t="str">
        <f t="shared" si="72"/>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0" t="b">
        <f>IF($Y$10="",FALSE,SUMPRODUCT(('Final Calculation Sheet'!$B$4:$B$40=$Y$10)*($FY$6:$FY$42=1))&gt;0)</f>
        <v>1</v>
      </c>
      <c r="GA10">
        <f>$GA$9+--($FZ$10)</f>
        <v>7</v>
      </c>
      <c r="GB10" t="str">
        <f t="shared" si="73"/>
        <v>Scrap of 132 KV Wave Trap</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D10" t="b">
        <f>IF($O$10="",FALSE,SUMPRODUCT(('Final Calculation Sheet'!$F$4:$F$40=$O$10)*($GC$6:$GC$42=1))&gt;0)</f>
        <v>1</v>
      </c>
      <c r="GE10">
        <f>$GE$9+--($GD10)</f>
        <v>7</v>
      </c>
      <c r="GF10">
        <f t="shared" si="74"/>
        <v>2002</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H10" t="b">
        <f>IF($T$10="",FALSE,SUMPRODUCT(('Final Calculation Sheet'!$G$4:$G$40=$T$10)*($GG$6:$GG$42=1))&gt;0)</f>
        <v>1</v>
      </c>
      <c r="GI10">
        <f>$GI$9+--($GH10)</f>
        <v>7</v>
      </c>
      <c r="GJ10" t="str">
        <f t="shared" si="75"/>
        <v>NATIONAL SCRAP AND BUILDING MATERIAL SUPPLIER</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L10" t="b">
        <f>IF($AD$10="",FALSE,SUMPRODUCT(('Final Calculation Sheet'!$D$4:$D$40=$AD$10)*($GK$6:$GK$42=1))&gt;0)</f>
        <v>0</v>
      </c>
      <c r="GM10">
        <f>$GM$9+--($GL10)</f>
        <v>4</v>
      </c>
      <c r="GN10" t="str">
        <f t="shared" si="76"/>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P10" t="b">
        <f>IF($AI$10="",FALSE,SUMPRODUCT(('Final Calculation Sheet'!$A$4:$A$40=$AI$10)*($GO$6:$GO$42=1))&gt;0)</f>
        <v>1</v>
      </c>
      <c r="GQ10">
        <f>$GQ$9+--($GP10)</f>
        <v>7</v>
      </c>
      <c r="GR10">
        <f t="shared" si="77"/>
        <v>22</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T10" t="b">
        <f>IF($AN$10="",FALSE,SUMPRODUCT(('Final Calculation Sheet'!$E$4:$E$40=$AN$10)*($GS$6:$GS$42=1))&gt;0)</f>
        <v>0</v>
      </c>
      <c r="GU10">
        <f>$GU$9+--($GT10)</f>
        <v>3</v>
      </c>
      <c r="GV10" t="str">
        <f t="shared" si="78"/>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GX10" t="b">
        <f>IF($AS$10="",FALSE,SUMPRODUCT(('Final Calculation Sheet'!$C$4:$C$40=$AS$10)*($GW$6:$GW$42=1))&gt;0)</f>
        <v>1</v>
      </c>
      <c r="GY10">
        <f>$GY$9+--($GX10)</f>
        <v>7</v>
      </c>
      <c r="GZ10">
        <f t="shared" si="79"/>
        <v>543</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B10" t="b">
        <f>IF($AX$10="",FALSE,SUMPRODUCT(('Final Calculation Sheet'!$H$4:$H$40=$AX$10)*($HA$6:$HA$42=1))&gt;0)</f>
        <v>1</v>
      </c>
      <c r="HC10">
        <f>$HC$9+--($HB10)</f>
        <v>7</v>
      </c>
      <c r="HD10">
        <f t="shared" si="80"/>
        <v>30012</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F10" t="b">
        <f>IF($BC$10="",FALSE,SUMPRODUCT(('Final Calculation Sheet'!$I$4:$I$40=$BC$10)*($HE$6:$HE$42=1))&gt;0)</f>
        <v>1</v>
      </c>
      <c r="HG10">
        <f>$HG$9+--($HF10)</f>
        <v>7</v>
      </c>
      <c r="HH10">
        <f t="shared" si="81"/>
        <v>5402</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J10" t="b">
        <f>IF($BH$10="",FALSE,SUMPRODUCT(('Final Calculation Sheet'!$J$4:$J$40=$BH$10)*($HI$6:$HI$42=1))&gt;0)</f>
        <v>1</v>
      </c>
      <c r="HK10">
        <f>$HK$9+--($HJ10)</f>
        <v>7</v>
      </c>
      <c r="HL10">
        <f t="shared" si="82"/>
        <v>35414</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N10" t="b">
        <f>IF($BM$10="",FALSE,SUMPRODUCT(('Final Calculation Sheet'!$K$4:$K$40=$BM$10)*($HM$6:$HM$42=1))&gt;0)</f>
        <v>1</v>
      </c>
      <c r="HO10">
        <f>$HO$9+--($HN10)</f>
        <v>7</v>
      </c>
      <c r="HP10">
        <f t="shared" si="83"/>
        <v>708</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R10" t="b">
        <f>IF($BR$10="",FALSE,SUMPRODUCT(('Final Calculation Sheet'!$L$4:$L$40=$BR$10)*($HQ$6:$HQ$42=1))&gt;0)</f>
        <v>1</v>
      </c>
      <c r="HS10">
        <f>$HS$9+--($HR10)</f>
        <v>7</v>
      </c>
      <c r="HT10">
        <f t="shared" si="84"/>
        <v>30.012</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V10" t="b">
        <f>IF($BW$10="",FALSE,SUMPRODUCT(('Final Calculation Sheet'!$M$4:$M$40=$BW$10)*($HU$6:$HU$42=1))&gt;0)</f>
        <v>1</v>
      </c>
      <c r="HW10">
        <f>$HW$9+--($HV10)</f>
        <v>7</v>
      </c>
      <c r="HX10">
        <f t="shared" si="85"/>
        <v>796.81859999999995</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HZ10" t="b">
        <f>IF($CB$10="",FALSE,SUMPRODUCT(('Final Calculation Sheet'!$N$4:$N$40=$CB$10)*($HY$6:$HY$42=1))&gt;0)</f>
        <v>1</v>
      </c>
      <c r="IA10">
        <f>$IA$9+--($HZ10)</f>
        <v>7</v>
      </c>
      <c r="IB10">
        <f t="shared" si="86"/>
        <v>13.5054</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D10" t="b">
        <f>IF($CG$10="",FALSE,SUMPRODUCT(('Final Calculation Sheet'!$O$4:$O$40=$CG$10)*($IC$6:$IC$42=1))&gt;0)</f>
        <v>1</v>
      </c>
      <c r="IE10">
        <f>$IE$9+--($ID10)</f>
        <v>7</v>
      </c>
      <c r="IF10">
        <f t="shared" si="87"/>
        <v>783.31319999999994</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H10" t="b">
        <f>IF($CL$10="",FALSE,SUMPRODUCT(('Final Calculation Sheet'!$P$4:$P$40=$CL$10)*($IG$6:$IG$42=1))&gt;0)</f>
        <v>1</v>
      </c>
      <c r="II10">
        <f>$II$9+--($IH10)</f>
        <v>7</v>
      </c>
      <c r="IJ10">
        <f t="shared" si="88"/>
        <v>813</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L10" t="b">
        <f>IF($CQ$10="",FALSE,SUMPRODUCT(('Final Calculation Sheet'!$Q$4:$Q$40=$CQ$10)*($IK$6:$IK$42=1))&gt;0)</f>
        <v>0</v>
      </c>
      <c r="IM10">
        <f>$IM$9+--($IL10)</f>
        <v>2</v>
      </c>
      <c r="IN10" t="str">
        <f t="shared" si="89"/>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P10" t="b">
        <f>IF($CV$10="",FALSE,SUMPRODUCT(('Final Calculation Sheet'!$R$4:$R$40=$CV$10)*($IO$6:$IO$42=1))&gt;0)</f>
        <v>0</v>
      </c>
      <c r="IQ10">
        <f>$IQ$9+--($IP10)</f>
        <v>5</v>
      </c>
      <c r="IR10" t="str">
        <f t="shared" si="90"/>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T10" t="b">
        <f>IF($DA$10="",FALSE,SUMPRODUCT(('Final Calculation Sheet'!$S$4:$S$40=$DA$10)*($IS$6:$IS$42=1))&gt;0)</f>
        <v>1</v>
      </c>
      <c r="IU10">
        <f>$IU$9+--($IT10)</f>
        <v>7</v>
      </c>
      <c r="IV10">
        <f t="shared" si="91"/>
        <v>35309</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IX10" t="b">
        <f>IF($DF$10="",FALSE,SUMPRODUCT(('Final Calculation Sheet'!$T$4:$T$40=$DF$10)*($IW$6:$IW$42=1))&gt;0)</f>
        <v>1</v>
      </c>
      <c r="IY10">
        <f>$IY$9+--($IX10)</f>
        <v>7</v>
      </c>
      <c r="IZ10">
        <f t="shared" si="92"/>
        <v>7503</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B10" t="b">
        <f>IF($DK$10="",FALSE,SUMPRODUCT(('Final Calculation Sheet'!$U$4:$U$40=$DK$10)*($JA$6:$JA$42=1))&gt;0)</f>
        <v>1</v>
      </c>
      <c r="JC10">
        <f>$JC$9+--($JB10)</f>
        <v>7</v>
      </c>
      <c r="JD10">
        <f t="shared" si="93"/>
        <v>7503</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F10" t="b">
        <f>IF($DP$10="",FALSE,SUMPRODUCT(('Final Calculation Sheet'!$V$4:$V$40=$DP$10)*($JE$6:$JE$42=1))&gt;0)</f>
        <v>0</v>
      </c>
      <c r="JG10">
        <f>$JG$9+--($JF10)</f>
        <v>6</v>
      </c>
      <c r="JH10" t="str">
        <f t="shared" si="94"/>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J10" t="b">
        <f>IF($DU$10="",FALSE,SUMPRODUCT(('Final Calculation Sheet'!$W$4:$W$40=$DU$10)*($JI$6:$JI$42=1))&gt;0)</f>
        <v>1</v>
      </c>
      <c r="JK10">
        <f>$JK$9+--($JJ10)</f>
        <v>7</v>
      </c>
      <c r="JL10">
        <f t="shared" si="95"/>
        <v>27806</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N10" t="e">
        <f>IF($DZ$10="",FALSE,SUMPRODUCT(('Final Calculation Sheet'!$X$4:$X$40=$DZ$10)*($JM$6:$JM$42=1))&gt;0)</f>
        <v>#N/A</v>
      </c>
      <c r="JO10" t="e">
        <f>$JO$9+--($JN10)</f>
        <v>#N/A</v>
      </c>
      <c r="JP10" t="e">
        <f t="shared" si="96"/>
        <v>#N/A</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R10" t="e">
        <f>IF($EE$10="",FALSE,SUMPRODUCT(('Final Calculation Sheet'!$Y$4:$Y$40=$EE$10)*($JQ$6:$JQ$42=1))&gt;0)</f>
        <v>#N/A</v>
      </c>
      <c r="JS10" t="e">
        <f>$JS$9+--($JR10)</f>
        <v>#N/A</v>
      </c>
      <c r="JT10" t="e">
        <f t="shared" si="97"/>
        <v>#N/A</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V10" t="b">
        <f ca="1">IF($EJ$10="",FALSE,SUMPRODUCT(('Final Calculation Sheet'!$Z$4:$Z$40=$EJ$10)*($JU$6:$JU$42=1))&gt;0)</f>
        <v>1</v>
      </c>
      <c r="JW10">
        <f ca="1">$JW$9+--($JV10)</f>
        <v>7</v>
      </c>
      <c r="JX10">
        <f t="shared" ca="1" si="98"/>
        <v>1044.3708000000001</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JZ10" t="e">
        <f>IF($EO$10="",FALSE,SUMPRODUCT(('Final Calculation Sheet'!$AA$4:$AA$40=$EO$10)*($JY$6:$JY$42=1))&gt;0)</f>
        <v>#N/A</v>
      </c>
      <c r="KA10" t="e">
        <f>$KA$9+--($JZ10)</f>
        <v>#N/A</v>
      </c>
      <c r="KB10" t="e">
        <f t="shared" si="99"/>
        <v>#N/A</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D10" t="e">
        <f>IF($ET$10="",FALSE,SUMPRODUCT(('Final Calculation Sheet'!$AB$4:$AB$40=$ET$10)*($KC$6:$KC$42=1))&gt;0)</f>
        <v>#N/A</v>
      </c>
      <c r="KE10" t="e">
        <f>$KE$9+--($KD10)</f>
        <v>#N/A</v>
      </c>
      <c r="KF10" t="e">
        <f t="shared" si="100"/>
        <v>#N/A</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H10" t="b">
        <f>IF($EY$10="",FALSE,SUMPRODUCT(('Final Calculation Sheet'!$AC$4:$AC$40=$EY$10)*($KG$6:$KG$42=1))&gt;0)</f>
        <v>1</v>
      </c>
      <c r="KI10">
        <f>$KI$9+--($KH10)</f>
        <v>7</v>
      </c>
      <c r="KJ10">
        <f t="shared" si="101"/>
        <v>34708</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L10" t="b">
        <f>IF($FD$10="",FALSE,SUMPRODUCT(('Final Calculation Sheet'!$AD$4:$AD$40=$FD$10)*($KK$6:$KK$42=1))&gt;0)</f>
        <v>1</v>
      </c>
      <c r="KM10">
        <f>$KM$9+--($KL10)</f>
        <v>7</v>
      </c>
      <c r="KN10">
        <f t="shared" si="102"/>
        <v>0</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P10" t="b">
        <f>IF($FX$10="",FALSE,SUMPRODUCT((IF('Final Calculation Sheet'!$AD$4:$AD$40&lt;=5,"SETTLED","OUTSTANDING")=$FX$10)*($KO$6:$KO$42=1))&gt;0)</f>
        <v>0</v>
      </c>
      <c r="KQ10">
        <f>$KQ$9+--($KP10)</f>
        <v>1</v>
      </c>
      <c r="KR10" t="str">
        <f t="shared" si="103"/>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T10" t="e">
        <f>IF($FI$10="",FALSE,SUMPRODUCT(('Final Calculation Sheet'!$AF$4:$AF$40=$FI$10)*($KS$6:$KS$42=1))&gt;0)</f>
        <v>#N/A</v>
      </c>
      <c r="KU10" t="e">
        <f>$KU$9+--($KT10)</f>
        <v>#N/A</v>
      </c>
      <c r="KV10" t="e">
        <f t="shared" si="104"/>
        <v>#N/A</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KX10" t="e">
        <f>IF($FN$10="",FALSE,SUMPRODUCT(('Final Calculation Sheet'!$AG$4:$AG$40=$FN$10)*($KW$6:$KW$42=1))&gt;0)</f>
        <v>#N/A</v>
      </c>
      <c r="KY10" t="e">
        <f>$KY$9+--($KX10)</f>
        <v>#N/A</v>
      </c>
      <c r="KZ10" t="e">
        <f t="shared" si="105"/>
        <v>#N/A</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LB10" t="e">
        <f>IF($FS$10="",FALSE,SUMPRODUCT(('Final Calculation Sheet'!$AH$4:$AH$40=$FS$10)*($LA$6:$LA$42=1))&gt;0)</f>
        <v>#N/A</v>
      </c>
      <c r="LC10" t="e">
        <f>$LC$9+--($LB10)</f>
        <v>#N/A</v>
      </c>
      <c r="LD10" t="e">
        <f t="shared" si="106"/>
        <v>#N/A</v>
      </c>
      <c r="LE10">
        <f>IF(COUNTIF('Buyer Groups'!DH10:EN10,0)&gt;0,0,1)</f>
        <v>1</v>
      </c>
      <c r="LF10" t="b">
        <f>IF($O$10="",FALSE,SUMPRODUCT(('Final Calculation Sheet'!$F$4:$F$40=$O$10)*($LE$6:$LE$42=1))&gt;0)</f>
        <v>1</v>
      </c>
      <c r="LG10">
        <f>$LG$9+--($LF10)</f>
        <v>7</v>
      </c>
      <c r="LH10">
        <f t="shared" si="107"/>
        <v>2002</v>
      </c>
      <c r="LI10">
        <f>IF(COUNTIF('Buyer Groups'!DG10:DG10,0)+COUNTIF('Buyer Groups'!DI10:EN10,0)&gt;0,0,1)</f>
        <v>1</v>
      </c>
      <c r="LJ10" t="b">
        <f>IF($T$10="",FALSE,SUMPRODUCT(('Final Calculation Sheet'!$G$4:$G$40=$T$10)*($LI$6:$LI$42=1))&gt;0)</f>
        <v>1</v>
      </c>
      <c r="LK10">
        <f>$LK$9+--($LJ10)</f>
        <v>7</v>
      </c>
      <c r="LL10" t="str">
        <f t="shared" si="108"/>
        <v>NATIONAL SCRAP AND BUILDING MATERIAL SUPPLIER</v>
      </c>
      <c r="LM10">
        <f>IF(COUNTIF('Buyer Groups'!DG10:DH10,0)+COUNTIF('Buyer Groups'!DJ10:EN10,0)&gt;0,0,1)</f>
        <v>1</v>
      </c>
      <c r="LN10" t="b">
        <f>IF($Y$10="",FALSE,SUMPRODUCT(('Final Calculation Sheet'!$B$4:$B$40=$Y$10)*($LM$6:$LM$42=1))&gt;0)</f>
        <v>1</v>
      </c>
      <c r="LO10">
        <f>$LO$9+--($LN10)</f>
        <v>7</v>
      </c>
      <c r="LP10" t="str">
        <f t="shared" si="109"/>
        <v>Scrap of 132 KV Wave Trap</v>
      </c>
      <c r="LQ10">
        <f>IF(COUNTIF('Buyer Groups'!DG10:DI10,0)+COUNTIF('Buyer Groups'!DK10:EN10,0)&gt;0,0,1)</f>
        <v>1</v>
      </c>
      <c r="LR10" t="b">
        <f>IF($AD$10="",FALSE,SUMPRODUCT(('Final Calculation Sheet'!$D$4:$D$40=$AD$10)*($LQ$6:$LQ$42=1))&gt;0)</f>
        <v>0</v>
      </c>
      <c r="LS10">
        <f>$LS$9+--($LR10)</f>
        <v>4</v>
      </c>
      <c r="LT10" t="str">
        <f t="shared" si="110"/>
        <v/>
      </c>
      <c r="LU10">
        <f>IF(COUNTIF('Buyer Groups'!DG10:DJ10,0)+COUNTIF('Buyer Groups'!DL10:EN10,0)&gt;0,0,1)</f>
        <v>1</v>
      </c>
      <c r="LV10" t="b">
        <f>IF($AI$10="",FALSE,SUMPRODUCT(('Final Calculation Sheet'!$A$4:$A$40=$AI$10)*($LU$6:$LU$42=1))&gt;0)</f>
        <v>1</v>
      </c>
      <c r="LW10">
        <f>$LW$9+--($LV10)</f>
        <v>7</v>
      </c>
      <c r="LX10">
        <f t="shared" si="111"/>
        <v>22</v>
      </c>
      <c r="LY10">
        <f>IF(COUNTIF('Buyer Groups'!DG10:DK10,0)+COUNTIF('Buyer Groups'!DM10:EN10,0)&gt;0,0,1)</f>
        <v>1</v>
      </c>
      <c r="LZ10" t="b">
        <f>IF($AN$10="",FALSE,SUMPRODUCT(('Final Calculation Sheet'!$E$4:$E$40=$AN$10)*($LY$6:$LY$42=1))&gt;0)</f>
        <v>0</v>
      </c>
      <c r="MA10">
        <f>$MA$9+--($LZ10)</f>
        <v>3</v>
      </c>
      <c r="MB10" t="str">
        <f t="shared" si="112"/>
        <v/>
      </c>
      <c r="MC10">
        <f>IF(COUNTIF('Buyer Groups'!DG10:DL10,0)+COUNTIF('Buyer Groups'!DN10:EN10,0)&gt;0,0,1)</f>
        <v>1</v>
      </c>
      <c r="MD10" t="b">
        <f>IF($AS$10="",FALSE,SUMPRODUCT(('Final Calculation Sheet'!$C$4:$C$40=$AS$10)*($MC$6:$MC$42=1))&gt;0)</f>
        <v>1</v>
      </c>
      <c r="ME10">
        <f>$ME$9+--($MD10)</f>
        <v>7</v>
      </c>
      <c r="MF10">
        <f t="shared" si="113"/>
        <v>543</v>
      </c>
      <c r="MG10">
        <f>IF(COUNTIF('Buyer Groups'!DG10:DM10,0)+COUNTIF('Buyer Groups'!DO10:EN10,0)&gt;0,0,1)</f>
        <v>1</v>
      </c>
      <c r="MH10" t="b">
        <f>IF($AX$10="",FALSE,SUMPRODUCT(('Final Calculation Sheet'!$H$4:$H$40=$AX$10)*($MG$6:$MG$42=1))&gt;0)</f>
        <v>1</v>
      </c>
      <c r="MI10">
        <f>$MI$9+--($MH10)</f>
        <v>7</v>
      </c>
      <c r="MJ10">
        <f t="shared" si="114"/>
        <v>30012</v>
      </c>
      <c r="MK10">
        <f>IF(COUNTIF('Buyer Groups'!DG10:DN10,0)+COUNTIF('Buyer Groups'!DP10:EN10,0)&gt;0,0,1)</f>
        <v>1</v>
      </c>
      <c r="ML10" t="b">
        <f>IF($BC$10="",FALSE,SUMPRODUCT(('Final Calculation Sheet'!$I$4:$I$40=$BC$10)*($MK$6:$MK$42=1))&gt;0)</f>
        <v>1</v>
      </c>
      <c r="MM10">
        <f>$MM$9+--($ML10)</f>
        <v>7</v>
      </c>
      <c r="MN10">
        <f t="shared" si="115"/>
        <v>5402</v>
      </c>
      <c r="MO10">
        <f>IF(COUNTIF('Buyer Groups'!DG10:DO10,0)+COUNTIF('Buyer Groups'!DQ10:EN10,0)&gt;0,0,1)</f>
        <v>1</v>
      </c>
      <c r="MP10" t="b">
        <f>IF($BH$10="",FALSE,SUMPRODUCT(('Final Calculation Sheet'!$J$4:$J$40=$BH$10)*($MO$6:$MO$42=1))&gt;0)</f>
        <v>1</v>
      </c>
      <c r="MQ10">
        <f>$MQ$9+--($MP10)</f>
        <v>7</v>
      </c>
      <c r="MR10">
        <f t="shared" si="116"/>
        <v>35414</v>
      </c>
      <c r="MS10">
        <f>IF(COUNTIF('Buyer Groups'!DG10:DP10,0)+COUNTIF('Buyer Groups'!DR10:EN10,0)&gt;0,0,1)</f>
        <v>1</v>
      </c>
      <c r="MT10" t="b">
        <f>IF($BM$10="",FALSE,SUMPRODUCT(('Final Calculation Sheet'!$K$4:$K$40=$BM$10)*($MS$6:$MS$42=1))&gt;0)</f>
        <v>1</v>
      </c>
      <c r="MU10">
        <f>$MU$9+--($MT10)</f>
        <v>7</v>
      </c>
      <c r="MV10">
        <f t="shared" si="117"/>
        <v>708</v>
      </c>
      <c r="MW10">
        <f>IF(COUNTIF('Buyer Groups'!DG10:DQ10,0)+COUNTIF('Buyer Groups'!DS10:EN10,0)&gt;0,0,1)</f>
        <v>1</v>
      </c>
      <c r="MX10" t="b">
        <f>IF($BR$10="",FALSE,SUMPRODUCT(('Final Calculation Sheet'!$L$4:$L$40=$BR$10)*($MW$6:$MW$42=1))&gt;0)</f>
        <v>1</v>
      </c>
      <c r="MY10">
        <f>$MY$9+--($MX10)</f>
        <v>7</v>
      </c>
      <c r="MZ10">
        <f t="shared" si="118"/>
        <v>30.012</v>
      </c>
      <c r="NA10">
        <f>IF(COUNTIF('Buyer Groups'!DG10:DR10,0)+COUNTIF('Buyer Groups'!DT10:EN10,0)&gt;0,0,1)</f>
        <v>1</v>
      </c>
      <c r="NB10" t="b">
        <f>IF($BW$10="",FALSE,SUMPRODUCT(('Final Calculation Sheet'!$M$4:$M$40=$BW$10)*($NA$6:$NA$42=1))&gt;0)</f>
        <v>1</v>
      </c>
      <c r="NC10">
        <f>$NC$9+--($NB10)</f>
        <v>7</v>
      </c>
      <c r="ND10">
        <f t="shared" si="119"/>
        <v>796.81859999999995</v>
      </c>
      <c r="NE10">
        <f>IF(COUNTIF('Buyer Groups'!DG10:DS10,0)+COUNTIF('Buyer Groups'!DU10:EN10,0)&gt;0,0,1)</f>
        <v>1</v>
      </c>
      <c r="NF10" t="b">
        <f>IF($CB$10="",FALSE,SUMPRODUCT(('Final Calculation Sheet'!$N$4:$N$40=$CB$10)*($NE$6:$NE$42=1))&gt;0)</f>
        <v>1</v>
      </c>
      <c r="NG10">
        <f>$NG$9+--($NF10)</f>
        <v>7</v>
      </c>
      <c r="NH10">
        <f t="shared" si="120"/>
        <v>13.5054</v>
      </c>
      <c r="NI10">
        <f>IF(COUNTIF('Buyer Groups'!DG10:DT10,0)+COUNTIF('Buyer Groups'!DV10:EN10,0)&gt;0,0,1)</f>
        <v>1</v>
      </c>
      <c r="NJ10" t="b">
        <f>IF($CG$10="",FALSE,SUMPRODUCT(('Final Calculation Sheet'!$O$4:$O$40=$CG$10)*($NI$6:$NI$42=1))&gt;0)</f>
        <v>1</v>
      </c>
      <c r="NK10">
        <f>$NK$9+--($NJ10)</f>
        <v>7</v>
      </c>
      <c r="NL10">
        <f t="shared" si="121"/>
        <v>783.31319999999994</v>
      </c>
      <c r="NM10">
        <f>IF(COUNTIF('Buyer Groups'!DG10:DU10,0)+COUNTIF('Buyer Groups'!DW10:EN10,0)&gt;0,0,1)</f>
        <v>1</v>
      </c>
      <c r="NN10" t="b">
        <f>IF($CL$10="",FALSE,SUMPRODUCT(('Final Calculation Sheet'!$P$4:$P$40=$CL$10)*($NM$6:$NM$42=1))&gt;0)</f>
        <v>1</v>
      </c>
      <c r="NO10">
        <f>$NO$9+--($NN10)</f>
        <v>7</v>
      </c>
      <c r="NP10">
        <f t="shared" si="122"/>
        <v>813</v>
      </c>
      <c r="NQ10">
        <f>IF(COUNTIF('Buyer Groups'!DG10:DV10,0)+COUNTIF('Buyer Groups'!DX10:EN10,0)&gt;0,0,1)</f>
        <v>1</v>
      </c>
      <c r="NR10" t="b">
        <f>IF($CQ$10="",FALSE,SUMPRODUCT(('Final Calculation Sheet'!$Q$4:$Q$40=$CQ$10)*($NQ$6:$NQ$42=1))&gt;0)</f>
        <v>0</v>
      </c>
      <c r="NS10">
        <f>$NS$9+--($NR10)</f>
        <v>2</v>
      </c>
      <c r="NT10" t="str">
        <f t="shared" si="123"/>
        <v/>
      </c>
      <c r="NU10">
        <f>IF(COUNTIF('Buyer Groups'!DG10:DW10,0)+COUNTIF('Buyer Groups'!DY10:EN10,0)&gt;0,0,1)</f>
        <v>1</v>
      </c>
      <c r="NV10" t="b">
        <f>IF($CV$10="",FALSE,SUMPRODUCT(('Final Calculation Sheet'!$R$4:$R$40=$CV$10)*($NU$6:$NU$42=1))&gt;0)</f>
        <v>0</v>
      </c>
      <c r="NW10">
        <f>$NW$9+--($NV10)</f>
        <v>5</v>
      </c>
      <c r="NX10" t="str">
        <f t="shared" si="124"/>
        <v/>
      </c>
      <c r="NY10">
        <f>IF(COUNTIF('Buyer Groups'!DG10:DX10,0)+COUNTIF('Buyer Groups'!DZ10:EN10,0)&gt;0,0,1)</f>
        <v>1</v>
      </c>
      <c r="NZ10" t="b">
        <f>IF($DA$10="",FALSE,SUMPRODUCT(('Final Calculation Sheet'!$S$4:$S$40=$DA$10)*($NY$6:$NY$42=1))&gt;0)</f>
        <v>1</v>
      </c>
      <c r="OA10">
        <f>$OA$9+--($NZ10)</f>
        <v>7</v>
      </c>
      <c r="OB10">
        <f t="shared" si="125"/>
        <v>35309</v>
      </c>
      <c r="OC10">
        <f>IF(COUNTIF('Buyer Groups'!DG10:DY10,0)+COUNTIF('Buyer Groups'!EA10:EN10,0)&gt;0,0,1)</f>
        <v>1</v>
      </c>
      <c r="OD10" t="b">
        <f>IF($DF$10="",FALSE,SUMPRODUCT(('Final Calculation Sheet'!$T$4:$T$40=$DF$10)*($OC$6:$OC$42=1))&gt;0)</f>
        <v>1</v>
      </c>
      <c r="OE10">
        <f>$OE$9+--($OD10)</f>
        <v>7</v>
      </c>
      <c r="OF10">
        <f t="shared" si="126"/>
        <v>7503</v>
      </c>
      <c r="OG10">
        <f>IF(COUNTIF('Buyer Groups'!DG10:DZ10,0)+COUNTIF('Buyer Groups'!EB10:EN10,0)&gt;0,0,1)</f>
        <v>1</v>
      </c>
      <c r="OH10" t="b">
        <f>IF($DK$10="",FALSE,SUMPRODUCT(('Final Calculation Sheet'!$U$4:$U$40=$DK$10)*($OG$6:$OG$42=1))&gt;0)</f>
        <v>1</v>
      </c>
      <c r="OI10">
        <f>$OI$9+--($OH10)</f>
        <v>7</v>
      </c>
      <c r="OJ10">
        <f t="shared" si="127"/>
        <v>7503</v>
      </c>
      <c r="OK10">
        <f>IF(COUNTIF('Buyer Groups'!DG10:EA10,0)+COUNTIF('Buyer Groups'!EC10:EN10,0)&gt;0,0,1)</f>
        <v>1</v>
      </c>
      <c r="OL10" t="b">
        <f>IF($DP$10="",FALSE,SUMPRODUCT(('Final Calculation Sheet'!$V$4:$V$40=$DP$10)*($OK$6:$OK$42=1))&gt;0)</f>
        <v>0</v>
      </c>
      <c r="OM10">
        <f>$OM$9+--($OL10)</f>
        <v>6</v>
      </c>
      <c r="ON10" t="str">
        <f t="shared" si="128"/>
        <v/>
      </c>
      <c r="OO10">
        <f>IF(COUNTIF('Buyer Groups'!DG10:EB10,0)+COUNTIF('Buyer Groups'!ED10:EN10,0)&gt;0,0,1)</f>
        <v>1</v>
      </c>
      <c r="OP10" t="b">
        <f>IF($DU$10="",FALSE,SUMPRODUCT(('Final Calculation Sheet'!$W$4:$W$40=$DU$10)*($OO$6:$OO$42=1))&gt;0)</f>
        <v>1</v>
      </c>
      <c r="OQ10">
        <f>$OQ$9+--($OP10)</f>
        <v>7</v>
      </c>
      <c r="OR10">
        <f t="shared" si="129"/>
        <v>27806</v>
      </c>
      <c r="OS10">
        <f>IF(COUNTIF('Buyer Groups'!DG10:EC10,0)+COUNTIF('Buyer Groups'!EE10:EN10,0)&gt;0,0,1)</f>
        <v>1</v>
      </c>
      <c r="OT10" t="e">
        <f>IF($DZ$10="",FALSE,SUMPRODUCT(('Final Calculation Sheet'!$X$4:$X$40=$DZ$10)*($OS$6:$OS$42=1))&gt;0)</f>
        <v>#N/A</v>
      </c>
      <c r="OU10" t="e">
        <f>$OU$9+--($OT10)</f>
        <v>#N/A</v>
      </c>
      <c r="OV10" t="e">
        <f t="shared" si="130"/>
        <v>#N/A</v>
      </c>
      <c r="OW10">
        <f>IF(COUNTIF('Buyer Groups'!DG10:ED10,0)+COUNTIF('Buyer Groups'!EF10:EN10,0)&gt;0,0,1)</f>
        <v>1</v>
      </c>
      <c r="OX10" t="e">
        <f>IF($EE$10="",FALSE,SUMPRODUCT(('Final Calculation Sheet'!$Y$4:$Y$40=$EE$10)*($OW$6:$OW$42=1))&gt;0)</f>
        <v>#N/A</v>
      </c>
      <c r="OY10" t="e">
        <f>$OY$9+--($OX10)</f>
        <v>#N/A</v>
      </c>
      <c r="OZ10" t="e">
        <f t="shared" si="131"/>
        <v>#N/A</v>
      </c>
      <c r="PA10">
        <f>IF(COUNTIF('Buyer Groups'!DG10:EE10,0)+COUNTIF('Buyer Groups'!EG10:EN10,0)&gt;0,0,1)</f>
        <v>1</v>
      </c>
      <c r="PB10" t="b">
        <f ca="1">IF($EJ$10="",FALSE,SUMPRODUCT(('Final Calculation Sheet'!$Z$4:$Z$40=$EJ$10)*($PA$6:$PA$42=1))&gt;0)</f>
        <v>1</v>
      </c>
      <c r="PC10">
        <f ca="1">$PC$9+--($PB10)</f>
        <v>7</v>
      </c>
      <c r="PD10">
        <f t="shared" ca="1" si="132"/>
        <v>1044.3708000000001</v>
      </c>
      <c r="PE10">
        <f>IF(COUNTIF('Buyer Groups'!DG10:EF10,0)+COUNTIF('Buyer Groups'!EH10:EN10,0)&gt;0,0,1)</f>
        <v>1</v>
      </c>
      <c r="PF10" t="e">
        <f>IF($EO$10="",FALSE,SUMPRODUCT(('Final Calculation Sheet'!$AA$4:$AA$40=$EO$10)*($PE$6:$PE$42=1))&gt;0)</f>
        <v>#N/A</v>
      </c>
      <c r="PG10" t="e">
        <f>$PG$9+--($PF10)</f>
        <v>#N/A</v>
      </c>
      <c r="PH10" t="e">
        <f t="shared" si="133"/>
        <v>#N/A</v>
      </c>
      <c r="PI10">
        <f>IF(COUNTIF('Buyer Groups'!DG10:EG10,0)+COUNTIF('Buyer Groups'!EI10:EN10,0)&gt;0,0,1)</f>
        <v>1</v>
      </c>
      <c r="PJ10" t="e">
        <f>IF($ET$10="",FALSE,SUMPRODUCT(('Final Calculation Sheet'!$AB$4:$AB$40=$ET$10)*($PI$6:$PI$42=1))&gt;0)</f>
        <v>#N/A</v>
      </c>
      <c r="PK10" t="e">
        <f>$PK$9+--($PJ10)</f>
        <v>#N/A</v>
      </c>
      <c r="PL10" t="e">
        <f t="shared" si="134"/>
        <v>#N/A</v>
      </c>
      <c r="PM10">
        <f>IF(COUNTIF('Buyer Groups'!DG10:EH10,0)+COUNTIF('Buyer Groups'!EJ10:EN10,0)&gt;0,0,1)</f>
        <v>1</v>
      </c>
      <c r="PN10" t="b">
        <f>IF($EY$10="",FALSE,SUMPRODUCT(('Final Calculation Sheet'!$AC$4:$AC$40=$EY$10)*($PM$6:$PM$42=1))&gt;0)</f>
        <v>1</v>
      </c>
      <c r="PO10">
        <f>$PO$9+--($PN10)</f>
        <v>7</v>
      </c>
      <c r="PP10">
        <f t="shared" si="135"/>
        <v>34708</v>
      </c>
      <c r="PQ10">
        <f>IF(COUNTIF('Buyer Groups'!DG10:EI10,0)+COUNTIF('Buyer Groups'!EK10:EN10,0)&gt;0,0,1)</f>
        <v>1</v>
      </c>
      <c r="PR10" t="b">
        <f>IF($FD$10="",FALSE,SUMPRODUCT(('Final Calculation Sheet'!$AD$4:$AD$40=$FD$10)*($PQ$6:$PQ$42=1))&gt;0)</f>
        <v>1</v>
      </c>
      <c r="PS10">
        <f>$PS$9+--($PR10)</f>
        <v>7</v>
      </c>
      <c r="PT10">
        <f t="shared" si="136"/>
        <v>0</v>
      </c>
      <c r="PU10">
        <f>IF(COUNTIF('Buyer Groups'!DG10:EJ10,0)+COUNTIF('Buyer Groups'!EL10:EN10,0)&gt;0,0,1)</f>
        <v>1</v>
      </c>
      <c r="PV10" t="b">
        <f>IF($FX$10="",FALSE,SUMPRODUCT((IF('Final Calculation Sheet'!$AD$4:$AD$40&lt;=5,"SETTLED","OUTSTANDING")=$FX$10)*($PU$6:$PU$42=1))&gt;0)</f>
        <v>0</v>
      </c>
      <c r="PW10">
        <f>$PW$9+--($PV10)</f>
        <v>1</v>
      </c>
      <c r="PX10" t="str">
        <f t="shared" si="137"/>
        <v/>
      </c>
      <c r="PY10">
        <f>IF(COUNTIF('Buyer Groups'!DG10:EK10,0)+COUNTIF('Buyer Groups'!EM10:EN10,0)&gt;0,0,1)</f>
        <v>1</v>
      </c>
      <c r="PZ10" t="e">
        <f>IF($FI$10="",FALSE,SUMPRODUCT(('Final Calculation Sheet'!$AF$4:$AF$40=$FI$10)*($PY$6:$PY$42=1))&gt;0)</f>
        <v>#N/A</v>
      </c>
      <c r="QA10" t="e">
        <f>$QA$9+--($PZ10)</f>
        <v>#N/A</v>
      </c>
      <c r="QB10" t="e">
        <f t="shared" si="138"/>
        <v>#N/A</v>
      </c>
      <c r="QC10">
        <f>IF(COUNTIF('Buyer Groups'!DG10:EL10,0)+COUNTIF('Buyer Groups'!EN10:EN10,0)&gt;0,0,1)</f>
        <v>1</v>
      </c>
      <c r="QD10" t="e">
        <f>IF($FN$10="",FALSE,SUMPRODUCT(('Final Calculation Sheet'!$AG$4:$AG$40=$FN$10)*($QC$6:$QC$42=1))&gt;0)</f>
        <v>#N/A</v>
      </c>
      <c r="QE10" t="e">
        <f>$QE$9+--($QD10)</f>
        <v>#N/A</v>
      </c>
      <c r="QF10" t="e">
        <f t="shared" si="139"/>
        <v>#N/A</v>
      </c>
      <c r="QG10">
        <f>IF(COUNTIF('Buyer Groups'!DG10:EM10,0)&gt;0,0,1)</f>
        <v>1</v>
      </c>
      <c r="QH10" t="e">
        <f>IF($FS$10="",FALSE,SUMPRODUCT(('Final Calculation Sheet'!$AH$4:$AH$40=$FS$10)*($QG$6:$QG$42=1))&gt;0)</f>
        <v>#N/A</v>
      </c>
      <c r="QI10" t="e">
        <f>$QI$9+--($QH10)</f>
        <v>#N/A</v>
      </c>
      <c r="QJ10" t="e">
        <f t="shared" si="140"/>
        <v>#N/A</v>
      </c>
      <c r="QK10" t="str">
        <f>IF('Final Calculation Sheet'!$AH$10="","",'Final Calculation Sheet'!$AH$10)</f>
        <v>27.08.2026</v>
      </c>
      <c r="QL10">
        <f>IF(QK10="","",COUNTIFS(QK$4:QK$40,"&lt;"&amp;QK10,QK$4:QK$40,"&lt;&gt;"&amp;"")+COUNTIF(QK$4:QK10,QK10))</f>
        <v>23</v>
      </c>
      <c r="QM10" t="str">
        <f t="shared" si="141"/>
        <v>14.08.2026</v>
      </c>
      <c r="QN10" t="e">
        <f ca="1">QN9+F(AND(QM10&lt;&gt;"",COUNTIF(QM$4:QM10,QM10)=1),1,0)</f>
        <v>#N/A</v>
      </c>
      <c r="QO10" t="e">
        <f t="shared" si="142"/>
        <v>#N/A</v>
      </c>
      <c r="QP10">
        <f>IF(COUNTIF('Final Calculation Sheet'!$AM10:$BS10,0)&gt;0,0,1)</f>
        <v>1</v>
      </c>
      <c r="QQ10" t="b">
        <f>IF($AI$10="",FALSE,SUMPRODUCT(('Final Calculation Sheet'!$A$4:$A$40=$AI$10)*($QP$4:$QP$40=1))&gt;0)</f>
        <v>1</v>
      </c>
      <c r="QR10">
        <f t="shared" si="177"/>
        <v>7</v>
      </c>
      <c r="QS10">
        <f t="shared" si="143"/>
        <v>22</v>
      </c>
      <c r="QT10">
        <f>IF(COUNTIF('Final Calculation Sheet'!$AL10:$AL10,0)+COUNTIF('Final Calculation Sheet'!$AN10:$BS10,0)&gt;0,0,1)</f>
        <v>1</v>
      </c>
      <c r="QU10" t="b">
        <f>IF($Y$10="",FALSE,SUMPRODUCT(('Final Calculation Sheet'!$B$4:$B$40=$Y$10)*($QT$4:$QT$40=1))&gt;0)</f>
        <v>1</v>
      </c>
      <c r="QV10">
        <f t="shared" si="178"/>
        <v>7</v>
      </c>
      <c r="QW10" t="str">
        <f t="shared" si="144"/>
        <v>Scrap of 132 KV Wave Trap</v>
      </c>
      <c r="QX10">
        <f>IF(COUNTIF('Final Calculation Sheet'!$AL10:$AM10,0)+COUNTIF('Final Calculation Sheet'!$AO10:$BS10,0)&gt;0,0,1)</f>
        <v>1</v>
      </c>
      <c r="QY10" t="b">
        <f>IF($AS$10="",FALSE,SUMPRODUCT(('Final Calculation Sheet'!$C$4:$C$40=$AS$10)*($QX$4:$QX$40=1))&gt;0)</f>
        <v>1</v>
      </c>
      <c r="QZ10">
        <f t="shared" si="179"/>
        <v>7</v>
      </c>
      <c r="RA10">
        <f t="shared" si="145"/>
        <v>543</v>
      </c>
      <c r="RB10">
        <f>IF(COUNTIF('Final Calculation Sheet'!$AL10:$AN10,0)+COUNTIF('Final Calculation Sheet'!$AP10:$BS10,0)&gt;0,0,1)</f>
        <v>1</v>
      </c>
      <c r="RC10" t="b">
        <f>IF($AD$10="",FALSE,SUMPRODUCT(('Final Calculation Sheet'!$D$4:$D$40=$AD$10)*($RB$4:$RB$40=1))&gt;0)</f>
        <v>0</v>
      </c>
      <c r="RD10">
        <f t="shared" si="180"/>
        <v>4</v>
      </c>
      <c r="RE10" t="str">
        <f t="shared" si="146"/>
        <v/>
      </c>
      <c r="RF10">
        <f>IF(COUNTIF('Final Calculation Sheet'!$AL10:$AO10,0)+COUNTIF('Final Calculation Sheet'!$AQ10:$BS10,0)&gt;0,0,1)</f>
        <v>1</v>
      </c>
      <c r="RG10" t="b">
        <f>IF($AN$10="",FALSE,SUMPRODUCT(('Final Calculation Sheet'!$E$4:$E$40=$AN$10)*($RF$4:$RF$40=1))&gt;0)</f>
        <v>0</v>
      </c>
      <c r="RH10">
        <f t="shared" si="181"/>
        <v>3</v>
      </c>
      <c r="RI10" t="str">
        <f t="shared" si="147"/>
        <v/>
      </c>
      <c r="RJ10">
        <f>IF(COUNTIF('Final Calculation Sheet'!$AL10:$AP10,0)+COUNTIF('Final Calculation Sheet'!$AR10:$BS10,0)&gt;0,0,1)</f>
        <v>1</v>
      </c>
      <c r="RK10" t="b">
        <f>IF($O$10="",FALSE,SUMPRODUCT(('Final Calculation Sheet'!$F$4:$F$40=$O$10)*($RJ$4:$RJ$40=1))&gt;0)</f>
        <v>1</v>
      </c>
      <c r="RL10">
        <f t="shared" si="182"/>
        <v>7</v>
      </c>
      <c r="RM10">
        <f t="shared" si="148"/>
        <v>2002</v>
      </c>
      <c r="RN10">
        <f>IF(COUNTIF('Final Calculation Sheet'!$AL10:$AQ10,0)+COUNTIF('Final Calculation Sheet'!$AS10:$BS10,0)&gt;0,0,1)</f>
        <v>1</v>
      </c>
      <c r="RO10" t="b">
        <f>IF($T$10="",FALSE,SUMPRODUCT(('Final Calculation Sheet'!$G$4:$G$40=$T$10)*($RN$4:$RN$40=1))&gt;0)</f>
        <v>1</v>
      </c>
      <c r="RP10">
        <f t="shared" si="183"/>
        <v>7</v>
      </c>
      <c r="RQ10" t="str">
        <f t="shared" si="149"/>
        <v>NATIONAL SCRAP AND BUILDING MATERIAL SUPPLIER</v>
      </c>
      <c r="RR10">
        <f>IF(COUNTIF('Final Calculation Sheet'!$AL10:$AR10,0)+COUNTIF('Final Calculation Sheet'!$AT10:$BS10,0)&gt;0,0,1)</f>
        <v>1</v>
      </c>
      <c r="RS10" t="b">
        <f>IF($AX$10="",FALSE,SUMPRODUCT(('Final Calculation Sheet'!$H$4:$H$40=$AX$10)*($RR$4:$RR$40=1))&gt;0)</f>
        <v>1</v>
      </c>
      <c r="RT10">
        <f t="shared" si="184"/>
        <v>7</v>
      </c>
      <c r="RU10">
        <f t="shared" si="150"/>
        <v>30012</v>
      </c>
      <c r="RV10">
        <f>IF(COUNTIF('Final Calculation Sheet'!$AL10:$AS10,0)+COUNTIF('Final Calculation Sheet'!$AU10:$BS10,0)&gt;0,0,1)</f>
        <v>1</v>
      </c>
      <c r="RW10" t="b">
        <f>IF($BC$10="",FALSE,SUMPRODUCT(('Final Calculation Sheet'!$I$4:$I$40=$BC$10)*($RV$4:$RV$40=1))&gt;0)</f>
        <v>1</v>
      </c>
      <c r="RX10">
        <f t="shared" si="185"/>
        <v>7</v>
      </c>
      <c r="RY10">
        <f t="shared" si="151"/>
        <v>5402</v>
      </c>
      <c r="RZ10">
        <f>IF(COUNTIF('Final Calculation Sheet'!$AL10:$AT10,0)+COUNTIF('Final Calculation Sheet'!$AV10:$BS10,0)&gt;0,0,1)</f>
        <v>1</v>
      </c>
      <c r="SA10" t="b">
        <f>IF($BH$10="",FALSE,SUMPRODUCT(('Final Calculation Sheet'!$J$4:$J$40=$BH$10)*($RZ$4:$RZ$40=1))&gt;0)</f>
        <v>1</v>
      </c>
      <c r="SB10">
        <f t="shared" si="186"/>
        <v>7</v>
      </c>
      <c r="SC10">
        <f t="shared" si="152"/>
        <v>35414</v>
      </c>
      <c r="SD10">
        <f>IF(COUNTIF('Final Calculation Sheet'!$AL10:$AU10,0)+COUNTIF('Final Calculation Sheet'!$AW10:$BS10,0)&gt;0,0,1)</f>
        <v>1</v>
      </c>
      <c r="SE10" t="b">
        <f>IF($BM$10="",FALSE,SUMPRODUCT(('Final Calculation Sheet'!$K$4:$K$40=$BM$10)*($SD$4:$SD$40=1))&gt;0)</f>
        <v>1</v>
      </c>
      <c r="SF10">
        <f t="shared" si="187"/>
        <v>7</v>
      </c>
      <c r="SG10">
        <f t="shared" si="153"/>
        <v>708</v>
      </c>
      <c r="SH10">
        <f>IF(COUNTIF('Final Calculation Sheet'!$AL10:$AV10,0)+COUNTIF('Final Calculation Sheet'!$AX10:$BS10,0)&gt;0,0,1)</f>
        <v>1</v>
      </c>
      <c r="SI10" t="b">
        <f>IF($BR$10="",FALSE,SUMPRODUCT(('Final Calculation Sheet'!$L$4:$L$40=$BR$10)*($SH$4:$SH$40=1))&gt;0)</f>
        <v>1</v>
      </c>
      <c r="SJ10">
        <f t="shared" si="188"/>
        <v>7</v>
      </c>
      <c r="SK10">
        <f t="shared" si="154"/>
        <v>30.012</v>
      </c>
      <c r="SL10">
        <f>IF(COUNTIF('Final Calculation Sheet'!$AL10:$AW10,0)+COUNTIF('Final Calculation Sheet'!$AY10:$BS10,0)&gt;0,0,1)</f>
        <v>1</v>
      </c>
      <c r="SM10" t="b">
        <f>IF($BW$10="",FALSE,SUMPRODUCT(('Final Calculation Sheet'!$M$4:$M$40=$BW$10)*($SL$4:$SL$40=1))&gt;0)</f>
        <v>1</v>
      </c>
      <c r="SN10">
        <f t="shared" si="189"/>
        <v>7</v>
      </c>
      <c r="SO10">
        <f t="shared" si="155"/>
        <v>796.81859999999995</v>
      </c>
      <c r="SP10">
        <f>IF(COUNTIF('Final Calculation Sheet'!$AL10:$AX10,0)+COUNTIF('Final Calculation Sheet'!$AZ10:$BS10,0)&gt;0,0,1)</f>
        <v>1</v>
      </c>
      <c r="SQ10" t="b">
        <f>IF($CB$10="",FALSE,SUMPRODUCT(('Final Calculation Sheet'!$N$4:$N$40=$CB$10)*($SP$4:$SP$40=1))&gt;0)</f>
        <v>1</v>
      </c>
      <c r="SR10">
        <f t="shared" si="190"/>
        <v>7</v>
      </c>
      <c r="SS10">
        <f t="shared" si="156"/>
        <v>13.5054</v>
      </c>
      <c r="ST10">
        <f>IF(COUNTIF('Final Calculation Sheet'!$AL10:$AY10,0)+COUNTIF('Final Calculation Sheet'!$BA10:$BS10,0)&gt;0,0,1)</f>
        <v>1</v>
      </c>
      <c r="SU10" t="b">
        <f>IF($CG$10="",FALSE,SUMPRODUCT(('Final Calculation Sheet'!$O$4:$O$40=$CG$10)*($ST$4:$ST$40=1))&gt;0)</f>
        <v>1</v>
      </c>
      <c r="SV10">
        <f t="shared" si="191"/>
        <v>7</v>
      </c>
      <c r="SW10">
        <f t="shared" si="157"/>
        <v>783.31319999999994</v>
      </c>
      <c r="SX10">
        <f>IF(COUNTIF('Final Calculation Sheet'!$AL10:$AZ10,0)+COUNTIF('Final Calculation Sheet'!$BB10:$BS10,0)&gt;0,0,1)</f>
        <v>1</v>
      </c>
      <c r="SY10" t="b">
        <f>IF($CL$10="",FALSE,SUMPRODUCT(('Final Calculation Sheet'!$P$4:$P$40=$CL$10)*($SX$4:$SX$40=1))&gt;0)</f>
        <v>1</v>
      </c>
      <c r="SZ10">
        <f t="shared" si="192"/>
        <v>7</v>
      </c>
      <c r="TA10">
        <f t="shared" si="158"/>
        <v>813</v>
      </c>
      <c r="TB10">
        <f>IF(COUNTIF('Final Calculation Sheet'!$AL10:$BA10,0)+COUNTIF('Final Calculation Sheet'!$BC10:$BS10,0)&gt;0,0,1)</f>
        <v>1</v>
      </c>
      <c r="TC10" t="b">
        <f>IF($CQ$10="",FALSE,SUMPRODUCT(('Final Calculation Sheet'!$Q$4:$Q$40=$CQ$10)*($TB$4:$TB$40=1))&gt;0)</f>
        <v>0</v>
      </c>
      <c r="TD10">
        <f t="shared" si="193"/>
        <v>2</v>
      </c>
      <c r="TE10" t="str">
        <f t="shared" si="159"/>
        <v/>
      </c>
      <c r="TF10">
        <f>IF(COUNTIF('Final Calculation Sheet'!$AL10:$BB10,0)+COUNTIF('Final Calculation Sheet'!$BD10:$BS10,0)&gt;0,0,1)</f>
        <v>1</v>
      </c>
      <c r="TG10" t="b">
        <f>IF($CV$10="",FALSE,SUMPRODUCT(('Final Calculation Sheet'!$R$4:$R$40=$CV$10)*($TF$4:$TF$40=1))&gt;0)</f>
        <v>0</v>
      </c>
      <c r="TH10">
        <f t="shared" si="194"/>
        <v>5</v>
      </c>
      <c r="TI10" t="str">
        <f t="shared" si="160"/>
        <v/>
      </c>
      <c r="TJ10">
        <f>IF(COUNTIF('Final Calculation Sheet'!$AL10:$BC10,0)+COUNTIF('Final Calculation Sheet'!$BE10:$BS10,0)&gt;0,0,1)</f>
        <v>1</v>
      </c>
      <c r="TK10" t="b">
        <f>IF($DA$10="",FALSE,SUMPRODUCT(('Final Calculation Sheet'!$S$4:$S$40=$DA$10)*($TJ$4:$TJ$40=1))&gt;0)</f>
        <v>1</v>
      </c>
      <c r="TL10">
        <f t="shared" si="195"/>
        <v>7</v>
      </c>
      <c r="TM10">
        <f t="shared" si="161"/>
        <v>35309</v>
      </c>
      <c r="TN10">
        <f>IF(COUNTIF('Final Calculation Sheet'!$AL10:$BD10,0)+COUNTIF('Final Calculation Sheet'!$BF10:$BS10,0)&gt;0,0,1)</f>
        <v>1</v>
      </c>
      <c r="TO10" t="b">
        <f>IF($DF$10="",FALSE,SUMPRODUCT(('Final Calculation Sheet'!$T$4:$T$40=$DF$10)*($TN$4:$TN$40=1))&gt;0)</f>
        <v>1</v>
      </c>
      <c r="TP10">
        <f t="shared" si="196"/>
        <v>7</v>
      </c>
      <c r="TQ10">
        <f t="shared" si="162"/>
        <v>7503</v>
      </c>
      <c r="TR10">
        <f>IF(COUNTIF('Final Calculation Sheet'!$AL10:$BE10,0)+COUNTIF('Final Calculation Sheet'!$BG10:$BS10,0)&gt;0,0,1)</f>
        <v>1</v>
      </c>
      <c r="TS10" t="b">
        <f>IF($DK$10="",FALSE,SUMPRODUCT(('Final Calculation Sheet'!$U$4:$U$40=$DK$10)*($TR$4:$TR$40=1))&gt;0)</f>
        <v>1</v>
      </c>
      <c r="TT10">
        <f t="shared" si="197"/>
        <v>7</v>
      </c>
      <c r="TU10">
        <f t="shared" si="163"/>
        <v>7503</v>
      </c>
      <c r="TV10">
        <f>IF(COUNTIF('Final Calculation Sheet'!$AL10:$BF10,0)+COUNTIF('Final Calculation Sheet'!$BH10:$BS10,0)&gt;0,0,1)</f>
        <v>1</v>
      </c>
      <c r="TW10" t="b">
        <f>IF($DP$10="",FALSE,SUMPRODUCT(('Final Calculation Sheet'!$V$4:$V$40=$DP$10)*($TV$4:$TV$40=1))&gt;0)</f>
        <v>0</v>
      </c>
      <c r="TX10">
        <f t="shared" si="198"/>
        <v>6</v>
      </c>
      <c r="TY10" t="str">
        <f t="shared" si="164"/>
        <v/>
      </c>
      <c r="TZ10">
        <f>IF(COUNTIF('Final Calculation Sheet'!$AL10:$BG10,0)+COUNTIF('Final Calculation Sheet'!$BI10:$BS10,0)&gt;0,0,1)</f>
        <v>1</v>
      </c>
      <c r="UA10" t="b">
        <f>IF($DU$10="",FALSE,SUMPRODUCT(('Final Calculation Sheet'!$W$4:$W$40=$DU$10)*($TZ$4:$TZ$40=1))&gt;0)</f>
        <v>1</v>
      </c>
      <c r="UB10">
        <f t="shared" si="199"/>
        <v>7</v>
      </c>
      <c r="UC10">
        <f t="shared" si="165"/>
        <v>27806</v>
      </c>
      <c r="UD10">
        <f>IF(COUNTIF('Final Calculation Sheet'!$AL10:$BH10,0)+COUNTIF('Final Calculation Sheet'!$BJ10:$BS10,0)&gt;0,0,1)</f>
        <v>1</v>
      </c>
      <c r="UE10" t="e">
        <f>IF($DZ$10="",FALSE,SUMPRODUCT(('Final Calculation Sheet'!$X$4:$X$40=$DZ$10)*($UD$4:$UD$40=1))&gt;0)</f>
        <v>#N/A</v>
      </c>
      <c r="UF10" t="e">
        <f t="shared" si="200"/>
        <v>#N/A</v>
      </c>
      <c r="UG10" t="e">
        <f t="shared" si="166"/>
        <v>#N/A</v>
      </c>
      <c r="UH10">
        <f>IF(COUNTIF('Final Calculation Sheet'!$AL10:$BI10,0)+COUNTIF('Final Calculation Sheet'!$BK10:$BS10,0)&gt;0,0,1)</f>
        <v>1</v>
      </c>
      <c r="UI10" t="e">
        <f>IF($EE$10="",FALSE,SUMPRODUCT(('Final Calculation Sheet'!$Y$4:$Y$40=$EE$10)*($UH$4:$UH$40=1))&gt;0)</f>
        <v>#N/A</v>
      </c>
      <c r="UJ10" t="e">
        <f t="shared" si="201"/>
        <v>#N/A</v>
      </c>
      <c r="UK10" t="e">
        <f t="shared" si="167"/>
        <v>#N/A</v>
      </c>
      <c r="UL10">
        <f>IF(COUNTIF('Final Calculation Sheet'!$AL10:$BJ10,0)+COUNTIF('Final Calculation Sheet'!$BL10:$BS10,0)&gt;0,0,1)</f>
        <v>1</v>
      </c>
      <c r="UM10" t="b">
        <f ca="1">IF($EJ$10="",FALSE,SUMPRODUCT(('Final Calculation Sheet'!$Z$4:$Z$40=$EJ$10)*($UL$4:$UL$40=1))&gt;0)</f>
        <v>1</v>
      </c>
      <c r="UN10">
        <f t="shared" ca="1" si="202"/>
        <v>7</v>
      </c>
      <c r="UO10">
        <f t="shared" ca="1" si="168"/>
        <v>1044.3708000000001</v>
      </c>
      <c r="UP10">
        <f>IF(COUNTIF('Final Calculation Sheet'!$AL10:$BK10,0)+COUNTIF('Final Calculation Sheet'!$BM10:$BS10,0)&gt;0,0,1)</f>
        <v>1</v>
      </c>
      <c r="UQ10" t="e">
        <f>IF($EO$10="",FALSE,SUMPRODUCT(('Final Calculation Sheet'!$AA$4:$AA$40=$EO$10)*($UP$4:$UP$40=1))&gt;0)</f>
        <v>#N/A</v>
      </c>
      <c r="UR10" t="e">
        <f t="shared" si="203"/>
        <v>#N/A</v>
      </c>
      <c r="US10" t="e">
        <f t="shared" si="169"/>
        <v>#N/A</v>
      </c>
      <c r="UT10">
        <f>IF(COUNTIF('Final Calculation Sheet'!$AL10:$BL10,0)+COUNTIF('Final Calculation Sheet'!$BN10:$BS10,0)&gt;0,0,1)</f>
        <v>1</v>
      </c>
      <c r="UU10" t="e">
        <f>IF($ET$10="",FALSE,SUMPRODUCT(('Final Calculation Sheet'!$AB$4:$AB$40=$ET$10)*($UT$4:$UT$40=1))&gt;0)</f>
        <v>#N/A</v>
      </c>
      <c r="UV10" t="e">
        <f t="shared" si="204"/>
        <v>#N/A</v>
      </c>
      <c r="UW10" t="e">
        <f t="shared" si="170"/>
        <v>#N/A</v>
      </c>
      <c r="UX10">
        <f>IF(COUNTIF('Final Calculation Sheet'!$AL10:$BM10,0)+COUNTIF('Final Calculation Sheet'!$BO10:$BS10,0)&gt;0,0,1)</f>
        <v>1</v>
      </c>
      <c r="UY10" t="b">
        <f>IF($EY$10="",FALSE,SUMPRODUCT(('Final Calculation Sheet'!$AC$4:$AC$40=$EY$10)*($UX$4:$UX$40=1))&gt;0)</f>
        <v>1</v>
      </c>
      <c r="UZ10">
        <f t="shared" si="205"/>
        <v>7</v>
      </c>
      <c r="VA10">
        <f t="shared" si="171"/>
        <v>34708</v>
      </c>
      <c r="VB10">
        <f>IF(COUNTIF('Final Calculation Sheet'!$AL10:$BN10,0)+COUNTIF('Final Calculation Sheet'!$BP10:$BS10,0)&gt;0,0,1)</f>
        <v>1</v>
      </c>
      <c r="VC10" t="b">
        <f>IF($FD$10="",FALSE,SUMPRODUCT(('Final Calculation Sheet'!$AD$4:$AD$40=$FD$10)*($VB$4:$VB$40=1))&gt;0)</f>
        <v>1</v>
      </c>
      <c r="VD10">
        <f t="shared" si="206"/>
        <v>7</v>
      </c>
      <c r="VE10">
        <f t="shared" si="172"/>
        <v>0</v>
      </c>
      <c r="VF10">
        <f>IF(COUNTIF('Final Calculation Sheet'!$AL10:$BO10,0)+COUNTIF('Final Calculation Sheet'!$BQ10:$BS10,0)&gt;0,0,1)</f>
        <v>1</v>
      </c>
      <c r="VG10" t="e">
        <f>IF($FI$10="",FALSE,SUMPRODUCT(('Final Calculation Sheet'!$AE$4:$AE$40=$FI$10)*($VF$4:$VF$40=1))&gt;0)</f>
        <v>#N/A</v>
      </c>
      <c r="VH10" t="e">
        <f t="shared" si="207"/>
        <v>#N/A</v>
      </c>
      <c r="VI10" t="e">
        <f t="shared" si="173"/>
        <v>#N/A</v>
      </c>
      <c r="VJ10">
        <f>IF(COUNTIF('Final Calculation Sheet'!$AL10:$BP10,0)+COUNTIF('Final Calculation Sheet'!$BR10:$BS10,0)&gt;0,0,1)</f>
        <v>1</v>
      </c>
      <c r="VK10" t="e">
        <f>IF($FN$10="",FALSE,SUMPRODUCT(('Final Calculation Sheet'!$AF$4:$AF$40=$FN$10)*($VJ$4:$VJ$40=1))&gt;0)</f>
        <v>#N/A</v>
      </c>
      <c r="VL10" t="e">
        <f t="shared" si="208"/>
        <v>#N/A</v>
      </c>
      <c r="VM10" t="e">
        <f t="shared" si="174"/>
        <v>#N/A</v>
      </c>
      <c r="VN10">
        <f>IF(COUNTIF('Final Calculation Sheet'!$AL10:$BQ10,0)+COUNTIF('Final Calculation Sheet'!$BS10:$BS10,0)&gt;0,0,1)</f>
        <v>1</v>
      </c>
      <c r="VO10" t="e">
        <f>IF($FS$10="",FALSE,SUMPRODUCT(('Final Calculation Sheet'!$AG$4:$AG$40=$FS$10)*($VN$4:$VN$40=1))&gt;0)</f>
        <v>#N/A</v>
      </c>
      <c r="VP10" t="e">
        <f t="shared" si="209"/>
        <v>#N/A</v>
      </c>
      <c r="VQ10" t="e">
        <f t="shared" si="175"/>
        <v>#N/A</v>
      </c>
      <c r="VR10">
        <f>IF(COUNTIF('Final Calculation Sheet'!$AL10:$BR10,0)&gt;0,0,1)</f>
        <v>1</v>
      </c>
      <c r="VS10" t="e">
        <f>IF($QO$10="",FALSE,SUMPRODUCT(('Final Calculation Sheet'!$AH$4:$AH$40=$QO$10)*($VR$4:$VR$40=1))&gt;0)</f>
        <v>#N/A</v>
      </c>
      <c r="VT10" t="e">
        <f t="shared" si="210"/>
        <v>#N/A</v>
      </c>
      <c r="VU10" t="e">
        <f t="shared" si="176"/>
        <v>#N/A</v>
      </c>
    </row>
    <row r="11" spans="1:593" x14ac:dyDescent="0.3">
      <c r="A11">
        <f>IF('Final Calculation Sheet'!$F$11="","",'Final Calculation Sheet'!$F$11)</f>
        <v>2003</v>
      </c>
      <c r="B11">
        <f>IF(A11="","",COUNTIFS(A$4:A$114,"&lt;"&amp;A11,A$4:A$114,"&lt;&gt;"&amp;"")+COUNTIF(A$4:A11,A11))</f>
        <v>8</v>
      </c>
      <c r="C11">
        <f t="shared" si="0"/>
        <v>2003</v>
      </c>
      <c r="D11">
        <f>D10+IF(AND(C11&lt;&gt;"",COUNTIF(C$4:C11,C11)=1),1,0)</f>
        <v>8</v>
      </c>
      <c r="E11" t="e">
        <f t="shared" si="1"/>
        <v>#N/A</v>
      </c>
      <c r="F11">
        <f t="shared" si="2"/>
        <v>8</v>
      </c>
      <c r="G11">
        <f>IF(F11="","",COUNTIFS(F$4:F$40,"&lt;"&amp;F11,F$4:F$40,"&lt;&gt;"&amp;"")+COUNTIF(F$4:F11,F11))</f>
        <v>8</v>
      </c>
      <c r="H11">
        <f t="shared" si="3"/>
        <v>8</v>
      </c>
      <c r="I11">
        <f>I10+IF(AND(H11&lt;&gt;"",COUNTIF(H$4:H11,H11)=1),1,0)</f>
        <v>8</v>
      </c>
      <c r="J11">
        <f t="shared" si="4"/>
        <v>8</v>
      </c>
      <c r="K11">
        <f>IF('Final Calculation Sheet'!$F$11="","",'Final Calculation Sheet'!$F$11)</f>
        <v>2003</v>
      </c>
      <c r="L11">
        <f>IF(K11="","",COUNTIFS(K$4:K$40,"&lt;"&amp;K11,K$4:K$40,"&lt;&gt;"&amp;"")+COUNTIF(K$4:K11,K11))</f>
        <v>8</v>
      </c>
      <c r="M11">
        <f t="shared" si="5"/>
        <v>2003</v>
      </c>
      <c r="N11">
        <f>N10+IF(AND(M11&lt;&gt;"",COUNTIF(M$4:M11,M11)=1),1,0)</f>
        <v>8</v>
      </c>
      <c r="O11">
        <f t="shared" si="6"/>
        <v>2003</v>
      </c>
      <c r="P11" t="str">
        <f>IF('Final Calculation Sheet'!$G$11="","",'Final Calculation Sheet'!$G$11)</f>
        <v>NATIONAL ENTERPRISES</v>
      </c>
      <c r="Q11">
        <f>IF(P11="","",COUNTIFS(P$4:P$40,"&lt;"&amp;P11,P$4:P$40,"&lt;&gt;"&amp;"")+COUNTIF(P$4:P11,P11))</f>
        <v>9</v>
      </c>
      <c r="R11" t="str">
        <f t="shared" si="7"/>
        <v>NATIONAL ENTERPRISES</v>
      </c>
      <c r="S11">
        <f>S10+IF(AND(R11&lt;&gt;"",COUNTIF(R$4:R11,R11)=1),1,0)</f>
        <v>6</v>
      </c>
      <c r="T11" t="str">
        <f t="shared" si="8"/>
        <v>OMKAR STEELS</v>
      </c>
      <c r="U11" t="str">
        <f>IF('Final Calculation Sheet'!$B$11="","",'Final Calculation Sheet'!$B$11)</f>
        <v>Scrap of 145 KV CB</v>
      </c>
      <c r="V11">
        <f>IF(U11="","",COUNTIFS(U$4:U$40,"&lt;"&amp;U11,U$4:U$40,"&lt;&gt;"&amp;"")+COUNTIF(U$4:U11,U11))</f>
        <v>14</v>
      </c>
      <c r="W11" t="str">
        <f t="shared" si="9"/>
        <v>Scrap of 132 KV CT</v>
      </c>
      <c r="X11">
        <f>X10+IF(AND(W11&lt;&gt;"",COUNTIF(W$4:W11,W11)=1),1,0)</f>
        <v>6</v>
      </c>
      <c r="Y11" t="str">
        <f t="shared" si="10"/>
        <v>Scrap of 145 KV CB</v>
      </c>
      <c r="Z11">
        <f>IF('Final Calculation Sheet'!$D$11="","",'Final Calculation Sheet'!$D$11)</f>
        <v>21977</v>
      </c>
      <c r="AA11">
        <f>IF(Z11="","",COUNTIFS(Z$4:Z$40,"&lt;"&amp;Z11,Z$4:Z$40,"&lt;&gt;"&amp;"")+COUNTIF(Z$4:Z11,Z11))</f>
        <v>6</v>
      </c>
      <c r="AB11">
        <f t="shared" si="11"/>
        <v>21977</v>
      </c>
      <c r="AC11">
        <f>AC10+IF(AND(AB11&lt;&gt;"",COUNTIF(AB$4:AB11,AB11)=1),1,0)</f>
        <v>1</v>
      </c>
      <c r="AD11" t="str">
        <f t="shared" si="12"/>
        <v/>
      </c>
      <c r="AE11">
        <f>IF('Final Calculation Sheet'!$A$11="","",'Final Calculation Sheet'!$A$11)</f>
        <v>1</v>
      </c>
      <c r="AF11">
        <f>IF(AE11="","",COUNTIFS(AE$4:AE$40,"&lt;"&amp;AE11,AE$4:AE$40,"&lt;&gt;"&amp;"")+COUNTIF(AE$4:AE11,AE11))</f>
        <v>2</v>
      </c>
      <c r="AG11">
        <f t="shared" si="13"/>
        <v>1</v>
      </c>
      <c r="AH11">
        <f>AH10+IF(AND(AG11&lt;&gt;"",COUNTIF(AG$4:AG11,AG11)=1),1,0)</f>
        <v>1</v>
      </c>
      <c r="AI11">
        <f t="shared" si="14"/>
        <v>25</v>
      </c>
      <c r="AJ11" t="str">
        <f>IF('Final Calculation Sheet'!$E$11="","",'Final Calculation Sheet'!$E$11)</f>
        <v>NO</v>
      </c>
      <c r="AK11">
        <f>IF(AJ11="","",COUNTIFS(AJ$4:AJ$40,"&lt;"&amp;AJ11,AJ$4:AJ$40,"&lt;&gt;"&amp;"")+COUNTIF(AJ$4:AJ11,AJ11))</f>
        <v>11</v>
      </c>
      <c r="AL11" t="str">
        <f t="shared" si="15"/>
        <v>NO</v>
      </c>
      <c r="AM11">
        <f>AM10+IF(AND(AL11&lt;&gt;"",COUNTIF(AL$4:AL11,AL11)=1),1,0)</f>
        <v>3</v>
      </c>
      <c r="AN11" t="str">
        <f t="shared" si="16"/>
        <v/>
      </c>
      <c r="AO11" s="50">
        <f>IF('Final Calculation Sheet'!$C$11="","",'Final Calculation Sheet'!$C$11)</f>
        <v>65007</v>
      </c>
      <c r="AP11">
        <f>IF(AO11="","",COUNTIFS(AO$4:AO$40,"&lt;"&amp;AO11,AO$4:AO$40,"&lt;&gt;"&amp;"")+COUNTIF(AO$4:AO11,AO11))</f>
        <v>25</v>
      </c>
      <c r="AQ11" s="50">
        <f t="shared" si="17"/>
        <v>571</v>
      </c>
      <c r="AR11">
        <f>AR10+IF(AND(AQ11&lt;&gt;"",COUNTIF(AQ$4:AQ11,AQ11)=1),1,0)</f>
        <v>8</v>
      </c>
      <c r="AS11" s="50">
        <f t="shared" si="18"/>
        <v>571</v>
      </c>
      <c r="AT11" s="50">
        <f>IF('Final Calculation Sheet'!$H$11="","",'Final Calculation Sheet'!$H$11)</f>
        <v>65007</v>
      </c>
      <c r="AU11">
        <f>IF(AT11="","",COUNTIFS(AT$4:AT$40,"&lt;"&amp;AT11,AT$4:AT$40,"&lt;&gt;"&amp;"")+COUNTIF(AT$4:AT11,AT11))</f>
        <v>12</v>
      </c>
      <c r="AV11" s="50">
        <f t="shared" si="19"/>
        <v>40768</v>
      </c>
      <c r="AW11">
        <f>AW10+IF(AND(AV11&lt;&gt;"",COUNTIF(AV$4:AV11,AV11)=1),1,0)</f>
        <v>8</v>
      </c>
      <c r="AX11" s="50">
        <f t="shared" si="20"/>
        <v>40768</v>
      </c>
      <c r="AY11" s="50">
        <f>IF('Final Calculation Sheet'!$I$11="","",'Final Calculation Sheet'!$I$11)</f>
        <v>11701</v>
      </c>
      <c r="AZ11">
        <f>IF(AY11="","",COUNTIFS(AY$4:AY$40,"&lt;"&amp;AY11,AY$4:AY$40,"&lt;&gt;"&amp;"")+COUNTIF(AY$4:AY11,AY11))</f>
        <v>12</v>
      </c>
      <c r="BA11" s="50">
        <f t="shared" si="21"/>
        <v>7338</v>
      </c>
      <c r="BB11">
        <f>BB10+IF(AND(BA11&lt;&gt;"",COUNTIF(BA$4:BA11,BA11)=1),1,0)</f>
        <v>8</v>
      </c>
      <c r="BC11" s="50">
        <f t="shared" si="22"/>
        <v>7338</v>
      </c>
      <c r="BD11" s="50">
        <f>IF('Final Calculation Sheet'!$J$11="","",'Final Calculation Sheet'!$J$11)</f>
        <v>76708</v>
      </c>
      <c r="BE11">
        <f>IF(BD11="","",COUNTIFS(BD$4:BD$40,"&lt;"&amp;BD11,BD$4:BD$40,"&lt;&gt;"&amp;"")+COUNTIF(BD$4:BD11,BD11))</f>
        <v>12</v>
      </c>
      <c r="BF11" s="50">
        <f t="shared" si="23"/>
        <v>48106</v>
      </c>
      <c r="BG11">
        <f>BG10+IF(AND(BF11&lt;&gt;"",COUNTIF(BF$4:BF11,BF11)=1),1,0)</f>
        <v>8</v>
      </c>
      <c r="BH11" s="50">
        <f t="shared" si="24"/>
        <v>48106</v>
      </c>
      <c r="BI11" s="50">
        <f>IF('Final Calculation Sheet'!$K$11="","",'Final Calculation Sheet'!$K$11)</f>
        <v>1534</v>
      </c>
      <c r="BJ11">
        <f>IF(BI11="","",COUNTIFS(BI$4:BI$40,"&lt;"&amp;BI11,BI$4:BI$40,"&lt;&gt;"&amp;"")+COUNTIF(BI$4:BI11,BI11))</f>
        <v>12</v>
      </c>
      <c r="BK11" s="50">
        <f t="shared" si="25"/>
        <v>962</v>
      </c>
      <c r="BL11">
        <f>BL10+IF(AND(BK11&lt;&gt;"",COUNTIF(BK$4:BK11,BK11)=1),1,0)</f>
        <v>8</v>
      </c>
      <c r="BM11" s="50">
        <f t="shared" si="26"/>
        <v>962</v>
      </c>
      <c r="BN11" s="50">
        <f>IF('Final Calculation Sheet'!$L$11="","",'Final Calculation Sheet'!$L$11)</f>
        <v>65.007000000000005</v>
      </c>
      <c r="BO11">
        <f>IF(BN11="","",COUNTIFS(BN$4:BN$40,"&lt;"&amp;BN11,BN$4:BN$40,"&lt;&gt;"&amp;"")+COUNTIF(BN$4:BN11,BN11))</f>
        <v>12</v>
      </c>
      <c r="BP11" s="50">
        <f t="shared" si="27"/>
        <v>40.768000000000001</v>
      </c>
      <c r="BQ11">
        <f>BQ10+IF(AND(BP11&lt;&gt;"",COUNTIF(BP$4:BP11,BP11)=1),1,0)</f>
        <v>8</v>
      </c>
      <c r="BR11" s="50">
        <f t="shared" si="28"/>
        <v>40.768000000000001</v>
      </c>
      <c r="BS11" s="50">
        <f>IF('Final Calculation Sheet'!$M$11="","",'Final Calculation Sheet'!$M$11)</f>
        <v>1725.9358499999998</v>
      </c>
      <c r="BT11">
        <f>IF(BS11="","",COUNTIFS(BS$4:BS$40,"&lt;"&amp;BS11,BS$4:BS$40,"&lt;&gt;"&amp;"")+COUNTIF(BS$4:BS11,BS11))</f>
        <v>12</v>
      </c>
      <c r="BU11" s="50">
        <f t="shared" si="29"/>
        <v>1082.3904</v>
      </c>
      <c r="BV11">
        <f>BV10+IF(AND(BU11&lt;&gt;"",COUNTIF(BU$4:BU11,BU11)=1),1,0)</f>
        <v>8</v>
      </c>
      <c r="BW11" s="50">
        <f t="shared" si="30"/>
        <v>1082.3904</v>
      </c>
      <c r="BX11" s="126">
        <f>IF('Final Calculation Sheet'!$N$11="","",'Final Calculation Sheet'!$N$11)</f>
        <v>29.253150000000002</v>
      </c>
      <c r="BY11">
        <f>IF(BX11="","",COUNTIFS(BX$4:BX$40,"&lt;"&amp;BX11,BX$4:BX$40,"&lt;&gt;"&amp;"")+COUNTIF(BX$4:BX11,BX11))</f>
        <v>12</v>
      </c>
      <c r="BZ11" s="126">
        <f t="shared" si="31"/>
        <v>18.345600000000001</v>
      </c>
      <c r="CA11">
        <f>CA10+IF(AND(BZ11&lt;&gt;"",COUNTIF(BZ$4:BZ11,BZ11)=1),1,0)</f>
        <v>8</v>
      </c>
      <c r="CB11" s="126">
        <f t="shared" si="32"/>
        <v>18.345600000000001</v>
      </c>
      <c r="CC11" s="50">
        <f>IF('Final Calculation Sheet'!$O$11="","",'Final Calculation Sheet'!$O$11)</f>
        <v>1696.6826999999998</v>
      </c>
      <c r="CD11">
        <f>IF(CC11="","",COUNTIFS(CC$4:CC$40,"&lt;"&amp;CC11,CC$4:CC$40,"&lt;&gt;"&amp;"")+COUNTIF(CC$4:CC11,CC11))</f>
        <v>12</v>
      </c>
      <c r="CE11" s="50">
        <f t="shared" si="33"/>
        <v>1064.0447999999999</v>
      </c>
      <c r="CF11">
        <f>CF10+IF(AND(CE11&lt;&gt;"",COUNTIF(CE$4:CE11,CE11)=1),1,0)</f>
        <v>8</v>
      </c>
      <c r="CG11" s="50">
        <f t="shared" si="34"/>
        <v>1064.0447999999999</v>
      </c>
      <c r="CH11" s="50">
        <f>IF('Final Calculation Sheet'!$P$11="","",'Final Calculation Sheet'!$P$11)</f>
        <v>1762</v>
      </c>
      <c r="CI11">
        <f>IF(CH11="","",COUNTIFS(CH$4:CH$40,"&lt;"&amp;CH11,CH$4:CH$40,"&lt;&gt;"&amp;"")+COUNTIF(CH$4:CH11,CH11))</f>
        <v>12</v>
      </c>
      <c r="CJ11" s="50">
        <f t="shared" si="35"/>
        <v>1105</v>
      </c>
      <c r="CK11">
        <f>CK10+IF(AND(CJ11&lt;&gt;"",COUNTIF(CJ$4:CJ11,CJ11)=1),1,0)</f>
        <v>8</v>
      </c>
      <c r="CL11" s="50">
        <f t="shared" si="36"/>
        <v>1105</v>
      </c>
      <c r="CM11" s="127">
        <f>IF('Final Calculation Sheet'!$Q$11="","",'Final Calculation Sheet'!$Q$11)</f>
        <v>0</v>
      </c>
      <c r="CN11">
        <f>IF(CM11="","",COUNTIFS(CM$4:CM$40,"&lt;"&amp;CM11,CM$4:CM$40,"&lt;&gt;"&amp;"")+COUNTIF(CM$4:CM11,CM11))</f>
        <v>6</v>
      </c>
      <c r="CO11" s="127">
        <f t="shared" si="37"/>
        <v>0</v>
      </c>
      <c r="CP11">
        <f>CP10+IF(AND(CO11&lt;&gt;"",COUNTIF(CO$4:CO11,CO11)=1),1,0)</f>
        <v>1</v>
      </c>
      <c r="CQ11" t="str">
        <f t="shared" si="38"/>
        <v/>
      </c>
      <c r="CR11" s="50">
        <f>IF('Final Calculation Sheet'!$R$11="","",'Final Calculation Sheet'!$R$11)</f>
        <v>0</v>
      </c>
      <c r="CS11">
        <f>IF(CR11="","",COUNTIFS(CR$4:CR$40,"&lt;"&amp;CR11,CR$4:CR$40,"&lt;&gt;"&amp;"")+COUNTIF(CR$4:CR11,CR11))</f>
        <v>6</v>
      </c>
      <c r="CT11" s="50">
        <f t="shared" si="39"/>
        <v>0</v>
      </c>
      <c r="CU11">
        <f>CU10+IF(AND(CT11&lt;&gt;"",COUNTIF(CT$4:CT11,CT11)=1),1,0)</f>
        <v>1</v>
      </c>
      <c r="CV11" t="str">
        <f t="shared" si="40"/>
        <v/>
      </c>
      <c r="CW11" s="50">
        <f>IF('Final Calculation Sheet'!$S$11="","",'Final Calculation Sheet'!$S$11)</f>
        <v>76481</v>
      </c>
      <c r="CX11">
        <f>IF(CW11="","",COUNTIFS(CW$4:CW$40,"&lt;"&amp;CW11,CW$4:CW$40,"&lt;&gt;"&amp;"")+COUNTIF(CW$4:CW11,CW11))</f>
        <v>12</v>
      </c>
      <c r="CY11" s="50">
        <f t="shared" si="41"/>
        <v>47964</v>
      </c>
      <c r="CZ11">
        <f>CZ10+IF(AND(CY11&lt;&gt;"",COUNTIF(CY$4:CY11,CY11)=1),1,0)</f>
        <v>8</v>
      </c>
      <c r="DA11" s="50">
        <f t="shared" si="42"/>
        <v>47964</v>
      </c>
      <c r="DB11" s="50">
        <f>IF('Final Calculation Sheet'!$T$11="","",'Final Calculation Sheet'!$T$11)</f>
        <v>16252</v>
      </c>
      <c r="DC11">
        <f>IF(DB11="","",COUNTIFS(DB$4:DB$40,"&lt;"&amp;DB11,DB$4:DB$40,"&lt;&gt;"&amp;"")+COUNTIF(DB$4:DB11,DB11))</f>
        <v>12</v>
      </c>
      <c r="DD11" s="50">
        <f t="shared" si="43"/>
        <v>10192</v>
      </c>
      <c r="DE11">
        <f>DE10+IF(AND(DD11&lt;&gt;"",COUNTIF(DD$4:DD11,DD11)=1),1,0)</f>
        <v>8</v>
      </c>
      <c r="DF11" s="50">
        <f t="shared" si="44"/>
        <v>10192</v>
      </c>
      <c r="DG11" s="128">
        <f>IF('Final Calculation Sheet'!$U$11="","",'Final Calculation Sheet'!$U$11)</f>
        <v>16252</v>
      </c>
      <c r="DH11">
        <f>IF(DG11="","",COUNTIFS(DG$4:DG$40,"&lt;"&amp;DG11,DG$4:DG$40,"&lt;&gt;"&amp;"")+COUNTIF(DG$4:DG11,DG11))</f>
        <v>12</v>
      </c>
      <c r="DI11" s="128">
        <f t="shared" si="45"/>
        <v>10192</v>
      </c>
      <c r="DJ11">
        <f>DJ10+IF(AND(DI11&lt;&gt;"",COUNTIF(DI$4:DI11,DI11)=1),1,0)</f>
        <v>8</v>
      </c>
      <c r="DK11" s="128">
        <f t="shared" si="46"/>
        <v>10192</v>
      </c>
      <c r="DL11" t="str">
        <f>IF('Final Calculation Sheet'!$V$11="","",'Final Calculation Sheet'!$V$11)</f>
        <v>13.08.2026</v>
      </c>
      <c r="DM11">
        <f>IF(DL11="","",COUNTIFS(DL$4:DL$40,"&lt;"&amp;DL11,DL$4:DL$40,"&lt;&gt;"&amp;"")+COUNTIF(DL$4:DL11,DL11))</f>
        <v>15</v>
      </c>
      <c r="DN11" t="str">
        <f t="shared" si="47"/>
        <v>11.08.2026</v>
      </c>
      <c r="DO11">
        <f>DO10+IF(AND(DN11&lt;&gt;"",COUNTIF(DN$4:DN11,DN11)=1),1,0)</f>
        <v>2</v>
      </c>
      <c r="DP11" t="str">
        <f t="shared" si="48"/>
        <v/>
      </c>
      <c r="DQ11" s="50">
        <f>IF('Final Calculation Sheet'!$W$11="","",'Final Calculation Sheet'!$W$11)</f>
        <v>60229</v>
      </c>
      <c r="DR11">
        <f>IF(DQ11="","",COUNTIFS(DQ$4:DQ$40,"&lt;"&amp;DQ11,DQ$4:DQ$40,"&lt;&gt;"&amp;"")+COUNTIF(DQ$4:DQ11,DQ11))</f>
        <v>12</v>
      </c>
      <c r="DS11" s="50">
        <f t="shared" si="49"/>
        <v>37772</v>
      </c>
      <c r="DT11">
        <f>DT10+IF(AND(DS11&lt;&gt;"",COUNTIF(DS$4:DS11,DS11)=1),1,0)</f>
        <v>8</v>
      </c>
      <c r="DU11" s="50">
        <f t="shared" si="50"/>
        <v>37772</v>
      </c>
      <c r="DV11" s="50">
        <f>IF('Final Calculation Sheet'!$X$11="","",'Final Calculation Sheet'!$X$11)</f>
        <v>60229</v>
      </c>
      <c r="DW11">
        <f>IF(DV11="","",COUNTIFS(DV$4:DV$40,"&lt;"&amp;DV11,DV$4:DV$40,"&lt;&gt;"&amp;"")+COUNTIF(DV$4:DV11,DV11))</f>
        <v>11</v>
      </c>
      <c r="DX11" s="50">
        <f t="shared" si="51"/>
        <v>37772</v>
      </c>
      <c r="DY11">
        <f>DY10+IF(AND(DX11&lt;&gt;"",COUNTIF(DX$4:DX11,DX11)=1),1,0)</f>
        <v>8</v>
      </c>
      <c r="DZ11" t="e">
        <f t="shared" si="52"/>
        <v>#N/A</v>
      </c>
      <c r="EA11" t="str">
        <f>IF('Final Calculation Sheet'!$Y$11="","",'Final Calculation Sheet'!$Y$11)</f>
        <v>24.08.2026</v>
      </c>
      <c r="EB11">
        <f>IF(EA11="","",COUNTIFS(EA$4:EA$40,"&lt;"&amp;EA11,EA$4:EA$40,"&lt;&gt;"&amp;"")+COUNTIF(EA$4:EA11,EA11))</f>
        <v>24</v>
      </c>
      <c r="EC11" t="str">
        <f t="shared" si="53"/>
        <v>11.08.2026</v>
      </c>
      <c r="ED11">
        <f>ED10+IF(AND(EC11&lt;&gt;"",COUNTIF(EC$4:EC11,EC11)=1),1,0)</f>
        <v>3</v>
      </c>
      <c r="EE11" t="e">
        <f t="shared" si="54"/>
        <v>#N/A</v>
      </c>
      <c r="EF11" s="50">
        <f ca="1">IF('Final Calculation Sheet'!$Z$11="","",'Final Calculation Sheet'!$Z$11)</f>
        <v>2301.2478000000001</v>
      </c>
      <c r="EG11">
        <f ca="1">IF(EF11="","",COUNTIFS(EF$4:EF$40,"&lt;"&amp;EF11,EF$4:EF$40,"&lt;&gt;"&amp;"")+COUNTIF(EF$4:EF11,EF11))</f>
        <v>12</v>
      </c>
      <c r="EH11" s="50">
        <f t="shared" ca="1" si="55"/>
        <v>1443.1871999999998</v>
      </c>
      <c r="EI11">
        <f ca="1">EI10+IF(AND(EH11&lt;&gt;"",COUNTIF(EH$4:EH11,EH11)=1),1,0)</f>
        <v>8</v>
      </c>
      <c r="EJ11">
        <f t="shared" ca="1" si="56"/>
        <v>1443.1871999999998</v>
      </c>
      <c r="EK11" t="str">
        <f>IF('Final Calculation Sheet'!$AA$11="","",'Final Calculation Sheet'!$AA$11)</f>
        <v/>
      </c>
      <c r="EL11" t="str">
        <f>IF(EK11="","",COUNTIFS(EK$4:EK$40,"&lt;"&amp;EK11,EK$4:EK$40,"&lt;&gt;"&amp;"")+COUNTIF(EK$4:EK11,EK11))</f>
        <v/>
      </c>
      <c r="EM11" t="e">
        <f t="shared" si="57"/>
        <v>#N/A</v>
      </c>
      <c r="EN11" t="e">
        <f>EN10+IF(AND(EM11&lt;&gt;"",COUNTIF(EM$4:EM11,EM11)=1),1,0)</f>
        <v>#N/A</v>
      </c>
      <c r="EO11" t="e">
        <f t="shared" si="58"/>
        <v>#N/A</v>
      </c>
      <c r="EP11" t="str">
        <f>IF('Final Calculation Sheet'!$AB$11="","",'Final Calculation Sheet'!$AB$11)</f>
        <v/>
      </c>
      <c r="EQ11" t="str">
        <f>IF(EP11="","",COUNTIFS(EP$4:EP$40,"&lt;"&amp;EP11,EP$4:EP$40,"&lt;&gt;"&amp;"")+COUNTIF(EP$4:EP11,EP11))</f>
        <v/>
      </c>
      <c r="ER11" t="e">
        <f t="shared" si="59"/>
        <v>#N/A</v>
      </c>
      <c r="ES11" t="e">
        <f>ES10+IF(AND(ER11&lt;&gt;"",COUNTIF(ER$4:ER11,ER11)=1),1,0)</f>
        <v>#N/A</v>
      </c>
      <c r="ET11" t="e">
        <f t="shared" si="60"/>
        <v>#N/A</v>
      </c>
      <c r="EU11" s="50">
        <f>IF('Final Calculation Sheet'!$AC$11="","",'Final Calculation Sheet'!$AC$11)</f>
        <v>76481</v>
      </c>
      <c r="EV11">
        <f>IF(EU11="","",COUNTIFS(EU$4:EU$40,"&lt;"&amp;EU11,EU$4:EU$40,"&lt;&gt;"&amp;"")+COUNTIF(EU$4:EU11,EU11))</f>
        <v>13</v>
      </c>
      <c r="EW11" s="50">
        <f t="shared" si="61"/>
        <v>36017</v>
      </c>
      <c r="EX11">
        <f>EX10+IF(AND(EW11&lt;&gt;"",COUNTIF(EW$4:EW11,EW11)=1),1,0)</f>
        <v>8</v>
      </c>
      <c r="EY11" s="50">
        <f t="shared" si="62"/>
        <v>36017</v>
      </c>
      <c r="EZ11" s="50">
        <f>IF('Final Calculation Sheet'!$AD$11="","",'Final Calculation Sheet'!$AD$11)</f>
        <v>0</v>
      </c>
      <c r="FA11">
        <f>IF(EZ11="","",COUNTIFS(EZ$4:EZ$40,"&lt;"&amp;EZ11,EZ$4:EZ$40,"&lt;&gt;"&amp;"")+COUNTIF(EZ$4:EZ11,EZ11))</f>
        <v>12</v>
      </c>
      <c r="FB11" s="50">
        <f t="shared" si="63"/>
        <v>0</v>
      </c>
      <c r="FC11">
        <f>FC10+IF(AND(FB11&lt;&gt;"",COUNTIF(FB$4:FB11,FB11)=1),1,0)</f>
        <v>7</v>
      </c>
      <c r="FD11" s="50">
        <f t="shared" si="64"/>
        <v>1</v>
      </c>
      <c r="FE11" t="str">
        <f>IF('Final Calculation Sheet'!$AF$11="","",'Final Calculation Sheet'!$AF$11)</f>
        <v>DR2640100032</v>
      </c>
      <c r="FF11">
        <f>IF(FE11="","",COUNTIFS(FE$4:FE$40,"&lt;"&amp;FE11,FE$4:FE$40,"&lt;&gt;"&amp;"")+COUNTIF(FE$4:FE11,FE11))</f>
        <v>21</v>
      </c>
      <c r="FG11" t="str">
        <f t="shared" si="65"/>
        <v>DR2640100019</v>
      </c>
      <c r="FH11" t="e">
        <f>FH10+IF(AND(FG11&lt;&gt;"",COUNTIF(FG$4:FG11,FG11)=1),1,0)</f>
        <v>#N/A</v>
      </c>
      <c r="FI11" t="e">
        <f t="shared" si="66"/>
        <v>#N/A</v>
      </c>
      <c r="FJ11" s="129">
        <f>IF('Final Calculation Sheet'!$AG$11="","",'Final Calculation Sheet'!$AG$11)</f>
        <v>1800003304</v>
      </c>
      <c r="FK11">
        <f>IF(FJ11="","",COUNTIFS(FJ$4:FJ$40,"&lt;"&amp;FJ11,FJ$4:FJ$40,"&lt;&gt;"&amp;"")+COUNTIF(FJ$4:FJ11,FJ11))</f>
        <v>16</v>
      </c>
      <c r="FL11" s="129">
        <f t="shared" si="67"/>
        <v>1800003196</v>
      </c>
      <c r="FM11">
        <f>FM10+IF(AND(FL11&lt;&gt;"",COUNTIF(FL$4:FL11,FL11)=1),1,0)</f>
        <v>8</v>
      </c>
      <c r="FN11" t="e">
        <f t="shared" si="68"/>
        <v>#N/A</v>
      </c>
      <c r="FO11" t="str">
        <f>IF('Final Calculation Sheet'!$AH$11="","",'Final Calculation Sheet'!$AH$11)</f>
        <v>27.08.2026</v>
      </c>
      <c r="FP11">
        <f>IF(FO11="","",COUNTIFS(FO$4:FO$40,"&lt;"&amp;FO11,FO$4:FO$40,"&lt;&gt;"&amp;"")+COUNTIF(FO$4:FO11,FO11))</f>
        <v>24</v>
      </c>
      <c r="FQ11" t="str">
        <f t="shared" si="69"/>
        <v>14.08.2026</v>
      </c>
      <c r="FR11" t="e">
        <f>FR10+IF(AND(FQ11&lt;&gt;"",COUNTIF(FQ$4:FQ11,FQ11)=1),1,0)</f>
        <v>#N/A</v>
      </c>
      <c r="FS11" t="e">
        <f t="shared" si="70"/>
        <v>#N/A</v>
      </c>
      <c r="FU11" t="str">
        <f>IF(FT11="","",COUNTIFS(FT$4:FT$40,"&lt;"&amp;FT11,FT$4:FT$40,"&lt;&gt;"&amp;"")+COUNTIF(FT$4:FT11,FT11))</f>
        <v/>
      </c>
      <c r="FV11" t="str">
        <f t="shared" si="71"/>
        <v/>
      </c>
      <c r="FW11">
        <f>FW10+IF(AND(FV11&lt;&gt;"",COUNTIF(FV$4:FV11,FV11)=1),1,0)</f>
        <v>2</v>
      </c>
      <c r="FX11" t="str">
        <f t="shared" si="72"/>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1" t="b">
        <f>IF($Y$11="",FALSE,SUMPRODUCT(('Final Calculation Sheet'!$B$4:$B$40=$Y$11)*($FY$6:$FY$42=1))&gt;0)</f>
        <v>1</v>
      </c>
      <c r="GA11">
        <f>$GA$10+--($FZ$11)</f>
        <v>8</v>
      </c>
      <c r="GB11" t="str">
        <f t="shared" si="73"/>
        <v>Scrap of 145 KV CB</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D11" t="b">
        <f>IF($O$11="",FALSE,SUMPRODUCT(('Final Calculation Sheet'!$F$4:$F$40=$O$11)*($GC$6:$GC$42=1))&gt;0)</f>
        <v>1</v>
      </c>
      <c r="GE11">
        <f>$GE$10+--($GD11)</f>
        <v>8</v>
      </c>
      <c r="GF11">
        <f t="shared" si="74"/>
        <v>2003</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H11" t="b">
        <f>IF($T$11="",FALSE,SUMPRODUCT(('Final Calculation Sheet'!$G$4:$G$40=$T$11)*($GG$6:$GG$42=1))&gt;0)</f>
        <v>1</v>
      </c>
      <c r="GI11">
        <f>$GI$10+--($GH11)</f>
        <v>8</v>
      </c>
      <c r="GJ11" t="str">
        <f t="shared" si="75"/>
        <v>OMKAR STEELS</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L11" t="b">
        <f>IF($AD$11="",FALSE,SUMPRODUCT(('Final Calculation Sheet'!$D$4:$D$40=$AD$11)*($GK$6:$GK$42=1))&gt;0)</f>
        <v>0</v>
      </c>
      <c r="GM11">
        <f>$GM$10+--($GL11)</f>
        <v>4</v>
      </c>
      <c r="GN11" t="str">
        <f t="shared" si="76"/>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P11" t="b">
        <f>IF($AI$11="",FALSE,SUMPRODUCT(('Final Calculation Sheet'!$A$4:$A$40=$AI$11)*($GO$6:$GO$42=1))&gt;0)</f>
        <v>1</v>
      </c>
      <c r="GQ11">
        <f>$GQ$10+--($GP11)</f>
        <v>8</v>
      </c>
      <c r="GR11">
        <f t="shared" si="77"/>
        <v>25</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T11" t="b">
        <f>IF($AN$11="",FALSE,SUMPRODUCT(('Final Calculation Sheet'!$E$4:$E$40=$AN$11)*($GS$6:$GS$42=1))&gt;0)</f>
        <v>0</v>
      </c>
      <c r="GU11">
        <f>$GU$10+--($GT11)</f>
        <v>3</v>
      </c>
      <c r="GV11" t="str">
        <f t="shared" si="78"/>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GX11" t="b">
        <f>IF($AS$11="",FALSE,SUMPRODUCT(('Final Calculation Sheet'!$C$4:$C$40=$AS$11)*($GW$6:$GW$42=1))&gt;0)</f>
        <v>1</v>
      </c>
      <c r="GY11">
        <f>$GY$10+--($GX11)</f>
        <v>8</v>
      </c>
      <c r="GZ11">
        <f t="shared" si="79"/>
        <v>571</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B11" t="b">
        <f>IF($AX$11="",FALSE,SUMPRODUCT(('Final Calculation Sheet'!$H$4:$H$40=$AX$11)*($HA$6:$HA$42=1))&gt;0)</f>
        <v>1</v>
      </c>
      <c r="HC11">
        <f>$HC$10+--($HB11)</f>
        <v>8</v>
      </c>
      <c r="HD11">
        <f t="shared" si="80"/>
        <v>40768</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F11" t="b">
        <f>IF($BC$11="",FALSE,SUMPRODUCT(('Final Calculation Sheet'!$I$4:$I$40=$BC$11)*($HE$6:$HE$42=1))&gt;0)</f>
        <v>1</v>
      </c>
      <c r="HG11">
        <f>$HG$10+--($HF11)</f>
        <v>8</v>
      </c>
      <c r="HH11">
        <f t="shared" si="81"/>
        <v>7338</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J11" t="b">
        <f>IF($BH$11="",FALSE,SUMPRODUCT(('Final Calculation Sheet'!$J$4:$J$40=$BH$11)*($HI$6:$HI$42=1))&gt;0)</f>
        <v>1</v>
      </c>
      <c r="HK11">
        <f>$HK$10+--($HJ11)</f>
        <v>8</v>
      </c>
      <c r="HL11">
        <f t="shared" si="82"/>
        <v>48106</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N11" t="b">
        <f>IF($BM$11="",FALSE,SUMPRODUCT(('Final Calculation Sheet'!$K$4:$K$40=$BM$11)*($HM$6:$HM$42=1))&gt;0)</f>
        <v>1</v>
      </c>
      <c r="HO11">
        <f>$HO$10+--($HN11)</f>
        <v>8</v>
      </c>
      <c r="HP11">
        <f t="shared" si="83"/>
        <v>962</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R11" t="b">
        <f>IF($BR$11="",FALSE,SUMPRODUCT(('Final Calculation Sheet'!$L$4:$L$40=$BR$11)*($HQ$6:$HQ$42=1))&gt;0)</f>
        <v>1</v>
      </c>
      <c r="HS11">
        <f>$HS$10+--($HR11)</f>
        <v>8</v>
      </c>
      <c r="HT11">
        <f t="shared" si="84"/>
        <v>40.768000000000001</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V11" t="b">
        <f>IF($BW$11="",FALSE,SUMPRODUCT(('Final Calculation Sheet'!$M$4:$M$40=$BW$11)*($HU$6:$HU$42=1))&gt;0)</f>
        <v>1</v>
      </c>
      <c r="HW11">
        <f>$HW$10+--($HV11)</f>
        <v>8</v>
      </c>
      <c r="HX11">
        <f t="shared" si="85"/>
        <v>1082.3904</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HZ11" t="b">
        <f>IF($CB$11="",FALSE,SUMPRODUCT(('Final Calculation Sheet'!$N$4:$N$40=$CB$11)*($HY$6:$HY$42=1))&gt;0)</f>
        <v>1</v>
      </c>
      <c r="IA11">
        <f>$IA$10+--($HZ11)</f>
        <v>8</v>
      </c>
      <c r="IB11">
        <f t="shared" si="86"/>
        <v>18.345600000000001</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D11" t="b">
        <f>IF($CG$11="",FALSE,SUMPRODUCT(('Final Calculation Sheet'!$O$4:$O$40=$CG$11)*($IC$6:$IC$42=1))&gt;0)</f>
        <v>1</v>
      </c>
      <c r="IE11">
        <f>$IE$10+--($ID11)</f>
        <v>8</v>
      </c>
      <c r="IF11">
        <f t="shared" si="87"/>
        <v>1064.0447999999999</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H11" t="b">
        <f>IF($CL$11="",FALSE,SUMPRODUCT(('Final Calculation Sheet'!$P$4:$P$40=$CL$11)*($IG$6:$IG$42=1))&gt;0)</f>
        <v>1</v>
      </c>
      <c r="II11">
        <f>$II$10+--($IH11)</f>
        <v>8</v>
      </c>
      <c r="IJ11">
        <f t="shared" si="88"/>
        <v>1105</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L11" t="b">
        <f>IF($CQ$11="",FALSE,SUMPRODUCT(('Final Calculation Sheet'!$Q$4:$Q$40=$CQ$11)*($IK$6:$IK$42=1))&gt;0)</f>
        <v>0</v>
      </c>
      <c r="IM11">
        <f>$IM$10+--($IL11)</f>
        <v>2</v>
      </c>
      <c r="IN11" t="str">
        <f t="shared" si="89"/>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P11" t="b">
        <f>IF($CV$11="",FALSE,SUMPRODUCT(('Final Calculation Sheet'!$R$4:$R$40=$CV$11)*($IO$6:$IO$42=1))&gt;0)</f>
        <v>0</v>
      </c>
      <c r="IQ11">
        <f>$IQ$10+--($IP11)</f>
        <v>5</v>
      </c>
      <c r="IR11" t="str">
        <f t="shared" si="90"/>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T11" t="b">
        <f>IF($DA$11="",FALSE,SUMPRODUCT(('Final Calculation Sheet'!$S$4:$S$40=$DA$11)*($IS$6:$IS$42=1))&gt;0)</f>
        <v>1</v>
      </c>
      <c r="IU11">
        <f>$IU$10+--($IT11)</f>
        <v>8</v>
      </c>
      <c r="IV11">
        <f t="shared" si="91"/>
        <v>47964</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IX11" t="b">
        <f>IF($DF$11="",FALSE,SUMPRODUCT(('Final Calculation Sheet'!$T$4:$T$40=$DF$11)*($IW$6:$IW$42=1))&gt;0)</f>
        <v>1</v>
      </c>
      <c r="IY11">
        <f>$IY$10+--($IX11)</f>
        <v>8</v>
      </c>
      <c r="IZ11">
        <f t="shared" si="92"/>
        <v>10192</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B11" t="b">
        <f>IF($DK$11="",FALSE,SUMPRODUCT(('Final Calculation Sheet'!$U$4:$U$40=$DK$11)*($JA$6:$JA$42=1))&gt;0)</f>
        <v>1</v>
      </c>
      <c r="JC11">
        <f>$JC$10+--($JB11)</f>
        <v>8</v>
      </c>
      <c r="JD11">
        <f t="shared" si="93"/>
        <v>10192</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F11" t="b">
        <f>IF($DP$11="",FALSE,SUMPRODUCT(('Final Calculation Sheet'!$V$4:$V$40=$DP$11)*($JE$6:$JE$42=1))&gt;0)</f>
        <v>0</v>
      </c>
      <c r="JG11">
        <f>$JG$10+--($JF11)</f>
        <v>6</v>
      </c>
      <c r="JH11" t="str">
        <f t="shared" si="94"/>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J11" t="b">
        <f>IF($DU$11="",FALSE,SUMPRODUCT(('Final Calculation Sheet'!$W$4:$W$40=$DU$11)*($JI$6:$JI$42=1))&gt;0)</f>
        <v>1</v>
      </c>
      <c r="JK11">
        <f>$JK$10+--($JJ11)</f>
        <v>8</v>
      </c>
      <c r="JL11">
        <f t="shared" si="95"/>
        <v>37772</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N11" t="e">
        <f>IF($DZ$11="",FALSE,SUMPRODUCT(('Final Calculation Sheet'!$X$4:$X$40=$DZ$11)*($JM$6:$JM$42=1))&gt;0)</f>
        <v>#N/A</v>
      </c>
      <c r="JO11" t="e">
        <f>$JO$10+--($JN11)</f>
        <v>#N/A</v>
      </c>
      <c r="JP11" t="e">
        <f t="shared" si="96"/>
        <v>#N/A</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R11" t="e">
        <f>IF($EE$11="",FALSE,SUMPRODUCT(('Final Calculation Sheet'!$Y$4:$Y$40=$EE$11)*($JQ$6:$JQ$42=1))&gt;0)</f>
        <v>#N/A</v>
      </c>
      <c r="JS11" t="e">
        <f>$JS$10+--($JR11)</f>
        <v>#N/A</v>
      </c>
      <c r="JT11" t="e">
        <f t="shared" si="97"/>
        <v>#N/A</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V11" t="b">
        <f ca="1">IF($EJ$11="",FALSE,SUMPRODUCT(('Final Calculation Sheet'!$Z$4:$Z$40=$EJ$11)*($JU$6:$JU$42=1))&gt;0)</f>
        <v>1</v>
      </c>
      <c r="JW11">
        <f ca="1">$JW$10+--($JV11)</f>
        <v>8</v>
      </c>
      <c r="JX11">
        <f t="shared" ca="1" si="98"/>
        <v>1443.1871999999998</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JZ11" t="e">
        <f>IF($EO$11="",FALSE,SUMPRODUCT(('Final Calculation Sheet'!$AA$4:$AA$40=$EO$11)*($JY$6:$JY$42=1))&gt;0)</f>
        <v>#N/A</v>
      </c>
      <c r="KA11" t="e">
        <f>$KA$10+--($JZ11)</f>
        <v>#N/A</v>
      </c>
      <c r="KB11" t="e">
        <f t="shared" si="99"/>
        <v>#N/A</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D11" t="e">
        <f>IF($ET$11="",FALSE,SUMPRODUCT(('Final Calculation Sheet'!$AB$4:$AB$40=$ET$11)*($KC$6:$KC$42=1))&gt;0)</f>
        <v>#N/A</v>
      </c>
      <c r="KE11" t="e">
        <f>$KE$10+--($KD11)</f>
        <v>#N/A</v>
      </c>
      <c r="KF11" t="e">
        <f t="shared" si="100"/>
        <v>#N/A</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H11" t="b">
        <f>IF($EY$11="",FALSE,SUMPRODUCT(('Final Calculation Sheet'!$AC$4:$AC$40=$EY$11)*($KG$6:$KG$42=1))&gt;0)</f>
        <v>1</v>
      </c>
      <c r="KI11">
        <f>$KI$10+--($KH11)</f>
        <v>8</v>
      </c>
      <c r="KJ11">
        <f t="shared" si="101"/>
        <v>36017</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L11" t="b">
        <f>IF($FD$11="",FALSE,SUMPRODUCT(('Final Calculation Sheet'!$AD$4:$AD$40=$FD$11)*($KK$6:$KK$42=1))&gt;0)</f>
        <v>1</v>
      </c>
      <c r="KM11">
        <f>$KM$10+--($KL11)</f>
        <v>8</v>
      </c>
      <c r="KN11">
        <f t="shared" si="102"/>
        <v>1</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P11" t="b">
        <f>IF($FX$11="",FALSE,SUMPRODUCT((IF('Final Calculation Sheet'!$AD$4:$AD$40&lt;=5,"SETTLED","OUTSTANDING")=$FX$11)*($KO$6:$KO$42=1))&gt;0)</f>
        <v>0</v>
      </c>
      <c r="KQ11">
        <f>$KQ$10+--($KP11)</f>
        <v>1</v>
      </c>
      <c r="KR11" t="str">
        <f t="shared" si="103"/>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T11" t="e">
        <f>IF($FI$11="",FALSE,SUMPRODUCT(('Final Calculation Sheet'!$AF$4:$AF$40=$FI$11)*($KS$6:$KS$42=1))&gt;0)</f>
        <v>#N/A</v>
      </c>
      <c r="KU11" t="e">
        <f>$KU$10+--($KT11)</f>
        <v>#N/A</v>
      </c>
      <c r="KV11" t="e">
        <f t="shared" si="104"/>
        <v>#N/A</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KX11" t="e">
        <f>IF($FN$11="",FALSE,SUMPRODUCT(('Final Calculation Sheet'!$AG$4:$AG$40=$FN$11)*($KW$6:$KW$42=1))&gt;0)</f>
        <v>#N/A</v>
      </c>
      <c r="KY11" t="e">
        <f>$KY$10+--($KX11)</f>
        <v>#N/A</v>
      </c>
      <c r="KZ11" t="e">
        <f t="shared" si="105"/>
        <v>#N/A</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LB11" t="e">
        <f>IF($FS$11="",FALSE,SUMPRODUCT(('Final Calculation Sheet'!$AH$4:$AH$40=$FS$11)*($LA$6:$LA$42=1))&gt;0)</f>
        <v>#N/A</v>
      </c>
      <c r="LC11" t="e">
        <f>$LC$10+--($LB11)</f>
        <v>#N/A</v>
      </c>
      <c r="LD11" t="e">
        <f t="shared" si="106"/>
        <v>#N/A</v>
      </c>
      <c r="LE11">
        <f>IF(COUNTIF('Buyer Groups'!DH11:EN11,0)&gt;0,0,1)</f>
        <v>1</v>
      </c>
      <c r="LF11" t="b">
        <f>IF($O$11="",FALSE,SUMPRODUCT(('Final Calculation Sheet'!$F$4:$F$40=$O$11)*($LE$6:$LE$42=1))&gt;0)</f>
        <v>1</v>
      </c>
      <c r="LG11">
        <f>$LG$10+--($LF11)</f>
        <v>8</v>
      </c>
      <c r="LH11">
        <f t="shared" si="107"/>
        <v>2003</v>
      </c>
      <c r="LI11">
        <f>IF(COUNTIF('Buyer Groups'!DG11:DG11,0)+COUNTIF('Buyer Groups'!DI11:EN11,0)&gt;0,0,1)</f>
        <v>1</v>
      </c>
      <c r="LJ11" t="b">
        <f>IF($T$11="",FALSE,SUMPRODUCT(('Final Calculation Sheet'!$G$4:$G$40=$T$11)*($LI$6:$LI$42=1))&gt;0)</f>
        <v>1</v>
      </c>
      <c r="LK11">
        <f>$LK$10+--($LJ11)</f>
        <v>8</v>
      </c>
      <c r="LL11" t="str">
        <f t="shared" si="108"/>
        <v>OMKAR STEELS</v>
      </c>
      <c r="LM11">
        <f>IF(COUNTIF('Buyer Groups'!DG11:DH11,0)+COUNTIF('Buyer Groups'!DJ11:EN11,0)&gt;0,0,1)</f>
        <v>1</v>
      </c>
      <c r="LN11" t="b">
        <f>IF($Y$11="",FALSE,SUMPRODUCT(('Final Calculation Sheet'!$B$4:$B$40=$Y$11)*($LM$6:$LM$42=1))&gt;0)</f>
        <v>1</v>
      </c>
      <c r="LO11">
        <f>$LO$10+--($LN11)</f>
        <v>8</v>
      </c>
      <c r="LP11" t="str">
        <f t="shared" si="109"/>
        <v>Scrap of 145 KV CB</v>
      </c>
      <c r="LQ11">
        <f>IF(COUNTIF('Buyer Groups'!DG11:DI11,0)+COUNTIF('Buyer Groups'!DK11:EN11,0)&gt;0,0,1)</f>
        <v>1</v>
      </c>
      <c r="LR11" t="b">
        <f>IF($AD$11="",FALSE,SUMPRODUCT(('Final Calculation Sheet'!$D$4:$D$40=$AD$11)*($LQ$6:$LQ$42=1))&gt;0)</f>
        <v>0</v>
      </c>
      <c r="LS11">
        <f>$LS$10+--($LR11)</f>
        <v>4</v>
      </c>
      <c r="LT11" t="str">
        <f t="shared" si="110"/>
        <v/>
      </c>
      <c r="LU11">
        <f>IF(COUNTIF('Buyer Groups'!DG11:DJ11,0)+COUNTIF('Buyer Groups'!DL11:EN11,0)&gt;0,0,1)</f>
        <v>1</v>
      </c>
      <c r="LV11" t="b">
        <f>IF($AI$11="",FALSE,SUMPRODUCT(('Final Calculation Sheet'!$A$4:$A$40=$AI$11)*($LU$6:$LU$42=1))&gt;0)</f>
        <v>1</v>
      </c>
      <c r="LW11">
        <f>$LW$10+--($LV11)</f>
        <v>8</v>
      </c>
      <c r="LX11">
        <f t="shared" si="111"/>
        <v>25</v>
      </c>
      <c r="LY11">
        <f>IF(COUNTIF('Buyer Groups'!DG11:DK11,0)+COUNTIF('Buyer Groups'!DM11:EN11,0)&gt;0,0,1)</f>
        <v>1</v>
      </c>
      <c r="LZ11" t="b">
        <f>IF($AN$11="",FALSE,SUMPRODUCT(('Final Calculation Sheet'!$E$4:$E$40=$AN$11)*($LY$6:$LY$42=1))&gt;0)</f>
        <v>0</v>
      </c>
      <c r="MA11">
        <f>$MA$10+--($LZ11)</f>
        <v>3</v>
      </c>
      <c r="MB11" t="str">
        <f t="shared" si="112"/>
        <v/>
      </c>
      <c r="MC11">
        <f>IF(COUNTIF('Buyer Groups'!DG11:DL11,0)+COUNTIF('Buyer Groups'!DN11:EN11,0)&gt;0,0,1)</f>
        <v>1</v>
      </c>
      <c r="MD11" t="b">
        <f>IF($AS$11="",FALSE,SUMPRODUCT(('Final Calculation Sheet'!$C$4:$C$40=$AS$11)*($MC$6:$MC$42=1))&gt;0)</f>
        <v>1</v>
      </c>
      <c r="ME11">
        <f>$ME$10+--($MD11)</f>
        <v>8</v>
      </c>
      <c r="MF11">
        <f t="shared" si="113"/>
        <v>571</v>
      </c>
      <c r="MG11">
        <f>IF(COUNTIF('Buyer Groups'!DG11:DM11,0)+COUNTIF('Buyer Groups'!DO11:EN11,0)&gt;0,0,1)</f>
        <v>1</v>
      </c>
      <c r="MH11" t="b">
        <f>IF($AX$11="",FALSE,SUMPRODUCT(('Final Calculation Sheet'!$H$4:$H$40=$AX$11)*($MG$6:$MG$42=1))&gt;0)</f>
        <v>1</v>
      </c>
      <c r="MI11">
        <f>$MI$10+--($MH11)</f>
        <v>8</v>
      </c>
      <c r="MJ11">
        <f t="shared" si="114"/>
        <v>40768</v>
      </c>
      <c r="MK11">
        <f>IF(COUNTIF('Buyer Groups'!DG11:DN11,0)+COUNTIF('Buyer Groups'!DP11:EN11,0)&gt;0,0,1)</f>
        <v>1</v>
      </c>
      <c r="ML11" t="b">
        <f>IF($BC$11="",FALSE,SUMPRODUCT(('Final Calculation Sheet'!$I$4:$I$40=$BC$11)*($MK$6:$MK$42=1))&gt;0)</f>
        <v>1</v>
      </c>
      <c r="MM11">
        <f>$MM$10+--($ML11)</f>
        <v>8</v>
      </c>
      <c r="MN11">
        <f t="shared" si="115"/>
        <v>7338</v>
      </c>
      <c r="MO11">
        <f>IF(COUNTIF('Buyer Groups'!DG11:DO11,0)+COUNTIF('Buyer Groups'!DQ11:EN11,0)&gt;0,0,1)</f>
        <v>1</v>
      </c>
      <c r="MP11" t="b">
        <f>IF($BH$11="",FALSE,SUMPRODUCT(('Final Calculation Sheet'!$J$4:$J$40=$BH$11)*($MO$6:$MO$42=1))&gt;0)</f>
        <v>1</v>
      </c>
      <c r="MQ11">
        <f>$MQ$10+--($MP11)</f>
        <v>8</v>
      </c>
      <c r="MR11">
        <f t="shared" si="116"/>
        <v>48106</v>
      </c>
      <c r="MS11">
        <f>IF(COUNTIF('Buyer Groups'!DG11:DP11,0)+COUNTIF('Buyer Groups'!DR11:EN11,0)&gt;0,0,1)</f>
        <v>1</v>
      </c>
      <c r="MT11" t="b">
        <f>IF($BM$11="",FALSE,SUMPRODUCT(('Final Calculation Sheet'!$K$4:$K$40=$BM$11)*($MS$6:$MS$42=1))&gt;0)</f>
        <v>1</v>
      </c>
      <c r="MU11">
        <f>$MU$10+--($MT11)</f>
        <v>8</v>
      </c>
      <c r="MV11">
        <f t="shared" si="117"/>
        <v>962</v>
      </c>
      <c r="MW11">
        <f>IF(COUNTIF('Buyer Groups'!DG11:DQ11,0)+COUNTIF('Buyer Groups'!DS11:EN11,0)&gt;0,0,1)</f>
        <v>1</v>
      </c>
      <c r="MX11" t="b">
        <f>IF($BR$11="",FALSE,SUMPRODUCT(('Final Calculation Sheet'!$L$4:$L$40=$BR$11)*($MW$6:$MW$42=1))&gt;0)</f>
        <v>1</v>
      </c>
      <c r="MY11">
        <f>$MY$10+--($MX11)</f>
        <v>8</v>
      </c>
      <c r="MZ11">
        <f t="shared" si="118"/>
        <v>40.768000000000001</v>
      </c>
      <c r="NA11">
        <f>IF(COUNTIF('Buyer Groups'!DG11:DR11,0)+COUNTIF('Buyer Groups'!DT11:EN11,0)&gt;0,0,1)</f>
        <v>1</v>
      </c>
      <c r="NB11" t="b">
        <f>IF($BW$11="",FALSE,SUMPRODUCT(('Final Calculation Sheet'!$M$4:$M$40=$BW$11)*($NA$6:$NA$42=1))&gt;0)</f>
        <v>1</v>
      </c>
      <c r="NC11">
        <f>$NC$10+--($NB11)</f>
        <v>8</v>
      </c>
      <c r="ND11">
        <f t="shared" si="119"/>
        <v>1082.3904</v>
      </c>
      <c r="NE11">
        <f>IF(COUNTIF('Buyer Groups'!DG11:DS11,0)+COUNTIF('Buyer Groups'!DU11:EN11,0)&gt;0,0,1)</f>
        <v>1</v>
      </c>
      <c r="NF11" t="b">
        <f>IF($CB$11="",FALSE,SUMPRODUCT(('Final Calculation Sheet'!$N$4:$N$40=$CB$11)*($NE$6:$NE$42=1))&gt;0)</f>
        <v>1</v>
      </c>
      <c r="NG11">
        <f>$NG$10+--($NF11)</f>
        <v>8</v>
      </c>
      <c r="NH11">
        <f t="shared" si="120"/>
        <v>18.345600000000001</v>
      </c>
      <c r="NI11">
        <f>IF(COUNTIF('Buyer Groups'!DG11:DT11,0)+COUNTIF('Buyer Groups'!DV11:EN11,0)&gt;0,0,1)</f>
        <v>1</v>
      </c>
      <c r="NJ11" t="b">
        <f>IF($CG$11="",FALSE,SUMPRODUCT(('Final Calculation Sheet'!$O$4:$O$40=$CG$11)*($NI$6:$NI$42=1))&gt;0)</f>
        <v>1</v>
      </c>
      <c r="NK11">
        <f>$NK$10+--($NJ11)</f>
        <v>8</v>
      </c>
      <c r="NL11">
        <f t="shared" si="121"/>
        <v>1064.0447999999999</v>
      </c>
      <c r="NM11">
        <f>IF(COUNTIF('Buyer Groups'!DG11:DU11,0)+COUNTIF('Buyer Groups'!DW11:EN11,0)&gt;0,0,1)</f>
        <v>1</v>
      </c>
      <c r="NN11" t="b">
        <f>IF($CL$11="",FALSE,SUMPRODUCT(('Final Calculation Sheet'!$P$4:$P$40=$CL$11)*($NM$6:$NM$42=1))&gt;0)</f>
        <v>1</v>
      </c>
      <c r="NO11">
        <f>$NO$10+--($NN11)</f>
        <v>8</v>
      </c>
      <c r="NP11">
        <f t="shared" si="122"/>
        <v>1105</v>
      </c>
      <c r="NQ11">
        <f>IF(COUNTIF('Buyer Groups'!DG11:DV11,0)+COUNTIF('Buyer Groups'!DX11:EN11,0)&gt;0,0,1)</f>
        <v>1</v>
      </c>
      <c r="NR11" t="b">
        <f>IF($CQ$11="",FALSE,SUMPRODUCT(('Final Calculation Sheet'!$Q$4:$Q$40=$CQ$11)*($NQ$6:$NQ$42=1))&gt;0)</f>
        <v>0</v>
      </c>
      <c r="NS11">
        <f>$NS$10+--($NR11)</f>
        <v>2</v>
      </c>
      <c r="NT11" t="str">
        <f t="shared" si="123"/>
        <v/>
      </c>
      <c r="NU11">
        <f>IF(COUNTIF('Buyer Groups'!DG11:DW11,0)+COUNTIF('Buyer Groups'!DY11:EN11,0)&gt;0,0,1)</f>
        <v>1</v>
      </c>
      <c r="NV11" t="b">
        <f>IF($CV$11="",FALSE,SUMPRODUCT(('Final Calculation Sheet'!$R$4:$R$40=$CV$11)*($NU$6:$NU$42=1))&gt;0)</f>
        <v>0</v>
      </c>
      <c r="NW11">
        <f>$NW$10+--($NV11)</f>
        <v>5</v>
      </c>
      <c r="NX11" t="str">
        <f t="shared" si="124"/>
        <v/>
      </c>
      <c r="NY11">
        <f>IF(COUNTIF('Buyer Groups'!DG11:DX11,0)+COUNTIF('Buyer Groups'!DZ11:EN11,0)&gt;0,0,1)</f>
        <v>1</v>
      </c>
      <c r="NZ11" t="b">
        <f>IF($DA$11="",FALSE,SUMPRODUCT(('Final Calculation Sheet'!$S$4:$S$40=$DA$11)*($NY$6:$NY$42=1))&gt;0)</f>
        <v>1</v>
      </c>
      <c r="OA11">
        <f>$OA$10+--($NZ11)</f>
        <v>8</v>
      </c>
      <c r="OB11">
        <f t="shared" si="125"/>
        <v>47964</v>
      </c>
      <c r="OC11">
        <f>IF(COUNTIF('Buyer Groups'!DG11:DY11,0)+COUNTIF('Buyer Groups'!EA11:EN11,0)&gt;0,0,1)</f>
        <v>1</v>
      </c>
      <c r="OD11" t="b">
        <f>IF($DF$11="",FALSE,SUMPRODUCT(('Final Calculation Sheet'!$T$4:$T$40=$DF$11)*($OC$6:$OC$42=1))&gt;0)</f>
        <v>1</v>
      </c>
      <c r="OE11">
        <f>$OE$10+--($OD11)</f>
        <v>8</v>
      </c>
      <c r="OF11">
        <f t="shared" si="126"/>
        <v>10192</v>
      </c>
      <c r="OG11">
        <f>IF(COUNTIF('Buyer Groups'!DG11:DZ11,0)+COUNTIF('Buyer Groups'!EB11:EN11,0)&gt;0,0,1)</f>
        <v>1</v>
      </c>
      <c r="OH11" t="b">
        <f>IF($DK$11="",FALSE,SUMPRODUCT(('Final Calculation Sheet'!$U$4:$U$40=$DK$11)*($OG$6:$OG$42=1))&gt;0)</f>
        <v>1</v>
      </c>
      <c r="OI11">
        <f>$OI$10+--($OH11)</f>
        <v>8</v>
      </c>
      <c r="OJ11">
        <f t="shared" si="127"/>
        <v>10192</v>
      </c>
      <c r="OK11">
        <f>IF(COUNTIF('Buyer Groups'!DG11:EA11,0)+COUNTIF('Buyer Groups'!EC11:EN11,0)&gt;0,0,1)</f>
        <v>1</v>
      </c>
      <c r="OL11" t="b">
        <f>IF($DP$11="",FALSE,SUMPRODUCT(('Final Calculation Sheet'!$V$4:$V$40=$DP$11)*($OK$6:$OK$42=1))&gt;0)</f>
        <v>0</v>
      </c>
      <c r="OM11">
        <f>$OM$10+--($OL11)</f>
        <v>6</v>
      </c>
      <c r="ON11" t="str">
        <f t="shared" si="128"/>
        <v/>
      </c>
      <c r="OO11">
        <f>IF(COUNTIF('Buyer Groups'!DG11:EB11,0)+COUNTIF('Buyer Groups'!ED11:EN11,0)&gt;0,0,1)</f>
        <v>1</v>
      </c>
      <c r="OP11" t="b">
        <f>IF($DU$11="",FALSE,SUMPRODUCT(('Final Calculation Sheet'!$W$4:$W$40=$DU$11)*($OO$6:$OO$42=1))&gt;0)</f>
        <v>1</v>
      </c>
      <c r="OQ11">
        <f>$OQ$10+--($OP11)</f>
        <v>8</v>
      </c>
      <c r="OR11">
        <f t="shared" si="129"/>
        <v>37772</v>
      </c>
      <c r="OS11">
        <f>IF(COUNTIF('Buyer Groups'!DG11:EC11,0)+COUNTIF('Buyer Groups'!EE11:EN11,0)&gt;0,0,1)</f>
        <v>1</v>
      </c>
      <c r="OT11" t="e">
        <f>IF($DZ$11="",FALSE,SUMPRODUCT(('Final Calculation Sheet'!$X$4:$X$40=$DZ$11)*($OS$6:$OS$42=1))&gt;0)</f>
        <v>#N/A</v>
      </c>
      <c r="OU11" t="e">
        <f>$OU$10+--($OT11)</f>
        <v>#N/A</v>
      </c>
      <c r="OV11" t="e">
        <f t="shared" si="130"/>
        <v>#N/A</v>
      </c>
      <c r="OW11">
        <f>IF(COUNTIF('Buyer Groups'!DG11:ED11,0)+COUNTIF('Buyer Groups'!EF11:EN11,0)&gt;0,0,1)</f>
        <v>1</v>
      </c>
      <c r="OX11" t="e">
        <f>IF($EE$11="",FALSE,SUMPRODUCT(('Final Calculation Sheet'!$Y$4:$Y$40=$EE$11)*($OW$6:$OW$42=1))&gt;0)</f>
        <v>#N/A</v>
      </c>
      <c r="OY11" t="e">
        <f>$OY$10+--($OX11)</f>
        <v>#N/A</v>
      </c>
      <c r="OZ11" t="e">
        <f t="shared" si="131"/>
        <v>#N/A</v>
      </c>
      <c r="PA11">
        <f>IF(COUNTIF('Buyer Groups'!DG11:EE11,0)+COUNTIF('Buyer Groups'!EG11:EN11,0)&gt;0,0,1)</f>
        <v>1</v>
      </c>
      <c r="PB11" t="b">
        <f ca="1">IF($EJ$11="",FALSE,SUMPRODUCT(('Final Calculation Sheet'!$Z$4:$Z$40=$EJ$11)*($PA$6:$PA$42=1))&gt;0)</f>
        <v>1</v>
      </c>
      <c r="PC11">
        <f ca="1">$PC$10+--($PB11)</f>
        <v>8</v>
      </c>
      <c r="PD11">
        <f t="shared" ca="1" si="132"/>
        <v>1443.1871999999998</v>
      </c>
      <c r="PE11">
        <f>IF(COUNTIF('Buyer Groups'!DG11:EF11,0)+COUNTIF('Buyer Groups'!EH11:EN11,0)&gt;0,0,1)</f>
        <v>1</v>
      </c>
      <c r="PF11" t="e">
        <f>IF($EO$11="",FALSE,SUMPRODUCT(('Final Calculation Sheet'!$AA$4:$AA$40=$EO$11)*($PE$6:$PE$42=1))&gt;0)</f>
        <v>#N/A</v>
      </c>
      <c r="PG11" t="e">
        <f>$PG$10+--($PF11)</f>
        <v>#N/A</v>
      </c>
      <c r="PH11" t="e">
        <f t="shared" si="133"/>
        <v>#N/A</v>
      </c>
      <c r="PI11">
        <f>IF(COUNTIF('Buyer Groups'!DG11:EG11,0)+COUNTIF('Buyer Groups'!EI11:EN11,0)&gt;0,0,1)</f>
        <v>1</v>
      </c>
      <c r="PJ11" t="e">
        <f>IF($ET$11="",FALSE,SUMPRODUCT(('Final Calculation Sheet'!$AB$4:$AB$40=$ET$11)*($PI$6:$PI$42=1))&gt;0)</f>
        <v>#N/A</v>
      </c>
      <c r="PK11" t="e">
        <f>$PK$10+--($PJ11)</f>
        <v>#N/A</v>
      </c>
      <c r="PL11" t="e">
        <f t="shared" si="134"/>
        <v>#N/A</v>
      </c>
      <c r="PM11">
        <f>IF(COUNTIF('Buyer Groups'!DG11:EH11,0)+COUNTIF('Buyer Groups'!EJ11:EN11,0)&gt;0,0,1)</f>
        <v>1</v>
      </c>
      <c r="PN11" t="b">
        <f>IF($EY$11="",FALSE,SUMPRODUCT(('Final Calculation Sheet'!$AC$4:$AC$40=$EY$11)*($PM$6:$PM$42=1))&gt;0)</f>
        <v>1</v>
      </c>
      <c r="PO11">
        <f>$PO$10+--($PN11)</f>
        <v>8</v>
      </c>
      <c r="PP11">
        <f t="shared" si="135"/>
        <v>36017</v>
      </c>
      <c r="PQ11">
        <f>IF(COUNTIF('Buyer Groups'!DG11:EI11,0)+COUNTIF('Buyer Groups'!EK11:EN11,0)&gt;0,0,1)</f>
        <v>1</v>
      </c>
      <c r="PR11" t="b">
        <f>IF($FD$11="",FALSE,SUMPRODUCT(('Final Calculation Sheet'!$AD$4:$AD$40=$FD$11)*($PQ$6:$PQ$42=1))&gt;0)</f>
        <v>1</v>
      </c>
      <c r="PS11">
        <f>$PS$10+--($PR11)</f>
        <v>8</v>
      </c>
      <c r="PT11">
        <f t="shared" si="136"/>
        <v>1</v>
      </c>
      <c r="PU11">
        <f>IF(COUNTIF('Buyer Groups'!DG11:EJ11,0)+COUNTIF('Buyer Groups'!EL11:EN11,0)&gt;0,0,1)</f>
        <v>1</v>
      </c>
      <c r="PV11" t="b">
        <f>IF($FX$11="",FALSE,SUMPRODUCT((IF('Final Calculation Sheet'!$AD$4:$AD$40&lt;=5,"SETTLED","OUTSTANDING")=$FX$11)*($PU$6:$PU$42=1))&gt;0)</f>
        <v>0</v>
      </c>
      <c r="PW11">
        <f>$PW$10+--($PV11)</f>
        <v>1</v>
      </c>
      <c r="PX11" t="str">
        <f t="shared" si="137"/>
        <v/>
      </c>
      <c r="PY11">
        <f>IF(COUNTIF('Buyer Groups'!DG11:EK11,0)+COUNTIF('Buyer Groups'!EM11:EN11,0)&gt;0,0,1)</f>
        <v>1</v>
      </c>
      <c r="PZ11" t="e">
        <f>IF($FI$11="",FALSE,SUMPRODUCT(('Final Calculation Sheet'!$AF$4:$AF$40=$FI$11)*($PY$6:$PY$42=1))&gt;0)</f>
        <v>#N/A</v>
      </c>
      <c r="QA11" t="e">
        <f>$QA$10+--($PZ11)</f>
        <v>#N/A</v>
      </c>
      <c r="QB11" t="e">
        <f t="shared" si="138"/>
        <v>#N/A</v>
      </c>
      <c r="QC11">
        <f>IF(COUNTIF('Buyer Groups'!DG11:EL11,0)+COUNTIF('Buyer Groups'!EN11:EN11,0)&gt;0,0,1)</f>
        <v>1</v>
      </c>
      <c r="QD11" t="e">
        <f>IF($FN$11="",FALSE,SUMPRODUCT(('Final Calculation Sheet'!$AG$4:$AG$40=$FN$11)*($QC$6:$QC$42=1))&gt;0)</f>
        <v>#N/A</v>
      </c>
      <c r="QE11" t="e">
        <f>$QE$10+--($QD11)</f>
        <v>#N/A</v>
      </c>
      <c r="QF11" t="e">
        <f t="shared" si="139"/>
        <v>#N/A</v>
      </c>
      <c r="QG11">
        <f>IF(COUNTIF('Buyer Groups'!DG11:EM11,0)&gt;0,0,1)</f>
        <v>1</v>
      </c>
      <c r="QH11" t="e">
        <f>IF($FS$11="",FALSE,SUMPRODUCT(('Final Calculation Sheet'!$AH$4:$AH$40=$FS$11)*($QG$6:$QG$42=1))&gt;0)</f>
        <v>#N/A</v>
      </c>
      <c r="QI11" t="e">
        <f>$QI$10+--($QH11)</f>
        <v>#N/A</v>
      </c>
      <c r="QJ11" t="e">
        <f t="shared" si="140"/>
        <v>#N/A</v>
      </c>
      <c r="QK11" t="str">
        <f>IF('Final Calculation Sheet'!$AH$11="","",'Final Calculation Sheet'!$AH$11)</f>
        <v>27.08.2026</v>
      </c>
      <c r="QL11">
        <f>IF(QK11="","",COUNTIFS(QK$4:QK$40,"&lt;"&amp;QK11,QK$4:QK$40,"&lt;&gt;"&amp;"")+COUNTIF(QK$4:QK11,QK11))</f>
        <v>24</v>
      </c>
      <c r="QM11" t="str">
        <f t="shared" si="141"/>
        <v>14.08.2026</v>
      </c>
      <c r="QN11" t="e">
        <f ca="1">QN10+F(AND(QM11&lt;&gt;"",COUNTIF(QM$4:QM11,QM11)=1),1,0)</f>
        <v>#N/A</v>
      </c>
      <c r="QO11" t="e">
        <f t="shared" si="142"/>
        <v>#N/A</v>
      </c>
      <c r="QP11">
        <f>IF(COUNTIF('Final Calculation Sheet'!$AM11:$BS11,0)&gt;0,0,1)</f>
        <v>1</v>
      </c>
      <c r="QQ11" t="b">
        <f>IF($AI$11="",FALSE,SUMPRODUCT(('Final Calculation Sheet'!$A$4:$A$40=$AI$11)*($QP$4:$QP$40=1))&gt;0)</f>
        <v>1</v>
      </c>
      <c r="QR11">
        <f t="shared" si="177"/>
        <v>8</v>
      </c>
      <c r="QS11">
        <f t="shared" si="143"/>
        <v>25</v>
      </c>
      <c r="QT11">
        <f>IF(COUNTIF('Final Calculation Sheet'!$AL11:$AL11,0)+COUNTIF('Final Calculation Sheet'!$AN11:$BS11,0)&gt;0,0,1)</f>
        <v>1</v>
      </c>
      <c r="QU11" t="b">
        <f>IF($Y$11="",FALSE,SUMPRODUCT(('Final Calculation Sheet'!$B$4:$B$40=$Y$11)*($QT$4:$QT$40=1))&gt;0)</f>
        <v>1</v>
      </c>
      <c r="QV11">
        <f t="shared" si="178"/>
        <v>8</v>
      </c>
      <c r="QW11" t="str">
        <f t="shared" si="144"/>
        <v>Scrap of 145 KV CB</v>
      </c>
      <c r="QX11">
        <f>IF(COUNTIF('Final Calculation Sheet'!$AL11:$AM11,0)+COUNTIF('Final Calculation Sheet'!$AO11:$BS11,0)&gt;0,0,1)</f>
        <v>1</v>
      </c>
      <c r="QY11" t="b">
        <f>IF($AS$11="",FALSE,SUMPRODUCT(('Final Calculation Sheet'!$C$4:$C$40=$AS$11)*($QX$4:$QX$40=1))&gt;0)</f>
        <v>1</v>
      </c>
      <c r="QZ11">
        <f t="shared" si="179"/>
        <v>8</v>
      </c>
      <c r="RA11">
        <f t="shared" si="145"/>
        <v>571</v>
      </c>
      <c r="RB11">
        <f>IF(COUNTIF('Final Calculation Sheet'!$AL11:$AN11,0)+COUNTIF('Final Calculation Sheet'!$AP11:$BS11,0)&gt;0,0,1)</f>
        <v>1</v>
      </c>
      <c r="RC11" t="b">
        <f>IF($AD$11="",FALSE,SUMPRODUCT(('Final Calculation Sheet'!$D$4:$D$40=$AD$11)*($RB$4:$RB$40=1))&gt;0)</f>
        <v>0</v>
      </c>
      <c r="RD11">
        <f t="shared" si="180"/>
        <v>4</v>
      </c>
      <c r="RE11" t="str">
        <f t="shared" si="146"/>
        <v/>
      </c>
      <c r="RF11">
        <f>IF(COUNTIF('Final Calculation Sheet'!$AL11:$AO11,0)+COUNTIF('Final Calculation Sheet'!$AQ11:$BS11,0)&gt;0,0,1)</f>
        <v>1</v>
      </c>
      <c r="RG11" t="b">
        <f>IF($AN$11="",FALSE,SUMPRODUCT(('Final Calculation Sheet'!$E$4:$E$40=$AN$11)*($RF$4:$RF$40=1))&gt;0)</f>
        <v>0</v>
      </c>
      <c r="RH11">
        <f t="shared" si="181"/>
        <v>3</v>
      </c>
      <c r="RI11" t="str">
        <f t="shared" si="147"/>
        <v/>
      </c>
      <c r="RJ11">
        <f>IF(COUNTIF('Final Calculation Sheet'!$AL11:$AP11,0)+COUNTIF('Final Calculation Sheet'!$AR11:$BS11,0)&gt;0,0,1)</f>
        <v>1</v>
      </c>
      <c r="RK11" t="b">
        <f>IF($O$11="",FALSE,SUMPRODUCT(('Final Calculation Sheet'!$F$4:$F$40=$O$11)*($RJ$4:$RJ$40=1))&gt;0)</f>
        <v>1</v>
      </c>
      <c r="RL11">
        <f t="shared" si="182"/>
        <v>8</v>
      </c>
      <c r="RM11">
        <f t="shared" si="148"/>
        <v>2003</v>
      </c>
      <c r="RN11">
        <f>IF(COUNTIF('Final Calculation Sheet'!$AL11:$AQ11,0)+COUNTIF('Final Calculation Sheet'!$AS11:$BS11,0)&gt;0,0,1)</f>
        <v>1</v>
      </c>
      <c r="RO11" t="b">
        <f>IF($T$11="",FALSE,SUMPRODUCT(('Final Calculation Sheet'!$G$4:$G$40=$T$11)*($RN$4:$RN$40=1))&gt;0)</f>
        <v>1</v>
      </c>
      <c r="RP11">
        <f t="shared" si="183"/>
        <v>8</v>
      </c>
      <c r="RQ11" t="str">
        <f t="shared" si="149"/>
        <v>OMKAR STEELS</v>
      </c>
      <c r="RR11">
        <f>IF(COUNTIF('Final Calculation Sheet'!$AL11:$AR11,0)+COUNTIF('Final Calculation Sheet'!$AT11:$BS11,0)&gt;0,0,1)</f>
        <v>1</v>
      </c>
      <c r="RS11" t="b">
        <f>IF($AX$11="",FALSE,SUMPRODUCT(('Final Calculation Sheet'!$H$4:$H$40=$AX$11)*($RR$4:$RR$40=1))&gt;0)</f>
        <v>1</v>
      </c>
      <c r="RT11">
        <f t="shared" si="184"/>
        <v>8</v>
      </c>
      <c r="RU11">
        <f t="shared" si="150"/>
        <v>40768</v>
      </c>
      <c r="RV11">
        <f>IF(COUNTIF('Final Calculation Sheet'!$AL11:$AS11,0)+COUNTIF('Final Calculation Sheet'!$AU11:$BS11,0)&gt;0,0,1)</f>
        <v>1</v>
      </c>
      <c r="RW11" t="b">
        <f>IF($BC$11="",FALSE,SUMPRODUCT(('Final Calculation Sheet'!$I$4:$I$40=$BC$11)*($RV$4:$RV$40=1))&gt;0)</f>
        <v>1</v>
      </c>
      <c r="RX11">
        <f t="shared" si="185"/>
        <v>8</v>
      </c>
      <c r="RY11">
        <f t="shared" si="151"/>
        <v>7338</v>
      </c>
      <c r="RZ11">
        <f>IF(COUNTIF('Final Calculation Sheet'!$AL11:$AT11,0)+COUNTIF('Final Calculation Sheet'!$AV11:$BS11,0)&gt;0,0,1)</f>
        <v>1</v>
      </c>
      <c r="SA11" t="b">
        <f>IF($BH$11="",FALSE,SUMPRODUCT(('Final Calculation Sheet'!$J$4:$J$40=$BH$11)*($RZ$4:$RZ$40=1))&gt;0)</f>
        <v>1</v>
      </c>
      <c r="SB11">
        <f t="shared" si="186"/>
        <v>8</v>
      </c>
      <c r="SC11">
        <f t="shared" si="152"/>
        <v>48106</v>
      </c>
      <c r="SD11">
        <f>IF(COUNTIF('Final Calculation Sheet'!$AL11:$AU11,0)+COUNTIF('Final Calculation Sheet'!$AW11:$BS11,0)&gt;0,0,1)</f>
        <v>1</v>
      </c>
      <c r="SE11" t="b">
        <f>IF($BM$11="",FALSE,SUMPRODUCT(('Final Calculation Sheet'!$K$4:$K$40=$BM$11)*($SD$4:$SD$40=1))&gt;0)</f>
        <v>1</v>
      </c>
      <c r="SF11">
        <f t="shared" si="187"/>
        <v>8</v>
      </c>
      <c r="SG11">
        <f t="shared" si="153"/>
        <v>962</v>
      </c>
      <c r="SH11">
        <f>IF(COUNTIF('Final Calculation Sheet'!$AL11:$AV11,0)+COUNTIF('Final Calculation Sheet'!$AX11:$BS11,0)&gt;0,0,1)</f>
        <v>1</v>
      </c>
      <c r="SI11" t="b">
        <f>IF($BR$11="",FALSE,SUMPRODUCT(('Final Calculation Sheet'!$L$4:$L$40=$BR$11)*($SH$4:$SH$40=1))&gt;0)</f>
        <v>1</v>
      </c>
      <c r="SJ11">
        <f t="shared" si="188"/>
        <v>8</v>
      </c>
      <c r="SK11">
        <f t="shared" si="154"/>
        <v>40.768000000000001</v>
      </c>
      <c r="SL11">
        <f>IF(COUNTIF('Final Calculation Sheet'!$AL11:$AW11,0)+COUNTIF('Final Calculation Sheet'!$AY11:$BS11,0)&gt;0,0,1)</f>
        <v>1</v>
      </c>
      <c r="SM11" t="b">
        <f>IF($BW$11="",FALSE,SUMPRODUCT(('Final Calculation Sheet'!$M$4:$M$40=$BW$11)*($SL$4:$SL$40=1))&gt;0)</f>
        <v>1</v>
      </c>
      <c r="SN11">
        <f t="shared" si="189"/>
        <v>8</v>
      </c>
      <c r="SO11">
        <f t="shared" si="155"/>
        <v>1082.3904</v>
      </c>
      <c r="SP11">
        <f>IF(COUNTIF('Final Calculation Sheet'!$AL11:$AX11,0)+COUNTIF('Final Calculation Sheet'!$AZ11:$BS11,0)&gt;0,0,1)</f>
        <v>1</v>
      </c>
      <c r="SQ11" t="b">
        <f>IF($CB$11="",FALSE,SUMPRODUCT(('Final Calculation Sheet'!$N$4:$N$40=$CB$11)*($SP$4:$SP$40=1))&gt;0)</f>
        <v>1</v>
      </c>
      <c r="SR11">
        <f t="shared" si="190"/>
        <v>8</v>
      </c>
      <c r="SS11">
        <f t="shared" si="156"/>
        <v>18.345600000000001</v>
      </c>
      <c r="ST11">
        <f>IF(COUNTIF('Final Calculation Sheet'!$AL11:$AY11,0)+COUNTIF('Final Calculation Sheet'!$BA11:$BS11,0)&gt;0,0,1)</f>
        <v>1</v>
      </c>
      <c r="SU11" t="b">
        <f>IF($CG$11="",FALSE,SUMPRODUCT(('Final Calculation Sheet'!$O$4:$O$40=$CG$11)*($ST$4:$ST$40=1))&gt;0)</f>
        <v>1</v>
      </c>
      <c r="SV11">
        <f t="shared" si="191"/>
        <v>8</v>
      </c>
      <c r="SW11">
        <f t="shared" si="157"/>
        <v>1064.0447999999999</v>
      </c>
      <c r="SX11">
        <f>IF(COUNTIF('Final Calculation Sheet'!$AL11:$AZ11,0)+COUNTIF('Final Calculation Sheet'!$BB11:$BS11,0)&gt;0,0,1)</f>
        <v>1</v>
      </c>
      <c r="SY11" t="b">
        <f>IF($CL$11="",FALSE,SUMPRODUCT(('Final Calculation Sheet'!$P$4:$P$40=$CL$11)*($SX$4:$SX$40=1))&gt;0)</f>
        <v>1</v>
      </c>
      <c r="SZ11">
        <f t="shared" si="192"/>
        <v>8</v>
      </c>
      <c r="TA11">
        <f t="shared" si="158"/>
        <v>1105</v>
      </c>
      <c r="TB11">
        <f>IF(COUNTIF('Final Calculation Sheet'!$AL11:$BA11,0)+COUNTIF('Final Calculation Sheet'!$BC11:$BS11,0)&gt;0,0,1)</f>
        <v>1</v>
      </c>
      <c r="TC11" t="b">
        <f>IF($CQ$11="",FALSE,SUMPRODUCT(('Final Calculation Sheet'!$Q$4:$Q$40=$CQ$11)*($TB$4:$TB$40=1))&gt;0)</f>
        <v>0</v>
      </c>
      <c r="TD11">
        <f t="shared" si="193"/>
        <v>2</v>
      </c>
      <c r="TE11" t="str">
        <f t="shared" si="159"/>
        <v/>
      </c>
      <c r="TF11">
        <f>IF(COUNTIF('Final Calculation Sheet'!$AL11:$BB11,0)+COUNTIF('Final Calculation Sheet'!$BD11:$BS11,0)&gt;0,0,1)</f>
        <v>1</v>
      </c>
      <c r="TG11" t="b">
        <f>IF($CV$11="",FALSE,SUMPRODUCT(('Final Calculation Sheet'!$R$4:$R$40=$CV$11)*($TF$4:$TF$40=1))&gt;0)</f>
        <v>0</v>
      </c>
      <c r="TH11">
        <f t="shared" si="194"/>
        <v>5</v>
      </c>
      <c r="TI11" t="str">
        <f t="shared" si="160"/>
        <v/>
      </c>
      <c r="TJ11">
        <f>IF(COUNTIF('Final Calculation Sheet'!$AL11:$BC11,0)+COUNTIF('Final Calculation Sheet'!$BE11:$BS11,0)&gt;0,0,1)</f>
        <v>1</v>
      </c>
      <c r="TK11" t="b">
        <f>IF($DA$11="",FALSE,SUMPRODUCT(('Final Calculation Sheet'!$S$4:$S$40=$DA$11)*($TJ$4:$TJ$40=1))&gt;0)</f>
        <v>1</v>
      </c>
      <c r="TL11">
        <f t="shared" si="195"/>
        <v>8</v>
      </c>
      <c r="TM11">
        <f t="shared" si="161"/>
        <v>47964</v>
      </c>
      <c r="TN11">
        <f>IF(COUNTIF('Final Calculation Sheet'!$AL11:$BD11,0)+COUNTIF('Final Calculation Sheet'!$BF11:$BS11,0)&gt;0,0,1)</f>
        <v>1</v>
      </c>
      <c r="TO11" t="b">
        <f>IF($DF$11="",FALSE,SUMPRODUCT(('Final Calculation Sheet'!$T$4:$T$40=$DF$11)*($TN$4:$TN$40=1))&gt;0)</f>
        <v>1</v>
      </c>
      <c r="TP11">
        <f t="shared" si="196"/>
        <v>8</v>
      </c>
      <c r="TQ11">
        <f t="shared" si="162"/>
        <v>10192</v>
      </c>
      <c r="TR11">
        <f>IF(COUNTIF('Final Calculation Sheet'!$AL11:$BE11,0)+COUNTIF('Final Calculation Sheet'!$BG11:$BS11,0)&gt;0,0,1)</f>
        <v>1</v>
      </c>
      <c r="TS11" t="b">
        <f>IF($DK$11="",FALSE,SUMPRODUCT(('Final Calculation Sheet'!$U$4:$U$40=$DK$11)*($TR$4:$TR$40=1))&gt;0)</f>
        <v>1</v>
      </c>
      <c r="TT11">
        <f t="shared" si="197"/>
        <v>8</v>
      </c>
      <c r="TU11">
        <f t="shared" si="163"/>
        <v>10192</v>
      </c>
      <c r="TV11">
        <f>IF(COUNTIF('Final Calculation Sheet'!$AL11:$BF11,0)+COUNTIF('Final Calculation Sheet'!$BH11:$BS11,0)&gt;0,0,1)</f>
        <v>1</v>
      </c>
      <c r="TW11" t="b">
        <f>IF($DP$11="",FALSE,SUMPRODUCT(('Final Calculation Sheet'!$V$4:$V$40=$DP$11)*($TV$4:$TV$40=1))&gt;0)</f>
        <v>0</v>
      </c>
      <c r="TX11">
        <f t="shared" si="198"/>
        <v>6</v>
      </c>
      <c r="TY11" t="str">
        <f t="shared" si="164"/>
        <v/>
      </c>
      <c r="TZ11">
        <f>IF(COUNTIF('Final Calculation Sheet'!$AL11:$BG11,0)+COUNTIF('Final Calculation Sheet'!$BI11:$BS11,0)&gt;0,0,1)</f>
        <v>1</v>
      </c>
      <c r="UA11" t="b">
        <f>IF($DU$11="",FALSE,SUMPRODUCT(('Final Calculation Sheet'!$W$4:$W$40=$DU$11)*($TZ$4:$TZ$40=1))&gt;0)</f>
        <v>1</v>
      </c>
      <c r="UB11">
        <f t="shared" si="199"/>
        <v>8</v>
      </c>
      <c r="UC11">
        <f t="shared" si="165"/>
        <v>37772</v>
      </c>
      <c r="UD11">
        <f>IF(COUNTIF('Final Calculation Sheet'!$AL11:$BH11,0)+COUNTIF('Final Calculation Sheet'!$BJ11:$BS11,0)&gt;0,0,1)</f>
        <v>1</v>
      </c>
      <c r="UE11" t="e">
        <f>IF($DZ$11="",FALSE,SUMPRODUCT(('Final Calculation Sheet'!$X$4:$X$40=$DZ$11)*($UD$4:$UD$40=1))&gt;0)</f>
        <v>#N/A</v>
      </c>
      <c r="UF11" t="e">
        <f t="shared" si="200"/>
        <v>#N/A</v>
      </c>
      <c r="UG11" t="e">
        <f t="shared" si="166"/>
        <v>#N/A</v>
      </c>
      <c r="UH11">
        <f>IF(COUNTIF('Final Calculation Sheet'!$AL11:$BI11,0)+COUNTIF('Final Calculation Sheet'!$BK11:$BS11,0)&gt;0,0,1)</f>
        <v>1</v>
      </c>
      <c r="UI11" t="e">
        <f>IF($EE$11="",FALSE,SUMPRODUCT(('Final Calculation Sheet'!$Y$4:$Y$40=$EE$11)*($UH$4:$UH$40=1))&gt;0)</f>
        <v>#N/A</v>
      </c>
      <c r="UJ11" t="e">
        <f t="shared" si="201"/>
        <v>#N/A</v>
      </c>
      <c r="UK11" t="e">
        <f t="shared" si="167"/>
        <v>#N/A</v>
      </c>
      <c r="UL11">
        <f>IF(COUNTIF('Final Calculation Sheet'!$AL11:$BJ11,0)+COUNTIF('Final Calculation Sheet'!$BL11:$BS11,0)&gt;0,0,1)</f>
        <v>1</v>
      </c>
      <c r="UM11" t="b">
        <f ca="1">IF($EJ$11="",FALSE,SUMPRODUCT(('Final Calculation Sheet'!$Z$4:$Z$40=$EJ$11)*($UL$4:$UL$40=1))&gt;0)</f>
        <v>1</v>
      </c>
      <c r="UN11">
        <f t="shared" ca="1" si="202"/>
        <v>8</v>
      </c>
      <c r="UO11">
        <f t="shared" ca="1" si="168"/>
        <v>1443.1871999999998</v>
      </c>
      <c r="UP11">
        <f>IF(COUNTIF('Final Calculation Sheet'!$AL11:$BK11,0)+COUNTIF('Final Calculation Sheet'!$BM11:$BS11,0)&gt;0,0,1)</f>
        <v>1</v>
      </c>
      <c r="UQ11" t="e">
        <f>IF($EO$11="",FALSE,SUMPRODUCT(('Final Calculation Sheet'!$AA$4:$AA$40=$EO$11)*($UP$4:$UP$40=1))&gt;0)</f>
        <v>#N/A</v>
      </c>
      <c r="UR11" t="e">
        <f t="shared" si="203"/>
        <v>#N/A</v>
      </c>
      <c r="US11" t="e">
        <f t="shared" si="169"/>
        <v>#N/A</v>
      </c>
      <c r="UT11">
        <f>IF(COUNTIF('Final Calculation Sheet'!$AL11:$BL11,0)+COUNTIF('Final Calculation Sheet'!$BN11:$BS11,0)&gt;0,0,1)</f>
        <v>1</v>
      </c>
      <c r="UU11" t="e">
        <f>IF($ET$11="",FALSE,SUMPRODUCT(('Final Calculation Sheet'!$AB$4:$AB$40=$ET$11)*($UT$4:$UT$40=1))&gt;0)</f>
        <v>#N/A</v>
      </c>
      <c r="UV11" t="e">
        <f t="shared" si="204"/>
        <v>#N/A</v>
      </c>
      <c r="UW11" t="e">
        <f t="shared" si="170"/>
        <v>#N/A</v>
      </c>
      <c r="UX11">
        <f>IF(COUNTIF('Final Calculation Sheet'!$AL11:$BM11,0)+COUNTIF('Final Calculation Sheet'!$BO11:$BS11,0)&gt;0,0,1)</f>
        <v>1</v>
      </c>
      <c r="UY11" t="b">
        <f>IF($EY$11="",FALSE,SUMPRODUCT(('Final Calculation Sheet'!$AC$4:$AC$40=$EY$11)*($UX$4:$UX$40=1))&gt;0)</f>
        <v>1</v>
      </c>
      <c r="UZ11">
        <f t="shared" si="205"/>
        <v>8</v>
      </c>
      <c r="VA11">
        <f t="shared" si="171"/>
        <v>36017</v>
      </c>
      <c r="VB11">
        <f>IF(COUNTIF('Final Calculation Sheet'!$AL11:$BN11,0)+COUNTIF('Final Calculation Sheet'!$BP11:$BS11,0)&gt;0,0,1)</f>
        <v>1</v>
      </c>
      <c r="VC11" t="b">
        <f>IF($FD$11="",FALSE,SUMPRODUCT(('Final Calculation Sheet'!$AD$4:$AD$40=$FD$11)*($VB$4:$VB$40=1))&gt;0)</f>
        <v>1</v>
      </c>
      <c r="VD11">
        <f t="shared" si="206"/>
        <v>8</v>
      </c>
      <c r="VE11">
        <f t="shared" si="172"/>
        <v>1</v>
      </c>
      <c r="VF11">
        <f>IF(COUNTIF('Final Calculation Sheet'!$AL11:$BO11,0)+COUNTIF('Final Calculation Sheet'!$BQ11:$BS11,0)&gt;0,0,1)</f>
        <v>1</v>
      </c>
      <c r="VG11" t="e">
        <f>IF($FI$11="",FALSE,SUMPRODUCT(('Final Calculation Sheet'!$AE$4:$AE$40=$FI$11)*($VF$4:$VF$40=1))&gt;0)</f>
        <v>#N/A</v>
      </c>
      <c r="VH11" t="e">
        <f t="shared" si="207"/>
        <v>#N/A</v>
      </c>
      <c r="VI11" t="e">
        <f t="shared" si="173"/>
        <v>#N/A</v>
      </c>
      <c r="VJ11">
        <f>IF(COUNTIF('Final Calculation Sheet'!$AL11:$BP11,0)+COUNTIF('Final Calculation Sheet'!$BR11:$BS11,0)&gt;0,0,1)</f>
        <v>1</v>
      </c>
      <c r="VK11" t="e">
        <f>IF($FN$11="",FALSE,SUMPRODUCT(('Final Calculation Sheet'!$AF$4:$AF$40=$FN$11)*($VJ$4:$VJ$40=1))&gt;0)</f>
        <v>#N/A</v>
      </c>
      <c r="VL11" t="e">
        <f t="shared" si="208"/>
        <v>#N/A</v>
      </c>
      <c r="VM11" t="e">
        <f t="shared" si="174"/>
        <v>#N/A</v>
      </c>
      <c r="VN11">
        <f>IF(COUNTIF('Final Calculation Sheet'!$AL11:$BQ11,0)+COUNTIF('Final Calculation Sheet'!$BS11:$BS11,0)&gt;0,0,1)</f>
        <v>1</v>
      </c>
      <c r="VO11" t="e">
        <f>IF($FS$11="",FALSE,SUMPRODUCT(('Final Calculation Sheet'!$AG$4:$AG$40=$FS$11)*($VN$4:$VN$40=1))&gt;0)</f>
        <v>#N/A</v>
      </c>
      <c r="VP11" t="e">
        <f t="shared" si="209"/>
        <v>#N/A</v>
      </c>
      <c r="VQ11" t="e">
        <f t="shared" si="175"/>
        <v>#N/A</v>
      </c>
      <c r="VR11">
        <f>IF(COUNTIF('Final Calculation Sheet'!$AL11:$BR11,0)&gt;0,0,1)</f>
        <v>1</v>
      </c>
      <c r="VS11" t="e">
        <f>IF($QO$11="",FALSE,SUMPRODUCT(('Final Calculation Sheet'!$AH$4:$AH$40=$QO$11)*($VR$4:$VR$40=1))&gt;0)</f>
        <v>#N/A</v>
      </c>
      <c r="VT11" t="e">
        <f t="shared" si="210"/>
        <v>#N/A</v>
      </c>
      <c r="VU11" t="e">
        <f t="shared" si="176"/>
        <v>#N/A</v>
      </c>
    </row>
    <row r="12" spans="1:593" x14ac:dyDescent="0.3">
      <c r="A12">
        <f>IF('Final Calculation Sheet'!$F$12="","",'Final Calculation Sheet'!$F$12)</f>
        <v>2005</v>
      </c>
      <c r="B12">
        <f>IF(A12="","",COUNTIFS(A$4:A$114,"&lt;"&amp;A12,A$4:A$114,"&lt;&gt;"&amp;"")+COUNTIF(A$4:A12,A12))</f>
        <v>9</v>
      </c>
      <c r="C12">
        <f t="shared" si="0"/>
        <v>2005</v>
      </c>
      <c r="D12">
        <f>D11+IF(AND(C12&lt;&gt;"",COUNTIF(C$4:C12,C12)=1),1,0)</f>
        <v>9</v>
      </c>
      <c r="E12" t="e">
        <f t="shared" si="1"/>
        <v>#N/A</v>
      </c>
      <c r="F12">
        <f t="shared" si="2"/>
        <v>9</v>
      </c>
      <c r="G12">
        <f>IF(F12="","",COUNTIFS(F$4:F$40,"&lt;"&amp;F12,F$4:F$40,"&lt;&gt;"&amp;"")+COUNTIF(F$4:F12,F12))</f>
        <v>9</v>
      </c>
      <c r="H12">
        <f t="shared" si="3"/>
        <v>9</v>
      </c>
      <c r="I12">
        <f>I11+IF(AND(H12&lt;&gt;"",COUNTIF(H$4:H12,H12)=1),1,0)</f>
        <v>9</v>
      </c>
      <c r="J12">
        <f t="shared" si="4"/>
        <v>9</v>
      </c>
      <c r="K12">
        <f>IF('Final Calculation Sheet'!$F$12="","",'Final Calculation Sheet'!$F$12)</f>
        <v>2005</v>
      </c>
      <c r="L12">
        <f>IF(K12="","",COUNTIFS(K$4:K$40,"&lt;"&amp;K12,K$4:K$40,"&lt;&gt;"&amp;"")+COUNTIF(K$4:K12,K12))</f>
        <v>9</v>
      </c>
      <c r="M12">
        <f t="shared" si="5"/>
        <v>2005</v>
      </c>
      <c r="N12">
        <f>N11+IF(AND(M12&lt;&gt;"",COUNTIF(M$4:M12,M12)=1),1,0)</f>
        <v>9</v>
      </c>
      <c r="O12">
        <f t="shared" si="6"/>
        <v>2005</v>
      </c>
      <c r="P12" t="str">
        <f>IF('Final Calculation Sheet'!$G$12="","",'Final Calculation Sheet'!$G$12)</f>
        <v>NATIONAL ENTERPRISES</v>
      </c>
      <c r="Q12">
        <f>IF(P12="","",COUNTIFS(P$4:P$40,"&lt;"&amp;P12,P$4:P$40,"&lt;&gt;"&amp;"")+COUNTIF(P$4:P12,P12))</f>
        <v>10</v>
      </c>
      <c r="R12" t="str">
        <f t="shared" si="7"/>
        <v>NATIONAL ENTERPRISES</v>
      </c>
      <c r="S12">
        <f>S11+IF(AND(R12&lt;&gt;"",COUNTIF(R$4:R12,R12)=1),1,0)</f>
        <v>6</v>
      </c>
      <c r="T12" t="str">
        <f t="shared" si="8"/>
        <v>S M ENTERPRISES</v>
      </c>
      <c r="U12" t="str">
        <f>IF('Final Calculation Sheet'!$B$12="","",'Final Calculation Sheet'!$B$12)</f>
        <v>Scrap of 220KV CT</v>
      </c>
      <c r="V12">
        <f>IF(U12="","",COUNTIFS(U$4:U$40,"&lt;"&amp;U12,U$4:U$40,"&lt;&gt;"&amp;"")+COUNTIF(U$4:U12,U12))</f>
        <v>18</v>
      </c>
      <c r="W12" t="str">
        <f t="shared" si="9"/>
        <v>Scrap of 132 KV CT</v>
      </c>
      <c r="X12">
        <f>X11+IF(AND(W12&lt;&gt;"",COUNTIF(W$4:W12,W12)=1),1,0)</f>
        <v>6</v>
      </c>
      <c r="Y12" t="str">
        <f t="shared" si="10"/>
        <v>Scrap of 220 KV Circuit Breaker</v>
      </c>
      <c r="Z12">
        <f>IF('Final Calculation Sheet'!$D$12="","",'Final Calculation Sheet'!$D$12)</f>
        <v>21977</v>
      </c>
      <c r="AA12">
        <f>IF(Z12="","",COUNTIFS(Z$4:Z$40,"&lt;"&amp;Z12,Z$4:Z$40,"&lt;&gt;"&amp;"")+COUNTIF(Z$4:Z12,Z12))</f>
        <v>7</v>
      </c>
      <c r="AB12">
        <f t="shared" si="11"/>
        <v>21977</v>
      </c>
      <c r="AC12">
        <f>AC11+IF(AND(AB12&lt;&gt;"",COUNTIF(AB$4:AB12,AB12)=1),1,0)</f>
        <v>1</v>
      </c>
      <c r="AD12" t="str">
        <f t="shared" si="12"/>
        <v/>
      </c>
      <c r="AE12">
        <f>IF('Final Calculation Sheet'!$A$12="","",'Final Calculation Sheet'!$A$12)</f>
        <v>1</v>
      </c>
      <c r="AF12">
        <f>IF(AE12="","",COUNTIFS(AE$4:AE$40,"&lt;"&amp;AE12,AE$4:AE$40,"&lt;&gt;"&amp;"")+COUNTIF(AE$4:AE12,AE12))</f>
        <v>3</v>
      </c>
      <c r="AG12">
        <f t="shared" si="13"/>
        <v>1</v>
      </c>
      <c r="AH12">
        <f>AH11+IF(AND(AG12&lt;&gt;"",COUNTIF(AG$4:AG12,AG12)=1),1,0)</f>
        <v>1</v>
      </c>
      <c r="AI12">
        <f t="shared" si="14"/>
        <v>28</v>
      </c>
      <c r="AJ12" t="str">
        <f>IF('Final Calculation Sheet'!$E$12="","",'Final Calculation Sheet'!$E$12)</f>
        <v>NO</v>
      </c>
      <c r="AK12">
        <f>IF(AJ12="","",COUNTIFS(AJ$4:AJ$40,"&lt;"&amp;AJ12,AJ$4:AJ$40,"&lt;&gt;"&amp;"")+COUNTIF(AJ$4:AJ12,AJ12))</f>
        <v>12</v>
      </c>
      <c r="AL12" t="str">
        <f t="shared" si="15"/>
        <v>NO</v>
      </c>
      <c r="AM12">
        <f>AM11+IF(AND(AL12&lt;&gt;"",COUNTIF(AL$4:AL12,AL12)=1),1,0)</f>
        <v>3</v>
      </c>
      <c r="AN12" t="str">
        <f t="shared" si="16"/>
        <v/>
      </c>
      <c r="AO12" s="50">
        <f>IF('Final Calculation Sheet'!$C$12="","",'Final Calculation Sheet'!$C$12)</f>
        <v>70006</v>
      </c>
      <c r="AP12">
        <f>IF(AO12="","",COUNTIFS(AO$4:AO$40,"&lt;"&amp;AO12,AO$4:AO$40,"&lt;&gt;"&amp;"")+COUNTIF(AO$4:AO12,AO12))</f>
        <v>28</v>
      </c>
      <c r="AQ12" s="50">
        <f t="shared" si="17"/>
        <v>580</v>
      </c>
      <c r="AR12">
        <f>AR11+IF(AND(AQ12&lt;&gt;"",COUNTIF(AQ$4:AQ12,AQ12)=1),1,0)</f>
        <v>9</v>
      </c>
      <c r="AS12" s="50">
        <f t="shared" si="18"/>
        <v>580</v>
      </c>
      <c r="AT12" s="50">
        <f>IF('Final Calculation Sheet'!$H$12="","",'Final Calculation Sheet'!$H$12)</f>
        <v>70006</v>
      </c>
      <c r="AU12">
        <f>IF(AT12="","",COUNTIFS(AT$4:AT$40,"&lt;"&amp;AT12,AT$4:AT$40,"&lt;&gt;"&amp;"")+COUNTIF(AT$4:AT12,AT12))</f>
        <v>13</v>
      </c>
      <c r="AV12" s="50">
        <f t="shared" si="19"/>
        <v>50003</v>
      </c>
      <c r="AW12">
        <f>AW11+IF(AND(AV12&lt;&gt;"",COUNTIF(AV$4:AV12,AV12)=1),1,0)</f>
        <v>9</v>
      </c>
      <c r="AX12" s="50">
        <f t="shared" si="20"/>
        <v>50003</v>
      </c>
      <c r="AY12" s="50">
        <f>IF('Final Calculation Sheet'!$I$12="","",'Final Calculation Sheet'!$I$12)</f>
        <v>12601</v>
      </c>
      <c r="AZ12">
        <f>IF(AY12="","",COUNTIFS(AY$4:AY$40,"&lt;"&amp;AY12,AY$4:AY$40,"&lt;&gt;"&amp;"")+COUNTIF(AY$4:AY12,AY12))</f>
        <v>13</v>
      </c>
      <c r="BA12" s="50">
        <f t="shared" si="21"/>
        <v>9001</v>
      </c>
      <c r="BB12">
        <f>BB11+IF(AND(BA12&lt;&gt;"",COUNTIF(BA$4:BA12,BA12)=1),1,0)</f>
        <v>9</v>
      </c>
      <c r="BC12" s="50">
        <f t="shared" si="22"/>
        <v>9001</v>
      </c>
      <c r="BD12" s="50">
        <f>IF('Final Calculation Sheet'!$J$12="","",'Final Calculation Sheet'!$J$12)</f>
        <v>82607</v>
      </c>
      <c r="BE12">
        <f>IF(BD12="","",COUNTIFS(BD$4:BD$40,"&lt;"&amp;BD12,BD$4:BD$40,"&lt;&gt;"&amp;"")+COUNTIF(BD$4:BD12,BD12))</f>
        <v>13</v>
      </c>
      <c r="BF12" s="50">
        <f t="shared" si="23"/>
        <v>59004</v>
      </c>
      <c r="BG12">
        <f>BG11+IF(AND(BF12&lt;&gt;"",COUNTIF(BF$4:BF12,BF12)=1),1,0)</f>
        <v>9</v>
      </c>
      <c r="BH12" s="50">
        <f t="shared" si="24"/>
        <v>59004</v>
      </c>
      <c r="BI12" s="50">
        <f>IF('Final Calculation Sheet'!$K$12="","",'Final Calculation Sheet'!$K$12)</f>
        <v>1652</v>
      </c>
      <c r="BJ12">
        <f>IF(BI12="","",COUNTIFS(BI$4:BI$40,"&lt;"&amp;BI12,BI$4:BI$40,"&lt;&gt;"&amp;"")+COUNTIF(BI$4:BI12,BI12))</f>
        <v>13</v>
      </c>
      <c r="BK12" s="50">
        <f t="shared" si="25"/>
        <v>1180</v>
      </c>
      <c r="BL12">
        <f>BL11+IF(AND(BK12&lt;&gt;"",COUNTIF(BK$4:BK12,BK12)=1),1,0)</f>
        <v>9</v>
      </c>
      <c r="BM12" s="50">
        <f t="shared" si="26"/>
        <v>1180</v>
      </c>
      <c r="BN12" s="50">
        <f>IF('Final Calculation Sheet'!$L$12="","",'Final Calculation Sheet'!$L$12)</f>
        <v>70.006</v>
      </c>
      <c r="BO12">
        <f>IF(BN12="","",COUNTIFS(BN$4:BN$40,"&lt;"&amp;BN12,BN$4:BN$40,"&lt;&gt;"&amp;"")+COUNTIF(BN$4:BN12,BN12))</f>
        <v>13</v>
      </c>
      <c r="BP12" s="50">
        <f t="shared" si="27"/>
        <v>50.003</v>
      </c>
      <c r="BQ12">
        <f>BQ11+IF(AND(BP12&lt;&gt;"",COUNTIF(BP$4:BP12,BP12)=1),1,0)</f>
        <v>9</v>
      </c>
      <c r="BR12" s="50">
        <f t="shared" si="28"/>
        <v>50.003</v>
      </c>
      <c r="BS12" s="50">
        <f>IF('Final Calculation Sheet'!$M$12="","",'Final Calculation Sheet'!$M$12)</f>
        <v>1858.6592999999998</v>
      </c>
      <c r="BT12">
        <f>IF(BS12="","",COUNTIFS(BS$4:BS$40,"&lt;"&amp;BS12,BS$4:BS$40,"&lt;&gt;"&amp;"")+COUNTIF(BS$4:BS12,BS12))</f>
        <v>13</v>
      </c>
      <c r="BU12" s="50">
        <f t="shared" si="29"/>
        <v>1327.5796499999999</v>
      </c>
      <c r="BV12">
        <f>BV11+IF(AND(BU12&lt;&gt;"",COUNTIF(BU$4:BU12,BU12)=1),1,0)</f>
        <v>9</v>
      </c>
      <c r="BW12" s="50">
        <f t="shared" si="30"/>
        <v>1327.5796499999999</v>
      </c>
      <c r="BX12" s="126">
        <f>IF('Final Calculation Sheet'!$N$12="","",'Final Calculation Sheet'!$N$12)</f>
        <v>31.502700000000001</v>
      </c>
      <c r="BY12">
        <f>IF(BX12="","",COUNTIFS(BX$4:BX$40,"&lt;"&amp;BX12,BX$4:BX$40,"&lt;&gt;"&amp;"")+COUNTIF(BX$4:BX12,BX12))</f>
        <v>13</v>
      </c>
      <c r="BZ12" s="126">
        <f t="shared" si="31"/>
        <v>22.501349999999999</v>
      </c>
      <c r="CA12">
        <f>CA11+IF(AND(BZ12&lt;&gt;"",COUNTIF(BZ$4:BZ12,BZ12)=1),1,0)</f>
        <v>9</v>
      </c>
      <c r="CB12" s="126">
        <f t="shared" si="32"/>
        <v>22.501349999999999</v>
      </c>
      <c r="CC12" s="50">
        <f>IF('Final Calculation Sheet'!$O$12="","",'Final Calculation Sheet'!$O$12)</f>
        <v>1827.1565999999998</v>
      </c>
      <c r="CD12">
        <f>IF(CC12="","",COUNTIFS(CC$4:CC$40,"&lt;"&amp;CC12,CC$4:CC$40,"&lt;&gt;"&amp;"")+COUNTIF(CC$4:CC12,CC12))</f>
        <v>13</v>
      </c>
      <c r="CE12" s="50">
        <f t="shared" si="33"/>
        <v>1305.0782999999999</v>
      </c>
      <c r="CF12">
        <f>CF11+IF(AND(CE12&lt;&gt;"",COUNTIF(CE$4:CE12,CE12)=1),1,0)</f>
        <v>9</v>
      </c>
      <c r="CG12" s="50">
        <f t="shared" si="34"/>
        <v>1305.0782999999999</v>
      </c>
      <c r="CH12" s="50">
        <f>IF('Final Calculation Sheet'!$P$12="","",'Final Calculation Sheet'!$P$12)</f>
        <v>1897</v>
      </c>
      <c r="CI12">
        <f>IF(CH12="","",COUNTIFS(CH$4:CH$40,"&lt;"&amp;CH12,CH$4:CH$40,"&lt;&gt;"&amp;"")+COUNTIF(CH$4:CH12,CH12))</f>
        <v>13</v>
      </c>
      <c r="CJ12" s="50">
        <f t="shared" si="35"/>
        <v>1355</v>
      </c>
      <c r="CK12">
        <f>CK11+IF(AND(CJ12&lt;&gt;"",COUNTIF(CJ$4:CJ12,CJ12)=1),1,0)</f>
        <v>9</v>
      </c>
      <c r="CL12" s="50">
        <f t="shared" si="36"/>
        <v>1355</v>
      </c>
      <c r="CM12" s="127">
        <f>IF('Final Calculation Sheet'!$Q$12="","",'Final Calculation Sheet'!$Q$12)</f>
        <v>0</v>
      </c>
      <c r="CN12">
        <f>IF(CM12="","",COUNTIFS(CM$4:CM$40,"&lt;"&amp;CM12,CM$4:CM$40,"&lt;&gt;"&amp;"")+COUNTIF(CM$4:CM12,CM12))</f>
        <v>7</v>
      </c>
      <c r="CO12" s="127">
        <f t="shared" si="37"/>
        <v>0</v>
      </c>
      <c r="CP12">
        <f>CP11+IF(AND(CO12&lt;&gt;"",COUNTIF(CO$4:CO12,CO12)=1),1,0)</f>
        <v>1</v>
      </c>
      <c r="CQ12" t="str">
        <f t="shared" si="38"/>
        <v/>
      </c>
      <c r="CR12" s="50">
        <f>IF('Final Calculation Sheet'!$R$12="","",'Final Calculation Sheet'!$R$12)</f>
        <v>0</v>
      </c>
      <c r="CS12">
        <f>IF(CR12="","",COUNTIFS(CR$4:CR$40,"&lt;"&amp;CR12,CR$4:CR$40,"&lt;&gt;"&amp;"")+COUNTIF(CR$4:CR12,CR12))</f>
        <v>7</v>
      </c>
      <c r="CT12" s="50">
        <f t="shared" si="39"/>
        <v>0</v>
      </c>
      <c r="CU12">
        <f>CU11+IF(AND(CT12&lt;&gt;"",COUNTIF(CT$4:CT12,CT12)=1),1,0)</f>
        <v>1</v>
      </c>
      <c r="CV12" t="str">
        <f t="shared" si="40"/>
        <v/>
      </c>
      <c r="CW12" s="50">
        <f>IF('Final Calculation Sheet'!$S$12="","",'Final Calculation Sheet'!$S$12)</f>
        <v>82362</v>
      </c>
      <c r="CX12">
        <f>IF(CW12="","",COUNTIFS(CW$4:CW$40,"&lt;"&amp;CW12,CW$4:CW$40,"&lt;&gt;"&amp;"")+COUNTIF(CW$4:CW12,CW12))</f>
        <v>13</v>
      </c>
      <c r="CY12" s="50">
        <f t="shared" si="41"/>
        <v>58829</v>
      </c>
      <c r="CZ12">
        <f>CZ11+IF(AND(CY12&lt;&gt;"",COUNTIF(CY$4:CY12,CY12)=1),1,0)</f>
        <v>9</v>
      </c>
      <c r="DA12" s="50">
        <f t="shared" si="42"/>
        <v>58829</v>
      </c>
      <c r="DB12" s="50">
        <f>IF('Final Calculation Sheet'!$T$12="","",'Final Calculation Sheet'!$T$12)</f>
        <v>17502</v>
      </c>
      <c r="DC12">
        <f>IF(DB12="","",COUNTIFS(DB$4:DB$40,"&lt;"&amp;DB12,DB$4:DB$40,"&lt;&gt;"&amp;"")+COUNTIF(DB$4:DB12,DB12))</f>
        <v>13</v>
      </c>
      <c r="DD12" s="50">
        <f t="shared" si="43"/>
        <v>12501</v>
      </c>
      <c r="DE12">
        <f>DE11+IF(AND(DD12&lt;&gt;"",COUNTIF(DD$4:DD12,DD12)=1),1,0)</f>
        <v>9</v>
      </c>
      <c r="DF12" s="50">
        <f t="shared" si="44"/>
        <v>12501</v>
      </c>
      <c r="DG12" s="128">
        <f>IF('Final Calculation Sheet'!$U$12="","",'Final Calculation Sheet'!$U$12)</f>
        <v>17502</v>
      </c>
      <c r="DH12">
        <f>IF(DG12="","",COUNTIFS(DG$4:DG$40,"&lt;"&amp;DG12,DG$4:DG$40,"&lt;&gt;"&amp;"")+COUNTIF(DG$4:DG12,DG12))</f>
        <v>13</v>
      </c>
      <c r="DI12" s="128">
        <f t="shared" si="45"/>
        <v>12501</v>
      </c>
      <c r="DJ12">
        <f>DJ11+IF(AND(DI12&lt;&gt;"",COUNTIF(DI$4:DI12,DI12)=1),1,0)</f>
        <v>9</v>
      </c>
      <c r="DK12" s="128">
        <f t="shared" si="46"/>
        <v>12501</v>
      </c>
      <c r="DL12" t="str">
        <f>IF('Final Calculation Sheet'!$V$12="","",'Final Calculation Sheet'!$V$12)</f>
        <v>13.08.2026</v>
      </c>
      <c r="DM12">
        <f>IF(DL12="","",COUNTIFS(DL$4:DL$40,"&lt;"&amp;DL12,DL$4:DL$40,"&lt;&gt;"&amp;"")+COUNTIF(DL$4:DL12,DL12))</f>
        <v>16</v>
      </c>
      <c r="DN12" t="str">
        <f t="shared" si="47"/>
        <v>11.08.2026</v>
      </c>
      <c r="DO12">
        <f>DO11+IF(AND(DN12&lt;&gt;"",COUNTIF(DN$4:DN12,DN12)=1),1,0)</f>
        <v>2</v>
      </c>
      <c r="DP12" t="str">
        <f t="shared" si="48"/>
        <v/>
      </c>
      <c r="DQ12" s="50">
        <f>IF('Final Calculation Sheet'!$W$12="","",'Final Calculation Sheet'!$W$12)</f>
        <v>64861</v>
      </c>
      <c r="DR12">
        <f>IF(DQ12="","",COUNTIFS(DQ$4:DQ$40,"&lt;"&amp;DQ12,DQ$4:DQ$40,"&lt;&gt;"&amp;"")+COUNTIF(DQ$4:DQ12,DQ12))</f>
        <v>13</v>
      </c>
      <c r="DS12" s="50">
        <f t="shared" si="49"/>
        <v>46328</v>
      </c>
      <c r="DT12">
        <f>DT11+IF(AND(DS12&lt;&gt;"",COUNTIF(DS$4:DS12,DS12)=1),1,0)</f>
        <v>9</v>
      </c>
      <c r="DU12" s="50">
        <f t="shared" si="50"/>
        <v>46328</v>
      </c>
      <c r="DV12" s="50">
        <f>IF('Final Calculation Sheet'!$X$12="","",'Final Calculation Sheet'!$X$12)</f>
        <v>64859</v>
      </c>
      <c r="DW12">
        <f>IF(DV12="","",COUNTIFS(DV$4:DV$40,"&lt;"&amp;DV12,DV$4:DV$40,"&lt;&gt;"&amp;"")+COUNTIF(DV$4:DV12,DV12))</f>
        <v>12</v>
      </c>
      <c r="DX12" s="50">
        <f t="shared" si="51"/>
        <v>46328</v>
      </c>
      <c r="DY12">
        <f>DY11+IF(AND(DX12&lt;&gt;"",COUNTIF(DX$4:DX12,DX12)=1),1,0)</f>
        <v>9</v>
      </c>
      <c r="DZ12" t="e">
        <f t="shared" si="52"/>
        <v>#N/A</v>
      </c>
      <c r="EA12" t="str">
        <f>IF('Final Calculation Sheet'!$Y$12="","",'Final Calculation Sheet'!$Y$12)</f>
        <v>24.08.2026</v>
      </c>
      <c r="EB12">
        <f>IF(EA12="","",COUNTIFS(EA$4:EA$40,"&lt;"&amp;EA12,EA$4:EA$40,"&lt;&gt;"&amp;"")+COUNTIF(EA$4:EA12,EA12))</f>
        <v>25</v>
      </c>
      <c r="EC12" t="str">
        <f t="shared" si="53"/>
        <v>13.08.2026</v>
      </c>
      <c r="ED12">
        <f>ED11+IF(AND(EC12&lt;&gt;"",COUNTIF(EC$4:EC12,EC12)=1),1,0)</f>
        <v>4</v>
      </c>
      <c r="EE12" t="e">
        <f t="shared" si="54"/>
        <v>#N/A</v>
      </c>
      <c r="EF12" s="50">
        <f ca="1">IF('Final Calculation Sheet'!$Z$12="","",'Final Calculation Sheet'!$Z$12)</f>
        <v>2478.2123999999999</v>
      </c>
      <c r="EG12">
        <f ca="1">IF(EF12="","",COUNTIFS(EF$4:EF$40,"&lt;"&amp;EF12,EF$4:EF$40,"&lt;&gt;"&amp;"")+COUNTIF(EF$4:EF12,EF12))</f>
        <v>13</v>
      </c>
      <c r="EH12" s="50">
        <f t="shared" ca="1" si="55"/>
        <v>1770.1061999999999</v>
      </c>
      <c r="EI12">
        <f ca="1">EI11+IF(AND(EH12&lt;&gt;"",COUNTIF(EH$4:EH12,EH12)=1),1,0)</f>
        <v>9</v>
      </c>
      <c r="EJ12">
        <f t="shared" ca="1" si="56"/>
        <v>1770.1061999999999</v>
      </c>
      <c r="EK12" t="str">
        <f>IF('Final Calculation Sheet'!$AA$12="","",'Final Calculation Sheet'!$AA$12)</f>
        <v/>
      </c>
      <c r="EL12" t="str">
        <f>IF(EK12="","",COUNTIFS(EK$4:EK$40,"&lt;"&amp;EK12,EK$4:EK$40,"&lt;&gt;"&amp;"")+COUNTIF(EK$4:EK12,EK12))</f>
        <v/>
      </c>
      <c r="EM12" t="e">
        <f t="shared" si="57"/>
        <v>#N/A</v>
      </c>
      <c r="EN12" t="e">
        <f>EN11+IF(AND(EM12&lt;&gt;"",COUNTIF(EM$4:EM12,EM12)=1),1,0)</f>
        <v>#N/A</v>
      </c>
      <c r="EO12" t="e">
        <f t="shared" si="58"/>
        <v>#N/A</v>
      </c>
      <c r="EP12" t="str">
        <f>IF('Final Calculation Sheet'!$AB$12="","",'Final Calculation Sheet'!$AB$12)</f>
        <v/>
      </c>
      <c r="EQ12" t="str">
        <f>IF(EP12="","",COUNTIFS(EP$4:EP$40,"&lt;"&amp;EP12,EP$4:EP$40,"&lt;&gt;"&amp;"")+COUNTIF(EP$4:EP12,EP12))</f>
        <v/>
      </c>
      <c r="ER12" t="e">
        <f t="shared" si="59"/>
        <v>#N/A</v>
      </c>
      <c r="ES12" t="e">
        <f>ES11+IF(AND(ER12&lt;&gt;"",COUNTIF(ER$4:ER12,ER12)=1),1,0)</f>
        <v>#N/A</v>
      </c>
      <c r="ET12" t="e">
        <f t="shared" si="60"/>
        <v>#N/A</v>
      </c>
      <c r="EU12" s="50">
        <f>IF('Final Calculation Sheet'!$AC$12="","",'Final Calculation Sheet'!$AC$12)</f>
        <v>82361</v>
      </c>
      <c r="EV12">
        <f>IF(EU12="","",COUNTIFS(EU$4:EU$40,"&lt;"&amp;EU12,EU$4:EU$40,"&lt;&gt;"&amp;"")+COUNTIF(EU$4:EU12,EU12))</f>
        <v>14</v>
      </c>
      <c r="EW12" s="50">
        <f t="shared" si="61"/>
        <v>47964</v>
      </c>
      <c r="EX12">
        <f>EX11+IF(AND(EW12&lt;&gt;"",COUNTIF(EW$4:EW12,EW12)=1),1,0)</f>
        <v>9</v>
      </c>
      <c r="EY12" s="50">
        <f t="shared" si="62"/>
        <v>47964</v>
      </c>
      <c r="EZ12" s="50">
        <f>IF('Final Calculation Sheet'!$AD$12="","",'Final Calculation Sheet'!$AD$12)</f>
        <v>1</v>
      </c>
      <c r="FA12">
        <f>IF(EZ12="","",COUNTIFS(EZ$4:EZ$40,"&lt;"&amp;EZ12,EZ$4:EZ$40,"&lt;&gt;"&amp;"")+COUNTIF(EZ$4:EZ12,EZ12))</f>
        <v>30</v>
      </c>
      <c r="FB12" s="50">
        <f t="shared" si="63"/>
        <v>0</v>
      </c>
      <c r="FC12">
        <f>FC11+IF(AND(FB12&lt;&gt;"",COUNTIF(FB$4:FB12,FB12)=1),1,0)</f>
        <v>7</v>
      </c>
      <c r="FD12" s="50">
        <f t="shared" si="64"/>
        <v>50031</v>
      </c>
      <c r="FE12" t="str">
        <f>IF('Final Calculation Sheet'!$AF$12="","",'Final Calculation Sheet'!$AF$12)</f>
        <v>DR2640100033</v>
      </c>
      <c r="FF12">
        <f>IF(FE12="","",COUNTIFS(FE$4:FE$40,"&lt;"&amp;FE12,FE$4:FE$40,"&lt;&gt;"&amp;"")+COUNTIF(FE$4:FE12,FE12))</f>
        <v>22</v>
      </c>
      <c r="FG12" t="str">
        <f t="shared" si="65"/>
        <v>DR2640100020</v>
      </c>
      <c r="FH12" t="e">
        <f>FH11+IF(AND(FG12&lt;&gt;"",COUNTIF(FG$4:FG12,FG12)=1),1,0)</f>
        <v>#N/A</v>
      </c>
      <c r="FI12" t="e">
        <f t="shared" si="66"/>
        <v>#N/A</v>
      </c>
      <c r="FJ12" s="129">
        <f>IF('Final Calculation Sheet'!$AG$12="","",'Final Calculation Sheet'!$AG$12)</f>
        <v>1800003305</v>
      </c>
      <c r="FK12">
        <f>IF(FJ12="","",COUNTIFS(FJ$4:FJ$40,"&lt;"&amp;FJ12,FJ$4:FJ$40,"&lt;&gt;"&amp;"")+COUNTIF(FJ$4:FJ12,FJ12))</f>
        <v>17</v>
      </c>
      <c r="FL12" s="129">
        <f t="shared" si="67"/>
        <v>1800003226</v>
      </c>
      <c r="FM12">
        <f>FM11+IF(AND(FL12&lt;&gt;"",COUNTIF(FL$4:FL12,FL12)=1),1,0)</f>
        <v>9</v>
      </c>
      <c r="FN12" t="e">
        <f t="shared" si="68"/>
        <v>#N/A</v>
      </c>
      <c r="FO12" t="str">
        <f>IF('Final Calculation Sheet'!$AH$12="","",'Final Calculation Sheet'!$AH$12)</f>
        <v>27.08.2026</v>
      </c>
      <c r="FP12">
        <f>IF(FO12="","",COUNTIFS(FO$4:FO$40,"&lt;"&amp;FO12,FO$4:FO$40,"&lt;&gt;"&amp;"")+COUNTIF(FO$4:FO12,FO12))</f>
        <v>25</v>
      </c>
      <c r="FQ12" t="str">
        <f t="shared" si="69"/>
        <v>14.08.2026</v>
      </c>
      <c r="FR12" t="e">
        <f>FR11+IF(AND(FQ12&lt;&gt;"",COUNTIF(FQ$4:FQ12,FQ12)=1),1,0)</f>
        <v>#N/A</v>
      </c>
      <c r="FS12" t="e">
        <f t="shared" si="70"/>
        <v>#N/A</v>
      </c>
      <c r="FU12" t="str">
        <f>IF(FT12="","",COUNTIFS(FT$4:FT$40,"&lt;"&amp;FT12,FT$4:FT$40,"&lt;&gt;"&amp;"")+COUNTIF(FT$4:FT12,FT12))</f>
        <v/>
      </c>
      <c r="FV12" t="str">
        <f t="shared" si="71"/>
        <v/>
      </c>
      <c r="FW12">
        <f>FW11+IF(AND(FV12&lt;&gt;"",COUNTIF(FV$4:FV12,FV12)=1),1,0)</f>
        <v>2</v>
      </c>
      <c r="FX12" t="str">
        <f t="shared" si="72"/>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2" t="b">
        <f>IF($Y$12="",FALSE,SUMPRODUCT(('Final Calculation Sheet'!$B$4:$B$40=$Y$12)*($FY$6:$FY$42=1))&gt;0)</f>
        <v>1</v>
      </c>
      <c r="GA12">
        <f>$GA$11+--($FZ$12)</f>
        <v>9</v>
      </c>
      <c r="GB12" t="str">
        <f t="shared" si="73"/>
        <v>Scrap of 220 KV Circuit Breaker</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D12" t="b">
        <f>IF($O$12="",FALSE,SUMPRODUCT(('Final Calculation Sheet'!$F$4:$F$40=$O$12)*($GC$6:$GC$42=1))&gt;0)</f>
        <v>1</v>
      </c>
      <c r="GE12">
        <f>$GE$11+--($GD12)</f>
        <v>9</v>
      </c>
      <c r="GF12">
        <f t="shared" si="74"/>
        <v>2005</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H12" t="b">
        <f>IF($T$12="",FALSE,SUMPRODUCT(('Final Calculation Sheet'!$G$4:$G$40=$T$12)*($GG$6:$GG$42=1))&gt;0)</f>
        <v>1</v>
      </c>
      <c r="GI12">
        <f>$GI$11+--($GH12)</f>
        <v>9</v>
      </c>
      <c r="GJ12" t="str">
        <f t="shared" si="75"/>
        <v>S M ENTERPRISES</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L12" t="b">
        <f>IF($AD$12="",FALSE,SUMPRODUCT(('Final Calculation Sheet'!$D$4:$D$40=$AD$12)*($GK$6:$GK$42=1))&gt;0)</f>
        <v>0</v>
      </c>
      <c r="GM12">
        <f>$GM$11+--($GL12)</f>
        <v>4</v>
      </c>
      <c r="GN12" t="str">
        <f t="shared" si="76"/>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P12" t="b">
        <f>IF($AI$12="",FALSE,SUMPRODUCT(('Final Calculation Sheet'!$A$4:$A$40=$AI$12)*($GO$6:$GO$42=1))&gt;0)</f>
        <v>1</v>
      </c>
      <c r="GQ12">
        <f>$GQ$11+--($GP12)</f>
        <v>9</v>
      </c>
      <c r="GR12">
        <f t="shared" si="77"/>
        <v>28</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T12" t="b">
        <f>IF($AN$12="",FALSE,SUMPRODUCT(('Final Calculation Sheet'!$E$4:$E$40=$AN$12)*($GS$6:$GS$42=1))&gt;0)</f>
        <v>0</v>
      </c>
      <c r="GU12">
        <f>$GU$11+--($GT12)</f>
        <v>3</v>
      </c>
      <c r="GV12" t="str">
        <f t="shared" si="78"/>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GX12" t="b">
        <f>IF($AS$12="",FALSE,SUMPRODUCT(('Final Calculation Sheet'!$C$4:$C$40=$AS$12)*($GW$6:$GW$42=1))&gt;0)</f>
        <v>1</v>
      </c>
      <c r="GY12">
        <f>$GY$11+--($GX12)</f>
        <v>9</v>
      </c>
      <c r="GZ12">
        <f t="shared" si="79"/>
        <v>580</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B12" t="b">
        <f>IF($AX$12="",FALSE,SUMPRODUCT(('Final Calculation Sheet'!$H$4:$H$40=$AX$12)*($HA$6:$HA$42=1))&gt;0)</f>
        <v>1</v>
      </c>
      <c r="HC12">
        <f>$HC$11+--($HB12)</f>
        <v>9</v>
      </c>
      <c r="HD12">
        <f t="shared" si="80"/>
        <v>50003</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F12" t="b">
        <f>IF($BC$12="",FALSE,SUMPRODUCT(('Final Calculation Sheet'!$I$4:$I$40=$BC$12)*($HE$6:$HE$42=1))&gt;0)</f>
        <v>1</v>
      </c>
      <c r="HG12">
        <f>$HG$11+--($HF12)</f>
        <v>9</v>
      </c>
      <c r="HH12">
        <f t="shared" si="81"/>
        <v>9001</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J12" t="b">
        <f>IF($BH$12="",FALSE,SUMPRODUCT(('Final Calculation Sheet'!$J$4:$J$40=$BH$12)*($HI$6:$HI$42=1))&gt;0)</f>
        <v>1</v>
      </c>
      <c r="HK12">
        <f>$HK$11+--($HJ12)</f>
        <v>9</v>
      </c>
      <c r="HL12">
        <f t="shared" si="82"/>
        <v>59004</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N12" t="b">
        <f>IF($BM$12="",FALSE,SUMPRODUCT(('Final Calculation Sheet'!$K$4:$K$40=$BM$12)*($HM$6:$HM$42=1))&gt;0)</f>
        <v>1</v>
      </c>
      <c r="HO12">
        <f>$HO$11+--($HN12)</f>
        <v>9</v>
      </c>
      <c r="HP12">
        <f t="shared" si="83"/>
        <v>1180</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R12" t="b">
        <f>IF($BR$12="",FALSE,SUMPRODUCT(('Final Calculation Sheet'!$L$4:$L$40=$BR$12)*($HQ$6:$HQ$42=1))&gt;0)</f>
        <v>1</v>
      </c>
      <c r="HS12">
        <f>$HS$11+--($HR12)</f>
        <v>9</v>
      </c>
      <c r="HT12">
        <f t="shared" si="84"/>
        <v>50.003</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V12" t="b">
        <f>IF($BW$12="",FALSE,SUMPRODUCT(('Final Calculation Sheet'!$M$4:$M$40=$BW$12)*($HU$6:$HU$42=1))&gt;0)</f>
        <v>1</v>
      </c>
      <c r="HW12">
        <f>$HW$11+--($HV12)</f>
        <v>9</v>
      </c>
      <c r="HX12">
        <f t="shared" si="85"/>
        <v>1327.5796499999999</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HZ12" t="b">
        <f>IF($CB$12="",FALSE,SUMPRODUCT(('Final Calculation Sheet'!$N$4:$N$40=$CB$12)*($HY$6:$HY$42=1))&gt;0)</f>
        <v>1</v>
      </c>
      <c r="IA12">
        <f>$IA$11+--($HZ12)</f>
        <v>9</v>
      </c>
      <c r="IB12">
        <f t="shared" si="86"/>
        <v>22.501349999999999</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D12" t="b">
        <f>IF($CG$12="",FALSE,SUMPRODUCT(('Final Calculation Sheet'!$O$4:$O$40=$CG$12)*($IC$6:$IC$42=1))&gt;0)</f>
        <v>1</v>
      </c>
      <c r="IE12">
        <f>$IE$11+--($ID12)</f>
        <v>9</v>
      </c>
      <c r="IF12">
        <f t="shared" si="87"/>
        <v>1305.0782999999999</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H12" t="b">
        <f>IF($CL$12="",FALSE,SUMPRODUCT(('Final Calculation Sheet'!$P$4:$P$40=$CL$12)*($IG$6:$IG$42=1))&gt;0)</f>
        <v>1</v>
      </c>
      <c r="II12">
        <f>$II$11+--($IH12)</f>
        <v>9</v>
      </c>
      <c r="IJ12">
        <f t="shared" si="88"/>
        <v>1355</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L12" t="b">
        <f>IF($CQ$12="",FALSE,SUMPRODUCT(('Final Calculation Sheet'!$Q$4:$Q$40=$CQ$12)*($IK$6:$IK$42=1))&gt;0)</f>
        <v>0</v>
      </c>
      <c r="IM12">
        <f>$IM$11+--($IL12)</f>
        <v>2</v>
      </c>
      <c r="IN12" t="str">
        <f t="shared" si="89"/>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P12" t="b">
        <f>IF($CV$12="",FALSE,SUMPRODUCT(('Final Calculation Sheet'!$R$4:$R$40=$CV$12)*($IO$6:$IO$42=1))&gt;0)</f>
        <v>0</v>
      </c>
      <c r="IQ12">
        <f>$IQ$11+--($IP12)</f>
        <v>5</v>
      </c>
      <c r="IR12" t="str">
        <f t="shared" si="90"/>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T12" t="b">
        <f>IF($DA$12="",FALSE,SUMPRODUCT(('Final Calculation Sheet'!$S$4:$S$40=$DA$12)*($IS$6:$IS$42=1))&gt;0)</f>
        <v>1</v>
      </c>
      <c r="IU12">
        <f>$IU$11+--($IT12)</f>
        <v>9</v>
      </c>
      <c r="IV12">
        <f t="shared" si="91"/>
        <v>58829</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IX12" t="b">
        <f>IF($DF$12="",FALSE,SUMPRODUCT(('Final Calculation Sheet'!$T$4:$T$40=$DF$12)*($IW$6:$IW$42=1))&gt;0)</f>
        <v>1</v>
      </c>
      <c r="IY12">
        <f>$IY$11+--($IX12)</f>
        <v>9</v>
      </c>
      <c r="IZ12">
        <f t="shared" si="92"/>
        <v>12501</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B12" t="b">
        <f>IF($DK$12="",FALSE,SUMPRODUCT(('Final Calculation Sheet'!$U$4:$U$40=$DK$12)*($JA$6:$JA$42=1))&gt;0)</f>
        <v>1</v>
      </c>
      <c r="JC12">
        <f>$JC$11+--($JB12)</f>
        <v>9</v>
      </c>
      <c r="JD12">
        <f t="shared" si="93"/>
        <v>12501</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F12" t="b">
        <f>IF($DP$12="",FALSE,SUMPRODUCT(('Final Calculation Sheet'!$V$4:$V$40=$DP$12)*($JE$6:$JE$42=1))&gt;0)</f>
        <v>0</v>
      </c>
      <c r="JG12">
        <f>$JG$11+--($JF12)</f>
        <v>6</v>
      </c>
      <c r="JH12" t="str">
        <f t="shared" si="94"/>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J12" t="b">
        <f>IF($DU$12="",FALSE,SUMPRODUCT(('Final Calculation Sheet'!$W$4:$W$40=$DU$12)*($JI$6:$JI$42=1))&gt;0)</f>
        <v>1</v>
      </c>
      <c r="JK12">
        <f>$JK$11+--($JJ12)</f>
        <v>9</v>
      </c>
      <c r="JL12">
        <f t="shared" si="95"/>
        <v>46328</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N12" t="e">
        <f>IF($DZ$12="",FALSE,SUMPRODUCT(('Final Calculation Sheet'!$X$4:$X$40=$DZ$12)*($JM$6:$JM$42=1))&gt;0)</f>
        <v>#N/A</v>
      </c>
      <c r="JO12" t="e">
        <f>$JO$11+--($JN12)</f>
        <v>#N/A</v>
      </c>
      <c r="JP12" t="e">
        <f t="shared" si="96"/>
        <v>#N/A</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R12" t="e">
        <f>IF($EE$12="",FALSE,SUMPRODUCT(('Final Calculation Sheet'!$Y$4:$Y$40=$EE$12)*($JQ$6:$JQ$42=1))&gt;0)</f>
        <v>#N/A</v>
      </c>
      <c r="JS12" t="e">
        <f>$JS$11+--($JR12)</f>
        <v>#N/A</v>
      </c>
      <c r="JT12" t="e">
        <f t="shared" si="97"/>
        <v>#N/A</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V12" t="b">
        <f ca="1">IF($EJ$12="",FALSE,SUMPRODUCT(('Final Calculation Sheet'!$Z$4:$Z$40=$EJ$12)*($JU$6:$JU$42=1))&gt;0)</f>
        <v>1</v>
      </c>
      <c r="JW12">
        <f ca="1">$JW$11+--($JV12)</f>
        <v>9</v>
      </c>
      <c r="JX12">
        <f t="shared" ca="1" si="98"/>
        <v>1770.1061999999999</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JZ12" t="e">
        <f>IF($EO$12="",FALSE,SUMPRODUCT(('Final Calculation Sheet'!$AA$4:$AA$40=$EO$12)*($JY$6:$JY$42=1))&gt;0)</f>
        <v>#N/A</v>
      </c>
      <c r="KA12" t="e">
        <f>$KA$11+--($JZ12)</f>
        <v>#N/A</v>
      </c>
      <c r="KB12" t="e">
        <f t="shared" si="99"/>
        <v>#N/A</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D12" t="e">
        <f>IF($ET$12="",FALSE,SUMPRODUCT(('Final Calculation Sheet'!$AB$4:$AB$40=$ET$12)*($KC$6:$KC$42=1))&gt;0)</f>
        <v>#N/A</v>
      </c>
      <c r="KE12" t="e">
        <f>$KE$11+--($KD12)</f>
        <v>#N/A</v>
      </c>
      <c r="KF12" t="e">
        <f t="shared" si="100"/>
        <v>#N/A</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H12" t="b">
        <f>IF($EY$12="",FALSE,SUMPRODUCT(('Final Calculation Sheet'!$AC$4:$AC$40=$EY$12)*($KG$6:$KG$42=1))&gt;0)</f>
        <v>1</v>
      </c>
      <c r="KI12">
        <f>$KI$11+--($KH12)</f>
        <v>9</v>
      </c>
      <c r="KJ12">
        <f t="shared" si="101"/>
        <v>47964</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L12" t="b">
        <f>IF($FD$12="",FALSE,SUMPRODUCT(('Final Calculation Sheet'!$AD$4:$AD$40=$FD$12)*($KK$6:$KK$42=1))&gt;0)</f>
        <v>1</v>
      </c>
      <c r="KM12">
        <f>$KM$11+--($KL12)</f>
        <v>9</v>
      </c>
      <c r="KN12">
        <f t="shared" si="102"/>
        <v>50031</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P12" t="b">
        <f>IF($FX$12="",FALSE,SUMPRODUCT((IF('Final Calculation Sheet'!$AD$4:$AD$40&lt;=5,"SETTLED","OUTSTANDING")=$FX$12)*($KO$6:$KO$42=1))&gt;0)</f>
        <v>0</v>
      </c>
      <c r="KQ12">
        <f>$KQ$11+--($KP12)</f>
        <v>1</v>
      </c>
      <c r="KR12" t="str">
        <f t="shared" si="103"/>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T12" t="e">
        <f>IF($FI$12="",FALSE,SUMPRODUCT(('Final Calculation Sheet'!$AF$4:$AF$40=$FI$12)*($KS$6:$KS$42=1))&gt;0)</f>
        <v>#N/A</v>
      </c>
      <c r="KU12" t="e">
        <f>$KU$11+--($KT12)</f>
        <v>#N/A</v>
      </c>
      <c r="KV12" t="e">
        <f t="shared" si="104"/>
        <v>#N/A</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KX12" t="e">
        <f>IF($FN$12="",FALSE,SUMPRODUCT(('Final Calculation Sheet'!$AG$4:$AG$40=$FN$12)*($KW$6:$KW$42=1))&gt;0)</f>
        <v>#N/A</v>
      </c>
      <c r="KY12" t="e">
        <f>$KY$11+--($KX12)</f>
        <v>#N/A</v>
      </c>
      <c r="KZ12" t="e">
        <f t="shared" si="105"/>
        <v>#N/A</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LB12" t="e">
        <f>IF($FS$12="",FALSE,SUMPRODUCT(('Final Calculation Sheet'!$AH$4:$AH$40=$FS$12)*($LA$6:$LA$42=1))&gt;0)</f>
        <v>#N/A</v>
      </c>
      <c r="LC12" t="e">
        <f>$LC$11+--($LB12)</f>
        <v>#N/A</v>
      </c>
      <c r="LD12" t="e">
        <f t="shared" si="106"/>
        <v>#N/A</v>
      </c>
      <c r="LE12">
        <f>IF(COUNTIF('Buyer Groups'!DH12:EN12,0)&gt;0,0,1)</f>
        <v>1</v>
      </c>
      <c r="LF12" t="b">
        <f>IF($O$12="",FALSE,SUMPRODUCT(('Final Calculation Sheet'!$F$4:$F$40=$O$12)*($LE$6:$LE$42=1))&gt;0)</f>
        <v>1</v>
      </c>
      <c r="LG12">
        <f>$LG$11+--($LF12)</f>
        <v>9</v>
      </c>
      <c r="LH12">
        <f t="shared" si="107"/>
        <v>2005</v>
      </c>
      <c r="LI12">
        <f>IF(COUNTIF('Buyer Groups'!DG12:DG12,0)+COUNTIF('Buyer Groups'!DI12:EN12,0)&gt;0,0,1)</f>
        <v>1</v>
      </c>
      <c r="LJ12" t="b">
        <f>IF($T$12="",FALSE,SUMPRODUCT(('Final Calculation Sheet'!$G$4:$G$40=$T$12)*($LI$6:$LI$42=1))&gt;0)</f>
        <v>1</v>
      </c>
      <c r="LK12">
        <f>$LK$11+--($LJ12)</f>
        <v>9</v>
      </c>
      <c r="LL12" t="str">
        <f t="shared" si="108"/>
        <v>S M ENTERPRISES</v>
      </c>
      <c r="LM12">
        <f>IF(COUNTIF('Buyer Groups'!DG12:DH12,0)+COUNTIF('Buyer Groups'!DJ12:EN12,0)&gt;0,0,1)</f>
        <v>1</v>
      </c>
      <c r="LN12" t="b">
        <f>IF($Y$12="",FALSE,SUMPRODUCT(('Final Calculation Sheet'!$B$4:$B$40=$Y$12)*($LM$6:$LM$42=1))&gt;0)</f>
        <v>1</v>
      </c>
      <c r="LO12">
        <f>$LO$11+--($LN12)</f>
        <v>9</v>
      </c>
      <c r="LP12" t="str">
        <f t="shared" si="109"/>
        <v>Scrap of 220 KV Circuit Breaker</v>
      </c>
      <c r="LQ12">
        <f>IF(COUNTIF('Buyer Groups'!DG12:DI12,0)+COUNTIF('Buyer Groups'!DK12:EN12,0)&gt;0,0,1)</f>
        <v>1</v>
      </c>
      <c r="LR12" t="b">
        <f>IF($AD$12="",FALSE,SUMPRODUCT(('Final Calculation Sheet'!$D$4:$D$40=$AD$12)*($LQ$6:$LQ$42=1))&gt;0)</f>
        <v>0</v>
      </c>
      <c r="LS12">
        <f>$LS$11+--($LR12)</f>
        <v>4</v>
      </c>
      <c r="LT12" t="str">
        <f t="shared" si="110"/>
        <v/>
      </c>
      <c r="LU12">
        <f>IF(COUNTIF('Buyer Groups'!DG12:DJ12,0)+COUNTIF('Buyer Groups'!DL12:EN12,0)&gt;0,0,1)</f>
        <v>1</v>
      </c>
      <c r="LV12" t="b">
        <f>IF($AI$12="",FALSE,SUMPRODUCT(('Final Calculation Sheet'!$A$4:$A$40=$AI$12)*($LU$6:$LU$42=1))&gt;0)</f>
        <v>1</v>
      </c>
      <c r="LW12">
        <f>$LW$11+--($LV12)</f>
        <v>9</v>
      </c>
      <c r="LX12">
        <f t="shared" si="111"/>
        <v>28</v>
      </c>
      <c r="LY12">
        <f>IF(COUNTIF('Buyer Groups'!DG12:DK12,0)+COUNTIF('Buyer Groups'!DM12:EN12,0)&gt;0,0,1)</f>
        <v>1</v>
      </c>
      <c r="LZ12" t="b">
        <f>IF($AN$12="",FALSE,SUMPRODUCT(('Final Calculation Sheet'!$E$4:$E$40=$AN$12)*($LY$6:$LY$42=1))&gt;0)</f>
        <v>0</v>
      </c>
      <c r="MA12">
        <f>$MA$11+--($LZ12)</f>
        <v>3</v>
      </c>
      <c r="MB12" t="str">
        <f t="shared" si="112"/>
        <v/>
      </c>
      <c r="MC12">
        <f>IF(COUNTIF('Buyer Groups'!DG12:DL12,0)+COUNTIF('Buyer Groups'!DN12:EN12,0)&gt;0,0,1)</f>
        <v>1</v>
      </c>
      <c r="MD12" t="b">
        <f>IF($AS$12="",FALSE,SUMPRODUCT(('Final Calculation Sheet'!$C$4:$C$40=$AS$12)*($MC$6:$MC$42=1))&gt;0)</f>
        <v>1</v>
      </c>
      <c r="ME12">
        <f>$ME$11+--($MD12)</f>
        <v>9</v>
      </c>
      <c r="MF12">
        <f t="shared" si="113"/>
        <v>580</v>
      </c>
      <c r="MG12">
        <f>IF(COUNTIF('Buyer Groups'!DG12:DM12,0)+COUNTIF('Buyer Groups'!DO12:EN12,0)&gt;0,0,1)</f>
        <v>1</v>
      </c>
      <c r="MH12" t="b">
        <f>IF($AX$12="",FALSE,SUMPRODUCT(('Final Calculation Sheet'!$H$4:$H$40=$AX$12)*($MG$6:$MG$42=1))&gt;0)</f>
        <v>1</v>
      </c>
      <c r="MI12">
        <f>$MI$11+--($MH12)</f>
        <v>9</v>
      </c>
      <c r="MJ12">
        <f t="shared" si="114"/>
        <v>50003</v>
      </c>
      <c r="MK12">
        <f>IF(COUNTIF('Buyer Groups'!DG12:DN12,0)+COUNTIF('Buyer Groups'!DP12:EN12,0)&gt;0,0,1)</f>
        <v>1</v>
      </c>
      <c r="ML12" t="b">
        <f>IF($BC$12="",FALSE,SUMPRODUCT(('Final Calculation Sheet'!$I$4:$I$40=$BC$12)*($MK$6:$MK$42=1))&gt;0)</f>
        <v>1</v>
      </c>
      <c r="MM12">
        <f>$MM$11+--($ML12)</f>
        <v>9</v>
      </c>
      <c r="MN12">
        <f t="shared" si="115"/>
        <v>9001</v>
      </c>
      <c r="MO12">
        <f>IF(COUNTIF('Buyer Groups'!DG12:DO12,0)+COUNTIF('Buyer Groups'!DQ12:EN12,0)&gt;0,0,1)</f>
        <v>1</v>
      </c>
      <c r="MP12" t="b">
        <f>IF($BH$12="",FALSE,SUMPRODUCT(('Final Calculation Sheet'!$J$4:$J$40=$BH$12)*($MO$6:$MO$42=1))&gt;0)</f>
        <v>1</v>
      </c>
      <c r="MQ12">
        <f>$MQ$11+--($MP12)</f>
        <v>9</v>
      </c>
      <c r="MR12">
        <f t="shared" si="116"/>
        <v>59004</v>
      </c>
      <c r="MS12">
        <f>IF(COUNTIF('Buyer Groups'!DG12:DP12,0)+COUNTIF('Buyer Groups'!DR12:EN12,0)&gt;0,0,1)</f>
        <v>1</v>
      </c>
      <c r="MT12" t="b">
        <f>IF($BM$12="",FALSE,SUMPRODUCT(('Final Calculation Sheet'!$K$4:$K$40=$BM$12)*($MS$6:$MS$42=1))&gt;0)</f>
        <v>1</v>
      </c>
      <c r="MU12">
        <f>$MU$11+--($MT12)</f>
        <v>9</v>
      </c>
      <c r="MV12">
        <f t="shared" si="117"/>
        <v>1180</v>
      </c>
      <c r="MW12">
        <f>IF(COUNTIF('Buyer Groups'!DG12:DQ12,0)+COUNTIF('Buyer Groups'!DS12:EN12,0)&gt;0,0,1)</f>
        <v>1</v>
      </c>
      <c r="MX12" t="b">
        <f>IF($BR$12="",FALSE,SUMPRODUCT(('Final Calculation Sheet'!$L$4:$L$40=$BR$12)*($MW$6:$MW$42=1))&gt;0)</f>
        <v>1</v>
      </c>
      <c r="MY12">
        <f>$MY$11+--($MX12)</f>
        <v>9</v>
      </c>
      <c r="MZ12">
        <f t="shared" si="118"/>
        <v>50.003</v>
      </c>
      <c r="NA12">
        <f>IF(COUNTIF('Buyer Groups'!DG12:DR12,0)+COUNTIF('Buyer Groups'!DT12:EN12,0)&gt;0,0,1)</f>
        <v>1</v>
      </c>
      <c r="NB12" t="b">
        <f>IF($BW$12="",FALSE,SUMPRODUCT(('Final Calculation Sheet'!$M$4:$M$40=$BW$12)*($NA$6:$NA$42=1))&gt;0)</f>
        <v>1</v>
      </c>
      <c r="NC12">
        <f>$NC$11+--($NB12)</f>
        <v>9</v>
      </c>
      <c r="ND12">
        <f t="shared" si="119"/>
        <v>1327.5796499999999</v>
      </c>
      <c r="NE12">
        <f>IF(COUNTIF('Buyer Groups'!DG12:DS12,0)+COUNTIF('Buyer Groups'!DU12:EN12,0)&gt;0,0,1)</f>
        <v>1</v>
      </c>
      <c r="NF12" t="b">
        <f>IF($CB$12="",FALSE,SUMPRODUCT(('Final Calculation Sheet'!$N$4:$N$40=$CB$12)*($NE$6:$NE$42=1))&gt;0)</f>
        <v>1</v>
      </c>
      <c r="NG12">
        <f>$NG$11+--($NF12)</f>
        <v>9</v>
      </c>
      <c r="NH12">
        <f t="shared" si="120"/>
        <v>22.501349999999999</v>
      </c>
      <c r="NI12">
        <f>IF(COUNTIF('Buyer Groups'!DG12:DT12,0)+COUNTIF('Buyer Groups'!DV12:EN12,0)&gt;0,0,1)</f>
        <v>1</v>
      </c>
      <c r="NJ12" t="b">
        <f>IF($CG$12="",FALSE,SUMPRODUCT(('Final Calculation Sheet'!$O$4:$O$40=$CG$12)*($NI$6:$NI$42=1))&gt;0)</f>
        <v>1</v>
      </c>
      <c r="NK12">
        <f>$NK$11+--($NJ12)</f>
        <v>9</v>
      </c>
      <c r="NL12">
        <f t="shared" si="121"/>
        <v>1305.0782999999999</v>
      </c>
      <c r="NM12">
        <f>IF(COUNTIF('Buyer Groups'!DG12:DU12,0)+COUNTIF('Buyer Groups'!DW12:EN12,0)&gt;0,0,1)</f>
        <v>1</v>
      </c>
      <c r="NN12" t="b">
        <f>IF($CL$12="",FALSE,SUMPRODUCT(('Final Calculation Sheet'!$P$4:$P$40=$CL$12)*($NM$6:$NM$42=1))&gt;0)</f>
        <v>1</v>
      </c>
      <c r="NO12">
        <f>$NO$11+--($NN12)</f>
        <v>9</v>
      </c>
      <c r="NP12">
        <f t="shared" si="122"/>
        <v>1355</v>
      </c>
      <c r="NQ12">
        <f>IF(COUNTIF('Buyer Groups'!DG12:DV12,0)+COUNTIF('Buyer Groups'!DX12:EN12,0)&gt;0,0,1)</f>
        <v>1</v>
      </c>
      <c r="NR12" t="b">
        <f>IF($CQ$12="",FALSE,SUMPRODUCT(('Final Calculation Sheet'!$Q$4:$Q$40=$CQ$12)*($NQ$6:$NQ$42=1))&gt;0)</f>
        <v>0</v>
      </c>
      <c r="NS12">
        <f>$NS$11+--($NR12)</f>
        <v>2</v>
      </c>
      <c r="NT12" t="str">
        <f t="shared" si="123"/>
        <v/>
      </c>
      <c r="NU12">
        <f>IF(COUNTIF('Buyer Groups'!DG12:DW12,0)+COUNTIF('Buyer Groups'!DY12:EN12,0)&gt;0,0,1)</f>
        <v>1</v>
      </c>
      <c r="NV12" t="b">
        <f>IF($CV$12="",FALSE,SUMPRODUCT(('Final Calculation Sheet'!$R$4:$R$40=$CV$12)*($NU$6:$NU$42=1))&gt;0)</f>
        <v>0</v>
      </c>
      <c r="NW12">
        <f>$NW$11+--($NV12)</f>
        <v>5</v>
      </c>
      <c r="NX12" t="str">
        <f t="shared" si="124"/>
        <v/>
      </c>
      <c r="NY12">
        <f>IF(COUNTIF('Buyer Groups'!DG12:DX12,0)+COUNTIF('Buyer Groups'!DZ12:EN12,0)&gt;0,0,1)</f>
        <v>1</v>
      </c>
      <c r="NZ12" t="b">
        <f>IF($DA$12="",FALSE,SUMPRODUCT(('Final Calculation Sheet'!$S$4:$S$40=$DA$12)*($NY$6:$NY$42=1))&gt;0)</f>
        <v>1</v>
      </c>
      <c r="OA12">
        <f>$OA$11+--($NZ12)</f>
        <v>9</v>
      </c>
      <c r="OB12">
        <f t="shared" si="125"/>
        <v>58829</v>
      </c>
      <c r="OC12">
        <f>IF(COUNTIF('Buyer Groups'!DG12:DY12,0)+COUNTIF('Buyer Groups'!EA12:EN12,0)&gt;0,0,1)</f>
        <v>1</v>
      </c>
      <c r="OD12" t="b">
        <f>IF($DF$12="",FALSE,SUMPRODUCT(('Final Calculation Sheet'!$T$4:$T$40=$DF$12)*($OC$6:$OC$42=1))&gt;0)</f>
        <v>1</v>
      </c>
      <c r="OE12">
        <f>$OE$11+--($OD12)</f>
        <v>9</v>
      </c>
      <c r="OF12">
        <f t="shared" si="126"/>
        <v>12501</v>
      </c>
      <c r="OG12">
        <f>IF(COUNTIF('Buyer Groups'!DG12:DZ12,0)+COUNTIF('Buyer Groups'!EB12:EN12,0)&gt;0,0,1)</f>
        <v>1</v>
      </c>
      <c r="OH12" t="b">
        <f>IF($DK$12="",FALSE,SUMPRODUCT(('Final Calculation Sheet'!$U$4:$U$40=$DK$12)*($OG$6:$OG$42=1))&gt;0)</f>
        <v>1</v>
      </c>
      <c r="OI12">
        <f>$OI$11+--($OH12)</f>
        <v>9</v>
      </c>
      <c r="OJ12">
        <f t="shared" si="127"/>
        <v>12501</v>
      </c>
      <c r="OK12">
        <f>IF(COUNTIF('Buyer Groups'!DG12:EA12,0)+COUNTIF('Buyer Groups'!EC12:EN12,0)&gt;0,0,1)</f>
        <v>1</v>
      </c>
      <c r="OL12" t="b">
        <f>IF($DP$12="",FALSE,SUMPRODUCT(('Final Calculation Sheet'!$V$4:$V$40=$DP$12)*($OK$6:$OK$42=1))&gt;0)</f>
        <v>0</v>
      </c>
      <c r="OM12">
        <f>$OM$11+--($OL12)</f>
        <v>6</v>
      </c>
      <c r="ON12" t="str">
        <f t="shared" si="128"/>
        <v/>
      </c>
      <c r="OO12">
        <f>IF(COUNTIF('Buyer Groups'!DG12:EB12,0)+COUNTIF('Buyer Groups'!ED12:EN12,0)&gt;0,0,1)</f>
        <v>1</v>
      </c>
      <c r="OP12" t="b">
        <f>IF($DU$12="",FALSE,SUMPRODUCT(('Final Calculation Sheet'!$W$4:$W$40=$DU$12)*($OO$6:$OO$42=1))&gt;0)</f>
        <v>1</v>
      </c>
      <c r="OQ12">
        <f>$OQ$11+--($OP12)</f>
        <v>9</v>
      </c>
      <c r="OR12">
        <f t="shared" si="129"/>
        <v>46328</v>
      </c>
      <c r="OS12">
        <f>IF(COUNTIF('Buyer Groups'!DG12:EC12,0)+COUNTIF('Buyer Groups'!EE12:EN12,0)&gt;0,0,1)</f>
        <v>1</v>
      </c>
      <c r="OT12" t="e">
        <f>IF($DZ$12="",FALSE,SUMPRODUCT(('Final Calculation Sheet'!$X$4:$X$40=$DZ$12)*($OS$6:$OS$42=1))&gt;0)</f>
        <v>#N/A</v>
      </c>
      <c r="OU12" t="e">
        <f>$OU$11+--($OT12)</f>
        <v>#N/A</v>
      </c>
      <c r="OV12" t="e">
        <f t="shared" si="130"/>
        <v>#N/A</v>
      </c>
      <c r="OW12">
        <f>IF(COUNTIF('Buyer Groups'!DG12:ED12,0)+COUNTIF('Buyer Groups'!EF12:EN12,0)&gt;0,0,1)</f>
        <v>1</v>
      </c>
      <c r="OX12" t="e">
        <f>IF($EE$12="",FALSE,SUMPRODUCT(('Final Calculation Sheet'!$Y$4:$Y$40=$EE$12)*($OW$6:$OW$42=1))&gt;0)</f>
        <v>#N/A</v>
      </c>
      <c r="OY12" t="e">
        <f>$OY$11+--($OX12)</f>
        <v>#N/A</v>
      </c>
      <c r="OZ12" t="e">
        <f t="shared" si="131"/>
        <v>#N/A</v>
      </c>
      <c r="PA12">
        <f>IF(COUNTIF('Buyer Groups'!DG12:EE12,0)+COUNTIF('Buyer Groups'!EG12:EN12,0)&gt;0,0,1)</f>
        <v>1</v>
      </c>
      <c r="PB12" t="b">
        <f ca="1">IF($EJ$12="",FALSE,SUMPRODUCT(('Final Calculation Sheet'!$Z$4:$Z$40=$EJ$12)*($PA$6:$PA$42=1))&gt;0)</f>
        <v>1</v>
      </c>
      <c r="PC12">
        <f ca="1">$PC$11+--($PB12)</f>
        <v>9</v>
      </c>
      <c r="PD12">
        <f t="shared" ca="1" si="132"/>
        <v>1770.1061999999999</v>
      </c>
      <c r="PE12">
        <f>IF(COUNTIF('Buyer Groups'!DG12:EF12,0)+COUNTIF('Buyer Groups'!EH12:EN12,0)&gt;0,0,1)</f>
        <v>1</v>
      </c>
      <c r="PF12" t="e">
        <f>IF($EO$12="",FALSE,SUMPRODUCT(('Final Calculation Sheet'!$AA$4:$AA$40=$EO$12)*($PE$6:$PE$42=1))&gt;0)</f>
        <v>#N/A</v>
      </c>
      <c r="PG12" t="e">
        <f>$PG$11+--($PF12)</f>
        <v>#N/A</v>
      </c>
      <c r="PH12" t="e">
        <f t="shared" si="133"/>
        <v>#N/A</v>
      </c>
      <c r="PI12">
        <f>IF(COUNTIF('Buyer Groups'!DG12:EG12,0)+COUNTIF('Buyer Groups'!EI12:EN12,0)&gt;0,0,1)</f>
        <v>1</v>
      </c>
      <c r="PJ12" t="e">
        <f>IF($ET$12="",FALSE,SUMPRODUCT(('Final Calculation Sheet'!$AB$4:$AB$40=$ET$12)*($PI$6:$PI$42=1))&gt;0)</f>
        <v>#N/A</v>
      </c>
      <c r="PK12" t="e">
        <f>$PK$11+--($PJ12)</f>
        <v>#N/A</v>
      </c>
      <c r="PL12" t="e">
        <f t="shared" si="134"/>
        <v>#N/A</v>
      </c>
      <c r="PM12">
        <f>IF(COUNTIF('Buyer Groups'!DG12:EH12,0)+COUNTIF('Buyer Groups'!EJ12:EN12,0)&gt;0,0,1)</f>
        <v>1</v>
      </c>
      <c r="PN12" t="b">
        <f>IF($EY$12="",FALSE,SUMPRODUCT(('Final Calculation Sheet'!$AC$4:$AC$40=$EY$12)*($PM$6:$PM$42=1))&gt;0)</f>
        <v>1</v>
      </c>
      <c r="PO12">
        <f>$PO$11+--($PN12)</f>
        <v>9</v>
      </c>
      <c r="PP12">
        <f t="shared" si="135"/>
        <v>47964</v>
      </c>
      <c r="PQ12">
        <f>IF(COUNTIF('Buyer Groups'!DG12:EI12,0)+COUNTIF('Buyer Groups'!EK12:EN12,0)&gt;0,0,1)</f>
        <v>1</v>
      </c>
      <c r="PR12" t="b">
        <f>IF($FD$12="",FALSE,SUMPRODUCT(('Final Calculation Sheet'!$AD$4:$AD$40=$FD$12)*($PQ$6:$PQ$42=1))&gt;0)</f>
        <v>1</v>
      </c>
      <c r="PS12">
        <f>$PS$11+--($PR12)</f>
        <v>9</v>
      </c>
      <c r="PT12">
        <f t="shared" si="136"/>
        <v>50031</v>
      </c>
      <c r="PU12">
        <f>IF(COUNTIF('Buyer Groups'!DG12:EJ12,0)+COUNTIF('Buyer Groups'!EL12:EN12,0)&gt;0,0,1)</f>
        <v>1</v>
      </c>
      <c r="PV12" t="b">
        <f>IF($FX$12="",FALSE,SUMPRODUCT((IF('Final Calculation Sheet'!$AD$4:$AD$40&lt;=5,"SETTLED","OUTSTANDING")=$FX$12)*($PU$6:$PU$42=1))&gt;0)</f>
        <v>0</v>
      </c>
      <c r="PW12">
        <f>$PW$11+--($PV12)</f>
        <v>1</v>
      </c>
      <c r="PX12" t="str">
        <f t="shared" si="137"/>
        <v/>
      </c>
      <c r="PY12">
        <f>IF(COUNTIF('Buyer Groups'!DG12:EK12,0)+COUNTIF('Buyer Groups'!EM12:EN12,0)&gt;0,0,1)</f>
        <v>1</v>
      </c>
      <c r="PZ12" t="e">
        <f>IF($FI$12="",FALSE,SUMPRODUCT(('Final Calculation Sheet'!$AF$4:$AF$40=$FI$12)*($PY$6:$PY$42=1))&gt;0)</f>
        <v>#N/A</v>
      </c>
      <c r="QA12" t="e">
        <f>$QA$11+--($PZ12)</f>
        <v>#N/A</v>
      </c>
      <c r="QB12" t="e">
        <f t="shared" si="138"/>
        <v>#N/A</v>
      </c>
      <c r="QC12">
        <f>IF(COUNTIF('Buyer Groups'!DG12:EL12,0)+COUNTIF('Buyer Groups'!EN12:EN12,0)&gt;0,0,1)</f>
        <v>1</v>
      </c>
      <c r="QD12" t="e">
        <f>IF($FN$12="",FALSE,SUMPRODUCT(('Final Calculation Sheet'!$AG$4:$AG$40=$FN$12)*($QC$6:$QC$42=1))&gt;0)</f>
        <v>#N/A</v>
      </c>
      <c r="QE12" t="e">
        <f>$QE$11+--($QD12)</f>
        <v>#N/A</v>
      </c>
      <c r="QF12" t="e">
        <f t="shared" si="139"/>
        <v>#N/A</v>
      </c>
      <c r="QG12">
        <f>IF(COUNTIF('Buyer Groups'!DG12:EM12,0)&gt;0,0,1)</f>
        <v>1</v>
      </c>
      <c r="QH12" t="e">
        <f>IF($FS$12="",FALSE,SUMPRODUCT(('Final Calculation Sheet'!$AH$4:$AH$40=$FS$12)*($QG$6:$QG$42=1))&gt;0)</f>
        <v>#N/A</v>
      </c>
      <c r="QI12" t="e">
        <f>$QI$11+--($QH12)</f>
        <v>#N/A</v>
      </c>
      <c r="QJ12" t="e">
        <f t="shared" si="140"/>
        <v>#N/A</v>
      </c>
      <c r="QK12" t="str">
        <f>IF('Final Calculation Sheet'!$AH$12="","",'Final Calculation Sheet'!$AH$12)</f>
        <v>27.08.2026</v>
      </c>
      <c r="QL12">
        <f>IF(QK12="","",COUNTIFS(QK$4:QK$40,"&lt;"&amp;QK12,QK$4:QK$40,"&lt;&gt;"&amp;"")+COUNTIF(QK$4:QK12,QK12))</f>
        <v>25</v>
      </c>
      <c r="QM12" t="str">
        <f t="shared" si="141"/>
        <v>14.08.2026</v>
      </c>
      <c r="QN12" t="e">
        <f ca="1">QN11+F(AND(QM12&lt;&gt;"",COUNTIF(QM$4:QM12,QM12)=1),1,0)</f>
        <v>#N/A</v>
      </c>
      <c r="QO12" t="e">
        <f t="shared" si="142"/>
        <v>#N/A</v>
      </c>
      <c r="QP12">
        <f>IF(COUNTIF('Final Calculation Sheet'!$AM12:$BS12,0)&gt;0,0,1)</f>
        <v>1</v>
      </c>
      <c r="QQ12" t="b">
        <f>IF($AI$12="",FALSE,SUMPRODUCT(('Final Calculation Sheet'!$A$4:$A$40=$AI$12)*($QP$4:$QP$40=1))&gt;0)</f>
        <v>1</v>
      </c>
      <c r="QR12">
        <f t="shared" si="177"/>
        <v>9</v>
      </c>
      <c r="QS12">
        <f t="shared" si="143"/>
        <v>28</v>
      </c>
      <c r="QT12">
        <f>IF(COUNTIF('Final Calculation Sheet'!$AL12:$AL12,0)+COUNTIF('Final Calculation Sheet'!$AN12:$BS12,0)&gt;0,0,1)</f>
        <v>1</v>
      </c>
      <c r="QU12" t="b">
        <f>IF($Y$12="",FALSE,SUMPRODUCT(('Final Calculation Sheet'!$B$4:$B$40=$Y$12)*($QT$4:$QT$40=1))&gt;0)</f>
        <v>1</v>
      </c>
      <c r="QV12">
        <f t="shared" si="178"/>
        <v>9</v>
      </c>
      <c r="QW12" t="str">
        <f t="shared" si="144"/>
        <v>Scrap of 220 KV Circuit Breaker</v>
      </c>
      <c r="QX12">
        <f>IF(COUNTIF('Final Calculation Sheet'!$AL12:$AM12,0)+COUNTIF('Final Calculation Sheet'!$AO12:$BS12,0)&gt;0,0,1)</f>
        <v>1</v>
      </c>
      <c r="QY12" t="b">
        <f>IF($AS$12="",FALSE,SUMPRODUCT(('Final Calculation Sheet'!$C$4:$C$40=$AS$12)*($QX$4:$QX$40=1))&gt;0)</f>
        <v>1</v>
      </c>
      <c r="QZ12">
        <f t="shared" si="179"/>
        <v>9</v>
      </c>
      <c r="RA12">
        <f t="shared" si="145"/>
        <v>580</v>
      </c>
      <c r="RB12">
        <f>IF(COUNTIF('Final Calculation Sheet'!$AL12:$AN12,0)+COUNTIF('Final Calculation Sheet'!$AP12:$BS12,0)&gt;0,0,1)</f>
        <v>1</v>
      </c>
      <c r="RC12" t="b">
        <f>IF($AD$12="",FALSE,SUMPRODUCT(('Final Calculation Sheet'!$D$4:$D$40=$AD$12)*($RB$4:$RB$40=1))&gt;0)</f>
        <v>0</v>
      </c>
      <c r="RD12">
        <f t="shared" si="180"/>
        <v>4</v>
      </c>
      <c r="RE12" t="str">
        <f t="shared" si="146"/>
        <v/>
      </c>
      <c r="RF12">
        <f>IF(COUNTIF('Final Calculation Sheet'!$AL12:$AO12,0)+COUNTIF('Final Calculation Sheet'!$AQ12:$BS12,0)&gt;0,0,1)</f>
        <v>1</v>
      </c>
      <c r="RG12" t="b">
        <f>IF($AN$12="",FALSE,SUMPRODUCT(('Final Calculation Sheet'!$E$4:$E$40=$AN$12)*($RF$4:$RF$40=1))&gt;0)</f>
        <v>0</v>
      </c>
      <c r="RH12">
        <f t="shared" si="181"/>
        <v>3</v>
      </c>
      <c r="RI12" t="str">
        <f t="shared" si="147"/>
        <v/>
      </c>
      <c r="RJ12">
        <f>IF(COUNTIF('Final Calculation Sheet'!$AL12:$AP12,0)+COUNTIF('Final Calculation Sheet'!$AR12:$BS12,0)&gt;0,0,1)</f>
        <v>1</v>
      </c>
      <c r="RK12" t="b">
        <f>IF($O$12="",FALSE,SUMPRODUCT(('Final Calculation Sheet'!$F$4:$F$40=$O$12)*($RJ$4:$RJ$40=1))&gt;0)</f>
        <v>1</v>
      </c>
      <c r="RL12">
        <f t="shared" si="182"/>
        <v>9</v>
      </c>
      <c r="RM12">
        <f t="shared" si="148"/>
        <v>2005</v>
      </c>
      <c r="RN12">
        <f>IF(COUNTIF('Final Calculation Sheet'!$AL12:$AQ12,0)+COUNTIF('Final Calculation Sheet'!$AS12:$BS12,0)&gt;0,0,1)</f>
        <v>1</v>
      </c>
      <c r="RO12" t="b">
        <f>IF($T$12="",FALSE,SUMPRODUCT(('Final Calculation Sheet'!$G$4:$G$40=$T$12)*($RN$4:$RN$40=1))&gt;0)</f>
        <v>1</v>
      </c>
      <c r="RP12">
        <f t="shared" si="183"/>
        <v>9</v>
      </c>
      <c r="RQ12" t="str">
        <f t="shared" si="149"/>
        <v>S M ENTERPRISES</v>
      </c>
      <c r="RR12">
        <f>IF(COUNTIF('Final Calculation Sheet'!$AL12:$AR12,0)+COUNTIF('Final Calculation Sheet'!$AT12:$BS12,0)&gt;0,0,1)</f>
        <v>1</v>
      </c>
      <c r="RS12" t="b">
        <f>IF($AX$12="",FALSE,SUMPRODUCT(('Final Calculation Sheet'!$H$4:$H$40=$AX$12)*($RR$4:$RR$40=1))&gt;0)</f>
        <v>1</v>
      </c>
      <c r="RT12">
        <f t="shared" si="184"/>
        <v>9</v>
      </c>
      <c r="RU12">
        <f t="shared" si="150"/>
        <v>50003</v>
      </c>
      <c r="RV12">
        <f>IF(COUNTIF('Final Calculation Sheet'!$AL12:$AS12,0)+COUNTIF('Final Calculation Sheet'!$AU12:$BS12,0)&gt;0,0,1)</f>
        <v>1</v>
      </c>
      <c r="RW12" t="b">
        <f>IF($BC$12="",FALSE,SUMPRODUCT(('Final Calculation Sheet'!$I$4:$I$40=$BC$12)*($RV$4:$RV$40=1))&gt;0)</f>
        <v>1</v>
      </c>
      <c r="RX12">
        <f t="shared" si="185"/>
        <v>9</v>
      </c>
      <c r="RY12">
        <f t="shared" si="151"/>
        <v>9001</v>
      </c>
      <c r="RZ12">
        <f>IF(COUNTIF('Final Calculation Sheet'!$AL12:$AT12,0)+COUNTIF('Final Calculation Sheet'!$AV12:$BS12,0)&gt;0,0,1)</f>
        <v>1</v>
      </c>
      <c r="SA12" t="b">
        <f>IF($BH$12="",FALSE,SUMPRODUCT(('Final Calculation Sheet'!$J$4:$J$40=$BH$12)*($RZ$4:$RZ$40=1))&gt;0)</f>
        <v>1</v>
      </c>
      <c r="SB12">
        <f t="shared" si="186"/>
        <v>9</v>
      </c>
      <c r="SC12">
        <f t="shared" si="152"/>
        <v>59004</v>
      </c>
      <c r="SD12">
        <f>IF(COUNTIF('Final Calculation Sheet'!$AL12:$AU12,0)+COUNTIF('Final Calculation Sheet'!$AW12:$BS12,0)&gt;0,0,1)</f>
        <v>1</v>
      </c>
      <c r="SE12" t="b">
        <f>IF($BM$12="",FALSE,SUMPRODUCT(('Final Calculation Sheet'!$K$4:$K$40=$BM$12)*($SD$4:$SD$40=1))&gt;0)</f>
        <v>1</v>
      </c>
      <c r="SF12">
        <f t="shared" si="187"/>
        <v>9</v>
      </c>
      <c r="SG12">
        <f t="shared" si="153"/>
        <v>1180</v>
      </c>
      <c r="SH12">
        <f>IF(COUNTIF('Final Calculation Sheet'!$AL12:$AV12,0)+COUNTIF('Final Calculation Sheet'!$AX12:$BS12,0)&gt;0,0,1)</f>
        <v>1</v>
      </c>
      <c r="SI12" t="b">
        <f>IF($BR$12="",FALSE,SUMPRODUCT(('Final Calculation Sheet'!$L$4:$L$40=$BR$12)*($SH$4:$SH$40=1))&gt;0)</f>
        <v>1</v>
      </c>
      <c r="SJ12">
        <f t="shared" si="188"/>
        <v>9</v>
      </c>
      <c r="SK12">
        <f t="shared" si="154"/>
        <v>50.003</v>
      </c>
      <c r="SL12">
        <f>IF(COUNTIF('Final Calculation Sheet'!$AL12:$AW12,0)+COUNTIF('Final Calculation Sheet'!$AY12:$BS12,0)&gt;0,0,1)</f>
        <v>1</v>
      </c>
      <c r="SM12" t="b">
        <f>IF($BW$12="",FALSE,SUMPRODUCT(('Final Calculation Sheet'!$M$4:$M$40=$BW$12)*($SL$4:$SL$40=1))&gt;0)</f>
        <v>1</v>
      </c>
      <c r="SN12">
        <f t="shared" si="189"/>
        <v>9</v>
      </c>
      <c r="SO12">
        <f t="shared" si="155"/>
        <v>1327.5796499999999</v>
      </c>
      <c r="SP12">
        <f>IF(COUNTIF('Final Calculation Sheet'!$AL12:$AX12,0)+COUNTIF('Final Calculation Sheet'!$AZ12:$BS12,0)&gt;0,0,1)</f>
        <v>1</v>
      </c>
      <c r="SQ12" t="b">
        <f>IF($CB$12="",FALSE,SUMPRODUCT(('Final Calculation Sheet'!$N$4:$N$40=$CB$12)*($SP$4:$SP$40=1))&gt;0)</f>
        <v>1</v>
      </c>
      <c r="SR12">
        <f t="shared" si="190"/>
        <v>9</v>
      </c>
      <c r="SS12">
        <f t="shared" si="156"/>
        <v>22.501349999999999</v>
      </c>
      <c r="ST12">
        <f>IF(COUNTIF('Final Calculation Sheet'!$AL12:$AY12,0)+COUNTIF('Final Calculation Sheet'!$BA12:$BS12,0)&gt;0,0,1)</f>
        <v>1</v>
      </c>
      <c r="SU12" t="b">
        <f>IF($CG$12="",FALSE,SUMPRODUCT(('Final Calculation Sheet'!$O$4:$O$40=$CG$12)*($ST$4:$ST$40=1))&gt;0)</f>
        <v>1</v>
      </c>
      <c r="SV12">
        <f t="shared" si="191"/>
        <v>9</v>
      </c>
      <c r="SW12">
        <f t="shared" si="157"/>
        <v>1305.0782999999999</v>
      </c>
      <c r="SX12">
        <f>IF(COUNTIF('Final Calculation Sheet'!$AL12:$AZ12,0)+COUNTIF('Final Calculation Sheet'!$BB12:$BS12,0)&gt;0,0,1)</f>
        <v>1</v>
      </c>
      <c r="SY12" t="b">
        <f>IF($CL$12="",FALSE,SUMPRODUCT(('Final Calculation Sheet'!$P$4:$P$40=$CL$12)*($SX$4:$SX$40=1))&gt;0)</f>
        <v>1</v>
      </c>
      <c r="SZ12">
        <f t="shared" si="192"/>
        <v>9</v>
      </c>
      <c r="TA12">
        <f t="shared" si="158"/>
        <v>1355</v>
      </c>
      <c r="TB12">
        <f>IF(COUNTIF('Final Calculation Sheet'!$AL12:$BA12,0)+COUNTIF('Final Calculation Sheet'!$BC12:$BS12,0)&gt;0,0,1)</f>
        <v>1</v>
      </c>
      <c r="TC12" t="b">
        <f>IF($CQ$12="",FALSE,SUMPRODUCT(('Final Calculation Sheet'!$Q$4:$Q$40=$CQ$12)*($TB$4:$TB$40=1))&gt;0)</f>
        <v>0</v>
      </c>
      <c r="TD12">
        <f t="shared" si="193"/>
        <v>2</v>
      </c>
      <c r="TE12" t="str">
        <f t="shared" si="159"/>
        <v/>
      </c>
      <c r="TF12">
        <f>IF(COUNTIF('Final Calculation Sheet'!$AL12:$BB12,0)+COUNTIF('Final Calculation Sheet'!$BD12:$BS12,0)&gt;0,0,1)</f>
        <v>1</v>
      </c>
      <c r="TG12" t="b">
        <f>IF($CV$12="",FALSE,SUMPRODUCT(('Final Calculation Sheet'!$R$4:$R$40=$CV$12)*($TF$4:$TF$40=1))&gt;0)</f>
        <v>0</v>
      </c>
      <c r="TH12">
        <f t="shared" si="194"/>
        <v>5</v>
      </c>
      <c r="TI12" t="str">
        <f t="shared" si="160"/>
        <v/>
      </c>
      <c r="TJ12">
        <f>IF(COUNTIF('Final Calculation Sheet'!$AL12:$BC12,0)+COUNTIF('Final Calculation Sheet'!$BE12:$BS12,0)&gt;0,0,1)</f>
        <v>1</v>
      </c>
      <c r="TK12" t="b">
        <f>IF($DA$12="",FALSE,SUMPRODUCT(('Final Calculation Sheet'!$S$4:$S$40=$DA$12)*($TJ$4:$TJ$40=1))&gt;0)</f>
        <v>1</v>
      </c>
      <c r="TL12">
        <f t="shared" si="195"/>
        <v>9</v>
      </c>
      <c r="TM12">
        <f t="shared" si="161"/>
        <v>58829</v>
      </c>
      <c r="TN12">
        <f>IF(COUNTIF('Final Calculation Sheet'!$AL12:$BD12,0)+COUNTIF('Final Calculation Sheet'!$BF12:$BS12,0)&gt;0,0,1)</f>
        <v>1</v>
      </c>
      <c r="TO12" t="b">
        <f>IF($DF$12="",FALSE,SUMPRODUCT(('Final Calculation Sheet'!$T$4:$T$40=$DF$12)*($TN$4:$TN$40=1))&gt;0)</f>
        <v>1</v>
      </c>
      <c r="TP12">
        <f t="shared" si="196"/>
        <v>9</v>
      </c>
      <c r="TQ12">
        <f t="shared" si="162"/>
        <v>12501</v>
      </c>
      <c r="TR12">
        <f>IF(COUNTIF('Final Calculation Sheet'!$AL12:$BE12,0)+COUNTIF('Final Calculation Sheet'!$BG12:$BS12,0)&gt;0,0,1)</f>
        <v>1</v>
      </c>
      <c r="TS12" t="b">
        <f>IF($DK$12="",FALSE,SUMPRODUCT(('Final Calculation Sheet'!$U$4:$U$40=$DK$12)*($TR$4:$TR$40=1))&gt;0)</f>
        <v>1</v>
      </c>
      <c r="TT12">
        <f t="shared" si="197"/>
        <v>9</v>
      </c>
      <c r="TU12">
        <f t="shared" si="163"/>
        <v>12501</v>
      </c>
      <c r="TV12">
        <f>IF(COUNTIF('Final Calculation Sheet'!$AL12:$BF12,0)+COUNTIF('Final Calculation Sheet'!$BH12:$BS12,0)&gt;0,0,1)</f>
        <v>1</v>
      </c>
      <c r="TW12" t="b">
        <f>IF($DP$12="",FALSE,SUMPRODUCT(('Final Calculation Sheet'!$V$4:$V$40=$DP$12)*($TV$4:$TV$40=1))&gt;0)</f>
        <v>0</v>
      </c>
      <c r="TX12">
        <f t="shared" si="198"/>
        <v>6</v>
      </c>
      <c r="TY12" t="str">
        <f t="shared" si="164"/>
        <v/>
      </c>
      <c r="TZ12">
        <f>IF(COUNTIF('Final Calculation Sheet'!$AL12:$BG12,0)+COUNTIF('Final Calculation Sheet'!$BI12:$BS12,0)&gt;0,0,1)</f>
        <v>1</v>
      </c>
      <c r="UA12" t="b">
        <f>IF($DU$12="",FALSE,SUMPRODUCT(('Final Calculation Sheet'!$W$4:$W$40=$DU$12)*($TZ$4:$TZ$40=1))&gt;0)</f>
        <v>1</v>
      </c>
      <c r="UB12">
        <f t="shared" si="199"/>
        <v>9</v>
      </c>
      <c r="UC12">
        <f t="shared" si="165"/>
        <v>46328</v>
      </c>
      <c r="UD12">
        <f>IF(COUNTIF('Final Calculation Sheet'!$AL12:$BH12,0)+COUNTIF('Final Calculation Sheet'!$BJ12:$BS12,0)&gt;0,0,1)</f>
        <v>1</v>
      </c>
      <c r="UE12" t="e">
        <f>IF($DZ$12="",FALSE,SUMPRODUCT(('Final Calculation Sheet'!$X$4:$X$40=$DZ$12)*($UD$4:$UD$40=1))&gt;0)</f>
        <v>#N/A</v>
      </c>
      <c r="UF12" t="e">
        <f t="shared" si="200"/>
        <v>#N/A</v>
      </c>
      <c r="UG12" t="e">
        <f t="shared" si="166"/>
        <v>#N/A</v>
      </c>
      <c r="UH12">
        <f>IF(COUNTIF('Final Calculation Sheet'!$AL12:$BI12,0)+COUNTIF('Final Calculation Sheet'!$BK12:$BS12,0)&gt;0,0,1)</f>
        <v>1</v>
      </c>
      <c r="UI12" t="e">
        <f>IF($EE$12="",FALSE,SUMPRODUCT(('Final Calculation Sheet'!$Y$4:$Y$40=$EE$12)*($UH$4:$UH$40=1))&gt;0)</f>
        <v>#N/A</v>
      </c>
      <c r="UJ12" t="e">
        <f t="shared" si="201"/>
        <v>#N/A</v>
      </c>
      <c r="UK12" t="e">
        <f t="shared" si="167"/>
        <v>#N/A</v>
      </c>
      <c r="UL12">
        <f>IF(COUNTIF('Final Calculation Sheet'!$AL12:$BJ12,0)+COUNTIF('Final Calculation Sheet'!$BL12:$BS12,0)&gt;0,0,1)</f>
        <v>1</v>
      </c>
      <c r="UM12" t="b">
        <f ca="1">IF($EJ$12="",FALSE,SUMPRODUCT(('Final Calculation Sheet'!$Z$4:$Z$40=$EJ$12)*($UL$4:$UL$40=1))&gt;0)</f>
        <v>1</v>
      </c>
      <c r="UN12">
        <f t="shared" ca="1" si="202"/>
        <v>9</v>
      </c>
      <c r="UO12">
        <f t="shared" ca="1" si="168"/>
        <v>1770.1061999999999</v>
      </c>
      <c r="UP12">
        <f>IF(COUNTIF('Final Calculation Sheet'!$AL12:$BK12,0)+COUNTIF('Final Calculation Sheet'!$BM12:$BS12,0)&gt;0,0,1)</f>
        <v>1</v>
      </c>
      <c r="UQ12" t="e">
        <f>IF($EO$12="",FALSE,SUMPRODUCT(('Final Calculation Sheet'!$AA$4:$AA$40=$EO$12)*($UP$4:$UP$40=1))&gt;0)</f>
        <v>#N/A</v>
      </c>
      <c r="UR12" t="e">
        <f t="shared" si="203"/>
        <v>#N/A</v>
      </c>
      <c r="US12" t="e">
        <f t="shared" si="169"/>
        <v>#N/A</v>
      </c>
      <c r="UT12">
        <f>IF(COUNTIF('Final Calculation Sheet'!$AL12:$BL12,0)+COUNTIF('Final Calculation Sheet'!$BN12:$BS12,0)&gt;0,0,1)</f>
        <v>1</v>
      </c>
      <c r="UU12" t="e">
        <f>IF($ET$12="",FALSE,SUMPRODUCT(('Final Calculation Sheet'!$AB$4:$AB$40=$ET$12)*($UT$4:$UT$40=1))&gt;0)</f>
        <v>#N/A</v>
      </c>
      <c r="UV12" t="e">
        <f t="shared" si="204"/>
        <v>#N/A</v>
      </c>
      <c r="UW12" t="e">
        <f t="shared" si="170"/>
        <v>#N/A</v>
      </c>
      <c r="UX12">
        <f>IF(COUNTIF('Final Calculation Sheet'!$AL12:$BM12,0)+COUNTIF('Final Calculation Sheet'!$BO12:$BS12,0)&gt;0,0,1)</f>
        <v>1</v>
      </c>
      <c r="UY12" t="b">
        <f>IF($EY$12="",FALSE,SUMPRODUCT(('Final Calculation Sheet'!$AC$4:$AC$40=$EY$12)*($UX$4:$UX$40=1))&gt;0)</f>
        <v>1</v>
      </c>
      <c r="UZ12">
        <f t="shared" si="205"/>
        <v>9</v>
      </c>
      <c r="VA12">
        <f t="shared" si="171"/>
        <v>47964</v>
      </c>
      <c r="VB12">
        <f>IF(COUNTIF('Final Calculation Sheet'!$AL12:$BN12,0)+COUNTIF('Final Calculation Sheet'!$BP12:$BS12,0)&gt;0,0,1)</f>
        <v>1</v>
      </c>
      <c r="VC12" t="b">
        <f>IF($FD$12="",FALSE,SUMPRODUCT(('Final Calculation Sheet'!$AD$4:$AD$40=$FD$12)*($VB$4:$VB$40=1))&gt;0)</f>
        <v>1</v>
      </c>
      <c r="VD12">
        <f t="shared" si="206"/>
        <v>9</v>
      </c>
      <c r="VE12">
        <f t="shared" si="172"/>
        <v>50031</v>
      </c>
      <c r="VF12">
        <f>IF(COUNTIF('Final Calculation Sheet'!$AL12:$BO12,0)+COUNTIF('Final Calculation Sheet'!$BQ12:$BS12,0)&gt;0,0,1)</f>
        <v>1</v>
      </c>
      <c r="VG12" t="e">
        <f>IF($FI$12="",FALSE,SUMPRODUCT(('Final Calculation Sheet'!$AE$4:$AE$40=$FI$12)*($VF$4:$VF$40=1))&gt;0)</f>
        <v>#N/A</v>
      </c>
      <c r="VH12" t="e">
        <f t="shared" si="207"/>
        <v>#N/A</v>
      </c>
      <c r="VI12" t="e">
        <f t="shared" si="173"/>
        <v>#N/A</v>
      </c>
      <c r="VJ12">
        <f>IF(COUNTIF('Final Calculation Sheet'!$AL12:$BP12,0)+COUNTIF('Final Calculation Sheet'!$BR12:$BS12,0)&gt;0,0,1)</f>
        <v>1</v>
      </c>
      <c r="VK12" t="e">
        <f>IF($FN$12="",FALSE,SUMPRODUCT(('Final Calculation Sheet'!$AF$4:$AF$40=$FN$12)*($VJ$4:$VJ$40=1))&gt;0)</f>
        <v>#N/A</v>
      </c>
      <c r="VL12" t="e">
        <f t="shared" si="208"/>
        <v>#N/A</v>
      </c>
      <c r="VM12" t="e">
        <f t="shared" si="174"/>
        <v>#N/A</v>
      </c>
      <c r="VN12">
        <f>IF(COUNTIF('Final Calculation Sheet'!$AL12:$BQ12,0)+COUNTIF('Final Calculation Sheet'!$BS12:$BS12,0)&gt;0,0,1)</f>
        <v>1</v>
      </c>
      <c r="VO12" t="e">
        <f>IF($FS$12="",FALSE,SUMPRODUCT(('Final Calculation Sheet'!$AG$4:$AG$40=$FS$12)*($VN$4:$VN$40=1))&gt;0)</f>
        <v>#N/A</v>
      </c>
      <c r="VP12" t="e">
        <f t="shared" si="209"/>
        <v>#N/A</v>
      </c>
      <c r="VQ12" t="e">
        <f t="shared" si="175"/>
        <v>#N/A</v>
      </c>
      <c r="VR12">
        <f>IF(COUNTIF('Final Calculation Sheet'!$AL12:$BR12,0)&gt;0,0,1)</f>
        <v>1</v>
      </c>
      <c r="VS12" t="e">
        <f>IF($QO$12="",FALSE,SUMPRODUCT(('Final Calculation Sheet'!$AH$4:$AH$40=$QO$12)*($VR$4:$VR$40=1))&gt;0)</f>
        <v>#N/A</v>
      </c>
      <c r="VT12" t="e">
        <f t="shared" si="210"/>
        <v>#N/A</v>
      </c>
      <c r="VU12" t="e">
        <f t="shared" si="176"/>
        <v>#N/A</v>
      </c>
    </row>
    <row r="13" spans="1:593" x14ac:dyDescent="0.3">
      <c r="A13">
        <f>IF('Final Calculation Sheet'!$F$13="","",'Final Calculation Sheet'!$F$13)</f>
        <v>2006</v>
      </c>
      <c r="B13">
        <f>IF(A13="","",COUNTIFS(A$4:A$114,"&lt;"&amp;A13,A$4:A$114,"&lt;&gt;"&amp;"")+COUNTIF(A$4:A13,A13))</f>
        <v>10</v>
      </c>
      <c r="C13">
        <f t="shared" si="0"/>
        <v>2006</v>
      </c>
      <c r="D13">
        <f>D12+IF(AND(C13&lt;&gt;"",COUNTIF(C$4:C13,C13)=1),1,0)</f>
        <v>10</v>
      </c>
      <c r="E13" t="e">
        <f t="shared" si="1"/>
        <v>#N/A</v>
      </c>
      <c r="F13">
        <f t="shared" si="2"/>
        <v>10</v>
      </c>
      <c r="G13">
        <f>IF(F13="","",COUNTIFS(F$4:F$40,"&lt;"&amp;F13,F$4:F$40,"&lt;&gt;"&amp;"")+COUNTIF(F$4:F13,F13))</f>
        <v>10</v>
      </c>
      <c r="H13">
        <f t="shared" si="3"/>
        <v>10</v>
      </c>
      <c r="I13">
        <f>I12+IF(AND(H13&lt;&gt;"",COUNTIF(H$4:H13,H13)=1),1,0)</f>
        <v>10</v>
      </c>
      <c r="J13">
        <f t="shared" si="4"/>
        <v>10</v>
      </c>
      <c r="K13">
        <f>IF('Final Calculation Sheet'!$F$13="","",'Final Calculation Sheet'!$F$13)</f>
        <v>2006</v>
      </c>
      <c r="L13">
        <f>IF(K13="","",COUNTIFS(K$4:K$40,"&lt;"&amp;K13,K$4:K$40,"&lt;&gt;"&amp;"")+COUNTIF(K$4:K13,K13))</f>
        <v>10</v>
      </c>
      <c r="M13">
        <f t="shared" si="5"/>
        <v>2006</v>
      </c>
      <c r="N13">
        <f>N12+IF(AND(M13&lt;&gt;"",COUNTIF(M$4:M13,M13)=1),1,0)</f>
        <v>10</v>
      </c>
      <c r="O13">
        <f t="shared" si="6"/>
        <v>2006</v>
      </c>
      <c r="P13" t="str">
        <f>IF('Final Calculation Sheet'!$G$13="","",'Final Calculation Sheet'!$G$13)</f>
        <v>STERLING ENTERPRISES</v>
      </c>
      <c r="Q13">
        <f>IF(P13="","",COUNTIFS(P$4:P$40,"&lt;"&amp;P13,P$4:P$40,"&lt;&gt;"&amp;"")+COUNTIF(P$4:P13,P13))</f>
        <v>28</v>
      </c>
      <c r="R13" t="str">
        <f t="shared" si="7"/>
        <v>NATIONAL ENTERPRISES</v>
      </c>
      <c r="S13">
        <f>S12+IF(AND(R13&lt;&gt;"",COUNTIF(R$4:R13,R13)=1),1,0)</f>
        <v>6</v>
      </c>
      <c r="T13" t="str">
        <f t="shared" si="8"/>
        <v>SAHARA ENTERPRISES</v>
      </c>
      <c r="U13" t="str">
        <f>IF('Final Calculation Sheet'!$B$13="","",'Final Calculation Sheet'!$B$13)</f>
        <v>Scrap of empty oil drums</v>
      </c>
      <c r="V13">
        <f>IF(U13="","",COUNTIFS(U$4:U$40,"&lt;"&amp;U13,U$4:U$40,"&lt;&gt;"&amp;"")+COUNTIF(U$4:U13,U13))</f>
        <v>33</v>
      </c>
      <c r="W13" t="str">
        <f t="shared" si="9"/>
        <v>Scrap of 132 KV CT</v>
      </c>
      <c r="X13">
        <f>X12+IF(AND(W13&lt;&gt;"",COUNTIF(W$4:W13,W13)=1),1,0)</f>
        <v>6</v>
      </c>
      <c r="Y13" t="str">
        <f t="shared" si="10"/>
        <v>Scrap of 220 KV CT</v>
      </c>
      <c r="Z13">
        <f>IF('Final Calculation Sheet'!$D$13="","",'Final Calculation Sheet'!$D$13)</f>
        <v>21977</v>
      </c>
      <c r="AA13">
        <f>IF(Z13="","",COUNTIFS(Z$4:Z$40,"&lt;"&amp;Z13,Z$4:Z$40,"&lt;&gt;"&amp;"")+COUNTIF(Z$4:Z13,Z13))</f>
        <v>8</v>
      </c>
      <c r="AB13">
        <f t="shared" si="11"/>
        <v>21977</v>
      </c>
      <c r="AC13">
        <f>AC12+IF(AND(AB13&lt;&gt;"",COUNTIF(AB$4:AB13,AB13)=1),1,0)</f>
        <v>1</v>
      </c>
      <c r="AD13" t="str">
        <f t="shared" si="12"/>
        <v/>
      </c>
      <c r="AE13">
        <f>IF('Final Calculation Sheet'!$A$13="","",'Final Calculation Sheet'!$A$13)</f>
        <v>25</v>
      </c>
      <c r="AF13">
        <f>IF(AE13="","",COUNTIFS(AE$4:AE$40,"&lt;"&amp;AE13,AE$4:AE$40,"&lt;&gt;"&amp;"")+COUNTIF(AE$4:AE13,AE13))</f>
        <v>23</v>
      </c>
      <c r="AG13">
        <f t="shared" si="13"/>
        <v>2</v>
      </c>
      <c r="AH13">
        <f>AH12+IF(AND(AG13&lt;&gt;"",COUNTIF(AG$4:AG13,AG13)=1),1,0)</f>
        <v>2</v>
      </c>
      <c r="AI13">
        <f t="shared" si="14"/>
        <v>30</v>
      </c>
      <c r="AJ13" t="str">
        <f>IF('Final Calculation Sheet'!$E$13="","",'Final Calculation Sheet'!$E$13)</f>
        <v>NO</v>
      </c>
      <c r="AK13">
        <f>IF(AJ13="","",COUNTIFS(AJ$4:AJ$40,"&lt;"&amp;AJ13,AJ$4:AJ$40,"&lt;&gt;"&amp;"")+COUNTIF(AJ$4:AJ13,AJ13))</f>
        <v>13</v>
      </c>
      <c r="AL13" t="str">
        <f t="shared" si="15"/>
        <v>NO</v>
      </c>
      <c r="AM13">
        <f>AM12+IF(AND(AL13&lt;&gt;"",COUNTIF(AL$4:AL13,AL13)=1),1,0)</f>
        <v>3</v>
      </c>
      <c r="AN13" t="str">
        <f t="shared" si="16"/>
        <v/>
      </c>
      <c r="AO13" s="50">
        <f>IF('Final Calculation Sheet'!$C$13="","",'Final Calculation Sheet'!$C$13)</f>
        <v>700</v>
      </c>
      <c r="AP13">
        <f>IF(AO13="","",COUNTIFS(AO$4:AO$40,"&lt;"&amp;AO13,AO$4:AO$40,"&lt;&gt;"&amp;"")+COUNTIF(AO$4:AO13,AO13))</f>
        <v>10</v>
      </c>
      <c r="AQ13" s="50">
        <f t="shared" si="17"/>
        <v>700</v>
      </c>
      <c r="AR13">
        <f>AR12+IF(AND(AQ13&lt;&gt;"",COUNTIF(AQ$4:AQ13,AQ13)=1),1,0)</f>
        <v>10</v>
      </c>
      <c r="AS13" s="50">
        <f t="shared" si="18"/>
        <v>700</v>
      </c>
      <c r="AT13" s="50">
        <f>IF('Final Calculation Sheet'!$H$13="","",'Final Calculation Sheet'!$H$13)</f>
        <v>17500</v>
      </c>
      <c r="AU13">
        <f>IF(AT13="","",COUNTIFS(AT$4:AT$40,"&lt;"&amp;AT13,AT$4:AT$40,"&lt;&gt;"&amp;"")+COUNTIF(AT$4:AT13,AT13))</f>
        <v>2</v>
      </c>
      <c r="AV13" s="50">
        <f t="shared" si="19"/>
        <v>54000</v>
      </c>
      <c r="AW13">
        <f>AW12+IF(AND(AV13&lt;&gt;"",COUNTIF(AV$4:AV13,AV13)=1),1,0)</f>
        <v>10</v>
      </c>
      <c r="AX13" s="50">
        <f t="shared" si="20"/>
        <v>54000</v>
      </c>
      <c r="AY13" s="50">
        <f>IF('Final Calculation Sheet'!$I$13="","",'Final Calculation Sheet'!$I$13)</f>
        <v>3150</v>
      </c>
      <c r="AZ13">
        <f>IF(AY13="","",COUNTIFS(AY$4:AY$40,"&lt;"&amp;AY13,AY$4:AY$40,"&lt;&gt;"&amp;"")+COUNTIF(AY$4:AY13,AY13))</f>
        <v>2</v>
      </c>
      <c r="BA13" s="50">
        <f t="shared" si="21"/>
        <v>9720</v>
      </c>
      <c r="BB13">
        <f>BB12+IF(AND(BA13&lt;&gt;"",COUNTIF(BA$4:BA13,BA13)=1),1,0)</f>
        <v>10</v>
      </c>
      <c r="BC13" s="50">
        <f t="shared" si="22"/>
        <v>9720</v>
      </c>
      <c r="BD13" s="50">
        <f>IF('Final Calculation Sheet'!$J$13="","",'Final Calculation Sheet'!$J$13)</f>
        <v>20650</v>
      </c>
      <c r="BE13">
        <f>IF(BD13="","",COUNTIFS(BD$4:BD$40,"&lt;"&amp;BD13,BD$4:BD$40,"&lt;&gt;"&amp;"")+COUNTIF(BD$4:BD13,BD13))</f>
        <v>2</v>
      </c>
      <c r="BF13" s="50">
        <f t="shared" si="23"/>
        <v>63720</v>
      </c>
      <c r="BG13">
        <f>BG12+IF(AND(BF13&lt;&gt;"",COUNTIF(BF$4:BF13,BF13)=1),1,0)</f>
        <v>10</v>
      </c>
      <c r="BH13" s="50">
        <f t="shared" si="24"/>
        <v>63720</v>
      </c>
      <c r="BI13" s="50">
        <f>IF('Final Calculation Sheet'!$K$13="","",'Final Calculation Sheet'!$K$13)</f>
        <v>413</v>
      </c>
      <c r="BJ13">
        <f>IF(BI13="","",COUNTIFS(BI$4:BI$40,"&lt;"&amp;BI13,BI$4:BI$40,"&lt;&gt;"&amp;"")+COUNTIF(BI$4:BI13,BI13))</f>
        <v>2</v>
      </c>
      <c r="BK13" s="50">
        <f t="shared" si="25"/>
        <v>1274</v>
      </c>
      <c r="BL13">
        <f>BL12+IF(AND(BK13&lt;&gt;"",COUNTIF(BK$4:BK13,BK13)=1),1,0)</f>
        <v>10</v>
      </c>
      <c r="BM13" s="50">
        <f t="shared" si="26"/>
        <v>1274</v>
      </c>
      <c r="BN13" s="50">
        <f>IF('Final Calculation Sheet'!$L$13="","",'Final Calculation Sheet'!$L$13)</f>
        <v>17.5</v>
      </c>
      <c r="BO13">
        <f>IF(BN13="","",COUNTIFS(BN$4:BN$40,"&lt;"&amp;BN13,BN$4:BN$40,"&lt;&gt;"&amp;"")+COUNTIF(BN$4:BN13,BN13))</f>
        <v>2</v>
      </c>
      <c r="BP13" s="50">
        <f t="shared" si="27"/>
        <v>54</v>
      </c>
      <c r="BQ13">
        <f>BQ12+IF(AND(BP13&lt;&gt;"",COUNTIF(BP$4:BP13,BP13)=1),1,0)</f>
        <v>10</v>
      </c>
      <c r="BR13" s="50">
        <f t="shared" si="28"/>
        <v>54</v>
      </c>
      <c r="BS13" s="50">
        <f>IF('Final Calculation Sheet'!$M$13="","",'Final Calculation Sheet'!$M$13)</f>
        <v>464.625</v>
      </c>
      <c r="BT13">
        <f>IF(BS13="","",COUNTIFS(BS$4:BS$40,"&lt;"&amp;BS13,BS$4:BS$40,"&lt;&gt;"&amp;"")+COUNTIF(BS$4:BS13,BS13))</f>
        <v>2</v>
      </c>
      <c r="BU13" s="50">
        <f t="shared" si="29"/>
        <v>1433.6999999999998</v>
      </c>
      <c r="BV13">
        <f>BV12+IF(AND(BU13&lt;&gt;"",COUNTIF(BU$4:BU13,BU13)=1),1,0)</f>
        <v>10</v>
      </c>
      <c r="BW13" s="50">
        <f t="shared" si="30"/>
        <v>1433.6999999999998</v>
      </c>
      <c r="BX13" s="126">
        <f>IF('Final Calculation Sheet'!$N$13="","",'Final Calculation Sheet'!$N$13)</f>
        <v>7.875</v>
      </c>
      <c r="BY13">
        <f>IF(BX13="","",COUNTIFS(BX$4:BX$40,"&lt;"&amp;BX13,BX$4:BX$40,"&lt;&gt;"&amp;"")+COUNTIF(BX$4:BX13,BX13))</f>
        <v>2</v>
      </c>
      <c r="BZ13" s="126">
        <f t="shared" si="31"/>
        <v>24.3</v>
      </c>
      <c r="CA13">
        <f>CA12+IF(AND(BZ13&lt;&gt;"",COUNTIF(BZ$4:BZ13,BZ13)=1),1,0)</f>
        <v>10</v>
      </c>
      <c r="CB13" s="126">
        <f t="shared" si="32"/>
        <v>24.3</v>
      </c>
      <c r="CC13" s="50">
        <f>IF('Final Calculation Sheet'!$O$13="","",'Final Calculation Sheet'!$O$13)</f>
        <v>456.75</v>
      </c>
      <c r="CD13">
        <f>IF(CC13="","",COUNTIFS(CC$4:CC$40,"&lt;"&amp;CC13,CC$4:CC$40,"&lt;&gt;"&amp;"")+COUNTIF(CC$4:CC13,CC13))</f>
        <v>2</v>
      </c>
      <c r="CE13" s="50">
        <f t="shared" si="33"/>
        <v>1409.3999999999999</v>
      </c>
      <c r="CF13">
        <f>CF12+IF(AND(CE13&lt;&gt;"",COUNTIF(CE$4:CE13,CE13)=1),1,0)</f>
        <v>10</v>
      </c>
      <c r="CG13" s="50">
        <f t="shared" si="34"/>
        <v>1409.3999999999999</v>
      </c>
      <c r="CH13" s="50">
        <f>IF('Final Calculation Sheet'!$P$13="","",'Final Calculation Sheet'!$P$13)</f>
        <v>474</v>
      </c>
      <c r="CI13">
        <f>IF(CH13="","",COUNTIFS(CH$4:CH$40,"&lt;"&amp;CH13,CH$4:CH$40,"&lt;&gt;"&amp;"")+COUNTIF(CH$4:CH13,CH13))</f>
        <v>2</v>
      </c>
      <c r="CJ13" s="50">
        <f t="shared" si="35"/>
        <v>1463</v>
      </c>
      <c r="CK13">
        <f>CK12+IF(AND(CJ13&lt;&gt;"",COUNTIF(CJ$4:CJ13,CJ13)=1),1,0)</f>
        <v>10</v>
      </c>
      <c r="CL13" s="50">
        <f t="shared" si="36"/>
        <v>1463</v>
      </c>
      <c r="CM13" s="127">
        <f>IF('Final Calculation Sheet'!$Q$13="","",'Final Calculation Sheet'!$Q$13)</f>
        <v>0</v>
      </c>
      <c r="CN13">
        <f>IF(CM13="","",COUNTIFS(CM$4:CM$40,"&lt;"&amp;CM13,CM$4:CM$40,"&lt;&gt;"&amp;"")+COUNTIF(CM$4:CM13,CM13))</f>
        <v>8</v>
      </c>
      <c r="CO13" s="127">
        <f t="shared" si="37"/>
        <v>0</v>
      </c>
      <c r="CP13">
        <f>CP12+IF(AND(CO13&lt;&gt;"",COUNTIF(CO$4:CO13,CO13)=1),1,0)</f>
        <v>1</v>
      </c>
      <c r="CQ13" t="str">
        <f t="shared" si="38"/>
        <v/>
      </c>
      <c r="CR13" s="50">
        <f>IF('Final Calculation Sheet'!$R$13="","",'Final Calculation Sheet'!$R$13)</f>
        <v>0</v>
      </c>
      <c r="CS13">
        <f>IF(CR13="","",COUNTIFS(CR$4:CR$40,"&lt;"&amp;CR13,CR$4:CR$40,"&lt;&gt;"&amp;"")+COUNTIF(CR$4:CR13,CR13))</f>
        <v>8</v>
      </c>
      <c r="CT13" s="50">
        <f t="shared" si="39"/>
        <v>0</v>
      </c>
      <c r="CU13">
        <f>CU12+IF(AND(CT13&lt;&gt;"",COUNTIF(CT$4:CT13,CT13)=1),1,0)</f>
        <v>1</v>
      </c>
      <c r="CV13" t="str">
        <f t="shared" si="40"/>
        <v/>
      </c>
      <c r="CW13" s="50">
        <f>IF('Final Calculation Sheet'!$S$13="","",'Final Calculation Sheet'!$S$13)</f>
        <v>20589</v>
      </c>
      <c r="CX13">
        <f>IF(CW13="","",COUNTIFS(CW$4:CW$40,"&lt;"&amp;CW13,CW$4:CW$40,"&lt;&gt;"&amp;"")+COUNTIF(CW$4:CW13,CW13))</f>
        <v>2</v>
      </c>
      <c r="CY13" s="50">
        <f t="shared" si="41"/>
        <v>63531</v>
      </c>
      <c r="CZ13">
        <f>CZ12+IF(AND(CY13&lt;&gt;"",COUNTIF(CY$4:CY13,CY13)=1),1,0)</f>
        <v>10</v>
      </c>
      <c r="DA13" s="50">
        <f t="shared" si="42"/>
        <v>63531</v>
      </c>
      <c r="DB13" s="50">
        <f>IF('Final Calculation Sheet'!$T$13="","",'Final Calculation Sheet'!$T$13)</f>
        <v>4375</v>
      </c>
      <c r="DC13">
        <f>IF(DB13="","",COUNTIFS(DB$4:DB$40,"&lt;"&amp;DB13,DB$4:DB$40,"&lt;&gt;"&amp;"")+COUNTIF(DB$4:DB13,DB13))</f>
        <v>2</v>
      </c>
      <c r="DD13" s="50">
        <f t="shared" si="43"/>
        <v>13500</v>
      </c>
      <c r="DE13">
        <f>DE12+IF(AND(DD13&lt;&gt;"",COUNTIF(DD$4:DD13,DD13)=1),1,0)</f>
        <v>10</v>
      </c>
      <c r="DF13" s="50">
        <f t="shared" si="44"/>
        <v>13500</v>
      </c>
      <c r="DG13" s="128">
        <f>IF('Final Calculation Sheet'!$U$13="","",'Final Calculation Sheet'!$U$13)</f>
        <v>4375</v>
      </c>
      <c r="DH13">
        <f>IF(DG13="","",COUNTIFS(DG$4:DG$40,"&lt;"&amp;DG13,DG$4:DG$40,"&lt;&gt;"&amp;"")+COUNTIF(DG$4:DG13,DG13))</f>
        <v>2</v>
      </c>
      <c r="DI13" s="128">
        <f t="shared" si="45"/>
        <v>13500</v>
      </c>
      <c r="DJ13">
        <f>DJ12+IF(AND(DI13&lt;&gt;"",COUNTIF(DI$4:DI13,DI13)=1),1,0)</f>
        <v>10</v>
      </c>
      <c r="DK13" s="128">
        <f t="shared" si="46"/>
        <v>13500</v>
      </c>
      <c r="DL13" t="str">
        <f>IF('Final Calculation Sheet'!$V$13="","",'Final Calculation Sheet'!$V$13)</f>
        <v>11.08.2026</v>
      </c>
      <c r="DM13">
        <f>IF(DL13="","",COUNTIFS(DL$4:DL$40,"&lt;"&amp;DL13,DL$4:DL$40,"&lt;&gt;"&amp;"")+COUNTIF(DL$4:DL13,DL13))</f>
        <v>4</v>
      </c>
      <c r="DN13" t="str">
        <f t="shared" si="47"/>
        <v>11.08.2026</v>
      </c>
      <c r="DO13">
        <f>DO12+IF(AND(DN13&lt;&gt;"",COUNTIF(DN$4:DN13,DN13)=1),1,0)</f>
        <v>2</v>
      </c>
      <c r="DP13" t="str">
        <f t="shared" si="48"/>
        <v/>
      </c>
      <c r="DQ13" s="50">
        <f>IF('Final Calculation Sheet'!$W$13="","",'Final Calculation Sheet'!$W$13)</f>
        <v>16214</v>
      </c>
      <c r="DR13">
        <f>IF(DQ13="","",COUNTIFS(DQ$4:DQ$40,"&lt;"&amp;DQ13,DQ$4:DQ$40,"&lt;&gt;"&amp;"")+COUNTIF(DQ$4:DQ13,DQ13))</f>
        <v>2</v>
      </c>
      <c r="DS13" s="50">
        <f t="shared" si="49"/>
        <v>50031</v>
      </c>
      <c r="DT13">
        <f>DT12+IF(AND(DS13&lt;&gt;"",COUNTIF(DS$4:DS13,DS13)=1),1,0)</f>
        <v>10</v>
      </c>
      <c r="DU13" s="50">
        <f t="shared" si="50"/>
        <v>50031</v>
      </c>
      <c r="DV13" s="50">
        <f>IF('Final Calculation Sheet'!$X$13="","",'Final Calculation Sheet'!$X$13)</f>
        <v>16214</v>
      </c>
      <c r="DW13">
        <f>IF(DV13="","",COUNTIFS(DV$4:DV$40,"&lt;"&amp;DV13,DV$4:DV$40,"&lt;&gt;"&amp;"")+COUNTIF(DV$4:DV13,DV13))</f>
        <v>2</v>
      </c>
      <c r="DX13" s="50">
        <f t="shared" si="51"/>
        <v>58418</v>
      </c>
      <c r="DY13">
        <f>DY12+IF(AND(DX13&lt;&gt;"",COUNTIF(DX$4:DX13,DX13)=1),1,0)</f>
        <v>10</v>
      </c>
      <c r="DZ13" t="e">
        <f t="shared" si="52"/>
        <v>#N/A</v>
      </c>
      <c r="EA13" t="str">
        <f>IF('Final Calculation Sheet'!$Y$13="","",'Final Calculation Sheet'!$Y$13)</f>
        <v>11.08.2026</v>
      </c>
      <c r="EB13">
        <f>IF(EA13="","",COUNTIFS(EA$4:EA$40,"&lt;"&amp;EA13,EA$4:EA$40,"&lt;&gt;"&amp;"")+COUNTIF(EA$4:EA13,EA13))</f>
        <v>4</v>
      </c>
      <c r="EC13" t="str">
        <f t="shared" si="53"/>
        <v>13.08.2026</v>
      </c>
      <c r="ED13">
        <f>ED12+IF(AND(EC13&lt;&gt;"",COUNTIF(EC$4:EC13,EC13)=1),1,0)</f>
        <v>4</v>
      </c>
      <c r="EE13" t="e">
        <f t="shared" si="54"/>
        <v>#N/A</v>
      </c>
      <c r="EF13" s="50">
        <f ca="1">IF('Final Calculation Sheet'!$Z$13="","",'Final Calculation Sheet'!$Z$13)</f>
        <v>619.5</v>
      </c>
      <c r="EG13">
        <f ca="1">IF(EF13="","",COUNTIFS(EF$4:EF$40,"&lt;"&amp;EF13,EF$4:EF$40,"&lt;&gt;"&amp;"")+COUNTIF(EF$4:EF13,EF13))</f>
        <v>2</v>
      </c>
      <c r="EH13" s="50">
        <f t="shared" ca="1" si="55"/>
        <v>1911.6</v>
      </c>
      <c r="EI13">
        <f ca="1">EI12+IF(AND(EH13&lt;&gt;"",COUNTIF(EH$4:EH13,EH13)=1),1,0)</f>
        <v>10</v>
      </c>
      <c r="EJ13">
        <f t="shared" ca="1" si="56"/>
        <v>1911.6</v>
      </c>
      <c r="EK13" t="str">
        <f>IF('Final Calculation Sheet'!$AA$13="","",'Final Calculation Sheet'!$AA$13)</f>
        <v/>
      </c>
      <c r="EL13" t="str">
        <f>IF(EK13="","",COUNTIFS(EK$4:EK$40,"&lt;"&amp;EK13,EK$4:EK$40,"&lt;&gt;"&amp;"")+COUNTIF(EK$4:EK13,EK13))</f>
        <v/>
      </c>
      <c r="EM13" t="e">
        <f t="shared" si="57"/>
        <v>#N/A</v>
      </c>
      <c r="EN13" t="e">
        <f>EN12+IF(AND(EM13&lt;&gt;"",COUNTIF(EM$4:EM13,EM13)=1),1,0)</f>
        <v>#N/A</v>
      </c>
      <c r="EO13" t="e">
        <f t="shared" si="58"/>
        <v>#N/A</v>
      </c>
      <c r="EP13" t="str">
        <f>IF('Final Calculation Sheet'!$AB$13="","",'Final Calculation Sheet'!$AB$13)</f>
        <v/>
      </c>
      <c r="EQ13" t="str">
        <f>IF(EP13="","",COUNTIFS(EP$4:EP$40,"&lt;"&amp;EP13,EP$4:EP$40,"&lt;&gt;"&amp;"")+COUNTIF(EP$4:EP13,EP13))</f>
        <v/>
      </c>
      <c r="ER13" t="e">
        <f t="shared" si="59"/>
        <v>#N/A</v>
      </c>
      <c r="ES13" t="e">
        <f>ES12+IF(AND(ER13&lt;&gt;"",COUNTIF(ER$4:ER13,ER13)=1),1,0)</f>
        <v>#N/A</v>
      </c>
      <c r="ET13" t="e">
        <f t="shared" si="60"/>
        <v>#N/A</v>
      </c>
      <c r="EU13" s="50">
        <f>IF('Final Calculation Sheet'!$AC$13="","",'Final Calculation Sheet'!$AC$13)</f>
        <v>20589</v>
      </c>
      <c r="EV13">
        <f>IF(EU13="","",COUNTIFS(EU$4:EU$40,"&lt;"&amp;EU13,EU$4:EU$40,"&lt;&gt;"&amp;"")+COUNTIF(EU$4:EU13,EU13))</f>
        <v>3</v>
      </c>
      <c r="EW13" s="50">
        <f t="shared" si="61"/>
        <v>58829</v>
      </c>
      <c r="EX13">
        <f>EX12+IF(AND(EW13&lt;&gt;"",COUNTIF(EW$4:EW13,EW13)=1),1,0)</f>
        <v>10</v>
      </c>
      <c r="EY13" s="50">
        <f t="shared" si="62"/>
        <v>58829</v>
      </c>
      <c r="EZ13" s="50">
        <f>IF('Final Calculation Sheet'!$AD$13="","",'Final Calculation Sheet'!$AD$13)</f>
        <v>0</v>
      </c>
      <c r="FA13">
        <f>IF(EZ13="","",COUNTIFS(EZ$4:EZ$40,"&lt;"&amp;EZ13,EZ$4:EZ$40,"&lt;&gt;"&amp;"")+COUNTIF(EZ$4:EZ13,EZ13))</f>
        <v>13</v>
      </c>
      <c r="FB13" s="50">
        <f t="shared" si="63"/>
        <v>0</v>
      </c>
      <c r="FC13">
        <f>FC12+IF(AND(FB13&lt;&gt;"",COUNTIF(FB$4:FB13,FB13)=1),1,0)</f>
        <v>7</v>
      </c>
      <c r="FD13" s="50">
        <f t="shared" si="64"/>
        <v>250160</v>
      </c>
      <c r="FE13" t="str">
        <f>IF('Final Calculation Sheet'!$AF$13="","",'Final Calculation Sheet'!$AF$13)</f>
        <v>DR2640100018</v>
      </c>
      <c r="FF13">
        <f>IF(FE13="","",COUNTIFS(FE$4:FE$40,"&lt;"&amp;FE13,FE$4:FE$40,"&lt;&gt;"&amp;"")+COUNTIF(FE$4:FE13,FE13))</f>
        <v>7</v>
      </c>
      <c r="FG13" t="str">
        <f t="shared" si="65"/>
        <v>DR2640100021</v>
      </c>
      <c r="FH13" t="e">
        <f>FH12+IF(AND(FG13&lt;&gt;"",COUNTIF(FG$4:FG13,FG13)=1),1,0)</f>
        <v>#N/A</v>
      </c>
      <c r="FI13" t="e">
        <f t="shared" si="66"/>
        <v>#N/A</v>
      </c>
      <c r="FJ13" s="129">
        <f>IF('Final Calculation Sheet'!$AG$13="","",'Final Calculation Sheet'!$AG$13)</f>
        <v>1800003156</v>
      </c>
      <c r="FK13">
        <f>IF(FJ13="","",COUNTIFS(FJ$4:FJ$40,"&lt;"&amp;FJ13,FJ$4:FJ$40,"&lt;&gt;"&amp;"")+COUNTIF(FJ$4:FJ13,FJ13))</f>
        <v>2</v>
      </c>
      <c r="FL13" s="129">
        <f t="shared" si="67"/>
        <v>1800003247</v>
      </c>
      <c r="FM13">
        <f>FM12+IF(AND(FL13&lt;&gt;"",COUNTIF(FL$4:FL13,FL13)=1),1,0)</f>
        <v>10</v>
      </c>
      <c r="FN13" t="e">
        <f t="shared" si="68"/>
        <v>#N/A</v>
      </c>
      <c r="FO13" t="str">
        <f>IF('Final Calculation Sheet'!$AH$13="","",'Final Calculation Sheet'!$AH$13)</f>
        <v>14.08.2026</v>
      </c>
      <c r="FP13">
        <f>IF(FO13="","",COUNTIFS(FO$4:FO$40,"&lt;"&amp;FO13,FO$4:FO$40,"&lt;&gt;"&amp;"")+COUNTIF(FO$4:FO13,FO13))</f>
        <v>7</v>
      </c>
      <c r="FQ13" t="str">
        <f t="shared" si="69"/>
        <v>14.08.2026</v>
      </c>
      <c r="FR13" t="e">
        <f>FR12+IF(AND(FQ13&lt;&gt;"",COUNTIF(FQ$4:FQ13,FQ13)=1),1,0)</f>
        <v>#N/A</v>
      </c>
      <c r="FS13" t="e">
        <f t="shared" si="70"/>
        <v>#N/A</v>
      </c>
      <c r="FU13" t="str">
        <f>IF(FT13="","",COUNTIFS(FT$4:FT$40,"&lt;"&amp;FT13,FT$4:FT$40,"&lt;&gt;"&amp;"")+COUNTIF(FT$4:FT13,FT13))</f>
        <v/>
      </c>
      <c r="FV13" t="str">
        <f t="shared" si="71"/>
        <v/>
      </c>
      <c r="FW13">
        <f>FW12+IF(AND(FV13&lt;&gt;"",COUNTIF(FV$4:FV13,FV13)=1),1,0)</f>
        <v>2</v>
      </c>
      <c r="FX13" t="str">
        <f t="shared" si="72"/>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3" t="b">
        <f>IF($Y$13="",FALSE,SUMPRODUCT(('Final Calculation Sheet'!$B$4:$B$40=$Y$13)*($FY$6:$FY$42=1))&gt;0)</f>
        <v>1</v>
      </c>
      <c r="GA13">
        <f>$GA$12+--($FZ$13)</f>
        <v>10</v>
      </c>
      <c r="GB13" t="str">
        <f t="shared" si="73"/>
        <v>Scrap of 220 KV CT</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D13" t="b">
        <f>IF($O$13="",FALSE,SUMPRODUCT(('Final Calculation Sheet'!$F$4:$F$40=$O$13)*($GC$6:$GC$42=1))&gt;0)</f>
        <v>1</v>
      </c>
      <c r="GE13">
        <f>$GE$12+--($GD13)</f>
        <v>10</v>
      </c>
      <c r="GF13">
        <f t="shared" si="74"/>
        <v>2006</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H13" t="b">
        <f>IF($T$13="",FALSE,SUMPRODUCT(('Final Calculation Sheet'!$G$4:$G$40=$T$13)*($GG$6:$GG$42=1))&gt;0)</f>
        <v>1</v>
      </c>
      <c r="GI13">
        <f>$GI$12+--($GH13)</f>
        <v>10</v>
      </c>
      <c r="GJ13" t="str">
        <f t="shared" si="75"/>
        <v>SAHARA ENTERPRISES</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L13" t="b">
        <f>IF($AD$13="",FALSE,SUMPRODUCT(('Final Calculation Sheet'!$D$4:$D$40=$AD$13)*($GK$6:$GK$42=1))&gt;0)</f>
        <v>0</v>
      </c>
      <c r="GM13">
        <f>$GM$12+--($GL13)</f>
        <v>4</v>
      </c>
      <c r="GN13" t="str">
        <f t="shared" si="76"/>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P13" t="b">
        <f>IF($AI$13="",FALSE,SUMPRODUCT(('Final Calculation Sheet'!$A$4:$A$40=$AI$13)*($GO$6:$GO$42=1))&gt;0)</f>
        <v>1</v>
      </c>
      <c r="GQ13">
        <f>$GQ$12+--($GP13)</f>
        <v>10</v>
      </c>
      <c r="GR13">
        <f t="shared" si="77"/>
        <v>30</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T13" t="b">
        <f>IF($AN$13="",FALSE,SUMPRODUCT(('Final Calculation Sheet'!$E$4:$E$40=$AN$13)*($GS$6:$GS$42=1))&gt;0)</f>
        <v>0</v>
      </c>
      <c r="GU13">
        <f>$GU$12+--($GT13)</f>
        <v>3</v>
      </c>
      <c r="GV13" t="str">
        <f t="shared" si="78"/>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GX13" t="b">
        <f>IF($AS$13="",FALSE,SUMPRODUCT(('Final Calculation Sheet'!$C$4:$C$40=$AS$13)*($GW$6:$GW$42=1))&gt;0)</f>
        <v>1</v>
      </c>
      <c r="GY13">
        <f>$GY$12+--($GX13)</f>
        <v>10</v>
      </c>
      <c r="GZ13">
        <f t="shared" si="79"/>
        <v>700</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B13" t="b">
        <f>IF($AX$13="",FALSE,SUMPRODUCT(('Final Calculation Sheet'!$H$4:$H$40=$AX$13)*($HA$6:$HA$42=1))&gt;0)</f>
        <v>1</v>
      </c>
      <c r="HC13">
        <f>$HC$12+--($HB13)</f>
        <v>10</v>
      </c>
      <c r="HD13">
        <f t="shared" si="80"/>
        <v>54000</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F13" t="b">
        <f>IF($BC$13="",FALSE,SUMPRODUCT(('Final Calculation Sheet'!$I$4:$I$40=$BC$13)*($HE$6:$HE$42=1))&gt;0)</f>
        <v>1</v>
      </c>
      <c r="HG13">
        <f>$HG$12+--($HF13)</f>
        <v>10</v>
      </c>
      <c r="HH13">
        <f t="shared" si="81"/>
        <v>9720</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J13" t="b">
        <f>IF($BH$13="",FALSE,SUMPRODUCT(('Final Calculation Sheet'!$J$4:$J$40=$BH$13)*($HI$6:$HI$42=1))&gt;0)</f>
        <v>1</v>
      </c>
      <c r="HK13">
        <f>$HK$12+--($HJ13)</f>
        <v>10</v>
      </c>
      <c r="HL13">
        <f t="shared" si="82"/>
        <v>63720</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N13" t="b">
        <f>IF($BM$13="",FALSE,SUMPRODUCT(('Final Calculation Sheet'!$K$4:$K$40=$BM$13)*($HM$6:$HM$42=1))&gt;0)</f>
        <v>1</v>
      </c>
      <c r="HO13">
        <f>$HO$12+--($HN13)</f>
        <v>10</v>
      </c>
      <c r="HP13">
        <f t="shared" si="83"/>
        <v>1274</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R13" t="b">
        <f>IF($BR$13="",FALSE,SUMPRODUCT(('Final Calculation Sheet'!$L$4:$L$40=$BR$13)*($HQ$6:$HQ$42=1))&gt;0)</f>
        <v>1</v>
      </c>
      <c r="HS13">
        <f>$HS$12+--($HR13)</f>
        <v>10</v>
      </c>
      <c r="HT13">
        <f t="shared" si="84"/>
        <v>54</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V13" t="b">
        <f>IF($BW$13="",FALSE,SUMPRODUCT(('Final Calculation Sheet'!$M$4:$M$40=$BW$13)*($HU$6:$HU$42=1))&gt;0)</f>
        <v>1</v>
      </c>
      <c r="HW13">
        <f>$HW$12+--($HV13)</f>
        <v>10</v>
      </c>
      <c r="HX13">
        <f t="shared" si="85"/>
        <v>1433.6999999999998</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HZ13" t="b">
        <f>IF($CB$13="",FALSE,SUMPRODUCT(('Final Calculation Sheet'!$N$4:$N$40=$CB$13)*($HY$6:$HY$42=1))&gt;0)</f>
        <v>1</v>
      </c>
      <c r="IA13">
        <f>$IA$12+--($HZ13)</f>
        <v>10</v>
      </c>
      <c r="IB13">
        <f t="shared" si="86"/>
        <v>24.3</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D13" t="b">
        <f>IF($CG$13="",FALSE,SUMPRODUCT(('Final Calculation Sheet'!$O$4:$O$40=$CG$13)*($IC$6:$IC$42=1))&gt;0)</f>
        <v>1</v>
      </c>
      <c r="IE13">
        <f>$IE$12+--($ID13)</f>
        <v>10</v>
      </c>
      <c r="IF13">
        <f t="shared" si="87"/>
        <v>1409.3999999999999</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H13" t="b">
        <f>IF($CL$13="",FALSE,SUMPRODUCT(('Final Calculation Sheet'!$P$4:$P$40=$CL$13)*($IG$6:$IG$42=1))&gt;0)</f>
        <v>1</v>
      </c>
      <c r="II13">
        <f>$II$12+--($IH13)</f>
        <v>10</v>
      </c>
      <c r="IJ13">
        <f t="shared" si="88"/>
        <v>1463</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L13" t="b">
        <f>IF($CQ$13="",FALSE,SUMPRODUCT(('Final Calculation Sheet'!$Q$4:$Q$40=$CQ$13)*($IK$6:$IK$42=1))&gt;0)</f>
        <v>0</v>
      </c>
      <c r="IM13">
        <f>$IM$12+--($IL13)</f>
        <v>2</v>
      </c>
      <c r="IN13" t="str">
        <f t="shared" si="89"/>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P13" t="b">
        <f>IF($CV$13="",FALSE,SUMPRODUCT(('Final Calculation Sheet'!$R$4:$R$40=$CV$13)*($IO$6:$IO$42=1))&gt;0)</f>
        <v>0</v>
      </c>
      <c r="IQ13">
        <f>$IQ$12+--($IP13)</f>
        <v>5</v>
      </c>
      <c r="IR13" t="str">
        <f t="shared" si="90"/>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T13" t="b">
        <f>IF($DA$13="",FALSE,SUMPRODUCT(('Final Calculation Sheet'!$S$4:$S$40=$DA$13)*($IS$6:$IS$42=1))&gt;0)</f>
        <v>1</v>
      </c>
      <c r="IU13">
        <f>$IU$12+--($IT13)</f>
        <v>10</v>
      </c>
      <c r="IV13">
        <f t="shared" si="91"/>
        <v>63531</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IX13" t="b">
        <f>IF($DF$13="",FALSE,SUMPRODUCT(('Final Calculation Sheet'!$T$4:$T$40=$DF$13)*($IW$6:$IW$42=1))&gt;0)</f>
        <v>1</v>
      </c>
      <c r="IY13">
        <f>$IY$12+--($IX13)</f>
        <v>10</v>
      </c>
      <c r="IZ13">
        <f t="shared" si="92"/>
        <v>13500</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B13" t="b">
        <f>IF($DK$13="",FALSE,SUMPRODUCT(('Final Calculation Sheet'!$U$4:$U$40=$DK$13)*($JA$6:$JA$42=1))&gt;0)</f>
        <v>1</v>
      </c>
      <c r="JC13">
        <f>$JC$12+--($JB13)</f>
        <v>10</v>
      </c>
      <c r="JD13">
        <f t="shared" si="93"/>
        <v>13500</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F13" t="b">
        <f>IF($DP$13="",FALSE,SUMPRODUCT(('Final Calculation Sheet'!$V$4:$V$40=$DP$13)*($JE$6:$JE$42=1))&gt;0)</f>
        <v>0</v>
      </c>
      <c r="JG13">
        <f>$JG$12+--($JF13)</f>
        <v>6</v>
      </c>
      <c r="JH13" t="str">
        <f t="shared" si="94"/>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J13" t="b">
        <f>IF($DU$13="",FALSE,SUMPRODUCT(('Final Calculation Sheet'!$W$4:$W$40=$DU$13)*($JI$6:$JI$42=1))&gt;0)</f>
        <v>1</v>
      </c>
      <c r="JK13">
        <f>$JK$12+--($JJ13)</f>
        <v>10</v>
      </c>
      <c r="JL13">
        <f t="shared" si="95"/>
        <v>50031</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N13" t="e">
        <f>IF($DZ$13="",FALSE,SUMPRODUCT(('Final Calculation Sheet'!$X$4:$X$40=$DZ$13)*($JM$6:$JM$42=1))&gt;0)</f>
        <v>#N/A</v>
      </c>
      <c r="JO13" t="e">
        <f>$JO$12+--($JN13)</f>
        <v>#N/A</v>
      </c>
      <c r="JP13" t="e">
        <f t="shared" si="96"/>
        <v>#N/A</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R13" t="e">
        <f>IF($EE$13="",FALSE,SUMPRODUCT(('Final Calculation Sheet'!$Y$4:$Y$40=$EE$13)*($JQ$6:$JQ$42=1))&gt;0)</f>
        <v>#N/A</v>
      </c>
      <c r="JS13" t="e">
        <f>$JS$12+--($JR13)</f>
        <v>#N/A</v>
      </c>
      <c r="JT13" t="e">
        <f t="shared" si="97"/>
        <v>#N/A</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V13" t="b">
        <f ca="1">IF($EJ$13="",FALSE,SUMPRODUCT(('Final Calculation Sheet'!$Z$4:$Z$40=$EJ$13)*($JU$6:$JU$42=1))&gt;0)</f>
        <v>1</v>
      </c>
      <c r="JW13">
        <f ca="1">$JW$12+--($JV13)</f>
        <v>10</v>
      </c>
      <c r="JX13">
        <f t="shared" ca="1" si="98"/>
        <v>1911.6</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JZ13" t="e">
        <f>IF($EO$13="",FALSE,SUMPRODUCT(('Final Calculation Sheet'!$AA$4:$AA$40=$EO$13)*($JY$6:$JY$42=1))&gt;0)</f>
        <v>#N/A</v>
      </c>
      <c r="KA13" t="e">
        <f>$KA$12+--($JZ13)</f>
        <v>#N/A</v>
      </c>
      <c r="KB13" t="e">
        <f t="shared" si="99"/>
        <v>#N/A</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D13" t="e">
        <f>IF($ET$13="",FALSE,SUMPRODUCT(('Final Calculation Sheet'!$AB$4:$AB$40=$ET$13)*($KC$6:$KC$42=1))&gt;0)</f>
        <v>#N/A</v>
      </c>
      <c r="KE13" t="e">
        <f>$KE$12+--($KD13)</f>
        <v>#N/A</v>
      </c>
      <c r="KF13" t="e">
        <f t="shared" si="100"/>
        <v>#N/A</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H13" t="b">
        <f>IF($EY$13="",FALSE,SUMPRODUCT(('Final Calculation Sheet'!$AC$4:$AC$40=$EY$13)*($KG$6:$KG$42=1))&gt;0)</f>
        <v>1</v>
      </c>
      <c r="KI13">
        <f>$KI$12+--($KH13)</f>
        <v>10</v>
      </c>
      <c r="KJ13">
        <f t="shared" si="101"/>
        <v>58829</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L13" t="b">
        <f>IF($FD$13="",FALSE,SUMPRODUCT(('Final Calculation Sheet'!$AD$4:$AD$40=$FD$13)*($KK$6:$KK$42=1))&gt;0)</f>
        <v>1</v>
      </c>
      <c r="KM13">
        <f>$KM$12+--($KL13)</f>
        <v>10</v>
      </c>
      <c r="KN13">
        <f t="shared" si="102"/>
        <v>250160</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P13" t="b">
        <f>IF($FX$13="",FALSE,SUMPRODUCT((IF('Final Calculation Sheet'!$AD$4:$AD$40&lt;=5,"SETTLED","OUTSTANDING")=$FX$13)*($KO$6:$KO$42=1))&gt;0)</f>
        <v>0</v>
      </c>
      <c r="KQ13">
        <f>$KQ$12+--($KP13)</f>
        <v>1</v>
      </c>
      <c r="KR13" t="str">
        <f t="shared" si="103"/>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T13" t="e">
        <f>IF($FI$13="",FALSE,SUMPRODUCT(('Final Calculation Sheet'!$AF$4:$AF$40=$FI$13)*($KS$6:$KS$42=1))&gt;0)</f>
        <v>#N/A</v>
      </c>
      <c r="KU13" t="e">
        <f>$KU$12+--($KT13)</f>
        <v>#N/A</v>
      </c>
      <c r="KV13" t="e">
        <f t="shared" si="104"/>
        <v>#N/A</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KX13" t="e">
        <f>IF($FN$13="",FALSE,SUMPRODUCT(('Final Calculation Sheet'!$AG$4:$AG$40=$FN$13)*($KW$6:$KW$42=1))&gt;0)</f>
        <v>#N/A</v>
      </c>
      <c r="KY13" t="e">
        <f>$KY$12+--($KX13)</f>
        <v>#N/A</v>
      </c>
      <c r="KZ13" t="e">
        <f t="shared" si="105"/>
        <v>#N/A</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LB13" t="e">
        <f>IF($FS$13="",FALSE,SUMPRODUCT(('Final Calculation Sheet'!$AH$4:$AH$40=$FS$13)*($LA$6:$LA$42=1))&gt;0)</f>
        <v>#N/A</v>
      </c>
      <c r="LC13" t="e">
        <f>$LC$12+--($LB13)</f>
        <v>#N/A</v>
      </c>
      <c r="LD13" t="e">
        <f t="shared" si="106"/>
        <v>#N/A</v>
      </c>
      <c r="LE13">
        <f>IF(COUNTIF('Buyer Groups'!DH13:EN13,0)&gt;0,0,1)</f>
        <v>1</v>
      </c>
      <c r="LF13" t="b">
        <f>IF($O$13="",FALSE,SUMPRODUCT(('Final Calculation Sheet'!$F$4:$F$40=$O$13)*($LE$6:$LE$42=1))&gt;0)</f>
        <v>1</v>
      </c>
      <c r="LG13">
        <f>$LG$12+--($LF13)</f>
        <v>10</v>
      </c>
      <c r="LH13">
        <f t="shared" si="107"/>
        <v>2006</v>
      </c>
      <c r="LI13">
        <f>IF(COUNTIF('Buyer Groups'!DG13:DG13,0)+COUNTIF('Buyer Groups'!DI13:EN13,0)&gt;0,0,1)</f>
        <v>1</v>
      </c>
      <c r="LJ13" t="b">
        <f>IF($T$13="",FALSE,SUMPRODUCT(('Final Calculation Sheet'!$G$4:$G$40=$T$13)*($LI$6:$LI$42=1))&gt;0)</f>
        <v>1</v>
      </c>
      <c r="LK13">
        <f>$LK$12+--($LJ13)</f>
        <v>10</v>
      </c>
      <c r="LL13" t="str">
        <f t="shared" si="108"/>
        <v>SAHARA ENTERPRISES</v>
      </c>
      <c r="LM13">
        <f>IF(COUNTIF('Buyer Groups'!DG13:DH13,0)+COUNTIF('Buyer Groups'!DJ13:EN13,0)&gt;0,0,1)</f>
        <v>1</v>
      </c>
      <c r="LN13" t="b">
        <f>IF($Y$13="",FALSE,SUMPRODUCT(('Final Calculation Sheet'!$B$4:$B$40=$Y$13)*($LM$6:$LM$42=1))&gt;0)</f>
        <v>1</v>
      </c>
      <c r="LO13">
        <f>$LO$12+--($LN13)</f>
        <v>10</v>
      </c>
      <c r="LP13" t="str">
        <f t="shared" si="109"/>
        <v>Scrap of 220 KV CT</v>
      </c>
      <c r="LQ13">
        <f>IF(COUNTIF('Buyer Groups'!DG13:DI13,0)+COUNTIF('Buyer Groups'!DK13:EN13,0)&gt;0,0,1)</f>
        <v>1</v>
      </c>
      <c r="LR13" t="b">
        <f>IF($AD$13="",FALSE,SUMPRODUCT(('Final Calculation Sheet'!$D$4:$D$40=$AD$13)*($LQ$6:$LQ$42=1))&gt;0)</f>
        <v>0</v>
      </c>
      <c r="LS13">
        <f>$LS$12+--($LR13)</f>
        <v>4</v>
      </c>
      <c r="LT13" t="str">
        <f t="shared" si="110"/>
        <v/>
      </c>
      <c r="LU13">
        <f>IF(COUNTIF('Buyer Groups'!DG13:DJ13,0)+COUNTIF('Buyer Groups'!DL13:EN13,0)&gt;0,0,1)</f>
        <v>1</v>
      </c>
      <c r="LV13" t="b">
        <f>IF($AI$13="",FALSE,SUMPRODUCT(('Final Calculation Sheet'!$A$4:$A$40=$AI$13)*($LU$6:$LU$42=1))&gt;0)</f>
        <v>1</v>
      </c>
      <c r="LW13">
        <f>$LW$12+--($LV13)</f>
        <v>10</v>
      </c>
      <c r="LX13">
        <f t="shared" si="111"/>
        <v>30</v>
      </c>
      <c r="LY13">
        <f>IF(COUNTIF('Buyer Groups'!DG13:DK13,0)+COUNTIF('Buyer Groups'!DM13:EN13,0)&gt;0,0,1)</f>
        <v>1</v>
      </c>
      <c r="LZ13" t="b">
        <f>IF($AN$13="",FALSE,SUMPRODUCT(('Final Calculation Sheet'!$E$4:$E$40=$AN$13)*($LY$6:$LY$42=1))&gt;0)</f>
        <v>0</v>
      </c>
      <c r="MA13">
        <f>$MA$12+--($LZ13)</f>
        <v>3</v>
      </c>
      <c r="MB13" t="str">
        <f t="shared" si="112"/>
        <v/>
      </c>
      <c r="MC13">
        <f>IF(COUNTIF('Buyer Groups'!DG13:DL13,0)+COUNTIF('Buyer Groups'!DN13:EN13,0)&gt;0,0,1)</f>
        <v>1</v>
      </c>
      <c r="MD13" t="b">
        <f>IF($AS$13="",FALSE,SUMPRODUCT(('Final Calculation Sheet'!$C$4:$C$40=$AS$13)*($MC$6:$MC$42=1))&gt;0)</f>
        <v>1</v>
      </c>
      <c r="ME13">
        <f>$ME$12+--($MD13)</f>
        <v>10</v>
      </c>
      <c r="MF13">
        <f t="shared" si="113"/>
        <v>700</v>
      </c>
      <c r="MG13">
        <f>IF(COUNTIF('Buyer Groups'!DG13:DM13,0)+COUNTIF('Buyer Groups'!DO13:EN13,0)&gt;0,0,1)</f>
        <v>1</v>
      </c>
      <c r="MH13" t="b">
        <f>IF($AX$13="",FALSE,SUMPRODUCT(('Final Calculation Sheet'!$H$4:$H$40=$AX$13)*($MG$6:$MG$42=1))&gt;0)</f>
        <v>1</v>
      </c>
      <c r="MI13">
        <f>$MI$12+--($MH13)</f>
        <v>10</v>
      </c>
      <c r="MJ13">
        <f t="shared" si="114"/>
        <v>54000</v>
      </c>
      <c r="MK13">
        <f>IF(COUNTIF('Buyer Groups'!DG13:DN13,0)+COUNTIF('Buyer Groups'!DP13:EN13,0)&gt;0,0,1)</f>
        <v>1</v>
      </c>
      <c r="ML13" t="b">
        <f>IF($BC$13="",FALSE,SUMPRODUCT(('Final Calculation Sheet'!$I$4:$I$40=$BC$13)*($MK$6:$MK$42=1))&gt;0)</f>
        <v>1</v>
      </c>
      <c r="MM13">
        <f>$MM$12+--($ML13)</f>
        <v>10</v>
      </c>
      <c r="MN13">
        <f t="shared" si="115"/>
        <v>9720</v>
      </c>
      <c r="MO13">
        <f>IF(COUNTIF('Buyer Groups'!DG13:DO13,0)+COUNTIF('Buyer Groups'!DQ13:EN13,0)&gt;0,0,1)</f>
        <v>1</v>
      </c>
      <c r="MP13" t="b">
        <f>IF($BH$13="",FALSE,SUMPRODUCT(('Final Calculation Sheet'!$J$4:$J$40=$BH$13)*($MO$6:$MO$42=1))&gt;0)</f>
        <v>1</v>
      </c>
      <c r="MQ13">
        <f>$MQ$12+--($MP13)</f>
        <v>10</v>
      </c>
      <c r="MR13">
        <f t="shared" si="116"/>
        <v>63720</v>
      </c>
      <c r="MS13">
        <f>IF(COUNTIF('Buyer Groups'!DG13:DP13,0)+COUNTIF('Buyer Groups'!DR13:EN13,0)&gt;0,0,1)</f>
        <v>1</v>
      </c>
      <c r="MT13" t="b">
        <f>IF($BM$13="",FALSE,SUMPRODUCT(('Final Calculation Sheet'!$K$4:$K$40=$BM$13)*($MS$6:$MS$42=1))&gt;0)</f>
        <v>1</v>
      </c>
      <c r="MU13">
        <f>$MU$12+--($MT13)</f>
        <v>10</v>
      </c>
      <c r="MV13">
        <f t="shared" si="117"/>
        <v>1274</v>
      </c>
      <c r="MW13">
        <f>IF(COUNTIF('Buyer Groups'!DG13:DQ13,0)+COUNTIF('Buyer Groups'!DS13:EN13,0)&gt;0,0,1)</f>
        <v>1</v>
      </c>
      <c r="MX13" t="b">
        <f>IF($BR$13="",FALSE,SUMPRODUCT(('Final Calculation Sheet'!$L$4:$L$40=$BR$13)*($MW$6:$MW$42=1))&gt;0)</f>
        <v>1</v>
      </c>
      <c r="MY13">
        <f>$MY$12+--($MX13)</f>
        <v>10</v>
      </c>
      <c r="MZ13">
        <f t="shared" si="118"/>
        <v>54</v>
      </c>
      <c r="NA13">
        <f>IF(COUNTIF('Buyer Groups'!DG13:DR13,0)+COUNTIF('Buyer Groups'!DT13:EN13,0)&gt;0,0,1)</f>
        <v>1</v>
      </c>
      <c r="NB13" t="b">
        <f>IF($BW$13="",FALSE,SUMPRODUCT(('Final Calculation Sheet'!$M$4:$M$40=$BW$13)*($NA$6:$NA$42=1))&gt;0)</f>
        <v>1</v>
      </c>
      <c r="NC13">
        <f>$NC$12+--($NB13)</f>
        <v>10</v>
      </c>
      <c r="ND13">
        <f t="shared" si="119"/>
        <v>1433.6999999999998</v>
      </c>
      <c r="NE13">
        <f>IF(COUNTIF('Buyer Groups'!DG13:DS13,0)+COUNTIF('Buyer Groups'!DU13:EN13,0)&gt;0,0,1)</f>
        <v>1</v>
      </c>
      <c r="NF13" t="b">
        <f>IF($CB$13="",FALSE,SUMPRODUCT(('Final Calculation Sheet'!$N$4:$N$40=$CB$13)*($NE$6:$NE$42=1))&gt;0)</f>
        <v>1</v>
      </c>
      <c r="NG13">
        <f>$NG$12+--($NF13)</f>
        <v>10</v>
      </c>
      <c r="NH13">
        <f t="shared" si="120"/>
        <v>24.3</v>
      </c>
      <c r="NI13">
        <f>IF(COUNTIF('Buyer Groups'!DG13:DT13,0)+COUNTIF('Buyer Groups'!DV13:EN13,0)&gt;0,0,1)</f>
        <v>1</v>
      </c>
      <c r="NJ13" t="b">
        <f>IF($CG$13="",FALSE,SUMPRODUCT(('Final Calculation Sheet'!$O$4:$O$40=$CG$13)*($NI$6:$NI$42=1))&gt;0)</f>
        <v>1</v>
      </c>
      <c r="NK13">
        <f>$NK$12+--($NJ13)</f>
        <v>10</v>
      </c>
      <c r="NL13">
        <f t="shared" si="121"/>
        <v>1409.3999999999999</v>
      </c>
      <c r="NM13">
        <f>IF(COUNTIF('Buyer Groups'!DG13:DU13,0)+COUNTIF('Buyer Groups'!DW13:EN13,0)&gt;0,0,1)</f>
        <v>1</v>
      </c>
      <c r="NN13" t="b">
        <f>IF($CL$13="",FALSE,SUMPRODUCT(('Final Calculation Sheet'!$P$4:$P$40=$CL$13)*($NM$6:$NM$42=1))&gt;0)</f>
        <v>1</v>
      </c>
      <c r="NO13">
        <f>$NO$12+--($NN13)</f>
        <v>10</v>
      </c>
      <c r="NP13">
        <f t="shared" si="122"/>
        <v>1463</v>
      </c>
      <c r="NQ13">
        <f>IF(COUNTIF('Buyer Groups'!DG13:DV13,0)+COUNTIF('Buyer Groups'!DX13:EN13,0)&gt;0,0,1)</f>
        <v>1</v>
      </c>
      <c r="NR13" t="b">
        <f>IF($CQ$13="",FALSE,SUMPRODUCT(('Final Calculation Sheet'!$Q$4:$Q$40=$CQ$13)*($NQ$6:$NQ$42=1))&gt;0)</f>
        <v>0</v>
      </c>
      <c r="NS13">
        <f>$NS$12+--($NR13)</f>
        <v>2</v>
      </c>
      <c r="NT13" t="str">
        <f t="shared" si="123"/>
        <v/>
      </c>
      <c r="NU13">
        <f>IF(COUNTIF('Buyer Groups'!DG13:DW13,0)+COUNTIF('Buyer Groups'!DY13:EN13,0)&gt;0,0,1)</f>
        <v>1</v>
      </c>
      <c r="NV13" t="b">
        <f>IF($CV$13="",FALSE,SUMPRODUCT(('Final Calculation Sheet'!$R$4:$R$40=$CV$13)*($NU$6:$NU$42=1))&gt;0)</f>
        <v>0</v>
      </c>
      <c r="NW13">
        <f>$NW$12+--($NV13)</f>
        <v>5</v>
      </c>
      <c r="NX13" t="str">
        <f t="shared" si="124"/>
        <v/>
      </c>
      <c r="NY13">
        <f>IF(COUNTIF('Buyer Groups'!DG13:DX13,0)+COUNTIF('Buyer Groups'!DZ13:EN13,0)&gt;0,0,1)</f>
        <v>1</v>
      </c>
      <c r="NZ13" t="b">
        <f>IF($DA$13="",FALSE,SUMPRODUCT(('Final Calculation Sheet'!$S$4:$S$40=$DA$13)*($NY$6:$NY$42=1))&gt;0)</f>
        <v>1</v>
      </c>
      <c r="OA13">
        <f>$OA$12+--($NZ13)</f>
        <v>10</v>
      </c>
      <c r="OB13">
        <f t="shared" si="125"/>
        <v>63531</v>
      </c>
      <c r="OC13">
        <f>IF(COUNTIF('Buyer Groups'!DG13:DY13,0)+COUNTIF('Buyer Groups'!EA13:EN13,0)&gt;0,0,1)</f>
        <v>1</v>
      </c>
      <c r="OD13" t="b">
        <f>IF($DF$13="",FALSE,SUMPRODUCT(('Final Calculation Sheet'!$T$4:$T$40=$DF$13)*($OC$6:$OC$42=1))&gt;0)</f>
        <v>1</v>
      </c>
      <c r="OE13">
        <f>$OE$12+--($OD13)</f>
        <v>10</v>
      </c>
      <c r="OF13">
        <f t="shared" si="126"/>
        <v>13500</v>
      </c>
      <c r="OG13">
        <f>IF(COUNTIF('Buyer Groups'!DG13:DZ13,0)+COUNTIF('Buyer Groups'!EB13:EN13,0)&gt;0,0,1)</f>
        <v>1</v>
      </c>
      <c r="OH13" t="b">
        <f>IF($DK$13="",FALSE,SUMPRODUCT(('Final Calculation Sheet'!$U$4:$U$40=$DK$13)*($OG$6:$OG$42=1))&gt;0)</f>
        <v>1</v>
      </c>
      <c r="OI13">
        <f>$OI$12+--($OH13)</f>
        <v>10</v>
      </c>
      <c r="OJ13">
        <f t="shared" si="127"/>
        <v>13500</v>
      </c>
      <c r="OK13">
        <f>IF(COUNTIF('Buyer Groups'!DG13:EA13,0)+COUNTIF('Buyer Groups'!EC13:EN13,0)&gt;0,0,1)</f>
        <v>1</v>
      </c>
      <c r="OL13" t="b">
        <f>IF($DP$13="",FALSE,SUMPRODUCT(('Final Calculation Sheet'!$V$4:$V$40=$DP$13)*($OK$6:$OK$42=1))&gt;0)</f>
        <v>0</v>
      </c>
      <c r="OM13">
        <f>$OM$12+--($OL13)</f>
        <v>6</v>
      </c>
      <c r="ON13" t="str">
        <f t="shared" si="128"/>
        <v/>
      </c>
      <c r="OO13">
        <f>IF(COUNTIF('Buyer Groups'!DG13:EB13,0)+COUNTIF('Buyer Groups'!ED13:EN13,0)&gt;0,0,1)</f>
        <v>1</v>
      </c>
      <c r="OP13" t="b">
        <f>IF($DU$13="",FALSE,SUMPRODUCT(('Final Calculation Sheet'!$W$4:$W$40=$DU$13)*($OO$6:$OO$42=1))&gt;0)</f>
        <v>1</v>
      </c>
      <c r="OQ13">
        <f>$OQ$12+--($OP13)</f>
        <v>10</v>
      </c>
      <c r="OR13">
        <f t="shared" si="129"/>
        <v>50031</v>
      </c>
      <c r="OS13">
        <f>IF(COUNTIF('Buyer Groups'!DG13:EC13,0)+COUNTIF('Buyer Groups'!EE13:EN13,0)&gt;0,0,1)</f>
        <v>1</v>
      </c>
      <c r="OT13" t="e">
        <f>IF($DZ$13="",FALSE,SUMPRODUCT(('Final Calculation Sheet'!$X$4:$X$40=$DZ$13)*($OS$6:$OS$42=1))&gt;0)</f>
        <v>#N/A</v>
      </c>
      <c r="OU13" t="e">
        <f>$OU$12+--($OT13)</f>
        <v>#N/A</v>
      </c>
      <c r="OV13" t="e">
        <f t="shared" si="130"/>
        <v>#N/A</v>
      </c>
      <c r="OW13">
        <f>IF(COUNTIF('Buyer Groups'!DG13:ED13,0)+COUNTIF('Buyer Groups'!EF13:EN13,0)&gt;0,0,1)</f>
        <v>1</v>
      </c>
      <c r="OX13" t="e">
        <f>IF($EE$13="",FALSE,SUMPRODUCT(('Final Calculation Sheet'!$Y$4:$Y$40=$EE$13)*($OW$6:$OW$42=1))&gt;0)</f>
        <v>#N/A</v>
      </c>
      <c r="OY13" t="e">
        <f>$OY$12+--($OX13)</f>
        <v>#N/A</v>
      </c>
      <c r="OZ13" t="e">
        <f t="shared" si="131"/>
        <v>#N/A</v>
      </c>
      <c r="PA13">
        <f>IF(COUNTIF('Buyer Groups'!DG13:EE13,0)+COUNTIF('Buyer Groups'!EG13:EN13,0)&gt;0,0,1)</f>
        <v>1</v>
      </c>
      <c r="PB13" t="b">
        <f ca="1">IF($EJ$13="",FALSE,SUMPRODUCT(('Final Calculation Sheet'!$Z$4:$Z$40=$EJ$13)*($PA$6:$PA$42=1))&gt;0)</f>
        <v>1</v>
      </c>
      <c r="PC13">
        <f ca="1">$PC$12+--($PB13)</f>
        <v>10</v>
      </c>
      <c r="PD13">
        <f t="shared" ca="1" si="132"/>
        <v>1911.6</v>
      </c>
      <c r="PE13">
        <f>IF(COUNTIF('Buyer Groups'!DG13:EF13,0)+COUNTIF('Buyer Groups'!EH13:EN13,0)&gt;0,0,1)</f>
        <v>1</v>
      </c>
      <c r="PF13" t="e">
        <f>IF($EO$13="",FALSE,SUMPRODUCT(('Final Calculation Sheet'!$AA$4:$AA$40=$EO$13)*($PE$6:$PE$42=1))&gt;0)</f>
        <v>#N/A</v>
      </c>
      <c r="PG13" t="e">
        <f>$PG$12+--($PF13)</f>
        <v>#N/A</v>
      </c>
      <c r="PH13" t="e">
        <f t="shared" si="133"/>
        <v>#N/A</v>
      </c>
      <c r="PI13">
        <f>IF(COUNTIF('Buyer Groups'!DG13:EG13,0)+COUNTIF('Buyer Groups'!EI13:EN13,0)&gt;0,0,1)</f>
        <v>1</v>
      </c>
      <c r="PJ13" t="e">
        <f>IF($ET$13="",FALSE,SUMPRODUCT(('Final Calculation Sheet'!$AB$4:$AB$40=$ET$13)*($PI$6:$PI$42=1))&gt;0)</f>
        <v>#N/A</v>
      </c>
      <c r="PK13" t="e">
        <f>$PK$12+--($PJ13)</f>
        <v>#N/A</v>
      </c>
      <c r="PL13" t="e">
        <f t="shared" si="134"/>
        <v>#N/A</v>
      </c>
      <c r="PM13">
        <f>IF(COUNTIF('Buyer Groups'!DG13:EH13,0)+COUNTIF('Buyer Groups'!EJ13:EN13,0)&gt;0,0,1)</f>
        <v>1</v>
      </c>
      <c r="PN13" t="b">
        <f>IF($EY$13="",FALSE,SUMPRODUCT(('Final Calculation Sheet'!$AC$4:$AC$40=$EY$13)*($PM$6:$PM$42=1))&gt;0)</f>
        <v>1</v>
      </c>
      <c r="PO13">
        <f>$PO$12+--($PN13)</f>
        <v>10</v>
      </c>
      <c r="PP13">
        <f t="shared" si="135"/>
        <v>58829</v>
      </c>
      <c r="PQ13">
        <f>IF(COUNTIF('Buyer Groups'!DG13:EI13,0)+COUNTIF('Buyer Groups'!EK13:EN13,0)&gt;0,0,1)</f>
        <v>1</v>
      </c>
      <c r="PR13" t="b">
        <f>IF($FD$13="",FALSE,SUMPRODUCT(('Final Calculation Sheet'!$AD$4:$AD$40=$FD$13)*($PQ$6:$PQ$42=1))&gt;0)</f>
        <v>1</v>
      </c>
      <c r="PS13">
        <f>$PS$12+--($PR13)</f>
        <v>10</v>
      </c>
      <c r="PT13">
        <f t="shared" si="136"/>
        <v>250160</v>
      </c>
      <c r="PU13">
        <f>IF(COUNTIF('Buyer Groups'!DG13:EJ13,0)+COUNTIF('Buyer Groups'!EL13:EN13,0)&gt;0,0,1)</f>
        <v>1</v>
      </c>
      <c r="PV13" t="b">
        <f>IF($FX$13="",FALSE,SUMPRODUCT((IF('Final Calculation Sheet'!$AD$4:$AD$40&lt;=5,"SETTLED","OUTSTANDING")=$FX$13)*($PU$6:$PU$42=1))&gt;0)</f>
        <v>0</v>
      </c>
      <c r="PW13">
        <f>$PW$12+--($PV13)</f>
        <v>1</v>
      </c>
      <c r="PX13" t="str">
        <f t="shared" si="137"/>
        <v/>
      </c>
      <c r="PY13">
        <f>IF(COUNTIF('Buyer Groups'!DG13:EK13,0)+COUNTIF('Buyer Groups'!EM13:EN13,0)&gt;0,0,1)</f>
        <v>1</v>
      </c>
      <c r="PZ13" t="e">
        <f>IF($FI$13="",FALSE,SUMPRODUCT(('Final Calculation Sheet'!$AF$4:$AF$40=$FI$13)*($PY$6:$PY$42=1))&gt;0)</f>
        <v>#N/A</v>
      </c>
      <c r="QA13" t="e">
        <f>$QA$12+--($PZ13)</f>
        <v>#N/A</v>
      </c>
      <c r="QB13" t="e">
        <f t="shared" si="138"/>
        <v>#N/A</v>
      </c>
      <c r="QC13">
        <f>IF(COUNTIF('Buyer Groups'!DG13:EL13,0)+COUNTIF('Buyer Groups'!EN13:EN13,0)&gt;0,0,1)</f>
        <v>1</v>
      </c>
      <c r="QD13" t="e">
        <f>IF($FN$13="",FALSE,SUMPRODUCT(('Final Calculation Sheet'!$AG$4:$AG$40=$FN$13)*($QC$6:$QC$42=1))&gt;0)</f>
        <v>#N/A</v>
      </c>
      <c r="QE13" t="e">
        <f>$QE$12+--($QD13)</f>
        <v>#N/A</v>
      </c>
      <c r="QF13" t="e">
        <f t="shared" si="139"/>
        <v>#N/A</v>
      </c>
      <c r="QG13">
        <f>IF(COUNTIF('Buyer Groups'!DG13:EM13,0)&gt;0,0,1)</f>
        <v>1</v>
      </c>
      <c r="QH13" t="e">
        <f>IF($FS$13="",FALSE,SUMPRODUCT(('Final Calculation Sheet'!$AH$4:$AH$40=$FS$13)*($QG$6:$QG$42=1))&gt;0)</f>
        <v>#N/A</v>
      </c>
      <c r="QI13" t="e">
        <f>$QI$12+--($QH13)</f>
        <v>#N/A</v>
      </c>
      <c r="QJ13" t="e">
        <f t="shared" si="140"/>
        <v>#N/A</v>
      </c>
      <c r="QK13" t="str">
        <f>IF('Final Calculation Sheet'!$AH$13="","",'Final Calculation Sheet'!$AH$13)</f>
        <v>14.08.2026</v>
      </c>
      <c r="QL13">
        <f>IF(QK13="","",COUNTIFS(QK$4:QK$40,"&lt;"&amp;QK13,QK$4:QK$40,"&lt;&gt;"&amp;"")+COUNTIF(QK$4:QK13,QK13))</f>
        <v>7</v>
      </c>
      <c r="QM13" t="str">
        <f t="shared" si="141"/>
        <v>14.08.2026</v>
      </c>
      <c r="QN13" t="e">
        <f ca="1">QN12+F(AND(QM13&lt;&gt;"",COUNTIF(QM$4:QM13,QM13)=1),1,0)</f>
        <v>#N/A</v>
      </c>
      <c r="QO13" t="e">
        <f t="shared" si="142"/>
        <v>#N/A</v>
      </c>
      <c r="QP13">
        <f>IF(COUNTIF('Final Calculation Sheet'!$AM13:$BS13,0)&gt;0,0,1)</f>
        <v>1</v>
      </c>
      <c r="QQ13" t="b">
        <f>IF($AI$13="",FALSE,SUMPRODUCT(('Final Calculation Sheet'!$A$4:$A$40=$AI$13)*($QP$4:$QP$40=1))&gt;0)</f>
        <v>1</v>
      </c>
      <c r="QR13">
        <f t="shared" si="177"/>
        <v>10</v>
      </c>
      <c r="QS13">
        <f t="shared" si="143"/>
        <v>30</v>
      </c>
      <c r="QT13">
        <f>IF(COUNTIF('Final Calculation Sheet'!$AL13:$AL13,0)+COUNTIF('Final Calculation Sheet'!$AN13:$BS13,0)&gt;0,0,1)</f>
        <v>1</v>
      </c>
      <c r="QU13" t="b">
        <f>IF($Y$13="",FALSE,SUMPRODUCT(('Final Calculation Sheet'!$B$4:$B$40=$Y$13)*($QT$4:$QT$40=1))&gt;0)</f>
        <v>1</v>
      </c>
      <c r="QV13">
        <f t="shared" si="178"/>
        <v>10</v>
      </c>
      <c r="QW13" t="str">
        <f t="shared" si="144"/>
        <v>Scrap of 220 KV CT</v>
      </c>
      <c r="QX13">
        <f>IF(COUNTIF('Final Calculation Sheet'!$AL13:$AM13,0)+COUNTIF('Final Calculation Sheet'!$AO13:$BS13,0)&gt;0,0,1)</f>
        <v>1</v>
      </c>
      <c r="QY13" t="b">
        <f>IF($AS$13="",FALSE,SUMPRODUCT(('Final Calculation Sheet'!$C$4:$C$40=$AS$13)*($QX$4:$QX$40=1))&gt;0)</f>
        <v>1</v>
      </c>
      <c r="QZ13">
        <f t="shared" si="179"/>
        <v>10</v>
      </c>
      <c r="RA13">
        <f t="shared" si="145"/>
        <v>700</v>
      </c>
      <c r="RB13">
        <f>IF(COUNTIF('Final Calculation Sheet'!$AL13:$AN13,0)+COUNTIF('Final Calculation Sheet'!$AP13:$BS13,0)&gt;0,0,1)</f>
        <v>1</v>
      </c>
      <c r="RC13" t="b">
        <f>IF($AD$13="",FALSE,SUMPRODUCT(('Final Calculation Sheet'!$D$4:$D$40=$AD$13)*($RB$4:$RB$40=1))&gt;0)</f>
        <v>0</v>
      </c>
      <c r="RD13">
        <f t="shared" si="180"/>
        <v>4</v>
      </c>
      <c r="RE13" t="str">
        <f t="shared" si="146"/>
        <v/>
      </c>
      <c r="RF13">
        <f>IF(COUNTIF('Final Calculation Sheet'!$AL13:$AO13,0)+COUNTIF('Final Calculation Sheet'!$AQ13:$BS13,0)&gt;0,0,1)</f>
        <v>1</v>
      </c>
      <c r="RG13" t="b">
        <f>IF($AN$13="",FALSE,SUMPRODUCT(('Final Calculation Sheet'!$E$4:$E$40=$AN$13)*($RF$4:$RF$40=1))&gt;0)</f>
        <v>0</v>
      </c>
      <c r="RH13">
        <f t="shared" si="181"/>
        <v>3</v>
      </c>
      <c r="RI13" t="str">
        <f t="shared" si="147"/>
        <v/>
      </c>
      <c r="RJ13">
        <f>IF(COUNTIF('Final Calculation Sheet'!$AL13:$AP13,0)+COUNTIF('Final Calculation Sheet'!$AR13:$BS13,0)&gt;0,0,1)</f>
        <v>1</v>
      </c>
      <c r="RK13" t="b">
        <f>IF($O$13="",FALSE,SUMPRODUCT(('Final Calculation Sheet'!$F$4:$F$40=$O$13)*($RJ$4:$RJ$40=1))&gt;0)</f>
        <v>1</v>
      </c>
      <c r="RL13">
        <f t="shared" si="182"/>
        <v>10</v>
      </c>
      <c r="RM13">
        <f t="shared" si="148"/>
        <v>2006</v>
      </c>
      <c r="RN13">
        <f>IF(COUNTIF('Final Calculation Sheet'!$AL13:$AQ13,0)+COUNTIF('Final Calculation Sheet'!$AS13:$BS13,0)&gt;0,0,1)</f>
        <v>1</v>
      </c>
      <c r="RO13" t="b">
        <f>IF($T$13="",FALSE,SUMPRODUCT(('Final Calculation Sheet'!$G$4:$G$40=$T$13)*($RN$4:$RN$40=1))&gt;0)</f>
        <v>1</v>
      </c>
      <c r="RP13">
        <f t="shared" si="183"/>
        <v>10</v>
      </c>
      <c r="RQ13" t="str">
        <f t="shared" si="149"/>
        <v>SAHARA ENTERPRISES</v>
      </c>
      <c r="RR13">
        <f>IF(COUNTIF('Final Calculation Sheet'!$AL13:$AR13,0)+COUNTIF('Final Calculation Sheet'!$AT13:$BS13,0)&gt;0,0,1)</f>
        <v>1</v>
      </c>
      <c r="RS13" t="b">
        <f>IF($AX$13="",FALSE,SUMPRODUCT(('Final Calculation Sheet'!$H$4:$H$40=$AX$13)*($RR$4:$RR$40=1))&gt;0)</f>
        <v>1</v>
      </c>
      <c r="RT13">
        <f t="shared" si="184"/>
        <v>10</v>
      </c>
      <c r="RU13">
        <f t="shared" si="150"/>
        <v>54000</v>
      </c>
      <c r="RV13">
        <f>IF(COUNTIF('Final Calculation Sheet'!$AL13:$AS13,0)+COUNTIF('Final Calculation Sheet'!$AU13:$BS13,0)&gt;0,0,1)</f>
        <v>1</v>
      </c>
      <c r="RW13" t="b">
        <f>IF($BC$13="",FALSE,SUMPRODUCT(('Final Calculation Sheet'!$I$4:$I$40=$BC$13)*($RV$4:$RV$40=1))&gt;0)</f>
        <v>1</v>
      </c>
      <c r="RX13">
        <f t="shared" si="185"/>
        <v>10</v>
      </c>
      <c r="RY13">
        <f t="shared" si="151"/>
        <v>9720</v>
      </c>
      <c r="RZ13">
        <f>IF(COUNTIF('Final Calculation Sheet'!$AL13:$AT13,0)+COUNTIF('Final Calculation Sheet'!$AV13:$BS13,0)&gt;0,0,1)</f>
        <v>1</v>
      </c>
      <c r="SA13" t="b">
        <f>IF($BH$13="",FALSE,SUMPRODUCT(('Final Calculation Sheet'!$J$4:$J$40=$BH$13)*($RZ$4:$RZ$40=1))&gt;0)</f>
        <v>1</v>
      </c>
      <c r="SB13">
        <f t="shared" si="186"/>
        <v>10</v>
      </c>
      <c r="SC13">
        <f t="shared" si="152"/>
        <v>63720</v>
      </c>
      <c r="SD13">
        <f>IF(COUNTIF('Final Calculation Sheet'!$AL13:$AU13,0)+COUNTIF('Final Calculation Sheet'!$AW13:$BS13,0)&gt;0,0,1)</f>
        <v>1</v>
      </c>
      <c r="SE13" t="b">
        <f>IF($BM$13="",FALSE,SUMPRODUCT(('Final Calculation Sheet'!$K$4:$K$40=$BM$13)*($SD$4:$SD$40=1))&gt;0)</f>
        <v>1</v>
      </c>
      <c r="SF13">
        <f t="shared" si="187"/>
        <v>10</v>
      </c>
      <c r="SG13">
        <f t="shared" si="153"/>
        <v>1274</v>
      </c>
      <c r="SH13">
        <f>IF(COUNTIF('Final Calculation Sheet'!$AL13:$AV13,0)+COUNTIF('Final Calculation Sheet'!$AX13:$BS13,0)&gt;0,0,1)</f>
        <v>1</v>
      </c>
      <c r="SI13" t="b">
        <f>IF($BR$13="",FALSE,SUMPRODUCT(('Final Calculation Sheet'!$L$4:$L$40=$BR$13)*($SH$4:$SH$40=1))&gt;0)</f>
        <v>1</v>
      </c>
      <c r="SJ13">
        <f t="shared" si="188"/>
        <v>10</v>
      </c>
      <c r="SK13">
        <f t="shared" si="154"/>
        <v>54</v>
      </c>
      <c r="SL13">
        <f>IF(COUNTIF('Final Calculation Sheet'!$AL13:$AW13,0)+COUNTIF('Final Calculation Sheet'!$AY13:$BS13,0)&gt;0,0,1)</f>
        <v>1</v>
      </c>
      <c r="SM13" t="b">
        <f>IF($BW$13="",FALSE,SUMPRODUCT(('Final Calculation Sheet'!$M$4:$M$40=$BW$13)*($SL$4:$SL$40=1))&gt;0)</f>
        <v>1</v>
      </c>
      <c r="SN13">
        <f t="shared" si="189"/>
        <v>10</v>
      </c>
      <c r="SO13">
        <f t="shared" si="155"/>
        <v>1433.6999999999998</v>
      </c>
      <c r="SP13">
        <f>IF(COUNTIF('Final Calculation Sheet'!$AL13:$AX13,0)+COUNTIF('Final Calculation Sheet'!$AZ13:$BS13,0)&gt;0,0,1)</f>
        <v>1</v>
      </c>
      <c r="SQ13" t="b">
        <f>IF($CB$13="",FALSE,SUMPRODUCT(('Final Calculation Sheet'!$N$4:$N$40=$CB$13)*($SP$4:$SP$40=1))&gt;0)</f>
        <v>1</v>
      </c>
      <c r="SR13">
        <f t="shared" si="190"/>
        <v>10</v>
      </c>
      <c r="SS13">
        <f t="shared" si="156"/>
        <v>24.3</v>
      </c>
      <c r="ST13">
        <f>IF(COUNTIF('Final Calculation Sheet'!$AL13:$AY13,0)+COUNTIF('Final Calculation Sheet'!$BA13:$BS13,0)&gt;0,0,1)</f>
        <v>1</v>
      </c>
      <c r="SU13" t="b">
        <f>IF($CG$13="",FALSE,SUMPRODUCT(('Final Calculation Sheet'!$O$4:$O$40=$CG$13)*($ST$4:$ST$40=1))&gt;0)</f>
        <v>1</v>
      </c>
      <c r="SV13">
        <f t="shared" si="191"/>
        <v>10</v>
      </c>
      <c r="SW13">
        <f t="shared" si="157"/>
        <v>1409.3999999999999</v>
      </c>
      <c r="SX13">
        <f>IF(COUNTIF('Final Calculation Sheet'!$AL13:$AZ13,0)+COUNTIF('Final Calculation Sheet'!$BB13:$BS13,0)&gt;0,0,1)</f>
        <v>1</v>
      </c>
      <c r="SY13" t="b">
        <f>IF($CL$13="",FALSE,SUMPRODUCT(('Final Calculation Sheet'!$P$4:$P$40=$CL$13)*($SX$4:$SX$40=1))&gt;0)</f>
        <v>1</v>
      </c>
      <c r="SZ13">
        <f t="shared" si="192"/>
        <v>10</v>
      </c>
      <c r="TA13">
        <f t="shared" si="158"/>
        <v>1463</v>
      </c>
      <c r="TB13">
        <f>IF(COUNTIF('Final Calculation Sheet'!$AL13:$BA13,0)+COUNTIF('Final Calculation Sheet'!$BC13:$BS13,0)&gt;0,0,1)</f>
        <v>1</v>
      </c>
      <c r="TC13" t="b">
        <f>IF($CQ$13="",FALSE,SUMPRODUCT(('Final Calculation Sheet'!$Q$4:$Q$40=$CQ$13)*($TB$4:$TB$40=1))&gt;0)</f>
        <v>0</v>
      </c>
      <c r="TD13">
        <f t="shared" si="193"/>
        <v>2</v>
      </c>
      <c r="TE13" t="str">
        <f t="shared" si="159"/>
        <v/>
      </c>
      <c r="TF13">
        <f>IF(COUNTIF('Final Calculation Sheet'!$AL13:$BB13,0)+COUNTIF('Final Calculation Sheet'!$BD13:$BS13,0)&gt;0,0,1)</f>
        <v>1</v>
      </c>
      <c r="TG13" t="b">
        <f>IF($CV$13="",FALSE,SUMPRODUCT(('Final Calculation Sheet'!$R$4:$R$40=$CV$13)*($TF$4:$TF$40=1))&gt;0)</f>
        <v>0</v>
      </c>
      <c r="TH13">
        <f t="shared" si="194"/>
        <v>5</v>
      </c>
      <c r="TI13" t="str">
        <f t="shared" si="160"/>
        <v/>
      </c>
      <c r="TJ13">
        <f>IF(COUNTIF('Final Calculation Sheet'!$AL13:$BC13,0)+COUNTIF('Final Calculation Sheet'!$BE13:$BS13,0)&gt;0,0,1)</f>
        <v>1</v>
      </c>
      <c r="TK13" t="b">
        <f>IF($DA$13="",FALSE,SUMPRODUCT(('Final Calculation Sheet'!$S$4:$S$40=$DA$13)*($TJ$4:$TJ$40=1))&gt;0)</f>
        <v>1</v>
      </c>
      <c r="TL13">
        <f t="shared" si="195"/>
        <v>10</v>
      </c>
      <c r="TM13">
        <f t="shared" si="161"/>
        <v>63531</v>
      </c>
      <c r="TN13">
        <f>IF(COUNTIF('Final Calculation Sheet'!$AL13:$BD13,0)+COUNTIF('Final Calculation Sheet'!$BF13:$BS13,0)&gt;0,0,1)</f>
        <v>1</v>
      </c>
      <c r="TO13" t="b">
        <f>IF($DF$13="",FALSE,SUMPRODUCT(('Final Calculation Sheet'!$T$4:$T$40=$DF$13)*($TN$4:$TN$40=1))&gt;0)</f>
        <v>1</v>
      </c>
      <c r="TP13">
        <f t="shared" si="196"/>
        <v>10</v>
      </c>
      <c r="TQ13">
        <f t="shared" si="162"/>
        <v>13500</v>
      </c>
      <c r="TR13">
        <f>IF(COUNTIF('Final Calculation Sheet'!$AL13:$BE13,0)+COUNTIF('Final Calculation Sheet'!$BG13:$BS13,0)&gt;0,0,1)</f>
        <v>1</v>
      </c>
      <c r="TS13" t="b">
        <f>IF($DK$13="",FALSE,SUMPRODUCT(('Final Calculation Sheet'!$U$4:$U$40=$DK$13)*($TR$4:$TR$40=1))&gt;0)</f>
        <v>1</v>
      </c>
      <c r="TT13">
        <f t="shared" si="197"/>
        <v>10</v>
      </c>
      <c r="TU13">
        <f t="shared" si="163"/>
        <v>13500</v>
      </c>
      <c r="TV13">
        <f>IF(COUNTIF('Final Calculation Sheet'!$AL13:$BF13,0)+COUNTIF('Final Calculation Sheet'!$BH13:$BS13,0)&gt;0,0,1)</f>
        <v>1</v>
      </c>
      <c r="TW13" t="b">
        <f>IF($DP$13="",FALSE,SUMPRODUCT(('Final Calculation Sheet'!$V$4:$V$40=$DP$13)*($TV$4:$TV$40=1))&gt;0)</f>
        <v>0</v>
      </c>
      <c r="TX13">
        <f t="shared" si="198"/>
        <v>6</v>
      </c>
      <c r="TY13" t="str">
        <f t="shared" si="164"/>
        <v/>
      </c>
      <c r="TZ13">
        <f>IF(COUNTIF('Final Calculation Sheet'!$AL13:$BG13,0)+COUNTIF('Final Calculation Sheet'!$BI13:$BS13,0)&gt;0,0,1)</f>
        <v>1</v>
      </c>
      <c r="UA13" t="b">
        <f>IF($DU$13="",FALSE,SUMPRODUCT(('Final Calculation Sheet'!$W$4:$W$40=$DU$13)*($TZ$4:$TZ$40=1))&gt;0)</f>
        <v>1</v>
      </c>
      <c r="UB13">
        <f t="shared" si="199"/>
        <v>10</v>
      </c>
      <c r="UC13">
        <f t="shared" si="165"/>
        <v>50031</v>
      </c>
      <c r="UD13">
        <f>IF(COUNTIF('Final Calculation Sheet'!$AL13:$BH13,0)+COUNTIF('Final Calculation Sheet'!$BJ13:$BS13,0)&gt;0,0,1)</f>
        <v>1</v>
      </c>
      <c r="UE13" t="e">
        <f>IF($DZ$13="",FALSE,SUMPRODUCT(('Final Calculation Sheet'!$X$4:$X$40=$DZ$13)*($UD$4:$UD$40=1))&gt;0)</f>
        <v>#N/A</v>
      </c>
      <c r="UF13" t="e">
        <f t="shared" si="200"/>
        <v>#N/A</v>
      </c>
      <c r="UG13" t="e">
        <f t="shared" si="166"/>
        <v>#N/A</v>
      </c>
      <c r="UH13">
        <f>IF(COUNTIF('Final Calculation Sheet'!$AL13:$BI13,0)+COUNTIF('Final Calculation Sheet'!$BK13:$BS13,0)&gt;0,0,1)</f>
        <v>1</v>
      </c>
      <c r="UI13" t="e">
        <f>IF($EE$13="",FALSE,SUMPRODUCT(('Final Calculation Sheet'!$Y$4:$Y$40=$EE$13)*($UH$4:$UH$40=1))&gt;0)</f>
        <v>#N/A</v>
      </c>
      <c r="UJ13" t="e">
        <f t="shared" si="201"/>
        <v>#N/A</v>
      </c>
      <c r="UK13" t="e">
        <f t="shared" si="167"/>
        <v>#N/A</v>
      </c>
      <c r="UL13">
        <f>IF(COUNTIF('Final Calculation Sheet'!$AL13:$BJ13,0)+COUNTIF('Final Calculation Sheet'!$BL13:$BS13,0)&gt;0,0,1)</f>
        <v>1</v>
      </c>
      <c r="UM13" t="b">
        <f ca="1">IF($EJ$13="",FALSE,SUMPRODUCT(('Final Calculation Sheet'!$Z$4:$Z$40=$EJ$13)*($UL$4:$UL$40=1))&gt;0)</f>
        <v>1</v>
      </c>
      <c r="UN13">
        <f t="shared" ca="1" si="202"/>
        <v>10</v>
      </c>
      <c r="UO13">
        <f t="shared" ca="1" si="168"/>
        <v>1911.6</v>
      </c>
      <c r="UP13">
        <f>IF(COUNTIF('Final Calculation Sheet'!$AL13:$BK13,0)+COUNTIF('Final Calculation Sheet'!$BM13:$BS13,0)&gt;0,0,1)</f>
        <v>1</v>
      </c>
      <c r="UQ13" t="e">
        <f>IF($EO$13="",FALSE,SUMPRODUCT(('Final Calculation Sheet'!$AA$4:$AA$40=$EO$13)*($UP$4:$UP$40=1))&gt;0)</f>
        <v>#N/A</v>
      </c>
      <c r="UR13" t="e">
        <f t="shared" si="203"/>
        <v>#N/A</v>
      </c>
      <c r="US13" t="e">
        <f t="shared" si="169"/>
        <v>#N/A</v>
      </c>
      <c r="UT13">
        <f>IF(COUNTIF('Final Calculation Sheet'!$AL13:$BL13,0)+COUNTIF('Final Calculation Sheet'!$BN13:$BS13,0)&gt;0,0,1)</f>
        <v>1</v>
      </c>
      <c r="UU13" t="e">
        <f>IF($ET$13="",FALSE,SUMPRODUCT(('Final Calculation Sheet'!$AB$4:$AB$40=$ET$13)*($UT$4:$UT$40=1))&gt;0)</f>
        <v>#N/A</v>
      </c>
      <c r="UV13" t="e">
        <f t="shared" si="204"/>
        <v>#N/A</v>
      </c>
      <c r="UW13" t="e">
        <f t="shared" si="170"/>
        <v>#N/A</v>
      </c>
      <c r="UX13">
        <f>IF(COUNTIF('Final Calculation Sheet'!$AL13:$BM13,0)+COUNTIF('Final Calculation Sheet'!$BO13:$BS13,0)&gt;0,0,1)</f>
        <v>1</v>
      </c>
      <c r="UY13" t="b">
        <f>IF($EY$13="",FALSE,SUMPRODUCT(('Final Calculation Sheet'!$AC$4:$AC$40=$EY$13)*($UX$4:$UX$40=1))&gt;0)</f>
        <v>1</v>
      </c>
      <c r="UZ13">
        <f t="shared" si="205"/>
        <v>10</v>
      </c>
      <c r="VA13">
        <f t="shared" si="171"/>
        <v>58829</v>
      </c>
      <c r="VB13">
        <f>IF(COUNTIF('Final Calculation Sheet'!$AL13:$BN13,0)+COUNTIF('Final Calculation Sheet'!$BP13:$BS13,0)&gt;0,0,1)</f>
        <v>1</v>
      </c>
      <c r="VC13" t="b">
        <f>IF($FD$13="",FALSE,SUMPRODUCT(('Final Calculation Sheet'!$AD$4:$AD$40=$FD$13)*($VB$4:$VB$40=1))&gt;0)</f>
        <v>1</v>
      </c>
      <c r="VD13">
        <f t="shared" si="206"/>
        <v>10</v>
      </c>
      <c r="VE13">
        <f t="shared" si="172"/>
        <v>250160</v>
      </c>
      <c r="VF13">
        <f>IF(COUNTIF('Final Calculation Sheet'!$AL13:$BO13,0)+COUNTIF('Final Calculation Sheet'!$BQ13:$BS13,0)&gt;0,0,1)</f>
        <v>1</v>
      </c>
      <c r="VG13" t="e">
        <f>IF($FI$13="",FALSE,SUMPRODUCT(('Final Calculation Sheet'!$AE$4:$AE$40=$FI$13)*($VF$4:$VF$40=1))&gt;0)</f>
        <v>#N/A</v>
      </c>
      <c r="VH13" t="e">
        <f t="shared" si="207"/>
        <v>#N/A</v>
      </c>
      <c r="VI13" t="e">
        <f t="shared" si="173"/>
        <v>#N/A</v>
      </c>
      <c r="VJ13">
        <f>IF(COUNTIF('Final Calculation Sheet'!$AL13:$BP13,0)+COUNTIF('Final Calculation Sheet'!$BR13:$BS13,0)&gt;0,0,1)</f>
        <v>1</v>
      </c>
      <c r="VK13" t="e">
        <f>IF($FN$13="",FALSE,SUMPRODUCT(('Final Calculation Sheet'!$AF$4:$AF$40=$FN$13)*($VJ$4:$VJ$40=1))&gt;0)</f>
        <v>#N/A</v>
      </c>
      <c r="VL13" t="e">
        <f t="shared" si="208"/>
        <v>#N/A</v>
      </c>
      <c r="VM13" t="e">
        <f t="shared" si="174"/>
        <v>#N/A</v>
      </c>
      <c r="VN13">
        <f>IF(COUNTIF('Final Calculation Sheet'!$AL13:$BQ13,0)+COUNTIF('Final Calculation Sheet'!$BS13:$BS13,0)&gt;0,0,1)</f>
        <v>1</v>
      </c>
      <c r="VO13" t="e">
        <f>IF($FS$13="",FALSE,SUMPRODUCT(('Final Calculation Sheet'!$AG$4:$AG$40=$FS$13)*($VN$4:$VN$40=1))&gt;0)</f>
        <v>#N/A</v>
      </c>
      <c r="VP13" t="e">
        <f t="shared" si="209"/>
        <v>#N/A</v>
      </c>
      <c r="VQ13" t="e">
        <f t="shared" si="175"/>
        <v>#N/A</v>
      </c>
      <c r="VR13">
        <f>IF(COUNTIF('Final Calculation Sheet'!$AL13:$BR13,0)&gt;0,0,1)</f>
        <v>1</v>
      </c>
      <c r="VS13" t="e">
        <f>IF($QO$13="",FALSE,SUMPRODUCT(('Final Calculation Sheet'!$AH$4:$AH$40=$QO$13)*($VR$4:$VR$40=1))&gt;0)</f>
        <v>#N/A</v>
      </c>
      <c r="VT13" t="e">
        <f t="shared" si="210"/>
        <v>#N/A</v>
      </c>
      <c r="VU13" t="e">
        <f t="shared" si="176"/>
        <v>#N/A</v>
      </c>
    </row>
    <row r="14" spans="1:593" x14ac:dyDescent="0.3">
      <c r="A14">
        <f>IF('Final Calculation Sheet'!$F$14="","",'Final Calculation Sheet'!$F$14)</f>
        <v>2007</v>
      </c>
      <c r="B14">
        <f>IF(A14="","",COUNTIFS(A$4:A$114,"&lt;"&amp;A14,A$4:A$114,"&lt;&gt;"&amp;"")+COUNTIF(A$4:A14,A14))</f>
        <v>11</v>
      </c>
      <c r="C14">
        <f t="shared" si="0"/>
        <v>2007</v>
      </c>
      <c r="D14">
        <f>D13+IF(AND(C14&lt;&gt;"",COUNTIF(C$4:C14,C14)=1),1,0)</f>
        <v>11</v>
      </c>
      <c r="E14" t="e">
        <f t="shared" si="1"/>
        <v>#N/A</v>
      </c>
      <c r="F14">
        <f t="shared" si="2"/>
        <v>11</v>
      </c>
      <c r="G14">
        <f>IF(F14="","",COUNTIFS(F$4:F$40,"&lt;"&amp;F14,F$4:F$40,"&lt;&gt;"&amp;"")+COUNTIF(F$4:F14,F14))</f>
        <v>11</v>
      </c>
      <c r="H14">
        <f t="shared" si="3"/>
        <v>11</v>
      </c>
      <c r="I14">
        <f>I13+IF(AND(H14&lt;&gt;"",COUNTIF(H$4:H14,H14)=1),1,0)</f>
        <v>11</v>
      </c>
      <c r="J14">
        <f t="shared" si="4"/>
        <v>11</v>
      </c>
      <c r="K14">
        <f>IF('Final Calculation Sheet'!$F$14="","",'Final Calculation Sheet'!$F$14)</f>
        <v>2007</v>
      </c>
      <c r="L14">
        <f>IF(K14="","",COUNTIFS(K$4:K$40,"&lt;"&amp;K14,K$4:K$40,"&lt;&gt;"&amp;"")+COUNTIF(K$4:K14,K14))</f>
        <v>11</v>
      </c>
      <c r="M14">
        <f t="shared" si="5"/>
        <v>2007</v>
      </c>
      <c r="N14">
        <f>N13+IF(AND(M14&lt;&gt;"",COUNTIF(M$4:M14,M14)=1),1,0)</f>
        <v>11</v>
      </c>
      <c r="O14">
        <f t="shared" si="6"/>
        <v>2007</v>
      </c>
      <c r="P14" t="str">
        <f>IF('Final Calculation Sheet'!$G$14="","",'Final Calculation Sheet'!$G$14)</f>
        <v>SHAR JAHAN TRADERS</v>
      </c>
      <c r="Q14">
        <f>IF(P14="","",COUNTIFS(P$4:P$40,"&lt;"&amp;P14,P$4:P$40,"&lt;&gt;"&amp;"")+COUNTIF(P$4:P14,P14))</f>
        <v>27</v>
      </c>
      <c r="R14" t="str">
        <f t="shared" si="7"/>
        <v>NATIONAL ENTERPRISES</v>
      </c>
      <c r="S14">
        <f>S13+IF(AND(R14&lt;&gt;"",COUNTIF(R$4:R14,R14)=1),1,0)</f>
        <v>6</v>
      </c>
      <c r="T14" t="str">
        <f t="shared" si="8"/>
        <v>SHAR JAHAN TRADERS</v>
      </c>
      <c r="U14" t="str">
        <f>IF('Final Calculation Sheet'!$B$14="","",'Final Calculation Sheet'!$B$14)</f>
        <v>SCRAP POWER TRANSFORMER</v>
      </c>
      <c r="V14">
        <f>IF(U14="","",COUNTIFS(U$4:U$40,"&lt;"&amp;U14,U$4:U$40,"&lt;&gt;"&amp;"")+COUNTIF(U$4:U14,U14))</f>
        <v>37</v>
      </c>
      <c r="W14" t="str">
        <f t="shared" si="9"/>
        <v>Scrap of 132 KV CT</v>
      </c>
      <c r="X14">
        <f>X13+IF(AND(W14&lt;&gt;"",COUNTIF(W$4:W14,W14)=1),1,0)</f>
        <v>6</v>
      </c>
      <c r="Y14" t="str">
        <f t="shared" si="10"/>
        <v>Scrap of 220KV CT</v>
      </c>
      <c r="Z14">
        <f>IF('Final Calculation Sheet'!$D$14="","",'Final Calculation Sheet'!$D$14)</f>
        <v>21977</v>
      </c>
      <c r="AA14">
        <f>IF(Z14="","",COUNTIFS(Z$4:Z$40,"&lt;"&amp;Z14,Z$4:Z$40,"&lt;&gt;"&amp;"")+COUNTIF(Z$4:Z14,Z14))</f>
        <v>9</v>
      </c>
      <c r="AB14">
        <f t="shared" si="11"/>
        <v>21977</v>
      </c>
      <c r="AC14">
        <f>AC13+IF(AND(AB14&lt;&gt;"",COUNTIF(AB$4:AB14,AB14)=1),1,0)</f>
        <v>1</v>
      </c>
      <c r="AD14" t="str">
        <f t="shared" si="12"/>
        <v/>
      </c>
      <c r="AE14">
        <f>IF('Final Calculation Sheet'!$A$14="","",'Final Calculation Sheet'!$A$14)</f>
        <v>1</v>
      </c>
      <c r="AF14">
        <f>IF(AE14="","",COUNTIFS(AE$4:AE$40,"&lt;"&amp;AE14,AE$4:AE$40,"&lt;&gt;"&amp;"")+COUNTIF(AE$4:AE14,AE14))</f>
        <v>4</v>
      </c>
      <c r="AG14">
        <f t="shared" si="13"/>
        <v>2</v>
      </c>
      <c r="AH14">
        <f>AH13+IF(AND(AG14&lt;&gt;"",COUNTIF(AG$4:AG14,AG14)=1),1,0)</f>
        <v>2</v>
      </c>
      <c r="AI14">
        <f t="shared" si="14"/>
        <v>50</v>
      </c>
      <c r="AJ14" t="str">
        <f>IF('Final Calculation Sheet'!$E$14="","",'Final Calculation Sheet'!$E$14)</f>
        <v>NO</v>
      </c>
      <c r="AK14">
        <f>IF(AJ14="","",COUNTIFS(AJ$4:AJ$40,"&lt;"&amp;AJ14,AJ$4:AJ$40,"&lt;&gt;"&amp;"")+COUNTIF(AJ$4:AJ14,AJ14))</f>
        <v>14</v>
      </c>
      <c r="AL14" t="str">
        <f t="shared" si="15"/>
        <v>NO</v>
      </c>
      <c r="AM14">
        <f>AM13+IF(AND(AL14&lt;&gt;"",COUNTIF(AL$4:AL14,AL14)=1),1,0)</f>
        <v>3</v>
      </c>
      <c r="AN14" t="str">
        <f t="shared" si="16"/>
        <v/>
      </c>
      <c r="AO14" s="50">
        <f>IF('Final Calculation Sheet'!$C$14="","",'Final Calculation Sheet'!$C$14)</f>
        <v>3857116</v>
      </c>
      <c r="AP14">
        <f>IF(AO14="","",COUNTIFS(AO$4:AO$40,"&lt;"&amp;AO14,AO$4:AO$40,"&lt;&gt;"&amp;"")+COUNTIF(AO$4:AO14,AO14))</f>
        <v>37</v>
      </c>
      <c r="AQ14" s="50">
        <f t="shared" si="17"/>
        <v>700</v>
      </c>
      <c r="AR14">
        <f>AR13+IF(AND(AQ14&lt;&gt;"",COUNTIF(AQ$4:AQ14,AQ14)=1),1,0)</f>
        <v>10</v>
      </c>
      <c r="AS14" s="50">
        <f t="shared" si="18"/>
        <v>702</v>
      </c>
      <c r="AT14" s="50">
        <f>IF('Final Calculation Sheet'!$H$14="","",'Final Calculation Sheet'!$H$14)</f>
        <v>3857116</v>
      </c>
      <c r="AU14">
        <f>IF(AT14="","",COUNTIFS(AT$4:AT$40,"&lt;"&amp;AT14,AT$4:AT$40,"&lt;&gt;"&amp;"")+COUNTIF(AT$4:AT14,AT14))</f>
        <v>37</v>
      </c>
      <c r="AV14" s="50">
        <f t="shared" si="19"/>
        <v>63000</v>
      </c>
      <c r="AW14">
        <f>AW13+IF(AND(AV14&lt;&gt;"",COUNTIF(AV$4:AV14,AV14)=1),1,0)</f>
        <v>11</v>
      </c>
      <c r="AX14" s="50">
        <f t="shared" si="20"/>
        <v>63000</v>
      </c>
      <c r="AY14" s="50">
        <f>IF('Final Calculation Sheet'!$I$14="","",'Final Calculation Sheet'!$I$14)</f>
        <v>694281</v>
      </c>
      <c r="AZ14">
        <f>IF(AY14="","",COUNTIFS(AY$4:AY$40,"&lt;"&amp;AY14,AY$4:AY$40,"&lt;&gt;"&amp;"")+COUNTIF(AY$4:AY14,AY14))</f>
        <v>37</v>
      </c>
      <c r="BA14" s="50">
        <f t="shared" si="21"/>
        <v>11340</v>
      </c>
      <c r="BB14">
        <f>BB13+IF(AND(BA14&lt;&gt;"",COUNTIF(BA$4:BA14,BA14)=1),1,0)</f>
        <v>11</v>
      </c>
      <c r="BC14" s="50">
        <f t="shared" si="22"/>
        <v>11340</v>
      </c>
      <c r="BD14" s="50">
        <f>IF('Final Calculation Sheet'!$J$14="","",'Final Calculation Sheet'!$J$14)</f>
        <v>4551397</v>
      </c>
      <c r="BE14">
        <f>IF(BD14="","",COUNTIFS(BD$4:BD$40,"&lt;"&amp;BD14,BD$4:BD$40,"&lt;&gt;"&amp;"")+COUNTIF(BD$4:BD14,BD14))</f>
        <v>37</v>
      </c>
      <c r="BF14" s="50">
        <f t="shared" si="23"/>
        <v>74340</v>
      </c>
      <c r="BG14">
        <f>BG13+IF(AND(BF14&lt;&gt;"",COUNTIF(BF$4:BF14,BF14)=1),1,0)</f>
        <v>11</v>
      </c>
      <c r="BH14" s="50">
        <f t="shared" si="24"/>
        <v>74340</v>
      </c>
      <c r="BI14" s="50">
        <f>IF('Final Calculation Sheet'!$K$14="","",'Final Calculation Sheet'!$K$14)</f>
        <v>91028</v>
      </c>
      <c r="BJ14">
        <f>IF(BI14="","",COUNTIFS(BI$4:BI$40,"&lt;"&amp;BI14,BI$4:BI$40,"&lt;&gt;"&amp;"")+COUNTIF(BI$4:BI14,BI14))</f>
        <v>37</v>
      </c>
      <c r="BK14" s="50">
        <f t="shared" si="25"/>
        <v>1487</v>
      </c>
      <c r="BL14">
        <f>BL13+IF(AND(BK14&lt;&gt;"",COUNTIF(BK$4:BK14,BK14)=1),1,0)</f>
        <v>11</v>
      </c>
      <c r="BM14" s="50">
        <f t="shared" si="26"/>
        <v>1487</v>
      </c>
      <c r="BN14" s="50">
        <f>IF('Final Calculation Sheet'!$L$14="","",'Final Calculation Sheet'!$L$14)</f>
        <v>3857.116</v>
      </c>
      <c r="BO14">
        <f>IF(BN14="","",COUNTIFS(BN$4:BN$40,"&lt;"&amp;BN14,BN$4:BN$40,"&lt;&gt;"&amp;"")+COUNTIF(BN$4:BN14,BN14))</f>
        <v>37</v>
      </c>
      <c r="BP14" s="50">
        <f t="shared" si="27"/>
        <v>63</v>
      </c>
      <c r="BQ14">
        <f>BQ13+IF(AND(BP14&lt;&gt;"",COUNTIF(BP$4:BP14,BP14)=1),1,0)</f>
        <v>11</v>
      </c>
      <c r="BR14" s="50">
        <f t="shared" si="28"/>
        <v>63</v>
      </c>
      <c r="BS14" s="50">
        <f>IF('Final Calculation Sheet'!$M$14="","",'Final Calculation Sheet'!$M$14)</f>
        <v>102406.4298</v>
      </c>
      <c r="BT14">
        <f>IF(BS14="","",COUNTIFS(BS$4:BS$40,"&lt;"&amp;BS14,BS$4:BS$40,"&lt;&gt;"&amp;"")+COUNTIF(BS$4:BS14,BS14))</f>
        <v>37</v>
      </c>
      <c r="BU14" s="50">
        <f t="shared" si="29"/>
        <v>1672.6499999999999</v>
      </c>
      <c r="BV14">
        <f>BV13+IF(AND(BU14&lt;&gt;"",COUNTIF(BU$4:BU14,BU14)=1),1,0)</f>
        <v>11</v>
      </c>
      <c r="BW14" s="50">
        <f t="shared" si="30"/>
        <v>1672.6499999999999</v>
      </c>
      <c r="BX14" s="126">
        <f>IF('Final Calculation Sheet'!$N$14="","",'Final Calculation Sheet'!$N$14)</f>
        <v>1735.7021999999999</v>
      </c>
      <c r="BY14">
        <f>IF(BX14="","",COUNTIFS(BX$4:BX$40,"&lt;"&amp;BX14,BX$4:BX$40,"&lt;&gt;"&amp;"")+COUNTIF(BX$4:BX14,BX14))</f>
        <v>37</v>
      </c>
      <c r="BZ14" s="126">
        <f t="shared" si="31"/>
        <v>28.35</v>
      </c>
      <c r="CA14">
        <f>CA13+IF(AND(BZ14&lt;&gt;"",COUNTIF(BZ$4:BZ14,BZ14)=1),1,0)</f>
        <v>11</v>
      </c>
      <c r="CB14" s="126">
        <f t="shared" si="32"/>
        <v>28.35</v>
      </c>
      <c r="CC14" s="50">
        <f>IF('Final Calculation Sheet'!$O$14="","",'Final Calculation Sheet'!$O$14)</f>
        <v>100670.7276</v>
      </c>
      <c r="CD14">
        <f>IF(CC14="","",COUNTIFS(CC$4:CC$40,"&lt;"&amp;CC14,CC$4:CC$40,"&lt;&gt;"&amp;"")+COUNTIF(CC$4:CC14,CC14))</f>
        <v>37</v>
      </c>
      <c r="CE14" s="50">
        <f t="shared" si="33"/>
        <v>1644.3</v>
      </c>
      <c r="CF14">
        <f>CF13+IF(AND(CE14&lt;&gt;"",COUNTIF(CE$4:CE14,CE14)=1),1,0)</f>
        <v>11</v>
      </c>
      <c r="CG14" s="50">
        <f t="shared" si="34"/>
        <v>1644.3</v>
      </c>
      <c r="CH14" s="50">
        <f>IF('Final Calculation Sheet'!$P$14="","",'Final Calculation Sheet'!$P$14)</f>
        <v>104528</v>
      </c>
      <c r="CI14">
        <f>IF(CH14="","",COUNTIFS(CH$4:CH$40,"&lt;"&amp;CH14,CH$4:CH$40,"&lt;&gt;"&amp;"")+COUNTIF(CH$4:CH14,CH14))</f>
        <v>37</v>
      </c>
      <c r="CJ14" s="50">
        <f t="shared" si="35"/>
        <v>1707</v>
      </c>
      <c r="CK14">
        <f>CK13+IF(AND(CJ14&lt;&gt;"",COUNTIF(CJ$4:CJ14,CJ14)=1),1,0)</f>
        <v>11</v>
      </c>
      <c r="CL14" s="50">
        <f t="shared" si="36"/>
        <v>1707</v>
      </c>
      <c r="CM14" s="127">
        <f>IF('Final Calculation Sheet'!$Q$14="","",'Final Calculation Sheet'!$Q$14)</f>
        <v>0</v>
      </c>
      <c r="CN14">
        <f>IF(CM14="","",COUNTIFS(CM$4:CM$40,"&lt;"&amp;CM14,CM$4:CM$40,"&lt;&gt;"&amp;"")+COUNTIF(CM$4:CM14,CM14))</f>
        <v>9</v>
      </c>
      <c r="CO14" s="127">
        <f t="shared" si="37"/>
        <v>0</v>
      </c>
      <c r="CP14">
        <f>CP13+IF(AND(CO14&lt;&gt;"",COUNTIF(CO$4:CO14,CO14)=1),1,0)</f>
        <v>1</v>
      </c>
      <c r="CQ14" t="str">
        <f t="shared" si="38"/>
        <v/>
      </c>
      <c r="CR14" s="50">
        <f>IF('Final Calculation Sheet'!$R$14="","",'Final Calculation Sheet'!$R$14)</f>
        <v>0</v>
      </c>
      <c r="CS14">
        <f>IF(CR14="","",COUNTIFS(CR$4:CR$40,"&lt;"&amp;CR14,CR$4:CR$40,"&lt;&gt;"&amp;"")+COUNTIF(CR$4:CR14,CR14))</f>
        <v>9</v>
      </c>
      <c r="CT14" s="50">
        <f t="shared" si="39"/>
        <v>0</v>
      </c>
      <c r="CU14">
        <f>CU13+IF(AND(CT14&lt;&gt;"",COUNTIF(CT$4:CT14,CT14)=1),1,0)</f>
        <v>1</v>
      </c>
      <c r="CV14" t="str">
        <f t="shared" si="40"/>
        <v/>
      </c>
      <c r="CW14" s="50">
        <f>IF('Final Calculation Sheet'!$S$14="","",'Final Calculation Sheet'!$S$14)</f>
        <v>4537897</v>
      </c>
      <c r="CX14">
        <f>IF(CW14="","",COUNTIFS(CW$4:CW$40,"&lt;"&amp;CW14,CW$4:CW$40,"&lt;&gt;"&amp;"")+COUNTIF(CW$4:CW14,CW14))</f>
        <v>37</v>
      </c>
      <c r="CY14" s="50">
        <f t="shared" si="41"/>
        <v>74120</v>
      </c>
      <c r="CZ14">
        <f>CZ13+IF(AND(CY14&lt;&gt;"",COUNTIF(CY$4:CY14,CY14)=1),1,0)</f>
        <v>11</v>
      </c>
      <c r="DA14" s="50">
        <f t="shared" si="42"/>
        <v>74120</v>
      </c>
      <c r="DB14" s="50">
        <f>IF('Final Calculation Sheet'!$T$14="","",'Final Calculation Sheet'!$T$14)</f>
        <v>964279</v>
      </c>
      <c r="DC14">
        <f>IF(DB14="","",COUNTIFS(DB$4:DB$40,"&lt;"&amp;DB14,DB$4:DB$40,"&lt;&gt;"&amp;"")+COUNTIF(DB$4:DB14,DB14))</f>
        <v>37</v>
      </c>
      <c r="DD14" s="50">
        <f t="shared" si="43"/>
        <v>15750</v>
      </c>
      <c r="DE14">
        <f>DE13+IF(AND(DD14&lt;&gt;"",COUNTIF(DD$4:DD14,DD14)=1),1,0)</f>
        <v>11</v>
      </c>
      <c r="DF14" s="50">
        <f t="shared" si="44"/>
        <v>15750</v>
      </c>
      <c r="DG14" s="128">
        <f>IF('Final Calculation Sheet'!$U$14="","",'Final Calculation Sheet'!$U$14)</f>
        <v>964279</v>
      </c>
      <c r="DH14">
        <f>IF(DG14="","",COUNTIFS(DG$4:DG$40,"&lt;"&amp;DG14,DG$4:DG$40,"&lt;&gt;"&amp;"")+COUNTIF(DG$4:DG14,DG14))</f>
        <v>37</v>
      </c>
      <c r="DI14" s="128">
        <f t="shared" si="45"/>
        <v>15750</v>
      </c>
      <c r="DJ14">
        <f>DJ13+IF(AND(DI14&lt;&gt;"",COUNTIF(DI$4:DI14,DI14)=1),1,0)</f>
        <v>11</v>
      </c>
      <c r="DK14" s="128">
        <f t="shared" si="46"/>
        <v>15750</v>
      </c>
      <c r="DL14" t="str">
        <f>IF('Final Calculation Sheet'!$V$14="","",'Final Calculation Sheet'!$V$14)</f>
        <v>13.08.2026</v>
      </c>
      <c r="DM14">
        <f>IF(DL14="","",COUNTIFS(DL$4:DL$40,"&lt;"&amp;DL14,DL$4:DL$40,"&lt;&gt;"&amp;"")+COUNTIF(DL$4:DL14,DL14))</f>
        <v>17</v>
      </c>
      <c r="DN14" t="str">
        <f t="shared" si="47"/>
        <v>11.08.2026</v>
      </c>
      <c r="DO14">
        <f>DO13+IF(AND(DN14&lt;&gt;"",COUNTIF(DN$4:DN14,DN14)=1),1,0)</f>
        <v>2</v>
      </c>
      <c r="DP14" t="str">
        <f t="shared" si="48"/>
        <v/>
      </c>
      <c r="DQ14" s="50">
        <f>IF('Final Calculation Sheet'!$W$14="","",'Final Calculation Sheet'!$W$14)</f>
        <v>3573618</v>
      </c>
      <c r="DR14">
        <f>IF(DQ14="","",COUNTIFS(DQ$4:DQ$40,"&lt;"&amp;DQ14,DQ$4:DQ$40,"&lt;&gt;"&amp;"")+COUNTIF(DQ$4:DQ14,DQ14))</f>
        <v>37</v>
      </c>
      <c r="DS14" s="50">
        <f t="shared" si="49"/>
        <v>58370</v>
      </c>
      <c r="DT14">
        <f>DT13+IF(AND(DS14&lt;&gt;"",COUNTIF(DS$4:DS14,DS14)=1),1,0)</f>
        <v>11</v>
      </c>
      <c r="DU14" s="50">
        <f t="shared" si="50"/>
        <v>58370</v>
      </c>
      <c r="DV14" s="50">
        <f>IF('Final Calculation Sheet'!$X$14="","",'Final Calculation Sheet'!$X$14)</f>
        <v>3573618.9057083898</v>
      </c>
      <c r="DW14">
        <f>IF(DV14="","",COUNTIFS(DV$4:DV$40,"&lt;"&amp;DV14,DV$4:DV$40,"&lt;&gt;"&amp;"")+COUNTIF(DV$4:DV14,DV14))</f>
        <v>34</v>
      </c>
      <c r="DX14" s="50">
        <f t="shared" si="51"/>
        <v>60229</v>
      </c>
      <c r="DY14">
        <f>DY13+IF(AND(DX14&lt;&gt;"",COUNTIF(DX$4:DX14,DX14)=1),1,0)</f>
        <v>11</v>
      </c>
      <c r="DZ14" t="e">
        <f t="shared" si="52"/>
        <v>#N/A</v>
      </c>
      <c r="EA14" t="str">
        <f>IF('Final Calculation Sheet'!$Y$14="","",'Final Calculation Sheet'!$Y$14)</f>
        <v>13.08.2026</v>
      </c>
      <c r="EB14">
        <f>IF(EA14="","",COUNTIFS(EA$4:EA$40,"&lt;"&amp;EA14,EA$4:EA$40,"&lt;&gt;"&amp;"")+COUNTIF(EA$4:EA14,EA14))</f>
        <v>10</v>
      </c>
      <c r="EC14" t="str">
        <f t="shared" si="53"/>
        <v>17.08.2026</v>
      </c>
      <c r="ED14">
        <f>ED13+IF(AND(EC14&lt;&gt;"",COUNTIF(EC$4:EC14,EC14)=1),1,0)</f>
        <v>5</v>
      </c>
      <c r="EE14" t="e">
        <f t="shared" si="54"/>
        <v>#N/A</v>
      </c>
      <c r="EF14" s="50">
        <f ca="1">IF('Final Calculation Sheet'!$Z$14="","",'Final Calculation Sheet'!$Z$14)</f>
        <v>136541.90640000001</v>
      </c>
      <c r="EG14">
        <f ca="1">IF(EF14="","",COUNTIFS(EF$4:EF$40,"&lt;"&amp;EF14,EF$4:EF$40,"&lt;&gt;"&amp;"")+COUNTIF(EF$4:EF14,EF14))</f>
        <v>37</v>
      </c>
      <c r="EH14" s="50">
        <f t="shared" ca="1" si="55"/>
        <v>2230.1999999999998</v>
      </c>
      <c r="EI14">
        <f ca="1">EI13+IF(AND(EH14&lt;&gt;"",COUNTIF(EH$4:EH14,EH14)=1),1,0)</f>
        <v>11</v>
      </c>
      <c r="EJ14">
        <f t="shared" ca="1" si="56"/>
        <v>2230.1999999999998</v>
      </c>
      <c r="EK14" t="str">
        <f>IF('Final Calculation Sheet'!$AA$14="","",'Final Calculation Sheet'!$AA$14)</f>
        <v/>
      </c>
      <c r="EL14" t="str">
        <f>IF(EK14="","",COUNTIFS(EK$4:EK$40,"&lt;"&amp;EK14,EK$4:EK$40,"&lt;&gt;"&amp;"")+COUNTIF(EK$4:EK14,EK14))</f>
        <v/>
      </c>
      <c r="EM14" t="e">
        <f t="shared" si="57"/>
        <v>#N/A</v>
      </c>
      <c r="EN14" t="e">
        <f>EN13+IF(AND(EM14&lt;&gt;"",COUNTIF(EM$4:EM14,EM14)=1),1,0)</f>
        <v>#N/A</v>
      </c>
      <c r="EO14" t="e">
        <f t="shared" si="58"/>
        <v>#N/A</v>
      </c>
      <c r="EP14" t="str">
        <f>IF('Final Calculation Sheet'!$AB$14="","",'Final Calculation Sheet'!$AB$14)</f>
        <v/>
      </c>
      <c r="EQ14" t="str">
        <f>IF(EP14="","",COUNTIFS(EP$4:EP$40,"&lt;"&amp;EP14,EP$4:EP$40,"&lt;&gt;"&amp;"")+COUNTIF(EP$4:EP14,EP14))</f>
        <v/>
      </c>
      <c r="ER14" t="e">
        <f t="shared" si="59"/>
        <v>#N/A</v>
      </c>
      <c r="ES14" t="e">
        <f>ES13+IF(AND(ER14&lt;&gt;"",COUNTIF(ER$4:ER14,ER14)=1),1,0)</f>
        <v>#N/A</v>
      </c>
      <c r="ET14" t="e">
        <f t="shared" si="60"/>
        <v>#N/A</v>
      </c>
      <c r="EU14" s="50">
        <f>IF('Final Calculation Sheet'!$AC$14="","",'Final Calculation Sheet'!$AC$14)</f>
        <v>4537897.9057083894</v>
      </c>
      <c r="EV14">
        <f>IF(EU14="","",COUNTIFS(EU$4:EU$40,"&lt;"&amp;EU14,EU$4:EU$40,"&lt;&gt;"&amp;"")+COUNTIF(EU$4:EU14,EU14))</f>
        <v>37</v>
      </c>
      <c r="EW14" s="50">
        <f t="shared" si="61"/>
        <v>67502</v>
      </c>
      <c r="EX14">
        <f>EX13+IF(AND(EW14&lt;&gt;"",COUNTIF(EW$4:EW14,EW14)=1),1,0)</f>
        <v>11</v>
      </c>
      <c r="EY14" s="50">
        <f t="shared" si="62"/>
        <v>67502</v>
      </c>
      <c r="EZ14" s="50">
        <f>IF('Final Calculation Sheet'!$AD$14="","",'Final Calculation Sheet'!$AD$14)</f>
        <v>-0.90570838935673237</v>
      </c>
      <c r="FA14">
        <f>IF(EZ14="","",COUNTIFS(EZ$4:EZ$40,"&lt;"&amp;EZ14,EZ$4:EZ$40,"&lt;&gt;"&amp;"")+COUNTIF(EZ$4:EZ14,EZ14))</f>
        <v>7</v>
      </c>
      <c r="FB14" s="50">
        <f t="shared" si="63"/>
        <v>0</v>
      </c>
      <c r="FC14">
        <f>FC13+IF(AND(FB14&lt;&gt;"",COUNTIF(FB$4:FB14,FB14)=1),1,0)</f>
        <v>7</v>
      </c>
      <c r="FD14" s="50">
        <f t="shared" si="64"/>
        <v>498031</v>
      </c>
      <c r="FE14" t="str">
        <f>IF('Final Calculation Sheet'!$AF$14="","",'Final Calculation Sheet'!$AF$14)</f>
        <v>DR2640100024</v>
      </c>
      <c r="FF14">
        <f>IF(FE14="","",COUNTIFS(FE$4:FE$40,"&lt;"&amp;FE14,FE$4:FE$40,"&lt;&gt;"&amp;"")+COUNTIF(FE$4:FE14,FE14))</f>
        <v>13</v>
      </c>
      <c r="FG14" t="str">
        <f t="shared" si="65"/>
        <v>DR2640100022</v>
      </c>
      <c r="FH14" t="e">
        <f>FH13+IF(AND(FG14&lt;&gt;"",COUNTIF(FG$4:FG14,FG14)=1),1,0)</f>
        <v>#N/A</v>
      </c>
      <c r="FI14" t="e">
        <f t="shared" si="66"/>
        <v>#N/A</v>
      </c>
      <c r="FJ14" s="129">
        <f>IF('Final Calculation Sheet'!$AG$14="","",'Final Calculation Sheet'!$AG$14)</f>
        <v>1800003196</v>
      </c>
      <c r="FK14">
        <f>IF(FJ14="","",COUNTIFS(FJ$4:FJ$40,"&lt;"&amp;FJ14,FJ$4:FJ$40,"&lt;&gt;"&amp;"")+COUNTIF(FJ$4:FJ14,FJ14))</f>
        <v>8</v>
      </c>
      <c r="FL14" s="129">
        <f t="shared" si="67"/>
        <v>1800003248</v>
      </c>
      <c r="FM14">
        <f>FM13+IF(AND(FL14&lt;&gt;"",COUNTIF(FL$4:FL14,FL14)=1),1,0)</f>
        <v>11</v>
      </c>
      <c r="FN14" t="e">
        <f t="shared" si="68"/>
        <v>#N/A</v>
      </c>
      <c r="FO14" t="str">
        <f>IF('Final Calculation Sheet'!$AH$14="","",'Final Calculation Sheet'!$AH$14)</f>
        <v>17.08.2026</v>
      </c>
      <c r="FP14">
        <f>IF(FO14="","",COUNTIFS(FO$4:FO$40,"&lt;"&amp;FO14,FO$4:FO$40,"&lt;&gt;"&amp;"")+COUNTIF(FO$4:FO14,FO14))</f>
        <v>13</v>
      </c>
      <c r="FQ14" t="str">
        <f t="shared" si="69"/>
        <v>14.08.2026</v>
      </c>
      <c r="FR14" t="e">
        <f>FR13+IF(AND(FQ14&lt;&gt;"",COUNTIF(FQ$4:FQ14,FQ14)=1),1,0)</f>
        <v>#N/A</v>
      </c>
      <c r="FS14" t="e">
        <f t="shared" si="70"/>
        <v>#N/A</v>
      </c>
      <c r="FU14" t="str">
        <f>IF(FT14="","",COUNTIFS(FT$4:FT$40,"&lt;"&amp;FT14,FT$4:FT$40,"&lt;&gt;"&amp;"")+COUNTIF(FT$4:FT14,FT14))</f>
        <v/>
      </c>
      <c r="FV14" t="str">
        <f t="shared" si="71"/>
        <v/>
      </c>
      <c r="FW14">
        <f>FW13+IF(AND(FV14&lt;&gt;"",COUNTIF(FV$4:FV14,FV14)=1),1,0)</f>
        <v>2</v>
      </c>
      <c r="FX14" t="str">
        <f t="shared" si="72"/>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4" t="b">
        <f>IF($Y$14="",FALSE,SUMPRODUCT(('Final Calculation Sheet'!$B$4:$B$40=$Y$14)*($FY$6:$FY$42=1))&gt;0)</f>
        <v>1</v>
      </c>
      <c r="GA14">
        <f>$GA$13+--($FZ$14)</f>
        <v>11</v>
      </c>
      <c r="GB14" t="str">
        <f t="shared" si="73"/>
        <v>Scrap of 220KV CT</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D14" t="b">
        <f>IF($O$14="",FALSE,SUMPRODUCT(('Final Calculation Sheet'!$F$4:$F$40=$O$14)*($GC$6:$GC$42=1))&gt;0)</f>
        <v>1</v>
      </c>
      <c r="GE14">
        <f>$GE$13+--($GD14)</f>
        <v>11</v>
      </c>
      <c r="GF14">
        <f t="shared" si="74"/>
        <v>2007</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H14" t="b">
        <f>IF($T$14="",FALSE,SUMPRODUCT(('Final Calculation Sheet'!$G$4:$G$40=$T$14)*($GG$6:$GG$42=1))&gt;0)</f>
        <v>1</v>
      </c>
      <c r="GI14">
        <f>$GI$13+--($GH14)</f>
        <v>11</v>
      </c>
      <c r="GJ14" t="str">
        <f t="shared" si="75"/>
        <v>SHAR JAHAN TRADERS</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L14" t="b">
        <f>IF($AD$14="",FALSE,SUMPRODUCT(('Final Calculation Sheet'!$D$4:$D$40=$AD$14)*($GK$6:$GK$42=1))&gt;0)</f>
        <v>0</v>
      </c>
      <c r="GM14">
        <f>$GM$13+--($GL14)</f>
        <v>4</v>
      </c>
      <c r="GN14" t="str">
        <f t="shared" si="76"/>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P14" t="b">
        <f>IF($AI$14="",FALSE,SUMPRODUCT(('Final Calculation Sheet'!$A$4:$A$40=$AI$14)*($GO$6:$GO$42=1))&gt;0)</f>
        <v>1</v>
      </c>
      <c r="GQ14">
        <f>$GQ$13+--($GP14)</f>
        <v>11</v>
      </c>
      <c r="GR14">
        <f t="shared" si="77"/>
        <v>50</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T14" t="b">
        <f>IF($AN$14="",FALSE,SUMPRODUCT(('Final Calculation Sheet'!$E$4:$E$40=$AN$14)*($GS$6:$GS$42=1))&gt;0)</f>
        <v>0</v>
      </c>
      <c r="GU14">
        <f>$GU$13+--($GT14)</f>
        <v>3</v>
      </c>
      <c r="GV14" t="str">
        <f t="shared" si="78"/>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GX14" t="b">
        <f>IF($AS$14="",FALSE,SUMPRODUCT(('Final Calculation Sheet'!$C$4:$C$40=$AS$14)*($GW$6:$GW$42=1))&gt;0)</f>
        <v>1</v>
      </c>
      <c r="GY14">
        <f>$GY$13+--($GX14)</f>
        <v>11</v>
      </c>
      <c r="GZ14">
        <f t="shared" si="79"/>
        <v>702</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B14" t="b">
        <f>IF($AX$14="",FALSE,SUMPRODUCT(('Final Calculation Sheet'!$H$4:$H$40=$AX$14)*($HA$6:$HA$42=1))&gt;0)</f>
        <v>1</v>
      </c>
      <c r="HC14">
        <f>$HC$13+--($HB14)</f>
        <v>11</v>
      </c>
      <c r="HD14">
        <f t="shared" si="80"/>
        <v>63000</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F14" t="b">
        <f>IF($BC$14="",FALSE,SUMPRODUCT(('Final Calculation Sheet'!$I$4:$I$40=$BC$14)*($HE$6:$HE$42=1))&gt;0)</f>
        <v>1</v>
      </c>
      <c r="HG14">
        <f>$HG$13+--($HF14)</f>
        <v>11</v>
      </c>
      <c r="HH14">
        <f t="shared" si="81"/>
        <v>11340</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J14" t="b">
        <f>IF($BH$14="",FALSE,SUMPRODUCT(('Final Calculation Sheet'!$J$4:$J$40=$BH$14)*($HI$6:$HI$42=1))&gt;0)</f>
        <v>1</v>
      </c>
      <c r="HK14">
        <f>$HK$13+--($HJ14)</f>
        <v>11</v>
      </c>
      <c r="HL14">
        <f t="shared" si="82"/>
        <v>74340</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N14" t="b">
        <f>IF($BM$14="",FALSE,SUMPRODUCT(('Final Calculation Sheet'!$K$4:$K$40=$BM$14)*($HM$6:$HM$42=1))&gt;0)</f>
        <v>1</v>
      </c>
      <c r="HO14">
        <f>$HO$13+--($HN14)</f>
        <v>11</v>
      </c>
      <c r="HP14">
        <f t="shared" si="83"/>
        <v>1487</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R14" t="b">
        <f>IF($BR$14="",FALSE,SUMPRODUCT(('Final Calculation Sheet'!$L$4:$L$40=$BR$14)*($HQ$6:$HQ$42=1))&gt;0)</f>
        <v>1</v>
      </c>
      <c r="HS14">
        <f>$HS$13+--($HR14)</f>
        <v>11</v>
      </c>
      <c r="HT14">
        <f t="shared" si="84"/>
        <v>63</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V14" t="b">
        <f>IF($BW$14="",FALSE,SUMPRODUCT(('Final Calculation Sheet'!$M$4:$M$40=$BW$14)*($HU$6:$HU$42=1))&gt;0)</f>
        <v>1</v>
      </c>
      <c r="HW14">
        <f>$HW$13+--($HV14)</f>
        <v>11</v>
      </c>
      <c r="HX14">
        <f t="shared" si="85"/>
        <v>1672.6499999999999</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HZ14" t="b">
        <f>IF($CB$14="",FALSE,SUMPRODUCT(('Final Calculation Sheet'!$N$4:$N$40=$CB$14)*($HY$6:$HY$42=1))&gt;0)</f>
        <v>1</v>
      </c>
      <c r="IA14">
        <f>$IA$13+--($HZ14)</f>
        <v>11</v>
      </c>
      <c r="IB14">
        <f t="shared" si="86"/>
        <v>28.35</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D14" t="b">
        <f>IF($CG$14="",FALSE,SUMPRODUCT(('Final Calculation Sheet'!$O$4:$O$40=$CG$14)*($IC$6:$IC$42=1))&gt;0)</f>
        <v>1</v>
      </c>
      <c r="IE14">
        <f>$IE$13+--($ID14)</f>
        <v>11</v>
      </c>
      <c r="IF14">
        <f t="shared" si="87"/>
        <v>1644.3</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H14" t="b">
        <f>IF($CL$14="",FALSE,SUMPRODUCT(('Final Calculation Sheet'!$P$4:$P$40=$CL$14)*($IG$6:$IG$42=1))&gt;0)</f>
        <v>1</v>
      </c>
      <c r="II14">
        <f>$II$13+--($IH14)</f>
        <v>11</v>
      </c>
      <c r="IJ14">
        <f t="shared" si="88"/>
        <v>1707</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L14" t="b">
        <f>IF($CQ$14="",FALSE,SUMPRODUCT(('Final Calculation Sheet'!$Q$4:$Q$40=$CQ$14)*($IK$6:$IK$42=1))&gt;0)</f>
        <v>0</v>
      </c>
      <c r="IM14">
        <f>$IM$13+--($IL14)</f>
        <v>2</v>
      </c>
      <c r="IN14" t="str">
        <f t="shared" si="89"/>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P14" t="b">
        <f>IF($CV$14="",FALSE,SUMPRODUCT(('Final Calculation Sheet'!$R$4:$R$40=$CV$14)*($IO$6:$IO$42=1))&gt;0)</f>
        <v>0</v>
      </c>
      <c r="IQ14">
        <f>$IQ$13+--($IP14)</f>
        <v>5</v>
      </c>
      <c r="IR14" t="str">
        <f t="shared" si="90"/>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T14" t="b">
        <f>IF($DA$14="",FALSE,SUMPRODUCT(('Final Calculation Sheet'!$S$4:$S$40=$DA$14)*($IS$6:$IS$42=1))&gt;0)</f>
        <v>1</v>
      </c>
      <c r="IU14">
        <f>$IU$13+--($IT14)</f>
        <v>11</v>
      </c>
      <c r="IV14">
        <f t="shared" si="91"/>
        <v>74120</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IX14" t="b">
        <f>IF($DF$14="",FALSE,SUMPRODUCT(('Final Calculation Sheet'!$T$4:$T$40=$DF$14)*($IW$6:$IW$42=1))&gt;0)</f>
        <v>1</v>
      </c>
      <c r="IY14">
        <f>$IY$13+--($IX14)</f>
        <v>11</v>
      </c>
      <c r="IZ14">
        <f t="shared" si="92"/>
        <v>15750</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B14" t="b">
        <f>IF($DK$14="",FALSE,SUMPRODUCT(('Final Calculation Sheet'!$U$4:$U$40=$DK$14)*($JA$6:$JA$42=1))&gt;0)</f>
        <v>1</v>
      </c>
      <c r="JC14">
        <f>$JC$13+--($JB14)</f>
        <v>11</v>
      </c>
      <c r="JD14">
        <f t="shared" si="93"/>
        <v>15750</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F14" t="b">
        <f>IF($DP$14="",FALSE,SUMPRODUCT(('Final Calculation Sheet'!$V$4:$V$40=$DP$14)*($JE$6:$JE$42=1))&gt;0)</f>
        <v>0</v>
      </c>
      <c r="JG14">
        <f>$JG$13+--($JF14)</f>
        <v>6</v>
      </c>
      <c r="JH14" t="str">
        <f t="shared" si="94"/>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J14" t="b">
        <f>IF($DU$14="",FALSE,SUMPRODUCT(('Final Calculation Sheet'!$W$4:$W$40=$DU$14)*($JI$6:$JI$42=1))&gt;0)</f>
        <v>1</v>
      </c>
      <c r="JK14">
        <f>$JK$13+--($JJ14)</f>
        <v>11</v>
      </c>
      <c r="JL14">
        <f t="shared" si="95"/>
        <v>58370</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N14" t="e">
        <f>IF($DZ$14="",FALSE,SUMPRODUCT(('Final Calculation Sheet'!$X$4:$X$40=$DZ$14)*($JM$6:$JM$42=1))&gt;0)</f>
        <v>#N/A</v>
      </c>
      <c r="JO14" t="e">
        <f>$JO$13+--($JN14)</f>
        <v>#N/A</v>
      </c>
      <c r="JP14" t="e">
        <f t="shared" si="96"/>
        <v>#N/A</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R14" t="e">
        <f>IF($EE$14="",FALSE,SUMPRODUCT(('Final Calculation Sheet'!$Y$4:$Y$40=$EE$14)*($JQ$6:$JQ$42=1))&gt;0)</f>
        <v>#N/A</v>
      </c>
      <c r="JS14" t="e">
        <f>$JS$13+--($JR14)</f>
        <v>#N/A</v>
      </c>
      <c r="JT14" t="e">
        <f t="shared" si="97"/>
        <v>#N/A</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V14" t="b">
        <f ca="1">IF($EJ$14="",FALSE,SUMPRODUCT(('Final Calculation Sheet'!$Z$4:$Z$40=$EJ$14)*($JU$6:$JU$42=1))&gt;0)</f>
        <v>1</v>
      </c>
      <c r="JW14">
        <f ca="1">$JW$13+--($JV14)</f>
        <v>11</v>
      </c>
      <c r="JX14">
        <f t="shared" ca="1" si="98"/>
        <v>2230.1999999999998</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JZ14" t="e">
        <f>IF($EO$14="",FALSE,SUMPRODUCT(('Final Calculation Sheet'!$AA$4:$AA$40=$EO$14)*($JY$6:$JY$42=1))&gt;0)</f>
        <v>#N/A</v>
      </c>
      <c r="KA14" t="e">
        <f>$KA$13+--($JZ14)</f>
        <v>#N/A</v>
      </c>
      <c r="KB14" t="e">
        <f t="shared" si="99"/>
        <v>#N/A</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D14" t="e">
        <f>IF($ET$14="",FALSE,SUMPRODUCT(('Final Calculation Sheet'!$AB$4:$AB$40=$ET$14)*($KC$6:$KC$42=1))&gt;0)</f>
        <v>#N/A</v>
      </c>
      <c r="KE14" t="e">
        <f>$KE$13+--($KD14)</f>
        <v>#N/A</v>
      </c>
      <c r="KF14" t="e">
        <f t="shared" si="100"/>
        <v>#N/A</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H14" t="b">
        <f>IF($EY$14="",FALSE,SUMPRODUCT(('Final Calculation Sheet'!$AC$4:$AC$40=$EY$14)*($KG$6:$KG$42=1))&gt;0)</f>
        <v>1</v>
      </c>
      <c r="KI14">
        <f>$KI$13+--($KH14)</f>
        <v>11</v>
      </c>
      <c r="KJ14">
        <f t="shared" si="101"/>
        <v>67502</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L14" t="b">
        <f>IF($FD$14="",FALSE,SUMPRODUCT(('Final Calculation Sheet'!$AD$4:$AD$40=$FD$14)*($KK$6:$KK$42=1))&gt;0)</f>
        <v>1</v>
      </c>
      <c r="KM14">
        <f>$KM$13+--($KL14)</f>
        <v>11</v>
      </c>
      <c r="KN14">
        <f t="shared" si="102"/>
        <v>498031</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P14" t="b">
        <f>IF($FX$14="",FALSE,SUMPRODUCT((IF('Final Calculation Sheet'!$AD$4:$AD$40&lt;=5,"SETTLED","OUTSTANDING")=$FX$14)*($KO$6:$KO$42=1))&gt;0)</f>
        <v>0</v>
      </c>
      <c r="KQ14">
        <f>$KQ$13+--($KP14)</f>
        <v>1</v>
      </c>
      <c r="KR14" t="str">
        <f t="shared" si="103"/>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T14" t="e">
        <f>IF($FI$14="",FALSE,SUMPRODUCT(('Final Calculation Sheet'!$AF$4:$AF$40=$FI$14)*($KS$6:$KS$42=1))&gt;0)</f>
        <v>#N/A</v>
      </c>
      <c r="KU14" t="e">
        <f>$KU$13+--($KT14)</f>
        <v>#N/A</v>
      </c>
      <c r="KV14" t="e">
        <f t="shared" si="104"/>
        <v>#N/A</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KX14" t="e">
        <f>IF($FN$14="",FALSE,SUMPRODUCT(('Final Calculation Sheet'!$AG$4:$AG$40=$FN$14)*($KW$6:$KW$42=1))&gt;0)</f>
        <v>#N/A</v>
      </c>
      <c r="KY14" t="e">
        <f>$KY$13+--($KX14)</f>
        <v>#N/A</v>
      </c>
      <c r="KZ14" t="e">
        <f t="shared" si="105"/>
        <v>#N/A</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LB14" t="e">
        <f>IF($FS$14="",FALSE,SUMPRODUCT(('Final Calculation Sheet'!$AH$4:$AH$40=$FS$14)*($LA$6:$LA$42=1))&gt;0)</f>
        <v>#N/A</v>
      </c>
      <c r="LC14" t="e">
        <f>$LC$13+--($LB14)</f>
        <v>#N/A</v>
      </c>
      <c r="LD14" t="e">
        <f t="shared" si="106"/>
        <v>#N/A</v>
      </c>
      <c r="LE14">
        <f>IF(COUNTIF('Buyer Groups'!DH14:EN14,0)&gt;0,0,1)</f>
        <v>1</v>
      </c>
      <c r="LF14" t="b">
        <f>IF($O$14="",FALSE,SUMPRODUCT(('Final Calculation Sheet'!$F$4:$F$40=$O$14)*($LE$6:$LE$42=1))&gt;0)</f>
        <v>1</v>
      </c>
      <c r="LG14">
        <f>$LG$13+--($LF14)</f>
        <v>11</v>
      </c>
      <c r="LH14">
        <f t="shared" si="107"/>
        <v>2007</v>
      </c>
      <c r="LI14">
        <f>IF(COUNTIF('Buyer Groups'!DG14:DG14,0)+COUNTIF('Buyer Groups'!DI14:EN14,0)&gt;0,0,1)</f>
        <v>1</v>
      </c>
      <c r="LJ14" t="b">
        <f>IF($T$14="",FALSE,SUMPRODUCT(('Final Calculation Sheet'!$G$4:$G$40=$T$14)*($LI$6:$LI$42=1))&gt;0)</f>
        <v>1</v>
      </c>
      <c r="LK14">
        <f>$LK$13+--($LJ14)</f>
        <v>11</v>
      </c>
      <c r="LL14" t="str">
        <f t="shared" si="108"/>
        <v>SHAR JAHAN TRADERS</v>
      </c>
      <c r="LM14">
        <f>IF(COUNTIF('Buyer Groups'!DG14:DH14,0)+COUNTIF('Buyer Groups'!DJ14:EN14,0)&gt;0,0,1)</f>
        <v>1</v>
      </c>
      <c r="LN14" t="b">
        <f>IF($Y$14="",FALSE,SUMPRODUCT(('Final Calculation Sheet'!$B$4:$B$40=$Y$14)*($LM$6:$LM$42=1))&gt;0)</f>
        <v>1</v>
      </c>
      <c r="LO14">
        <f>$LO$13+--($LN14)</f>
        <v>11</v>
      </c>
      <c r="LP14" t="str">
        <f t="shared" si="109"/>
        <v>Scrap of 220KV CT</v>
      </c>
      <c r="LQ14">
        <f>IF(COUNTIF('Buyer Groups'!DG14:DI14,0)+COUNTIF('Buyer Groups'!DK14:EN14,0)&gt;0,0,1)</f>
        <v>1</v>
      </c>
      <c r="LR14" t="b">
        <f>IF($AD$14="",FALSE,SUMPRODUCT(('Final Calculation Sheet'!$D$4:$D$40=$AD$14)*($LQ$6:$LQ$42=1))&gt;0)</f>
        <v>0</v>
      </c>
      <c r="LS14">
        <f>$LS$13+--($LR14)</f>
        <v>4</v>
      </c>
      <c r="LT14" t="str">
        <f t="shared" si="110"/>
        <v/>
      </c>
      <c r="LU14">
        <f>IF(COUNTIF('Buyer Groups'!DG14:DJ14,0)+COUNTIF('Buyer Groups'!DL14:EN14,0)&gt;0,0,1)</f>
        <v>1</v>
      </c>
      <c r="LV14" t="b">
        <f>IF($AI$14="",FALSE,SUMPRODUCT(('Final Calculation Sheet'!$A$4:$A$40=$AI$14)*($LU$6:$LU$42=1))&gt;0)</f>
        <v>1</v>
      </c>
      <c r="LW14">
        <f>$LW$13+--($LV14)</f>
        <v>11</v>
      </c>
      <c r="LX14">
        <f t="shared" si="111"/>
        <v>50</v>
      </c>
      <c r="LY14">
        <f>IF(COUNTIF('Buyer Groups'!DG14:DK14,0)+COUNTIF('Buyer Groups'!DM14:EN14,0)&gt;0,0,1)</f>
        <v>1</v>
      </c>
      <c r="LZ14" t="b">
        <f>IF($AN$14="",FALSE,SUMPRODUCT(('Final Calculation Sheet'!$E$4:$E$40=$AN$14)*($LY$6:$LY$42=1))&gt;0)</f>
        <v>0</v>
      </c>
      <c r="MA14">
        <f>$MA$13+--($LZ14)</f>
        <v>3</v>
      </c>
      <c r="MB14" t="str">
        <f t="shared" si="112"/>
        <v/>
      </c>
      <c r="MC14">
        <f>IF(COUNTIF('Buyer Groups'!DG14:DL14,0)+COUNTIF('Buyer Groups'!DN14:EN14,0)&gt;0,0,1)</f>
        <v>1</v>
      </c>
      <c r="MD14" t="b">
        <f>IF($AS$14="",FALSE,SUMPRODUCT(('Final Calculation Sheet'!$C$4:$C$40=$AS$14)*($MC$6:$MC$42=1))&gt;0)</f>
        <v>1</v>
      </c>
      <c r="ME14">
        <f>$ME$13+--($MD14)</f>
        <v>11</v>
      </c>
      <c r="MF14">
        <f t="shared" si="113"/>
        <v>702</v>
      </c>
      <c r="MG14">
        <f>IF(COUNTIF('Buyer Groups'!DG14:DM14,0)+COUNTIF('Buyer Groups'!DO14:EN14,0)&gt;0,0,1)</f>
        <v>1</v>
      </c>
      <c r="MH14" t="b">
        <f>IF($AX$14="",FALSE,SUMPRODUCT(('Final Calculation Sheet'!$H$4:$H$40=$AX$14)*($MG$6:$MG$42=1))&gt;0)</f>
        <v>1</v>
      </c>
      <c r="MI14">
        <f>$MI$13+--($MH14)</f>
        <v>11</v>
      </c>
      <c r="MJ14">
        <f t="shared" si="114"/>
        <v>63000</v>
      </c>
      <c r="MK14">
        <f>IF(COUNTIF('Buyer Groups'!DG14:DN14,0)+COUNTIF('Buyer Groups'!DP14:EN14,0)&gt;0,0,1)</f>
        <v>1</v>
      </c>
      <c r="ML14" t="b">
        <f>IF($BC$14="",FALSE,SUMPRODUCT(('Final Calculation Sheet'!$I$4:$I$40=$BC$14)*($MK$6:$MK$42=1))&gt;0)</f>
        <v>1</v>
      </c>
      <c r="MM14">
        <f>$MM$13+--($ML14)</f>
        <v>11</v>
      </c>
      <c r="MN14">
        <f t="shared" si="115"/>
        <v>11340</v>
      </c>
      <c r="MO14">
        <f>IF(COUNTIF('Buyer Groups'!DG14:DO14,0)+COUNTIF('Buyer Groups'!DQ14:EN14,0)&gt;0,0,1)</f>
        <v>1</v>
      </c>
      <c r="MP14" t="b">
        <f>IF($BH$14="",FALSE,SUMPRODUCT(('Final Calculation Sheet'!$J$4:$J$40=$BH$14)*($MO$6:$MO$42=1))&gt;0)</f>
        <v>1</v>
      </c>
      <c r="MQ14">
        <f>$MQ$13+--($MP14)</f>
        <v>11</v>
      </c>
      <c r="MR14">
        <f t="shared" si="116"/>
        <v>74340</v>
      </c>
      <c r="MS14">
        <f>IF(COUNTIF('Buyer Groups'!DG14:DP14,0)+COUNTIF('Buyer Groups'!DR14:EN14,0)&gt;0,0,1)</f>
        <v>1</v>
      </c>
      <c r="MT14" t="b">
        <f>IF($BM$14="",FALSE,SUMPRODUCT(('Final Calculation Sheet'!$K$4:$K$40=$BM$14)*($MS$6:$MS$42=1))&gt;0)</f>
        <v>1</v>
      </c>
      <c r="MU14">
        <f>$MU$13+--($MT14)</f>
        <v>11</v>
      </c>
      <c r="MV14">
        <f t="shared" si="117"/>
        <v>1487</v>
      </c>
      <c r="MW14">
        <f>IF(COUNTIF('Buyer Groups'!DG14:DQ14,0)+COUNTIF('Buyer Groups'!DS14:EN14,0)&gt;0,0,1)</f>
        <v>1</v>
      </c>
      <c r="MX14" t="b">
        <f>IF($BR$14="",FALSE,SUMPRODUCT(('Final Calculation Sheet'!$L$4:$L$40=$BR$14)*($MW$6:$MW$42=1))&gt;0)</f>
        <v>1</v>
      </c>
      <c r="MY14">
        <f>$MY$13+--($MX14)</f>
        <v>11</v>
      </c>
      <c r="MZ14">
        <f t="shared" si="118"/>
        <v>63</v>
      </c>
      <c r="NA14">
        <f>IF(COUNTIF('Buyer Groups'!DG14:DR14,0)+COUNTIF('Buyer Groups'!DT14:EN14,0)&gt;0,0,1)</f>
        <v>1</v>
      </c>
      <c r="NB14" t="b">
        <f>IF($BW$14="",FALSE,SUMPRODUCT(('Final Calculation Sheet'!$M$4:$M$40=$BW$14)*($NA$6:$NA$42=1))&gt;0)</f>
        <v>1</v>
      </c>
      <c r="NC14">
        <f>$NC$13+--($NB14)</f>
        <v>11</v>
      </c>
      <c r="ND14">
        <f t="shared" si="119"/>
        <v>1672.6499999999999</v>
      </c>
      <c r="NE14">
        <f>IF(COUNTIF('Buyer Groups'!DG14:DS14,0)+COUNTIF('Buyer Groups'!DU14:EN14,0)&gt;0,0,1)</f>
        <v>1</v>
      </c>
      <c r="NF14" t="b">
        <f>IF($CB$14="",FALSE,SUMPRODUCT(('Final Calculation Sheet'!$N$4:$N$40=$CB$14)*($NE$6:$NE$42=1))&gt;0)</f>
        <v>1</v>
      </c>
      <c r="NG14">
        <f>$NG$13+--($NF14)</f>
        <v>11</v>
      </c>
      <c r="NH14">
        <f t="shared" si="120"/>
        <v>28.35</v>
      </c>
      <c r="NI14">
        <f>IF(COUNTIF('Buyer Groups'!DG14:DT14,0)+COUNTIF('Buyer Groups'!DV14:EN14,0)&gt;0,0,1)</f>
        <v>1</v>
      </c>
      <c r="NJ14" t="b">
        <f>IF($CG$14="",FALSE,SUMPRODUCT(('Final Calculation Sheet'!$O$4:$O$40=$CG$14)*($NI$6:$NI$42=1))&gt;0)</f>
        <v>1</v>
      </c>
      <c r="NK14">
        <f>$NK$13+--($NJ14)</f>
        <v>11</v>
      </c>
      <c r="NL14">
        <f t="shared" si="121"/>
        <v>1644.3</v>
      </c>
      <c r="NM14">
        <f>IF(COUNTIF('Buyer Groups'!DG14:DU14,0)+COUNTIF('Buyer Groups'!DW14:EN14,0)&gt;0,0,1)</f>
        <v>1</v>
      </c>
      <c r="NN14" t="b">
        <f>IF($CL$14="",FALSE,SUMPRODUCT(('Final Calculation Sheet'!$P$4:$P$40=$CL$14)*($NM$6:$NM$42=1))&gt;0)</f>
        <v>1</v>
      </c>
      <c r="NO14">
        <f>$NO$13+--($NN14)</f>
        <v>11</v>
      </c>
      <c r="NP14">
        <f t="shared" si="122"/>
        <v>1707</v>
      </c>
      <c r="NQ14">
        <f>IF(COUNTIF('Buyer Groups'!DG14:DV14,0)+COUNTIF('Buyer Groups'!DX14:EN14,0)&gt;0,0,1)</f>
        <v>1</v>
      </c>
      <c r="NR14" t="b">
        <f>IF($CQ$14="",FALSE,SUMPRODUCT(('Final Calculation Sheet'!$Q$4:$Q$40=$CQ$14)*($NQ$6:$NQ$42=1))&gt;0)</f>
        <v>0</v>
      </c>
      <c r="NS14">
        <f>$NS$13+--($NR14)</f>
        <v>2</v>
      </c>
      <c r="NT14" t="str">
        <f t="shared" si="123"/>
        <v/>
      </c>
      <c r="NU14">
        <f>IF(COUNTIF('Buyer Groups'!DG14:DW14,0)+COUNTIF('Buyer Groups'!DY14:EN14,0)&gt;0,0,1)</f>
        <v>1</v>
      </c>
      <c r="NV14" t="b">
        <f>IF($CV$14="",FALSE,SUMPRODUCT(('Final Calculation Sheet'!$R$4:$R$40=$CV$14)*($NU$6:$NU$42=1))&gt;0)</f>
        <v>0</v>
      </c>
      <c r="NW14">
        <f>$NW$13+--($NV14)</f>
        <v>5</v>
      </c>
      <c r="NX14" t="str">
        <f t="shared" si="124"/>
        <v/>
      </c>
      <c r="NY14">
        <f>IF(COUNTIF('Buyer Groups'!DG14:DX14,0)+COUNTIF('Buyer Groups'!DZ14:EN14,0)&gt;0,0,1)</f>
        <v>1</v>
      </c>
      <c r="NZ14" t="b">
        <f>IF($DA$14="",FALSE,SUMPRODUCT(('Final Calculation Sheet'!$S$4:$S$40=$DA$14)*($NY$6:$NY$42=1))&gt;0)</f>
        <v>1</v>
      </c>
      <c r="OA14">
        <f>$OA$13+--($NZ14)</f>
        <v>11</v>
      </c>
      <c r="OB14">
        <f t="shared" si="125"/>
        <v>74120</v>
      </c>
      <c r="OC14">
        <f>IF(COUNTIF('Buyer Groups'!DG14:DY14,0)+COUNTIF('Buyer Groups'!EA14:EN14,0)&gt;0,0,1)</f>
        <v>1</v>
      </c>
      <c r="OD14" t="b">
        <f>IF($DF$14="",FALSE,SUMPRODUCT(('Final Calculation Sheet'!$T$4:$T$40=$DF$14)*($OC$6:$OC$42=1))&gt;0)</f>
        <v>1</v>
      </c>
      <c r="OE14">
        <f>$OE$13+--($OD14)</f>
        <v>11</v>
      </c>
      <c r="OF14">
        <f t="shared" si="126"/>
        <v>15750</v>
      </c>
      <c r="OG14">
        <f>IF(COUNTIF('Buyer Groups'!DG14:DZ14,0)+COUNTIF('Buyer Groups'!EB14:EN14,0)&gt;0,0,1)</f>
        <v>1</v>
      </c>
      <c r="OH14" t="b">
        <f>IF($DK$14="",FALSE,SUMPRODUCT(('Final Calculation Sheet'!$U$4:$U$40=$DK$14)*($OG$6:$OG$42=1))&gt;0)</f>
        <v>1</v>
      </c>
      <c r="OI14">
        <f>$OI$13+--($OH14)</f>
        <v>11</v>
      </c>
      <c r="OJ14">
        <f t="shared" si="127"/>
        <v>15750</v>
      </c>
      <c r="OK14">
        <f>IF(COUNTIF('Buyer Groups'!DG14:EA14,0)+COUNTIF('Buyer Groups'!EC14:EN14,0)&gt;0,0,1)</f>
        <v>1</v>
      </c>
      <c r="OL14" t="b">
        <f>IF($DP$14="",FALSE,SUMPRODUCT(('Final Calculation Sheet'!$V$4:$V$40=$DP$14)*($OK$6:$OK$42=1))&gt;0)</f>
        <v>0</v>
      </c>
      <c r="OM14">
        <f>$OM$13+--($OL14)</f>
        <v>6</v>
      </c>
      <c r="ON14" t="str">
        <f t="shared" si="128"/>
        <v/>
      </c>
      <c r="OO14">
        <f>IF(COUNTIF('Buyer Groups'!DG14:EB14,0)+COUNTIF('Buyer Groups'!ED14:EN14,0)&gt;0,0,1)</f>
        <v>1</v>
      </c>
      <c r="OP14" t="b">
        <f>IF($DU$14="",FALSE,SUMPRODUCT(('Final Calculation Sheet'!$W$4:$W$40=$DU$14)*($OO$6:$OO$42=1))&gt;0)</f>
        <v>1</v>
      </c>
      <c r="OQ14">
        <f>$OQ$13+--($OP14)</f>
        <v>11</v>
      </c>
      <c r="OR14">
        <f t="shared" si="129"/>
        <v>58370</v>
      </c>
      <c r="OS14">
        <f>IF(COUNTIF('Buyer Groups'!DG14:EC14,0)+COUNTIF('Buyer Groups'!EE14:EN14,0)&gt;0,0,1)</f>
        <v>1</v>
      </c>
      <c r="OT14" t="e">
        <f>IF($DZ$14="",FALSE,SUMPRODUCT(('Final Calculation Sheet'!$X$4:$X$40=$DZ$14)*($OS$6:$OS$42=1))&gt;0)</f>
        <v>#N/A</v>
      </c>
      <c r="OU14" t="e">
        <f>$OU$13+--($OT14)</f>
        <v>#N/A</v>
      </c>
      <c r="OV14" t="e">
        <f t="shared" si="130"/>
        <v>#N/A</v>
      </c>
      <c r="OW14">
        <f>IF(COUNTIF('Buyer Groups'!DG14:ED14,0)+COUNTIF('Buyer Groups'!EF14:EN14,0)&gt;0,0,1)</f>
        <v>1</v>
      </c>
      <c r="OX14" t="e">
        <f>IF($EE$14="",FALSE,SUMPRODUCT(('Final Calculation Sheet'!$Y$4:$Y$40=$EE$14)*($OW$6:$OW$42=1))&gt;0)</f>
        <v>#N/A</v>
      </c>
      <c r="OY14" t="e">
        <f>$OY$13+--($OX14)</f>
        <v>#N/A</v>
      </c>
      <c r="OZ14" t="e">
        <f t="shared" si="131"/>
        <v>#N/A</v>
      </c>
      <c r="PA14">
        <f>IF(COUNTIF('Buyer Groups'!DG14:EE14,0)+COUNTIF('Buyer Groups'!EG14:EN14,0)&gt;0,0,1)</f>
        <v>1</v>
      </c>
      <c r="PB14" t="b">
        <f ca="1">IF($EJ$14="",FALSE,SUMPRODUCT(('Final Calculation Sheet'!$Z$4:$Z$40=$EJ$14)*($PA$6:$PA$42=1))&gt;0)</f>
        <v>1</v>
      </c>
      <c r="PC14">
        <f ca="1">$PC$13+--($PB14)</f>
        <v>11</v>
      </c>
      <c r="PD14">
        <f t="shared" ca="1" si="132"/>
        <v>2230.1999999999998</v>
      </c>
      <c r="PE14">
        <f>IF(COUNTIF('Buyer Groups'!DG14:EF14,0)+COUNTIF('Buyer Groups'!EH14:EN14,0)&gt;0,0,1)</f>
        <v>1</v>
      </c>
      <c r="PF14" t="e">
        <f>IF($EO$14="",FALSE,SUMPRODUCT(('Final Calculation Sheet'!$AA$4:$AA$40=$EO$14)*($PE$6:$PE$42=1))&gt;0)</f>
        <v>#N/A</v>
      </c>
      <c r="PG14" t="e">
        <f>$PG$13+--($PF14)</f>
        <v>#N/A</v>
      </c>
      <c r="PH14" t="e">
        <f t="shared" si="133"/>
        <v>#N/A</v>
      </c>
      <c r="PI14">
        <f>IF(COUNTIF('Buyer Groups'!DG14:EG14,0)+COUNTIF('Buyer Groups'!EI14:EN14,0)&gt;0,0,1)</f>
        <v>1</v>
      </c>
      <c r="PJ14" t="e">
        <f>IF($ET$14="",FALSE,SUMPRODUCT(('Final Calculation Sheet'!$AB$4:$AB$40=$ET$14)*($PI$6:$PI$42=1))&gt;0)</f>
        <v>#N/A</v>
      </c>
      <c r="PK14" t="e">
        <f>$PK$13+--($PJ14)</f>
        <v>#N/A</v>
      </c>
      <c r="PL14" t="e">
        <f t="shared" si="134"/>
        <v>#N/A</v>
      </c>
      <c r="PM14">
        <f>IF(COUNTIF('Buyer Groups'!DG14:EH14,0)+COUNTIF('Buyer Groups'!EJ14:EN14,0)&gt;0,0,1)</f>
        <v>1</v>
      </c>
      <c r="PN14" t="b">
        <f>IF($EY$14="",FALSE,SUMPRODUCT(('Final Calculation Sheet'!$AC$4:$AC$40=$EY$14)*($PM$6:$PM$42=1))&gt;0)</f>
        <v>1</v>
      </c>
      <c r="PO14">
        <f>$PO$13+--($PN14)</f>
        <v>11</v>
      </c>
      <c r="PP14">
        <f t="shared" si="135"/>
        <v>67502</v>
      </c>
      <c r="PQ14">
        <f>IF(COUNTIF('Buyer Groups'!DG14:EI14,0)+COUNTIF('Buyer Groups'!EK14:EN14,0)&gt;0,0,1)</f>
        <v>1</v>
      </c>
      <c r="PR14" t="b">
        <f>IF($FD$14="",FALSE,SUMPRODUCT(('Final Calculation Sheet'!$AD$4:$AD$40=$FD$14)*($PQ$6:$PQ$42=1))&gt;0)</f>
        <v>1</v>
      </c>
      <c r="PS14">
        <f>$PS$13+--($PR14)</f>
        <v>11</v>
      </c>
      <c r="PT14">
        <f t="shared" si="136"/>
        <v>498031</v>
      </c>
      <c r="PU14">
        <f>IF(COUNTIF('Buyer Groups'!DG14:EJ14,0)+COUNTIF('Buyer Groups'!EL14:EN14,0)&gt;0,0,1)</f>
        <v>1</v>
      </c>
      <c r="PV14" t="b">
        <f>IF($FX$14="",FALSE,SUMPRODUCT((IF('Final Calculation Sheet'!$AD$4:$AD$40&lt;=5,"SETTLED","OUTSTANDING")=$FX$14)*($PU$6:$PU$42=1))&gt;0)</f>
        <v>0</v>
      </c>
      <c r="PW14">
        <f>$PW$13+--($PV14)</f>
        <v>1</v>
      </c>
      <c r="PX14" t="str">
        <f t="shared" si="137"/>
        <v/>
      </c>
      <c r="PY14">
        <f>IF(COUNTIF('Buyer Groups'!DG14:EK14,0)+COUNTIF('Buyer Groups'!EM14:EN14,0)&gt;0,0,1)</f>
        <v>1</v>
      </c>
      <c r="PZ14" t="e">
        <f>IF($FI$14="",FALSE,SUMPRODUCT(('Final Calculation Sheet'!$AF$4:$AF$40=$FI$14)*($PY$6:$PY$42=1))&gt;0)</f>
        <v>#N/A</v>
      </c>
      <c r="QA14" t="e">
        <f>$QA$13+--($PZ14)</f>
        <v>#N/A</v>
      </c>
      <c r="QB14" t="e">
        <f t="shared" si="138"/>
        <v>#N/A</v>
      </c>
      <c r="QC14">
        <f>IF(COUNTIF('Buyer Groups'!DG14:EL14,0)+COUNTIF('Buyer Groups'!EN14:EN14,0)&gt;0,0,1)</f>
        <v>1</v>
      </c>
      <c r="QD14" t="e">
        <f>IF($FN$14="",FALSE,SUMPRODUCT(('Final Calculation Sheet'!$AG$4:$AG$40=$FN$14)*($QC$6:$QC$42=1))&gt;0)</f>
        <v>#N/A</v>
      </c>
      <c r="QE14" t="e">
        <f>$QE$13+--($QD14)</f>
        <v>#N/A</v>
      </c>
      <c r="QF14" t="e">
        <f t="shared" si="139"/>
        <v>#N/A</v>
      </c>
      <c r="QG14">
        <f>IF(COUNTIF('Buyer Groups'!DG14:EM14,0)&gt;0,0,1)</f>
        <v>1</v>
      </c>
      <c r="QH14" t="e">
        <f>IF($FS$14="",FALSE,SUMPRODUCT(('Final Calculation Sheet'!$AH$4:$AH$40=$FS$14)*($QG$6:$QG$42=1))&gt;0)</f>
        <v>#N/A</v>
      </c>
      <c r="QI14" t="e">
        <f>$QI$13+--($QH14)</f>
        <v>#N/A</v>
      </c>
      <c r="QJ14" t="e">
        <f t="shared" si="140"/>
        <v>#N/A</v>
      </c>
      <c r="QK14" t="str">
        <f>IF('Final Calculation Sheet'!$AH$14="","",'Final Calculation Sheet'!$AH$14)</f>
        <v>17.08.2026</v>
      </c>
      <c r="QL14">
        <f>IF(QK14="","",COUNTIFS(QK$4:QK$40,"&lt;"&amp;QK14,QK$4:QK$40,"&lt;&gt;"&amp;"")+COUNTIF(QK$4:QK14,QK14))</f>
        <v>13</v>
      </c>
      <c r="QM14" t="str">
        <f t="shared" si="141"/>
        <v>14.08.2026</v>
      </c>
      <c r="QN14" t="e">
        <f ca="1">QN13+F(AND(QM14&lt;&gt;"",COUNTIF(QM$4:QM14,QM14)=1),1,0)</f>
        <v>#N/A</v>
      </c>
      <c r="QO14" t="e">
        <f t="shared" si="142"/>
        <v>#N/A</v>
      </c>
      <c r="QP14">
        <f>IF(COUNTIF('Final Calculation Sheet'!$AM14:$BS14,0)&gt;0,0,1)</f>
        <v>1</v>
      </c>
      <c r="QQ14" t="b">
        <f>IF($AI$14="",FALSE,SUMPRODUCT(('Final Calculation Sheet'!$A$4:$A$40=$AI$14)*($QP$4:$QP$40=1))&gt;0)</f>
        <v>1</v>
      </c>
      <c r="QR14">
        <f t="shared" si="177"/>
        <v>11</v>
      </c>
      <c r="QS14">
        <f t="shared" si="143"/>
        <v>50</v>
      </c>
      <c r="QT14">
        <f>IF(COUNTIF('Final Calculation Sheet'!$AL14:$AL14,0)+COUNTIF('Final Calculation Sheet'!$AN14:$BS14,0)&gt;0,0,1)</f>
        <v>1</v>
      </c>
      <c r="QU14" t="b">
        <f>IF($Y$14="",FALSE,SUMPRODUCT(('Final Calculation Sheet'!$B$4:$B$40=$Y$14)*($QT$4:$QT$40=1))&gt;0)</f>
        <v>1</v>
      </c>
      <c r="QV14">
        <f t="shared" si="178"/>
        <v>11</v>
      </c>
      <c r="QW14" t="str">
        <f t="shared" si="144"/>
        <v>Scrap of 220KV CT</v>
      </c>
      <c r="QX14">
        <f>IF(COUNTIF('Final Calculation Sheet'!$AL14:$AM14,0)+COUNTIF('Final Calculation Sheet'!$AO14:$BS14,0)&gt;0,0,1)</f>
        <v>1</v>
      </c>
      <c r="QY14" t="b">
        <f>IF($AS$14="",FALSE,SUMPRODUCT(('Final Calculation Sheet'!$C$4:$C$40=$AS$14)*($QX$4:$QX$40=1))&gt;0)</f>
        <v>1</v>
      </c>
      <c r="QZ14">
        <f t="shared" si="179"/>
        <v>11</v>
      </c>
      <c r="RA14">
        <f t="shared" si="145"/>
        <v>702</v>
      </c>
      <c r="RB14">
        <f>IF(COUNTIF('Final Calculation Sheet'!$AL14:$AN14,0)+COUNTIF('Final Calculation Sheet'!$AP14:$BS14,0)&gt;0,0,1)</f>
        <v>1</v>
      </c>
      <c r="RC14" t="b">
        <f>IF($AD$14="",FALSE,SUMPRODUCT(('Final Calculation Sheet'!$D$4:$D$40=$AD$14)*($RB$4:$RB$40=1))&gt;0)</f>
        <v>0</v>
      </c>
      <c r="RD14">
        <f t="shared" si="180"/>
        <v>4</v>
      </c>
      <c r="RE14" t="str">
        <f t="shared" si="146"/>
        <v/>
      </c>
      <c r="RF14">
        <f>IF(COUNTIF('Final Calculation Sheet'!$AL14:$AO14,0)+COUNTIF('Final Calculation Sheet'!$AQ14:$BS14,0)&gt;0,0,1)</f>
        <v>1</v>
      </c>
      <c r="RG14" t="b">
        <f>IF($AN$14="",FALSE,SUMPRODUCT(('Final Calculation Sheet'!$E$4:$E$40=$AN$14)*($RF$4:$RF$40=1))&gt;0)</f>
        <v>0</v>
      </c>
      <c r="RH14">
        <f t="shared" si="181"/>
        <v>3</v>
      </c>
      <c r="RI14" t="str">
        <f t="shared" si="147"/>
        <v/>
      </c>
      <c r="RJ14">
        <f>IF(COUNTIF('Final Calculation Sheet'!$AL14:$AP14,0)+COUNTIF('Final Calculation Sheet'!$AR14:$BS14,0)&gt;0,0,1)</f>
        <v>1</v>
      </c>
      <c r="RK14" t="b">
        <f>IF($O$14="",FALSE,SUMPRODUCT(('Final Calculation Sheet'!$F$4:$F$40=$O$14)*($RJ$4:$RJ$40=1))&gt;0)</f>
        <v>1</v>
      </c>
      <c r="RL14">
        <f t="shared" si="182"/>
        <v>11</v>
      </c>
      <c r="RM14">
        <f t="shared" si="148"/>
        <v>2007</v>
      </c>
      <c r="RN14">
        <f>IF(COUNTIF('Final Calculation Sheet'!$AL14:$AQ14,0)+COUNTIF('Final Calculation Sheet'!$AS14:$BS14,0)&gt;0,0,1)</f>
        <v>1</v>
      </c>
      <c r="RO14" t="b">
        <f>IF($T$14="",FALSE,SUMPRODUCT(('Final Calculation Sheet'!$G$4:$G$40=$T$14)*($RN$4:$RN$40=1))&gt;0)</f>
        <v>1</v>
      </c>
      <c r="RP14">
        <f t="shared" si="183"/>
        <v>11</v>
      </c>
      <c r="RQ14" t="str">
        <f t="shared" si="149"/>
        <v>SHAR JAHAN TRADERS</v>
      </c>
      <c r="RR14">
        <f>IF(COUNTIF('Final Calculation Sheet'!$AL14:$AR14,0)+COUNTIF('Final Calculation Sheet'!$AT14:$BS14,0)&gt;0,0,1)</f>
        <v>1</v>
      </c>
      <c r="RS14" t="b">
        <f>IF($AX$14="",FALSE,SUMPRODUCT(('Final Calculation Sheet'!$H$4:$H$40=$AX$14)*($RR$4:$RR$40=1))&gt;0)</f>
        <v>1</v>
      </c>
      <c r="RT14">
        <f t="shared" si="184"/>
        <v>11</v>
      </c>
      <c r="RU14">
        <f t="shared" si="150"/>
        <v>63000</v>
      </c>
      <c r="RV14">
        <f>IF(COUNTIF('Final Calculation Sheet'!$AL14:$AS14,0)+COUNTIF('Final Calculation Sheet'!$AU14:$BS14,0)&gt;0,0,1)</f>
        <v>1</v>
      </c>
      <c r="RW14" t="b">
        <f>IF($BC$14="",FALSE,SUMPRODUCT(('Final Calculation Sheet'!$I$4:$I$40=$BC$14)*($RV$4:$RV$40=1))&gt;0)</f>
        <v>1</v>
      </c>
      <c r="RX14">
        <f t="shared" si="185"/>
        <v>11</v>
      </c>
      <c r="RY14">
        <f t="shared" si="151"/>
        <v>11340</v>
      </c>
      <c r="RZ14">
        <f>IF(COUNTIF('Final Calculation Sheet'!$AL14:$AT14,0)+COUNTIF('Final Calculation Sheet'!$AV14:$BS14,0)&gt;0,0,1)</f>
        <v>1</v>
      </c>
      <c r="SA14" t="b">
        <f>IF($BH$14="",FALSE,SUMPRODUCT(('Final Calculation Sheet'!$J$4:$J$40=$BH$14)*($RZ$4:$RZ$40=1))&gt;0)</f>
        <v>1</v>
      </c>
      <c r="SB14">
        <f t="shared" si="186"/>
        <v>11</v>
      </c>
      <c r="SC14">
        <f t="shared" si="152"/>
        <v>74340</v>
      </c>
      <c r="SD14">
        <f>IF(COUNTIF('Final Calculation Sheet'!$AL14:$AU14,0)+COUNTIF('Final Calculation Sheet'!$AW14:$BS14,0)&gt;0,0,1)</f>
        <v>1</v>
      </c>
      <c r="SE14" t="b">
        <f>IF($BM$14="",FALSE,SUMPRODUCT(('Final Calculation Sheet'!$K$4:$K$40=$BM$14)*($SD$4:$SD$40=1))&gt;0)</f>
        <v>1</v>
      </c>
      <c r="SF14">
        <f t="shared" si="187"/>
        <v>11</v>
      </c>
      <c r="SG14">
        <f t="shared" si="153"/>
        <v>1487</v>
      </c>
      <c r="SH14">
        <f>IF(COUNTIF('Final Calculation Sheet'!$AL14:$AV14,0)+COUNTIF('Final Calculation Sheet'!$AX14:$BS14,0)&gt;0,0,1)</f>
        <v>1</v>
      </c>
      <c r="SI14" t="b">
        <f>IF($BR$14="",FALSE,SUMPRODUCT(('Final Calculation Sheet'!$L$4:$L$40=$BR$14)*($SH$4:$SH$40=1))&gt;0)</f>
        <v>1</v>
      </c>
      <c r="SJ14">
        <f t="shared" si="188"/>
        <v>11</v>
      </c>
      <c r="SK14">
        <f t="shared" si="154"/>
        <v>63</v>
      </c>
      <c r="SL14">
        <f>IF(COUNTIF('Final Calculation Sheet'!$AL14:$AW14,0)+COUNTIF('Final Calculation Sheet'!$AY14:$BS14,0)&gt;0,0,1)</f>
        <v>1</v>
      </c>
      <c r="SM14" t="b">
        <f>IF($BW$14="",FALSE,SUMPRODUCT(('Final Calculation Sheet'!$M$4:$M$40=$BW$14)*($SL$4:$SL$40=1))&gt;0)</f>
        <v>1</v>
      </c>
      <c r="SN14">
        <f t="shared" si="189"/>
        <v>11</v>
      </c>
      <c r="SO14">
        <f t="shared" si="155"/>
        <v>1672.6499999999999</v>
      </c>
      <c r="SP14">
        <f>IF(COUNTIF('Final Calculation Sheet'!$AL14:$AX14,0)+COUNTIF('Final Calculation Sheet'!$AZ14:$BS14,0)&gt;0,0,1)</f>
        <v>1</v>
      </c>
      <c r="SQ14" t="b">
        <f>IF($CB$14="",FALSE,SUMPRODUCT(('Final Calculation Sheet'!$N$4:$N$40=$CB$14)*($SP$4:$SP$40=1))&gt;0)</f>
        <v>1</v>
      </c>
      <c r="SR14">
        <f t="shared" si="190"/>
        <v>11</v>
      </c>
      <c r="SS14">
        <f t="shared" si="156"/>
        <v>28.35</v>
      </c>
      <c r="ST14">
        <f>IF(COUNTIF('Final Calculation Sheet'!$AL14:$AY14,0)+COUNTIF('Final Calculation Sheet'!$BA14:$BS14,0)&gt;0,0,1)</f>
        <v>1</v>
      </c>
      <c r="SU14" t="b">
        <f>IF($CG$14="",FALSE,SUMPRODUCT(('Final Calculation Sheet'!$O$4:$O$40=$CG$14)*($ST$4:$ST$40=1))&gt;0)</f>
        <v>1</v>
      </c>
      <c r="SV14">
        <f t="shared" si="191"/>
        <v>11</v>
      </c>
      <c r="SW14">
        <f t="shared" si="157"/>
        <v>1644.3</v>
      </c>
      <c r="SX14">
        <f>IF(COUNTIF('Final Calculation Sheet'!$AL14:$AZ14,0)+COUNTIF('Final Calculation Sheet'!$BB14:$BS14,0)&gt;0,0,1)</f>
        <v>1</v>
      </c>
      <c r="SY14" t="b">
        <f>IF($CL$14="",FALSE,SUMPRODUCT(('Final Calculation Sheet'!$P$4:$P$40=$CL$14)*($SX$4:$SX$40=1))&gt;0)</f>
        <v>1</v>
      </c>
      <c r="SZ14">
        <f t="shared" si="192"/>
        <v>11</v>
      </c>
      <c r="TA14">
        <f t="shared" si="158"/>
        <v>1707</v>
      </c>
      <c r="TB14">
        <f>IF(COUNTIF('Final Calculation Sheet'!$AL14:$BA14,0)+COUNTIF('Final Calculation Sheet'!$BC14:$BS14,0)&gt;0,0,1)</f>
        <v>1</v>
      </c>
      <c r="TC14" t="b">
        <f>IF($CQ$14="",FALSE,SUMPRODUCT(('Final Calculation Sheet'!$Q$4:$Q$40=$CQ$14)*($TB$4:$TB$40=1))&gt;0)</f>
        <v>0</v>
      </c>
      <c r="TD14">
        <f t="shared" si="193"/>
        <v>2</v>
      </c>
      <c r="TE14" t="str">
        <f t="shared" si="159"/>
        <v/>
      </c>
      <c r="TF14">
        <f>IF(COUNTIF('Final Calculation Sheet'!$AL14:$BB14,0)+COUNTIF('Final Calculation Sheet'!$BD14:$BS14,0)&gt;0,0,1)</f>
        <v>1</v>
      </c>
      <c r="TG14" t="b">
        <f>IF($CV$14="",FALSE,SUMPRODUCT(('Final Calculation Sheet'!$R$4:$R$40=$CV$14)*($TF$4:$TF$40=1))&gt;0)</f>
        <v>0</v>
      </c>
      <c r="TH14">
        <f t="shared" si="194"/>
        <v>5</v>
      </c>
      <c r="TI14" t="str">
        <f t="shared" si="160"/>
        <v/>
      </c>
      <c r="TJ14">
        <f>IF(COUNTIF('Final Calculation Sheet'!$AL14:$BC14,0)+COUNTIF('Final Calculation Sheet'!$BE14:$BS14,0)&gt;0,0,1)</f>
        <v>1</v>
      </c>
      <c r="TK14" t="b">
        <f>IF($DA$14="",FALSE,SUMPRODUCT(('Final Calculation Sheet'!$S$4:$S$40=$DA$14)*($TJ$4:$TJ$40=1))&gt;0)</f>
        <v>1</v>
      </c>
      <c r="TL14">
        <f t="shared" si="195"/>
        <v>11</v>
      </c>
      <c r="TM14">
        <f t="shared" si="161"/>
        <v>74120</v>
      </c>
      <c r="TN14">
        <f>IF(COUNTIF('Final Calculation Sheet'!$AL14:$BD14,0)+COUNTIF('Final Calculation Sheet'!$BF14:$BS14,0)&gt;0,0,1)</f>
        <v>1</v>
      </c>
      <c r="TO14" t="b">
        <f>IF($DF$14="",FALSE,SUMPRODUCT(('Final Calculation Sheet'!$T$4:$T$40=$DF$14)*($TN$4:$TN$40=1))&gt;0)</f>
        <v>1</v>
      </c>
      <c r="TP14">
        <f t="shared" si="196"/>
        <v>11</v>
      </c>
      <c r="TQ14">
        <f t="shared" si="162"/>
        <v>15750</v>
      </c>
      <c r="TR14">
        <f>IF(COUNTIF('Final Calculation Sheet'!$AL14:$BE14,0)+COUNTIF('Final Calculation Sheet'!$BG14:$BS14,0)&gt;0,0,1)</f>
        <v>1</v>
      </c>
      <c r="TS14" t="b">
        <f>IF($DK$14="",FALSE,SUMPRODUCT(('Final Calculation Sheet'!$U$4:$U$40=$DK$14)*($TR$4:$TR$40=1))&gt;0)</f>
        <v>1</v>
      </c>
      <c r="TT14">
        <f t="shared" si="197"/>
        <v>11</v>
      </c>
      <c r="TU14">
        <f t="shared" si="163"/>
        <v>15750</v>
      </c>
      <c r="TV14">
        <f>IF(COUNTIF('Final Calculation Sheet'!$AL14:$BF14,0)+COUNTIF('Final Calculation Sheet'!$BH14:$BS14,0)&gt;0,0,1)</f>
        <v>1</v>
      </c>
      <c r="TW14" t="b">
        <f>IF($DP$14="",FALSE,SUMPRODUCT(('Final Calculation Sheet'!$V$4:$V$40=$DP$14)*($TV$4:$TV$40=1))&gt;0)</f>
        <v>0</v>
      </c>
      <c r="TX14">
        <f t="shared" si="198"/>
        <v>6</v>
      </c>
      <c r="TY14" t="str">
        <f t="shared" si="164"/>
        <v/>
      </c>
      <c r="TZ14">
        <f>IF(COUNTIF('Final Calculation Sheet'!$AL14:$BG14,0)+COUNTIF('Final Calculation Sheet'!$BI14:$BS14,0)&gt;0,0,1)</f>
        <v>1</v>
      </c>
      <c r="UA14" t="b">
        <f>IF($DU$14="",FALSE,SUMPRODUCT(('Final Calculation Sheet'!$W$4:$W$40=$DU$14)*($TZ$4:$TZ$40=1))&gt;0)</f>
        <v>1</v>
      </c>
      <c r="UB14">
        <f t="shared" si="199"/>
        <v>11</v>
      </c>
      <c r="UC14">
        <f t="shared" si="165"/>
        <v>58370</v>
      </c>
      <c r="UD14">
        <f>IF(COUNTIF('Final Calculation Sheet'!$AL14:$BH14,0)+COUNTIF('Final Calculation Sheet'!$BJ14:$BS14,0)&gt;0,0,1)</f>
        <v>1</v>
      </c>
      <c r="UE14" t="e">
        <f>IF($DZ$14="",FALSE,SUMPRODUCT(('Final Calculation Sheet'!$X$4:$X$40=$DZ$14)*($UD$4:$UD$40=1))&gt;0)</f>
        <v>#N/A</v>
      </c>
      <c r="UF14" t="e">
        <f t="shared" si="200"/>
        <v>#N/A</v>
      </c>
      <c r="UG14" t="e">
        <f t="shared" si="166"/>
        <v>#N/A</v>
      </c>
      <c r="UH14">
        <f>IF(COUNTIF('Final Calculation Sheet'!$AL14:$BI14,0)+COUNTIF('Final Calculation Sheet'!$BK14:$BS14,0)&gt;0,0,1)</f>
        <v>1</v>
      </c>
      <c r="UI14" t="e">
        <f>IF($EE$14="",FALSE,SUMPRODUCT(('Final Calculation Sheet'!$Y$4:$Y$40=$EE$14)*($UH$4:$UH$40=1))&gt;0)</f>
        <v>#N/A</v>
      </c>
      <c r="UJ14" t="e">
        <f t="shared" si="201"/>
        <v>#N/A</v>
      </c>
      <c r="UK14" t="e">
        <f t="shared" si="167"/>
        <v>#N/A</v>
      </c>
      <c r="UL14">
        <f>IF(COUNTIF('Final Calculation Sheet'!$AL14:$BJ14,0)+COUNTIF('Final Calculation Sheet'!$BL14:$BS14,0)&gt;0,0,1)</f>
        <v>1</v>
      </c>
      <c r="UM14" t="b">
        <f ca="1">IF($EJ$14="",FALSE,SUMPRODUCT(('Final Calculation Sheet'!$Z$4:$Z$40=$EJ$14)*($UL$4:$UL$40=1))&gt;0)</f>
        <v>1</v>
      </c>
      <c r="UN14">
        <f t="shared" ca="1" si="202"/>
        <v>11</v>
      </c>
      <c r="UO14">
        <f t="shared" ca="1" si="168"/>
        <v>2230.1999999999998</v>
      </c>
      <c r="UP14">
        <f>IF(COUNTIF('Final Calculation Sheet'!$AL14:$BK14,0)+COUNTIF('Final Calculation Sheet'!$BM14:$BS14,0)&gt;0,0,1)</f>
        <v>1</v>
      </c>
      <c r="UQ14" t="e">
        <f>IF($EO$14="",FALSE,SUMPRODUCT(('Final Calculation Sheet'!$AA$4:$AA$40=$EO$14)*($UP$4:$UP$40=1))&gt;0)</f>
        <v>#N/A</v>
      </c>
      <c r="UR14" t="e">
        <f t="shared" si="203"/>
        <v>#N/A</v>
      </c>
      <c r="US14" t="e">
        <f t="shared" si="169"/>
        <v>#N/A</v>
      </c>
      <c r="UT14">
        <f>IF(COUNTIF('Final Calculation Sheet'!$AL14:$BL14,0)+COUNTIF('Final Calculation Sheet'!$BN14:$BS14,0)&gt;0,0,1)</f>
        <v>1</v>
      </c>
      <c r="UU14" t="e">
        <f>IF($ET$14="",FALSE,SUMPRODUCT(('Final Calculation Sheet'!$AB$4:$AB$40=$ET$14)*($UT$4:$UT$40=1))&gt;0)</f>
        <v>#N/A</v>
      </c>
      <c r="UV14" t="e">
        <f t="shared" si="204"/>
        <v>#N/A</v>
      </c>
      <c r="UW14" t="e">
        <f t="shared" si="170"/>
        <v>#N/A</v>
      </c>
      <c r="UX14">
        <f>IF(COUNTIF('Final Calculation Sheet'!$AL14:$BM14,0)+COUNTIF('Final Calculation Sheet'!$BO14:$BS14,0)&gt;0,0,1)</f>
        <v>1</v>
      </c>
      <c r="UY14" t="b">
        <f>IF($EY$14="",FALSE,SUMPRODUCT(('Final Calculation Sheet'!$AC$4:$AC$40=$EY$14)*($UX$4:$UX$40=1))&gt;0)</f>
        <v>1</v>
      </c>
      <c r="UZ14">
        <f t="shared" si="205"/>
        <v>11</v>
      </c>
      <c r="VA14">
        <f t="shared" si="171"/>
        <v>67502</v>
      </c>
      <c r="VB14">
        <f>IF(COUNTIF('Final Calculation Sheet'!$AL14:$BN14,0)+COUNTIF('Final Calculation Sheet'!$BP14:$BS14,0)&gt;0,0,1)</f>
        <v>1</v>
      </c>
      <c r="VC14" t="b">
        <f>IF($FD$14="",FALSE,SUMPRODUCT(('Final Calculation Sheet'!$AD$4:$AD$40=$FD$14)*($VB$4:$VB$40=1))&gt;0)</f>
        <v>1</v>
      </c>
      <c r="VD14">
        <f t="shared" si="206"/>
        <v>11</v>
      </c>
      <c r="VE14">
        <f t="shared" si="172"/>
        <v>498031</v>
      </c>
      <c r="VF14">
        <f>IF(COUNTIF('Final Calculation Sheet'!$AL14:$BO14,0)+COUNTIF('Final Calculation Sheet'!$BQ14:$BS14,0)&gt;0,0,1)</f>
        <v>1</v>
      </c>
      <c r="VG14" t="e">
        <f>IF($FI$14="",FALSE,SUMPRODUCT(('Final Calculation Sheet'!$AE$4:$AE$40=$FI$14)*($VF$4:$VF$40=1))&gt;0)</f>
        <v>#N/A</v>
      </c>
      <c r="VH14" t="e">
        <f t="shared" si="207"/>
        <v>#N/A</v>
      </c>
      <c r="VI14" t="e">
        <f t="shared" si="173"/>
        <v>#N/A</v>
      </c>
      <c r="VJ14">
        <f>IF(COUNTIF('Final Calculation Sheet'!$AL14:$BP14,0)+COUNTIF('Final Calculation Sheet'!$BR14:$BS14,0)&gt;0,0,1)</f>
        <v>1</v>
      </c>
      <c r="VK14" t="e">
        <f>IF($FN$14="",FALSE,SUMPRODUCT(('Final Calculation Sheet'!$AF$4:$AF$40=$FN$14)*($VJ$4:$VJ$40=1))&gt;0)</f>
        <v>#N/A</v>
      </c>
      <c r="VL14" t="e">
        <f t="shared" si="208"/>
        <v>#N/A</v>
      </c>
      <c r="VM14" t="e">
        <f t="shared" si="174"/>
        <v>#N/A</v>
      </c>
      <c r="VN14">
        <f>IF(COUNTIF('Final Calculation Sheet'!$AL14:$BQ14,0)+COUNTIF('Final Calculation Sheet'!$BS14:$BS14,0)&gt;0,0,1)</f>
        <v>1</v>
      </c>
      <c r="VO14" t="e">
        <f>IF($FS$14="",FALSE,SUMPRODUCT(('Final Calculation Sheet'!$AG$4:$AG$40=$FS$14)*($VN$4:$VN$40=1))&gt;0)</f>
        <v>#N/A</v>
      </c>
      <c r="VP14" t="e">
        <f t="shared" si="209"/>
        <v>#N/A</v>
      </c>
      <c r="VQ14" t="e">
        <f t="shared" si="175"/>
        <v>#N/A</v>
      </c>
      <c r="VR14">
        <f>IF(COUNTIF('Final Calculation Sheet'!$AL14:$BR14,0)&gt;0,0,1)</f>
        <v>1</v>
      </c>
      <c r="VS14" t="e">
        <f>IF($QO$14="",FALSE,SUMPRODUCT(('Final Calculation Sheet'!$AH$4:$AH$40=$QO$14)*($VR$4:$VR$40=1))&gt;0)</f>
        <v>#N/A</v>
      </c>
      <c r="VT14" t="e">
        <f t="shared" si="210"/>
        <v>#N/A</v>
      </c>
      <c r="VU14" t="e">
        <f t="shared" si="176"/>
        <v>#N/A</v>
      </c>
    </row>
    <row r="15" spans="1:593" x14ac:dyDescent="0.3">
      <c r="A15">
        <f>IF('Final Calculation Sheet'!$F$15="","",'Final Calculation Sheet'!$F$15)</f>
        <v>2008</v>
      </c>
      <c r="B15">
        <f>IF(A15="","",COUNTIFS(A$4:A$114,"&lt;"&amp;A15,A$4:A$114,"&lt;&gt;"&amp;"")+COUNTIF(A$4:A15,A15))</f>
        <v>12</v>
      </c>
      <c r="C15">
        <f t="shared" si="0"/>
        <v>2008</v>
      </c>
      <c r="D15">
        <f>D14+IF(AND(C15&lt;&gt;"",COUNTIF(C$4:C15,C15)=1),1,0)</f>
        <v>12</v>
      </c>
      <c r="E15" t="e">
        <f t="shared" si="1"/>
        <v>#N/A</v>
      </c>
      <c r="F15">
        <f t="shared" si="2"/>
        <v>12</v>
      </c>
      <c r="G15">
        <f>IF(F15="","",COUNTIFS(F$4:F$40,"&lt;"&amp;F15,F$4:F$40,"&lt;&gt;"&amp;"")+COUNTIF(F$4:F15,F15))</f>
        <v>12</v>
      </c>
      <c r="H15">
        <f t="shared" si="3"/>
        <v>12</v>
      </c>
      <c r="I15">
        <f>I14+IF(AND(H15&lt;&gt;"",COUNTIF(H$4:H15,H15)=1),1,0)</f>
        <v>12</v>
      </c>
      <c r="J15">
        <f t="shared" si="4"/>
        <v>12</v>
      </c>
      <c r="K15">
        <f>IF('Final Calculation Sheet'!$F$15="","",'Final Calculation Sheet'!$F$15)</f>
        <v>2008</v>
      </c>
      <c r="L15">
        <f>IF(K15="","",COUNTIFS(K$4:K$40,"&lt;"&amp;K15,K$4:K$40,"&lt;&gt;"&amp;"")+COUNTIF(K$4:K15,K15))</f>
        <v>12</v>
      </c>
      <c r="M15">
        <f t="shared" si="5"/>
        <v>2008</v>
      </c>
      <c r="N15">
        <f>N14+IF(AND(M15&lt;&gt;"",COUNTIF(M$4:M15,M15)=1),1,0)</f>
        <v>12</v>
      </c>
      <c r="O15">
        <f t="shared" si="6"/>
        <v>2008</v>
      </c>
      <c r="P15" t="str">
        <f>IF('Final Calculation Sheet'!$G$15="","",'Final Calculation Sheet'!$G$15)</f>
        <v>HIND TRADERS</v>
      </c>
      <c r="Q15">
        <f>IF(P15="","",COUNTIFS(P$4:P$40,"&lt;"&amp;P15,P$4:P$40,"&lt;&gt;"&amp;"")+COUNTIF(P$4:P15,P15))</f>
        <v>4</v>
      </c>
      <c r="R15" t="str">
        <f t="shared" si="7"/>
        <v>NATIONAL ENTERPRISES</v>
      </c>
      <c r="S15">
        <f>S14+IF(AND(R15&lt;&gt;"",COUNTIF(R$4:R15,R15)=1),1,0)</f>
        <v>6</v>
      </c>
      <c r="T15" t="str">
        <f t="shared" si="8"/>
        <v>STERLING ENTERPRISES</v>
      </c>
      <c r="U15" t="str">
        <f>IF('Final Calculation Sheet'!$B$15="","",'Final Calculation Sheet'!$B$15)</f>
        <v>Scrap of empty oil Druam</v>
      </c>
      <c r="V15">
        <f>IF(U15="","",COUNTIFS(U$4:U$40,"&lt;"&amp;U15,U$4:U$40,"&lt;&gt;"&amp;"")+COUNTIF(U$4:U15,U15))</f>
        <v>31</v>
      </c>
      <c r="W15" t="str">
        <f t="shared" si="9"/>
        <v>Scrap of 132 KV CT</v>
      </c>
      <c r="X15">
        <f>X14+IF(AND(W15&lt;&gt;"",COUNTIF(W$4:W15,W15)=1),1,0)</f>
        <v>6</v>
      </c>
      <c r="Y15" t="str">
        <f t="shared" si="10"/>
        <v>Scrap of 33 KV CB</v>
      </c>
      <c r="Z15">
        <f>IF('Final Calculation Sheet'!$D$15="","",'Final Calculation Sheet'!$D$15)</f>
        <v>21977</v>
      </c>
      <c r="AA15">
        <f>IF(Z15="","",COUNTIFS(Z$4:Z$40,"&lt;"&amp;Z15,Z$4:Z$40,"&lt;&gt;"&amp;"")+COUNTIF(Z$4:Z15,Z15))</f>
        <v>10</v>
      </c>
      <c r="AB15">
        <f t="shared" si="11"/>
        <v>21978</v>
      </c>
      <c r="AC15">
        <f>AC14+IF(AND(AB15&lt;&gt;"",COUNTIF(AB$4:AB15,AB15)=1),1,0)</f>
        <v>2</v>
      </c>
      <c r="AD15" t="str">
        <f t="shared" si="12"/>
        <v/>
      </c>
      <c r="AE15">
        <f>IF('Final Calculation Sheet'!$A$15="","",'Final Calculation Sheet'!$A$15)</f>
        <v>250</v>
      </c>
      <c r="AF15">
        <f>IF(AE15="","",COUNTIFS(AE$4:AE$40,"&lt;"&amp;AE15,AE$4:AE$40,"&lt;&gt;"&amp;"")+COUNTIF(AE$4:AE15,AE15))</f>
        <v>30</v>
      </c>
      <c r="AG15">
        <f t="shared" si="13"/>
        <v>2</v>
      </c>
      <c r="AH15">
        <f>AH14+IF(AND(AG15&lt;&gt;"",COUNTIF(AG$4:AG15,AG15)=1),1,0)</f>
        <v>2</v>
      </c>
      <c r="AI15">
        <f t="shared" si="14"/>
        <v>90</v>
      </c>
      <c r="AJ15" t="str">
        <f>IF('Final Calculation Sheet'!$E$15="","",'Final Calculation Sheet'!$E$15)</f>
        <v>NO</v>
      </c>
      <c r="AK15">
        <f>IF(AJ15="","",COUNTIFS(AJ$4:AJ$40,"&lt;"&amp;AJ15,AJ$4:AJ$40,"&lt;&gt;"&amp;"")+COUNTIF(AJ$4:AJ15,AJ15))</f>
        <v>15</v>
      </c>
      <c r="AL15" t="str">
        <f t="shared" si="15"/>
        <v>NO</v>
      </c>
      <c r="AM15">
        <f>AM14+IF(AND(AL15&lt;&gt;"",COUNTIF(AL$4:AL15,AL15)=1),1,0)</f>
        <v>3</v>
      </c>
      <c r="AN15" t="str">
        <f t="shared" si="16"/>
        <v/>
      </c>
      <c r="AO15" s="50">
        <f>IF('Final Calculation Sheet'!$C$15="","",'Final Calculation Sheet'!$C$15)</f>
        <v>543</v>
      </c>
      <c r="AP15">
        <f>IF(AO15="","",COUNTIFS(AO$4:AO$40,"&lt;"&amp;AO15,AO$4:AO$40,"&lt;&gt;"&amp;"")+COUNTIF(AO$4:AO15,AO15))</f>
        <v>7</v>
      </c>
      <c r="AQ15" s="50">
        <f t="shared" si="17"/>
        <v>700</v>
      </c>
      <c r="AR15">
        <f>AR14+IF(AND(AQ15&lt;&gt;"",COUNTIF(AQ$4:AQ15,AQ15)=1),1,0)</f>
        <v>10</v>
      </c>
      <c r="AS15" s="50">
        <f t="shared" si="18"/>
        <v>710</v>
      </c>
      <c r="AT15" s="50">
        <f>IF('Final Calculation Sheet'!$H$15="","",'Final Calculation Sheet'!$H$15)</f>
        <v>135750</v>
      </c>
      <c r="AU15">
        <f>IF(AT15="","",COUNTIFS(AT$4:AT$40,"&lt;"&amp;AT15,AT$4:AT$40,"&lt;&gt;"&amp;"")+COUNTIF(AT$4:AT15,AT15))</f>
        <v>18</v>
      </c>
      <c r="AV15" s="50">
        <f t="shared" si="19"/>
        <v>65007</v>
      </c>
      <c r="AW15">
        <f>AW14+IF(AND(AV15&lt;&gt;"",COUNTIF(AV$4:AV15,AV15)=1),1,0)</f>
        <v>12</v>
      </c>
      <c r="AX15" s="50">
        <f t="shared" si="20"/>
        <v>65007</v>
      </c>
      <c r="AY15" s="50">
        <f>IF('Final Calculation Sheet'!$I$15="","",'Final Calculation Sheet'!$I$15)</f>
        <v>24435</v>
      </c>
      <c r="AZ15">
        <f>IF(AY15="","",COUNTIFS(AY$4:AY$40,"&lt;"&amp;AY15,AY$4:AY$40,"&lt;&gt;"&amp;"")+COUNTIF(AY$4:AY15,AY15))</f>
        <v>18</v>
      </c>
      <c r="BA15" s="50">
        <f t="shared" si="21"/>
        <v>11701</v>
      </c>
      <c r="BB15">
        <f>BB14+IF(AND(BA15&lt;&gt;"",COUNTIF(BA$4:BA15,BA15)=1),1,0)</f>
        <v>12</v>
      </c>
      <c r="BC15" s="50">
        <f t="shared" si="22"/>
        <v>11701</v>
      </c>
      <c r="BD15" s="50">
        <f>IF('Final Calculation Sheet'!$J$15="","",'Final Calculation Sheet'!$J$15)</f>
        <v>160185</v>
      </c>
      <c r="BE15">
        <f>IF(BD15="","",COUNTIFS(BD$4:BD$40,"&lt;"&amp;BD15,BD$4:BD$40,"&lt;&gt;"&amp;"")+COUNTIF(BD$4:BD15,BD15))</f>
        <v>18</v>
      </c>
      <c r="BF15" s="50">
        <f t="shared" si="23"/>
        <v>76708</v>
      </c>
      <c r="BG15">
        <f>BG14+IF(AND(BF15&lt;&gt;"",COUNTIF(BF$4:BF15,BF15)=1),1,0)</f>
        <v>12</v>
      </c>
      <c r="BH15" s="50">
        <f t="shared" si="24"/>
        <v>76708</v>
      </c>
      <c r="BI15" s="50">
        <f>IF('Final Calculation Sheet'!$K$15="","",'Final Calculation Sheet'!$K$15)</f>
        <v>3204</v>
      </c>
      <c r="BJ15">
        <f>IF(BI15="","",COUNTIFS(BI$4:BI$40,"&lt;"&amp;BI15,BI$4:BI$40,"&lt;&gt;"&amp;"")+COUNTIF(BI$4:BI15,BI15))</f>
        <v>18</v>
      </c>
      <c r="BK15" s="50">
        <f t="shared" si="25"/>
        <v>1534</v>
      </c>
      <c r="BL15">
        <f>BL14+IF(AND(BK15&lt;&gt;"",COUNTIF(BK$4:BK15,BK15)=1),1,0)</f>
        <v>12</v>
      </c>
      <c r="BM15" s="50">
        <f t="shared" si="26"/>
        <v>1534</v>
      </c>
      <c r="BN15" s="50">
        <f>IF('Final Calculation Sheet'!$L$15="","",'Final Calculation Sheet'!$L$15)</f>
        <v>135.75</v>
      </c>
      <c r="BO15">
        <f>IF(BN15="","",COUNTIFS(BN$4:BN$40,"&lt;"&amp;BN15,BN$4:BN$40,"&lt;&gt;"&amp;"")+COUNTIF(BN$4:BN15,BN15))</f>
        <v>18</v>
      </c>
      <c r="BP15" s="50">
        <f t="shared" si="27"/>
        <v>65.007000000000005</v>
      </c>
      <c r="BQ15">
        <f>BQ14+IF(AND(BP15&lt;&gt;"",COUNTIF(BP$4:BP15,BP15)=1),1,0)</f>
        <v>12</v>
      </c>
      <c r="BR15" s="50">
        <f t="shared" si="28"/>
        <v>65.007000000000005</v>
      </c>
      <c r="BS15" s="50">
        <f>IF('Final Calculation Sheet'!$M$15="","",'Final Calculation Sheet'!$M$15)</f>
        <v>3604.1624999999999</v>
      </c>
      <c r="BT15">
        <f>IF(BS15="","",COUNTIFS(BS$4:BS$40,"&lt;"&amp;BS15,BS$4:BS$40,"&lt;&gt;"&amp;"")+COUNTIF(BS$4:BS15,BS15))</f>
        <v>18</v>
      </c>
      <c r="BU15" s="50">
        <f t="shared" si="29"/>
        <v>1725.9358499999998</v>
      </c>
      <c r="BV15">
        <f>BV14+IF(AND(BU15&lt;&gt;"",COUNTIF(BU$4:BU15,BU15)=1),1,0)</f>
        <v>12</v>
      </c>
      <c r="BW15" s="50">
        <f t="shared" si="30"/>
        <v>1725.9358499999998</v>
      </c>
      <c r="BX15" s="126">
        <f>IF('Final Calculation Sheet'!$N$15="","",'Final Calculation Sheet'!$N$15)</f>
        <v>61.087499999999999</v>
      </c>
      <c r="BY15">
        <f>IF(BX15="","",COUNTIFS(BX$4:BX$40,"&lt;"&amp;BX15,BX$4:BX$40,"&lt;&gt;"&amp;"")+COUNTIF(BX$4:BX15,BX15))</f>
        <v>18</v>
      </c>
      <c r="BZ15" s="126">
        <f t="shared" si="31"/>
        <v>29.253150000000002</v>
      </c>
      <c r="CA15">
        <f>CA14+IF(AND(BZ15&lt;&gt;"",COUNTIF(BZ$4:BZ15,BZ15)=1),1,0)</f>
        <v>12</v>
      </c>
      <c r="CB15" s="126">
        <f t="shared" si="32"/>
        <v>29.253150000000002</v>
      </c>
      <c r="CC15" s="50">
        <f>IF('Final Calculation Sheet'!$O$15="","",'Final Calculation Sheet'!$O$15)</f>
        <v>3543.0749999999998</v>
      </c>
      <c r="CD15">
        <f>IF(CC15="","",COUNTIFS(CC$4:CC$40,"&lt;"&amp;CC15,CC$4:CC$40,"&lt;&gt;"&amp;"")+COUNTIF(CC$4:CC15,CC15))</f>
        <v>18</v>
      </c>
      <c r="CE15" s="50">
        <f t="shared" si="33"/>
        <v>1696.6826999999998</v>
      </c>
      <c r="CF15">
        <f>CF14+IF(AND(CE15&lt;&gt;"",COUNTIF(CE$4:CE15,CE15)=1),1,0)</f>
        <v>12</v>
      </c>
      <c r="CG15" s="50">
        <f t="shared" si="34"/>
        <v>1696.6826999999998</v>
      </c>
      <c r="CH15" s="50">
        <f>IF('Final Calculation Sheet'!$P$15="","",'Final Calculation Sheet'!$P$15)</f>
        <v>3679</v>
      </c>
      <c r="CI15">
        <f>IF(CH15="","",COUNTIFS(CH$4:CH$40,"&lt;"&amp;CH15,CH$4:CH$40,"&lt;&gt;"&amp;"")+COUNTIF(CH$4:CH15,CH15))</f>
        <v>18</v>
      </c>
      <c r="CJ15" s="50">
        <f t="shared" si="35"/>
        <v>1762</v>
      </c>
      <c r="CK15">
        <f>CK14+IF(AND(CJ15&lt;&gt;"",COUNTIF(CJ$4:CJ15,CJ15)=1),1,0)</f>
        <v>12</v>
      </c>
      <c r="CL15" s="50">
        <f t="shared" si="36"/>
        <v>1762</v>
      </c>
      <c r="CM15" s="127">
        <f>IF('Final Calculation Sheet'!$Q$15="","",'Final Calculation Sheet'!$Q$15)</f>
        <v>0</v>
      </c>
      <c r="CN15">
        <f>IF(CM15="","",COUNTIFS(CM$4:CM$40,"&lt;"&amp;CM15,CM$4:CM$40,"&lt;&gt;"&amp;"")+COUNTIF(CM$4:CM15,CM15))</f>
        <v>10</v>
      </c>
      <c r="CO15" s="127">
        <f t="shared" si="37"/>
        <v>0</v>
      </c>
      <c r="CP15">
        <f>CP14+IF(AND(CO15&lt;&gt;"",COUNTIF(CO$4:CO15,CO15)=1),1,0)</f>
        <v>1</v>
      </c>
      <c r="CQ15" t="str">
        <f t="shared" si="38"/>
        <v/>
      </c>
      <c r="CR15" s="50">
        <f>IF('Final Calculation Sheet'!$R$15="","",'Final Calculation Sheet'!$R$15)</f>
        <v>0</v>
      </c>
      <c r="CS15">
        <f>IF(CR15="","",COUNTIFS(CR$4:CR$40,"&lt;"&amp;CR15,CR$4:CR$40,"&lt;&gt;"&amp;"")+COUNTIF(CR$4:CR15,CR15))</f>
        <v>10</v>
      </c>
      <c r="CT15" s="50">
        <f t="shared" si="39"/>
        <v>0</v>
      </c>
      <c r="CU15">
        <f>CU14+IF(AND(CT15&lt;&gt;"",COUNTIF(CT$4:CT15,CT15)=1),1,0)</f>
        <v>1</v>
      </c>
      <c r="CV15" t="str">
        <f t="shared" si="40"/>
        <v/>
      </c>
      <c r="CW15" s="50">
        <f>IF('Final Calculation Sheet'!$S$15="","",'Final Calculation Sheet'!$S$15)</f>
        <v>159710</v>
      </c>
      <c r="CX15">
        <f>IF(CW15="","",COUNTIFS(CW$4:CW$40,"&lt;"&amp;CW15,CW$4:CW$40,"&lt;&gt;"&amp;"")+COUNTIF(CW$4:CW15,CW15))</f>
        <v>18</v>
      </c>
      <c r="CY15" s="50">
        <f t="shared" si="41"/>
        <v>76481</v>
      </c>
      <c r="CZ15">
        <f>CZ14+IF(AND(CY15&lt;&gt;"",COUNTIF(CY$4:CY15,CY15)=1),1,0)</f>
        <v>12</v>
      </c>
      <c r="DA15" s="50">
        <f t="shared" si="42"/>
        <v>76481</v>
      </c>
      <c r="DB15" s="50">
        <f>IF('Final Calculation Sheet'!$T$15="","",'Final Calculation Sheet'!$T$15)</f>
        <v>33938</v>
      </c>
      <c r="DC15">
        <f>IF(DB15="","",COUNTIFS(DB$4:DB$40,"&lt;"&amp;DB15,DB$4:DB$40,"&lt;&gt;"&amp;"")+COUNTIF(DB$4:DB15,DB15))</f>
        <v>18</v>
      </c>
      <c r="DD15" s="50">
        <f t="shared" si="43"/>
        <v>16252</v>
      </c>
      <c r="DE15">
        <f>DE14+IF(AND(DD15&lt;&gt;"",COUNTIF(DD$4:DD15,DD15)=1),1,0)</f>
        <v>12</v>
      </c>
      <c r="DF15" s="50">
        <f t="shared" si="44"/>
        <v>16252</v>
      </c>
      <c r="DG15" s="128">
        <f>IF('Final Calculation Sheet'!$U$15="","",'Final Calculation Sheet'!$U$15)</f>
        <v>33938</v>
      </c>
      <c r="DH15">
        <f>IF(DG15="","",COUNTIFS(DG$4:DG$40,"&lt;"&amp;DG15,DG$4:DG$40,"&lt;&gt;"&amp;"")+COUNTIF(DG$4:DG15,DG15))</f>
        <v>18</v>
      </c>
      <c r="DI15" s="128">
        <f t="shared" si="45"/>
        <v>16252</v>
      </c>
      <c r="DJ15">
        <f>DJ14+IF(AND(DI15&lt;&gt;"",COUNTIF(DI$4:DI15,DI15)=1),1,0)</f>
        <v>12</v>
      </c>
      <c r="DK15" s="128">
        <f t="shared" si="46"/>
        <v>16252</v>
      </c>
      <c r="DL15" t="str">
        <f>IF('Final Calculation Sheet'!$V$15="","",'Final Calculation Sheet'!$V$15)</f>
        <v>14.08.2026</v>
      </c>
      <c r="DM15">
        <f>IF(DL15="","",COUNTIFS(DL$4:DL$40,"&lt;"&amp;DL15,DL$4:DL$40,"&lt;&gt;"&amp;"")+COUNTIF(DL$4:DL15,DL15))</f>
        <v>28</v>
      </c>
      <c r="DN15" t="str">
        <f t="shared" si="47"/>
        <v>13.08.2026</v>
      </c>
      <c r="DO15">
        <f>DO14+IF(AND(DN15&lt;&gt;"",COUNTIF(DN$4:DN15,DN15)=1),1,0)</f>
        <v>3</v>
      </c>
      <c r="DP15" t="str">
        <f t="shared" si="48"/>
        <v/>
      </c>
      <c r="DQ15" s="50">
        <f>IF('Final Calculation Sheet'!$W$15="","",'Final Calculation Sheet'!$W$15)</f>
        <v>125772</v>
      </c>
      <c r="DR15">
        <f>IF(DQ15="","",COUNTIFS(DQ$4:DQ$40,"&lt;"&amp;DQ15,DQ$4:DQ$40,"&lt;&gt;"&amp;"")+COUNTIF(DQ$4:DQ15,DQ15))</f>
        <v>18</v>
      </c>
      <c r="DS15" s="50">
        <f t="shared" si="49"/>
        <v>60229</v>
      </c>
      <c r="DT15">
        <f>DT14+IF(AND(DS15&lt;&gt;"",COUNTIF(DS$4:DS15,DS15)=1),1,0)</f>
        <v>12</v>
      </c>
      <c r="DU15" s="50">
        <f t="shared" si="50"/>
        <v>60229</v>
      </c>
      <c r="DV15" s="50">
        <f>IF('Final Calculation Sheet'!$X$15="","",'Final Calculation Sheet'!$X$15)</f>
        <v>125772</v>
      </c>
      <c r="DW15">
        <f>IF(DV15="","",COUNTIFS(DV$4:DV$40,"&lt;"&amp;DV15,DV$4:DV$40,"&lt;&gt;"&amp;"")+COUNTIF(DV$4:DV15,DV15))</f>
        <v>17</v>
      </c>
      <c r="DX15" s="50">
        <f t="shared" si="51"/>
        <v>64859</v>
      </c>
      <c r="DY15">
        <f>DY14+IF(AND(DX15&lt;&gt;"",COUNTIF(DX$4:DX15,DX15)=1),1,0)</f>
        <v>12</v>
      </c>
      <c r="DZ15" t="e">
        <f t="shared" si="52"/>
        <v>#N/A</v>
      </c>
      <c r="EA15" t="str">
        <f>IF('Final Calculation Sheet'!$Y$15="","",'Final Calculation Sheet'!$Y$15)</f>
        <v>18.08.2026</v>
      </c>
      <c r="EB15">
        <f>IF(EA15="","",COUNTIFS(EA$4:EA$40,"&lt;"&amp;EA15,EA$4:EA$40,"&lt;&gt;"&amp;"")+COUNTIF(EA$4:EA15,EA15))</f>
        <v>13</v>
      </c>
      <c r="EC15" t="str">
        <f t="shared" si="53"/>
        <v>18.08.2026</v>
      </c>
      <c r="ED15">
        <f>ED14+IF(AND(EC15&lt;&gt;"",COUNTIF(EC$4:EC15,EC15)=1),1,0)</f>
        <v>6</v>
      </c>
      <c r="EE15" t="e">
        <f t="shared" si="54"/>
        <v>#N/A</v>
      </c>
      <c r="EF15" s="50">
        <f ca="1">IF('Final Calculation Sheet'!$Z$15="","",'Final Calculation Sheet'!$Z$15)</f>
        <v>4805.5499999999993</v>
      </c>
      <c r="EG15">
        <f ca="1">IF(EF15="","",COUNTIFS(EF$4:EF$40,"&lt;"&amp;EF15,EF$4:EF$40,"&lt;&gt;"&amp;"")+COUNTIF(EF$4:EF15,EF15))</f>
        <v>18</v>
      </c>
      <c r="EH15" s="50">
        <f t="shared" ca="1" si="55"/>
        <v>2301.2478000000001</v>
      </c>
      <c r="EI15">
        <f ca="1">EI14+IF(AND(EH15&lt;&gt;"",COUNTIF(EH$4:EH15,EH15)=1),1,0)</f>
        <v>12</v>
      </c>
      <c r="EJ15">
        <f t="shared" ca="1" si="56"/>
        <v>2301.2478000000001</v>
      </c>
      <c r="EK15" t="str">
        <f>IF('Final Calculation Sheet'!$AA$15="","",'Final Calculation Sheet'!$AA$15)</f>
        <v/>
      </c>
      <c r="EL15" t="str">
        <f>IF(EK15="","",COUNTIFS(EK$4:EK$40,"&lt;"&amp;EK15,EK$4:EK$40,"&lt;&gt;"&amp;"")+COUNTIF(EK$4:EK15,EK15))</f>
        <v/>
      </c>
      <c r="EM15" t="e">
        <f t="shared" si="57"/>
        <v>#N/A</v>
      </c>
      <c r="EN15" t="e">
        <f>EN14+IF(AND(EM15&lt;&gt;"",COUNTIF(EM$4:EM15,EM15)=1),1,0)</f>
        <v>#N/A</v>
      </c>
      <c r="EO15" t="e">
        <f t="shared" si="58"/>
        <v>#N/A</v>
      </c>
      <c r="EP15" t="str">
        <f>IF('Final Calculation Sheet'!$AB$15="","",'Final Calculation Sheet'!$AB$15)</f>
        <v/>
      </c>
      <c r="EQ15" t="str">
        <f>IF(EP15="","",COUNTIFS(EP$4:EP$40,"&lt;"&amp;EP15,EP$4:EP$40,"&lt;&gt;"&amp;"")+COUNTIF(EP$4:EP15,EP15))</f>
        <v/>
      </c>
      <c r="ER15" t="e">
        <f t="shared" si="59"/>
        <v>#N/A</v>
      </c>
      <c r="ES15" t="e">
        <f>ES14+IF(AND(ER15&lt;&gt;"",COUNTIF(ER$4:ER15,ER15)=1),1,0)</f>
        <v>#N/A</v>
      </c>
      <c r="ET15" t="e">
        <f t="shared" si="60"/>
        <v>#N/A</v>
      </c>
      <c r="EU15" s="50">
        <f>IF('Final Calculation Sheet'!$AC$15="","",'Final Calculation Sheet'!$AC$15)</f>
        <v>159710</v>
      </c>
      <c r="EV15">
        <f>IF(EU15="","",COUNTIFS(EU$4:EU$40,"&lt;"&amp;EU15,EU$4:EU$40,"&lt;&gt;"&amp;"")+COUNTIF(EU$4:EU15,EU15))</f>
        <v>20</v>
      </c>
      <c r="EW15" s="50">
        <f t="shared" si="61"/>
        <v>74168</v>
      </c>
      <c r="EX15">
        <f>EX14+IF(AND(EW15&lt;&gt;"",COUNTIF(EW$4:EW15,EW15)=1),1,0)</f>
        <v>12</v>
      </c>
      <c r="EY15" s="50">
        <f t="shared" si="62"/>
        <v>74168</v>
      </c>
      <c r="EZ15" s="50">
        <f>IF('Final Calculation Sheet'!$AD$15="","",'Final Calculation Sheet'!$AD$15)</f>
        <v>0</v>
      </c>
      <c r="FA15">
        <f>IF(EZ15="","",COUNTIFS(EZ$4:EZ$40,"&lt;"&amp;EZ15,EZ$4:EZ$40,"&lt;&gt;"&amp;"")+COUNTIF(EZ$4:EZ15,EZ15))</f>
        <v>14</v>
      </c>
      <c r="FB15" s="50">
        <f t="shared" si="63"/>
        <v>0</v>
      </c>
      <c r="FC15">
        <f>FC14+IF(AND(FB15&lt;&gt;"",COUNTIF(FB$4:FB15,FB15)=1),1,0)</f>
        <v>7</v>
      </c>
      <c r="FD15" t="str">
        <f t="shared" si="64"/>
        <v/>
      </c>
      <c r="FE15" t="str">
        <f>IF('Final Calculation Sheet'!$AF$15="","",'Final Calculation Sheet'!$AF$15)</f>
        <v>DR2640100026</v>
      </c>
      <c r="FF15">
        <f>IF(FE15="","",COUNTIFS(FE$4:FE$40,"&lt;"&amp;FE15,FE$4:FE$40,"&lt;&gt;"&amp;"")+COUNTIF(FE$4:FE15,FE15))</f>
        <v>15</v>
      </c>
      <c r="FG15" t="str">
        <f t="shared" si="65"/>
        <v>DR2640100023</v>
      </c>
      <c r="FH15" t="e">
        <f>FH14+IF(AND(FG15&lt;&gt;"",COUNTIF(FG$4:FG15,FG15)=1),1,0)</f>
        <v>#N/A</v>
      </c>
      <c r="FI15" t="e">
        <f t="shared" si="66"/>
        <v>#N/A</v>
      </c>
      <c r="FJ15" s="129">
        <f>IF('Final Calculation Sheet'!$AG$15="","",'Final Calculation Sheet'!$AG$15)</f>
        <v>1800003247</v>
      </c>
      <c r="FK15">
        <f>IF(FJ15="","",COUNTIFS(FJ$4:FJ$40,"&lt;"&amp;FJ15,FJ$4:FJ$40,"&lt;&gt;"&amp;"")+COUNTIF(FJ$4:FJ15,FJ15))</f>
        <v>10</v>
      </c>
      <c r="FL15" s="129">
        <f t="shared" si="67"/>
        <v>1800003269</v>
      </c>
      <c r="FM15">
        <f>FM14+IF(AND(FL15&lt;&gt;"",COUNTIF(FL$4:FL15,FL15)=1),1,0)</f>
        <v>12</v>
      </c>
      <c r="FN15" t="e">
        <f t="shared" si="68"/>
        <v>#N/A</v>
      </c>
      <c r="FO15" t="str">
        <f>IF('Final Calculation Sheet'!$AH$15="","",'Final Calculation Sheet'!$AH$15)</f>
        <v>20.08.2026</v>
      </c>
      <c r="FP15">
        <f>IF(FO15="","",COUNTIFS(FO$4:FO$40,"&lt;"&amp;FO15,FO$4:FO$40,"&lt;&gt;"&amp;"")+COUNTIF(FO$4:FO15,FO15))</f>
        <v>15</v>
      </c>
      <c r="FQ15" t="str">
        <f t="shared" si="69"/>
        <v>17.08.2026</v>
      </c>
      <c r="FR15" t="e">
        <f>FR14+IF(AND(FQ15&lt;&gt;"",COUNTIF(FQ$4:FQ15,FQ15)=1),1,0)</f>
        <v>#N/A</v>
      </c>
      <c r="FS15" t="e">
        <f t="shared" si="70"/>
        <v>#N/A</v>
      </c>
      <c r="FU15" t="str">
        <f>IF(FT15="","",COUNTIFS(FT$4:FT$40,"&lt;"&amp;FT15,FT$4:FT$40,"&lt;&gt;"&amp;"")+COUNTIF(FT$4:FT15,FT15))</f>
        <v/>
      </c>
      <c r="FV15" t="str">
        <f t="shared" si="71"/>
        <v/>
      </c>
      <c r="FW15">
        <f>FW14+IF(AND(FV15&lt;&gt;"",COUNTIF(FV$4:FV15,FV15)=1),1,0)</f>
        <v>2</v>
      </c>
      <c r="FX15" t="str">
        <f t="shared" si="72"/>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5" t="b">
        <f>IF($Y$15="",FALSE,SUMPRODUCT(('Final Calculation Sheet'!$B$4:$B$40=$Y$15)*($FY$6:$FY$42=1))&gt;0)</f>
        <v>1</v>
      </c>
      <c r="GA15">
        <f>$GA$14+--($FZ$15)</f>
        <v>12</v>
      </c>
      <c r="GB15" t="str">
        <f t="shared" si="73"/>
        <v>Scrap of 33 KV CB</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D15" t="b">
        <f>IF($O$15="",FALSE,SUMPRODUCT(('Final Calculation Sheet'!$F$4:$F$40=$O$15)*($GC$6:$GC$42=1))&gt;0)</f>
        <v>1</v>
      </c>
      <c r="GE15">
        <f>$GE$14+--($GD15)</f>
        <v>12</v>
      </c>
      <c r="GF15">
        <f t="shared" si="74"/>
        <v>2008</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H15" t="b">
        <f>IF($T$15="",FALSE,SUMPRODUCT(('Final Calculation Sheet'!$G$4:$G$40=$T$15)*($GG$6:$GG$42=1))&gt;0)</f>
        <v>1</v>
      </c>
      <c r="GI15">
        <f>$GI$14+--($GH15)</f>
        <v>12</v>
      </c>
      <c r="GJ15" t="str">
        <f t="shared" si="75"/>
        <v>STERLING ENTERPRISES</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L15" t="b">
        <f>IF($AD$15="",FALSE,SUMPRODUCT(('Final Calculation Sheet'!$D$4:$D$40=$AD$15)*($GK$6:$GK$42=1))&gt;0)</f>
        <v>0</v>
      </c>
      <c r="GM15">
        <f>$GM$14+--($GL15)</f>
        <v>4</v>
      </c>
      <c r="GN15" t="str">
        <f t="shared" si="76"/>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P15" t="b">
        <f>IF($AI$15="",FALSE,SUMPRODUCT(('Final Calculation Sheet'!$A$4:$A$40=$AI$15)*($GO$6:$GO$42=1))&gt;0)</f>
        <v>1</v>
      </c>
      <c r="GQ15">
        <f>$GQ$14+--($GP15)</f>
        <v>12</v>
      </c>
      <c r="GR15">
        <f t="shared" si="77"/>
        <v>90</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T15" t="b">
        <f>IF($AN$15="",FALSE,SUMPRODUCT(('Final Calculation Sheet'!$E$4:$E$40=$AN$15)*($GS$6:$GS$42=1))&gt;0)</f>
        <v>0</v>
      </c>
      <c r="GU15">
        <f>$GU$14+--($GT15)</f>
        <v>3</v>
      </c>
      <c r="GV15" t="str">
        <f t="shared" si="78"/>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GX15" t="b">
        <f>IF($AS$15="",FALSE,SUMPRODUCT(('Final Calculation Sheet'!$C$4:$C$40=$AS$15)*($GW$6:$GW$42=1))&gt;0)</f>
        <v>1</v>
      </c>
      <c r="GY15">
        <f>$GY$14+--($GX15)</f>
        <v>12</v>
      </c>
      <c r="GZ15">
        <f t="shared" si="79"/>
        <v>710</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B15" t="b">
        <f>IF($AX$15="",FALSE,SUMPRODUCT(('Final Calculation Sheet'!$H$4:$H$40=$AX$15)*($HA$6:$HA$42=1))&gt;0)</f>
        <v>1</v>
      </c>
      <c r="HC15">
        <f>$HC$14+--($HB15)</f>
        <v>12</v>
      </c>
      <c r="HD15">
        <f t="shared" si="80"/>
        <v>65007</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F15" t="b">
        <f>IF($BC$15="",FALSE,SUMPRODUCT(('Final Calculation Sheet'!$I$4:$I$40=$BC$15)*($HE$6:$HE$42=1))&gt;0)</f>
        <v>1</v>
      </c>
      <c r="HG15">
        <f>$HG$14+--($HF15)</f>
        <v>12</v>
      </c>
      <c r="HH15">
        <f t="shared" si="81"/>
        <v>11701</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J15" t="b">
        <f>IF($BH$15="",FALSE,SUMPRODUCT(('Final Calculation Sheet'!$J$4:$J$40=$BH$15)*($HI$6:$HI$42=1))&gt;0)</f>
        <v>1</v>
      </c>
      <c r="HK15">
        <f>$HK$14+--($HJ15)</f>
        <v>12</v>
      </c>
      <c r="HL15">
        <f t="shared" si="82"/>
        <v>76708</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N15" t="b">
        <f>IF($BM$15="",FALSE,SUMPRODUCT(('Final Calculation Sheet'!$K$4:$K$40=$BM$15)*($HM$6:$HM$42=1))&gt;0)</f>
        <v>1</v>
      </c>
      <c r="HO15">
        <f>$HO$14+--($HN15)</f>
        <v>12</v>
      </c>
      <c r="HP15">
        <f t="shared" si="83"/>
        <v>1534</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R15" t="b">
        <f>IF($BR$15="",FALSE,SUMPRODUCT(('Final Calculation Sheet'!$L$4:$L$40=$BR$15)*($HQ$6:$HQ$42=1))&gt;0)</f>
        <v>1</v>
      </c>
      <c r="HS15">
        <f>$HS$14+--($HR15)</f>
        <v>12</v>
      </c>
      <c r="HT15">
        <f t="shared" si="84"/>
        <v>65.007000000000005</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V15" t="b">
        <f>IF($BW$15="",FALSE,SUMPRODUCT(('Final Calculation Sheet'!$M$4:$M$40=$BW$15)*($HU$6:$HU$42=1))&gt;0)</f>
        <v>1</v>
      </c>
      <c r="HW15">
        <f>$HW$14+--($HV15)</f>
        <v>12</v>
      </c>
      <c r="HX15">
        <f t="shared" si="85"/>
        <v>1725.9358499999998</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HZ15" t="b">
        <f>IF($CB$15="",FALSE,SUMPRODUCT(('Final Calculation Sheet'!$N$4:$N$40=$CB$15)*($HY$6:$HY$42=1))&gt;0)</f>
        <v>1</v>
      </c>
      <c r="IA15">
        <f>$IA$14+--($HZ15)</f>
        <v>12</v>
      </c>
      <c r="IB15">
        <f t="shared" si="86"/>
        <v>29.253150000000002</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D15" t="b">
        <f>IF($CG$15="",FALSE,SUMPRODUCT(('Final Calculation Sheet'!$O$4:$O$40=$CG$15)*($IC$6:$IC$42=1))&gt;0)</f>
        <v>1</v>
      </c>
      <c r="IE15">
        <f>$IE$14+--($ID15)</f>
        <v>12</v>
      </c>
      <c r="IF15">
        <f t="shared" si="87"/>
        <v>1696.6826999999998</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H15" t="b">
        <f>IF($CL$15="",FALSE,SUMPRODUCT(('Final Calculation Sheet'!$P$4:$P$40=$CL$15)*($IG$6:$IG$42=1))&gt;0)</f>
        <v>1</v>
      </c>
      <c r="II15">
        <f>$II$14+--($IH15)</f>
        <v>12</v>
      </c>
      <c r="IJ15">
        <f t="shared" si="88"/>
        <v>1762</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L15" t="b">
        <f>IF($CQ$15="",FALSE,SUMPRODUCT(('Final Calculation Sheet'!$Q$4:$Q$40=$CQ$15)*($IK$6:$IK$42=1))&gt;0)</f>
        <v>0</v>
      </c>
      <c r="IM15">
        <f>$IM$14+--($IL15)</f>
        <v>2</v>
      </c>
      <c r="IN15" t="str">
        <f t="shared" si="89"/>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P15" t="b">
        <f>IF($CV$15="",FALSE,SUMPRODUCT(('Final Calculation Sheet'!$R$4:$R$40=$CV$15)*($IO$6:$IO$42=1))&gt;0)</f>
        <v>0</v>
      </c>
      <c r="IQ15">
        <f>$IQ$14+--($IP15)</f>
        <v>5</v>
      </c>
      <c r="IR15" t="str">
        <f t="shared" si="90"/>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T15" t="b">
        <f>IF($DA$15="",FALSE,SUMPRODUCT(('Final Calculation Sheet'!$S$4:$S$40=$DA$15)*($IS$6:$IS$42=1))&gt;0)</f>
        <v>1</v>
      </c>
      <c r="IU15">
        <f>$IU$14+--($IT15)</f>
        <v>12</v>
      </c>
      <c r="IV15">
        <f t="shared" si="91"/>
        <v>76481</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IX15" t="b">
        <f>IF($DF$15="",FALSE,SUMPRODUCT(('Final Calculation Sheet'!$T$4:$T$40=$DF$15)*($IW$6:$IW$42=1))&gt;0)</f>
        <v>1</v>
      </c>
      <c r="IY15">
        <f>$IY$14+--($IX15)</f>
        <v>12</v>
      </c>
      <c r="IZ15">
        <f t="shared" si="92"/>
        <v>16252</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B15" t="b">
        <f>IF($DK$15="",FALSE,SUMPRODUCT(('Final Calculation Sheet'!$U$4:$U$40=$DK$15)*($JA$6:$JA$42=1))&gt;0)</f>
        <v>1</v>
      </c>
      <c r="JC15">
        <f>$JC$14+--($JB15)</f>
        <v>12</v>
      </c>
      <c r="JD15">
        <f t="shared" si="93"/>
        <v>16252</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F15" t="b">
        <f>IF($DP$15="",FALSE,SUMPRODUCT(('Final Calculation Sheet'!$V$4:$V$40=$DP$15)*($JE$6:$JE$42=1))&gt;0)</f>
        <v>0</v>
      </c>
      <c r="JG15">
        <f>$JG$14+--($JF15)</f>
        <v>6</v>
      </c>
      <c r="JH15" t="str">
        <f t="shared" si="94"/>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J15" t="b">
        <f>IF($DU$15="",FALSE,SUMPRODUCT(('Final Calculation Sheet'!$W$4:$W$40=$DU$15)*($JI$6:$JI$42=1))&gt;0)</f>
        <v>1</v>
      </c>
      <c r="JK15">
        <f>$JK$14+--($JJ15)</f>
        <v>12</v>
      </c>
      <c r="JL15">
        <f t="shared" si="95"/>
        <v>60229</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N15" t="e">
        <f>IF($DZ$15="",FALSE,SUMPRODUCT(('Final Calculation Sheet'!$X$4:$X$40=$DZ$15)*($JM$6:$JM$42=1))&gt;0)</f>
        <v>#N/A</v>
      </c>
      <c r="JO15" t="e">
        <f>$JO$14+--($JN15)</f>
        <v>#N/A</v>
      </c>
      <c r="JP15" t="e">
        <f t="shared" si="96"/>
        <v>#N/A</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R15" t="e">
        <f>IF($EE$15="",FALSE,SUMPRODUCT(('Final Calculation Sheet'!$Y$4:$Y$40=$EE$15)*($JQ$6:$JQ$42=1))&gt;0)</f>
        <v>#N/A</v>
      </c>
      <c r="JS15" t="e">
        <f>$JS$14+--($JR15)</f>
        <v>#N/A</v>
      </c>
      <c r="JT15" t="e">
        <f t="shared" si="97"/>
        <v>#N/A</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V15" t="b">
        <f ca="1">IF($EJ$15="",FALSE,SUMPRODUCT(('Final Calculation Sheet'!$Z$4:$Z$40=$EJ$15)*($JU$6:$JU$42=1))&gt;0)</f>
        <v>1</v>
      </c>
      <c r="JW15">
        <f ca="1">$JW$14+--($JV15)</f>
        <v>12</v>
      </c>
      <c r="JX15">
        <f t="shared" ca="1" si="98"/>
        <v>2301.2478000000001</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JZ15" t="e">
        <f>IF($EO$15="",FALSE,SUMPRODUCT(('Final Calculation Sheet'!$AA$4:$AA$40=$EO$15)*($JY$6:$JY$42=1))&gt;0)</f>
        <v>#N/A</v>
      </c>
      <c r="KA15" t="e">
        <f>$KA$14+--($JZ15)</f>
        <v>#N/A</v>
      </c>
      <c r="KB15" t="e">
        <f t="shared" si="99"/>
        <v>#N/A</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D15" t="e">
        <f>IF($ET$15="",FALSE,SUMPRODUCT(('Final Calculation Sheet'!$AB$4:$AB$40=$ET$15)*($KC$6:$KC$42=1))&gt;0)</f>
        <v>#N/A</v>
      </c>
      <c r="KE15" t="e">
        <f>$KE$14+--($KD15)</f>
        <v>#N/A</v>
      </c>
      <c r="KF15" t="e">
        <f t="shared" si="100"/>
        <v>#N/A</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H15" t="b">
        <f>IF($EY$15="",FALSE,SUMPRODUCT(('Final Calculation Sheet'!$AC$4:$AC$40=$EY$15)*($KG$6:$KG$42=1))&gt;0)</f>
        <v>1</v>
      </c>
      <c r="KI15">
        <f>$KI$14+--($KH15)</f>
        <v>12</v>
      </c>
      <c r="KJ15">
        <f t="shared" si="101"/>
        <v>74168</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L15" t="b">
        <f>IF($FD$15="",FALSE,SUMPRODUCT(('Final Calculation Sheet'!$AD$4:$AD$40=$FD$15)*($KK$6:$KK$42=1))&gt;0)</f>
        <v>0</v>
      </c>
      <c r="KM15">
        <f>$KM$14+--($KL15)</f>
        <v>11</v>
      </c>
      <c r="KN15" t="str">
        <f t="shared" si="102"/>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P15" t="b">
        <f>IF($FX$15="",FALSE,SUMPRODUCT((IF('Final Calculation Sheet'!$AD$4:$AD$40&lt;=5,"SETTLED","OUTSTANDING")=$FX$15)*($KO$6:$KO$42=1))&gt;0)</f>
        <v>0</v>
      </c>
      <c r="KQ15">
        <f>$KQ$14+--($KP15)</f>
        <v>1</v>
      </c>
      <c r="KR15" t="str">
        <f t="shared" si="103"/>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T15" t="e">
        <f>IF($FI$15="",FALSE,SUMPRODUCT(('Final Calculation Sheet'!$AF$4:$AF$40=$FI$15)*($KS$6:$KS$42=1))&gt;0)</f>
        <v>#N/A</v>
      </c>
      <c r="KU15" t="e">
        <f>$KU$14+--($KT15)</f>
        <v>#N/A</v>
      </c>
      <c r="KV15" t="e">
        <f t="shared" si="104"/>
        <v>#N/A</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KX15" t="e">
        <f>IF($FN$15="",FALSE,SUMPRODUCT(('Final Calculation Sheet'!$AG$4:$AG$40=$FN$15)*($KW$6:$KW$42=1))&gt;0)</f>
        <v>#N/A</v>
      </c>
      <c r="KY15" t="e">
        <f>$KY$14+--($KX15)</f>
        <v>#N/A</v>
      </c>
      <c r="KZ15" t="e">
        <f t="shared" si="105"/>
        <v>#N/A</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LB15" t="e">
        <f>IF($FS$15="",FALSE,SUMPRODUCT(('Final Calculation Sheet'!$AH$4:$AH$40=$FS$15)*($LA$6:$LA$42=1))&gt;0)</f>
        <v>#N/A</v>
      </c>
      <c r="LC15" t="e">
        <f>$LC$14+--($LB15)</f>
        <v>#N/A</v>
      </c>
      <c r="LD15" t="e">
        <f t="shared" si="106"/>
        <v>#N/A</v>
      </c>
      <c r="LE15">
        <f>IF(COUNTIF('Buyer Groups'!DH15:EN15,0)&gt;0,0,1)</f>
        <v>1</v>
      </c>
      <c r="LF15" t="b">
        <f>IF($O$15="",FALSE,SUMPRODUCT(('Final Calculation Sheet'!$F$4:$F$40=$O$15)*($LE$6:$LE$42=1))&gt;0)</f>
        <v>1</v>
      </c>
      <c r="LG15">
        <f>$LG$14+--($LF15)</f>
        <v>12</v>
      </c>
      <c r="LH15">
        <f t="shared" si="107"/>
        <v>2008</v>
      </c>
      <c r="LI15">
        <f>IF(COUNTIF('Buyer Groups'!DG15:DG15,0)+COUNTIF('Buyer Groups'!DI15:EN15,0)&gt;0,0,1)</f>
        <v>1</v>
      </c>
      <c r="LJ15" t="b">
        <f>IF($T$15="",FALSE,SUMPRODUCT(('Final Calculation Sheet'!$G$4:$G$40=$T$15)*($LI$6:$LI$42=1))&gt;0)</f>
        <v>1</v>
      </c>
      <c r="LK15">
        <f>$LK$14+--($LJ15)</f>
        <v>12</v>
      </c>
      <c r="LL15" t="str">
        <f t="shared" si="108"/>
        <v>STERLING ENTERPRISES</v>
      </c>
      <c r="LM15">
        <f>IF(COUNTIF('Buyer Groups'!DG15:DH15,0)+COUNTIF('Buyer Groups'!DJ15:EN15,0)&gt;0,0,1)</f>
        <v>1</v>
      </c>
      <c r="LN15" t="b">
        <f>IF($Y$15="",FALSE,SUMPRODUCT(('Final Calculation Sheet'!$B$4:$B$40=$Y$15)*($LM$6:$LM$42=1))&gt;0)</f>
        <v>1</v>
      </c>
      <c r="LO15">
        <f>$LO$14+--($LN15)</f>
        <v>12</v>
      </c>
      <c r="LP15" t="str">
        <f t="shared" si="109"/>
        <v>Scrap of 33 KV CB</v>
      </c>
      <c r="LQ15">
        <f>IF(COUNTIF('Buyer Groups'!DG15:DI15,0)+COUNTIF('Buyer Groups'!DK15:EN15,0)&gt;0,0,1)</f>
        <v>1</v>
      </c>
      <c r="LR15" t="b">
        <f>IF($AD$15="",FALSE,SUMPRODUCT(('Final Calculation Sheet'!$D$4:$D$40=$AD$15)*($LQ$6:$LQ$42=1))&gt;0)</f>
        <v>0</v>
      </c>
      <c r="LS15">
        <f>$LS$14+--($LR15)</f>
        <v>4</v>
      </c>
      <c r="LT15" t="str">
        <f t="shared" si="110"/>
        <v/>
      </c>
      <c r="LU15">
        <f>IF(COUNTIF('Buyer Groups'!DG15:DJ15,0)+COUNTIF('Buyer Groups'!DL15:EN15,0)&gt;0,0,1)</f>
        <v>1</v>
      </c>
      <c r="LV15" t="b">
        <f>IF($AI$15="",FALSE,SUMPRODUCT(('Final Calculation Sheet'!$A$4:$A$40=$AI$15)*($LU$6:$LU$42=1))&gt;0)</f>
        <v>1</v>
      </c>
      <c r="LW15">
        <f>$LW$14+--($LV15)</f>
        <v>12</v>
      </c>
      <c r="LX15">
        <f t="shared" si="111"/>
        <v>90</v>
      </c>
      <c r="LY15">
        <f>IF(COUNTIF('Buyer Groups'!DG15:DK15,0)+COUNTIF('Buyer Groups'!DM15:EN15,0)&gt;0,0,1)</f>
        <v>1</v>
      </c>
      <c r="LZ15" t="b">
        <f>IF($AN$15="",FALSE,SUMPRODUCT(('Final Calculation Sheet'!$E$4:$E$40=$AN$15)*($LY$6:$LY$42=1))&gt;0)</f>
        <v>0</v>
      </c>
      <c r="MA15">
        <f>$MA$14+--($LZ15)</f>
        <v>3</v>
      </c>
      <c r="MB15" t="str">
        <f t="shared" si="112"/>
        <v/>
      </c>
      <c r="MC15">
        <f>IF(COUNTIF('Buyer Groups'!DG15:DL15,0)+COUNTIF('Buyer Groups'!DN15:EN15,0)&gt;0,0,1)</f>
        <v>1</v>
      </c>
      <c r="MD15" t="b">
        <f>IF($AS$15="",FALSE,SUMPRODUCT(('Final Calculation Sheet'!$C$4:$C$40=$AS$15)*($MC$6:$MC$42=1))&gt;0)</f>
        <v>1</v>
      </c>
      <c r="ME15">
        <f>$ME$14+--($MD15)</f>
        <v>12</v>
      </c>
      <c r="MF15">
        <f t="shared" si="113"/>
        <v>710</v>
      </c>
      <c r="MG15">
        <f>IF(COUNTIF('Buyer Groups'!DG15:DM15,0)+COUNTIF('Buyer Groups'!DO15:EN15,0)&gt;0,0,1)</f>
        <v>1</v>
      </c>
      <c r="MH15" t="b">
        <f>IF($AX$15="",FALSE,SUMPRODUCT(('Final Calculation Sheet'!$H$4:$H$40=$AX$15)*($MG$6:$MG$42=1))&gt;0)</f>
        <v>1</v>
      </c>
      <c r="MI15">
        <f>$MI$14+--($MH15)</f>
        <v>12</v>
      </c>
      <c r="MJ15">
        <f t="shared" si="114"/>
        <v>65007</v>
      </c>
      <c r="MK15">
        <f>IF(COUNTIF('Buyer Groups'!DG15:DN15,0)+COUNTIF('Buyer Groups'!DP15:EN15,0)&gt;0,0,1)</f>
        <v>1</v>
      </c>
      <c r="ML15" t="b">
        <f>IF($BC$15="",FALSE,SUMPRODUCT(('Final Calculation Sheet'!$I$4:$I$40=$BC$15)*($MK$6:$MK$42=1))&gt;0)</f>
        <v>1</v>
      </c>
      <c r="MM15">
        <f>$MM$14+--($ML15)</f>
        <v>12</v>
      </c>
      <c r="MN15">
        <f t="shared" si="115"/>
        <v>11701</v>
      </c>
      <c r="MO15">
        <f>IF(COUNTIF('Buyer Groups'!DG15:DO15,0)+COUNTIF('Buyer Groups'!DQ15:EN15,0)&gt;0,0,1)</f>
        <v>1</v>
      </c>
      <c r="MP15" t="b">
        <f>IF($BH$15="",FALSE,SUMPRODUCT(('Final Calculation Sheet'!$J$4:$J$40=$BH$15)*($MO$6:$MO$42=1))&gt;0)</f>
        <v>1</v>
      </c>
      <c r="MQ15">
        <f>$MQ$14+--($MP15)</f>
        <v>12</v>
      </c>
      <c r="MR15">
        <f t="shared" si="116"/>
        <v>76708</v>
      </c>
      <c r="MS15">
        <f>IF(COUNTIF('Buyer Groups'!DG15:DP15,0)+COUNTIF('Buyer Groups'!DR15:EN15,0)&gt;0,0,1)</f>
        <v>1</v>
      </c>
      <c r="MT15" t="b">
        <f>IF($BM$15="",FALSE,SUMPRODUCT(('Final Calculation Sheet'!$K$4:$K$40=$BM$15)*($MS$6:$MS$42=1))&gt;0)</f>
        <v>1</v>
      </c>
      <c r="MU15">
        <f>$MU$14+--($MT15)</f>
        <v>12</v>
      </c>
      <c r="MV15">
        <f t="shared" si="117"/>
        <v>1534</v>
      </c>
      <c r="MW15">
        <f>IF(COUNTIF('Buyer Groups'!DG15:DQ15,0)+COUNTIF('Buyer Groups'!DS15:EN15,0)&gt;0,0,1)</f>
        <v>1</v>
      </c>
      <c r="MX15" t="b">
        <f>IF($BR$15="",FALSE,SUMPRODUCT(('Final Calculation Sheet'!$L$4:$L$40=$BR$15)*($MW$6:$MW$42=1))&gt;0)</f>
        <v>1</v>
      </c>
      <c r="MY15">
        <f>$MY$14+--($MX15)</f>
        <v>12</v>
      </c>
      <c r="MZ15">
        <f t="shared" si="118"/>
        <v>65.007000000000005</v>
      </c>
      <c r="NA15">
        <f>IF(COUNTIF('Buyer Groups'!DG15:DR15,0)+COUNTIF('Buyer Groups'!DT15:EN15,0)&gt;0,0,1)</f>
        <v>1</v>
      </c>
      <c r="NB15" t="b">
        <f>IF($BW$15="",FALSE,SUMPRODUCT(('Final Calculation Sheet'!$M$4:$M$40=$BW$15)*($NA$6:$NA$42=1))&gt;0)</f>
        <v>1</v>
      </c>
      <c r="NC15">
        <f>$NC$14+--($NB15)</f>
        <v>12</v>
      </c>
      <c r="ND15">
        <f t="shared" si="119"/>
        <v>1725.9358499999998</v>
      </c>
      <c r="NE15">
        <f>IF(COUNTIF('Buyer Groups'!DG15:DS15,0)+COUNTIF('Buyer Groups'!DU15:EN15,0)&gt;0,0,1)</f>
        <v>1</v>
      </c>
      <c r="NF15" t="b">
        <f>IF($CB$15="",FALSE,SUMPRODUCT(('Final Calculation Sheet'!$N$4:$N$40=$CB$15)*($NE$6:$NE$42=1))&gt;0)</f>
        <v>1</v>
      </c>
      <c r="NG15">
        <f>$NG$14+--($NF15)</f>
        <v>12</v>
      </c>
      <c r="NH15">
        <f t="shared" si="120"/>
        <v>29.253150000000002</v>
      </c>
      <c r="NI15">
        <f>IF(COUNTIF('Buyer Groups'!DG15:DT15,0)+COUNTIF('Buyer Groups'!DV15:EN15,0)&gt;0,0,1)</f>
        <v>1</v>
      </c>
      <c r="NJ15" t="b">
        <f>IF($CG$15="",FALSE,SUMPRODUCT(('Final Calculation Sheet'!$O$4:$O$40=$CG$15)*($NI$6:$NI$42=1))&gt;0)</f>
        <v>1</v>
      </c>
      <c r="NK15">
        <f>$NK$14+--($NJ15)</f>
        <v>12</v>
      </c>
      <c r="NL15">
        <f t="shared" si="121"/>
        <v>1696.6826999999998</v>
      </c>
      <c r="NM15">
        <f>IF(COUNTIF('Buyer Groups'!DG15:DU15,0)+COUNTIF('Buyer Groups'!DW15:EN15,0)&gt;0,0,1)</f>
        <v>1</v>
      </c>
      <c r="NN15" t="b">
        <f>IF($CL$15="",FALSE,SUMPRODUCT(('Final Calculation Sheet'!$P$4:$P$40=$CL$15)*($NM$6:$NM$42=1))&gt;0)</f>
        <v>1</v>
      </c>
      <c r="NO15">
        <f>$NO$14+--($NN15)</f>
        <v>12</v>
      </c>
      <c r="NP15">
        <f t="shared" si="122"/>
        <v>1762</v>
      </c>
      <c r="NQ15">
        <f>IF(COUNTIF('Buyer Groups'!DG15:DV15,0)+COUNTIF('Buyer Groups'!DX15:EN15,0)&gt;0,0,1)</f>
        <v>1</v>
      </c>
      <c r="NR15" t="b">
        <f>IF($CQ$15="",FALSE,SUMPRODUCT(('Final Calculation Sheet'!$Q$4:$Q$40=$CQ$15)*($NQ$6:$NQ$42=1))&gt;0)</f>
        <v>0</v>
      </c>
      <c r="NS15">
        <f>$NS$14+--($NR15)</f>
        <v>2</v>
      </c>
      <c r="NT15" t="str">
        <f t="shared" si="123"/>
        <v/>
      </c>
      <c r="NU15">
        <f>IF(COUNTIF('Buyer Groups'!DG15:DW15,0)+COUNTIF('Buyer Groups'!DY15:EN15,0)&gt;0,0,1)</f>
        <v>1</v>
      </c>
      <c r="NV15" t="b">
        <f>IF($CV$15="",FALSE,SUMPRODUCT(('Final Calculation Sheet'!$R$4:$R$40=$CV$15)*($NU$6:$NU$42=1))&gt;0)</f>
        <v>0</v>
      </c>
      <c r="NW15">
        <f>$NW$14+--($NV15)</f>
        <v>5</v>
      </c>
      <c r="NX15" t="str">
        <f t="shared" si="124"/>
        <v/>
      </c>
      <c r="NY15">
        <f>IF(COUNTIF('Buyer Groups'!DG15:DX15,0)+COUNTIF('Buyer Groups'!DZ15:EN15,0)&gt;0,0,1)</f>
        <v>1</v>
      </c>
      <c r="NZ15" t="b">
        <f>IF($DA$15="",FALSE,SUMPRODUCT(('Final Calculation Sheet'!$S$4:$S$40=$DA$15)*($NY$6:$NY$42=1))&gt;0)</f>
        <v>1</v>
      </c>
      <c r="OA15">
        <f>$OA$14+--($NZ15)</f>
        <v>12</v>
      </c>
      <c r="OB15">
        <f t="shared" si="125"/>
        <v>76481</v>
      </c>
      <c r="OC15">
        <f>IF(COUNTIF('Buyer Groups'!DG15:DY15,0)+COUNTIF('Buyer Groups'!EA15:EN15,0)&gt;0,0,1)</f>
        <v>1</v>
      </c>
      <c r="OD15" t="b">
        <f>IF($DF$15="",FALSE,SUMPRODUCT(('Final Calculation Sheet'!$T$4:$T$40=$DF$15)*($OC$6:$OC$42=1))&gt;0)</f>
        <v>1</v>
      </c>
      <c r="OE15">
        <f>$OE$14+--($OD15)</f>
        <v>12</v>
      </c>
      <c r="OF15">
        <f t="shared" si="126"/>
        <v>16252</v>
      </c>
      <c r="OG15">
        <f>IF(COUNTIF('Buyer Groups'!DG15:DZ15,0)+COUNTIF('Buyer Groups'!EB15:EN15,0)&gt;0,0,1)</f>
        <v>1</v>
      </c>
      <c r="OH15" t="b">
        <f>IF($DK$15="",FALSE,SUMPRODUCT(('Final Calculation Sheet'!$U$4:$U$40=$DK$15)*($OG$6:$OG$42=1))&gt;0)</f>
        <v>1</v>
      </c>
      <c r="OI15">
        <f>$OI$14+--($OH15)</f>
        <v>12</v>
      </c>
      <c r="OJ15">
        <f t="shared" si="127"/>
        <v>16252</v>
      </c>
      <c r="OK15">
        <f>IF(COUNTIF('Buyer Groups'!DG15:EA15,0)+COUNTIF('Buyer Groups'!EC15:EN15,0)&gt;0,0,1)</f>
        <v>1</v>
      </c>
      <c r="OL15" t="b">
        <f>IF($DP$15="",FALSE,SUMPRODUCT(('Final Calculation Sheet'!$V$4:$V$40=$DP$15)*($OK$6:$OK$42=1))&gt;0)</f>
        <v>0</v>
      </c>
      <c r="OM15">
        <f>$OM$14+--($OL15)</f>
        <v>6</v>
      </c>
      <c r="ON15" t="str">
        <f t="shared" si="128"/>
        <v/>
      </c>
      <c r="OO15">
        <f>IF(COUNTIF('Buyer Groups'!DG15:EB15,0)+COUNTIF('Buyer Groups'!ED15:EN15,0)&gt;0,0,1)</f>
        <v>1</v>
      </c>
      <c r="OP15" t="b">
        <f>IF($DU$15="",FALSE,SUMPRODUCT(('Final Calculation Sheet'!$W$4:$W$40=$DU$15)*($OO$6:$OO$42=1))&gt;0)</f>
        <v>1</v>
      </c>
      <c r="OQ15">
        <f>$OQ$14+--($OP15)</f>
        <v>12</v>
      </c>
      <c r="OR15">
        <f t="shared" si="129"/>
        <v>60229</v>
      </c>
      <c r="OS15">
        <f>IF(COUNTIF('Buyer Groups'!DG15:EC15,0)+COUNTIF('Buyer Groups'!EE15:EN15,0)&gt;0,0,1)</f>
        <v>1</v>
      </c>
      <c r="OT15" t="e">
        <f>IF($DZ$15="",FALSE,SUMPRODUCT(('Final Calculation Sheet'!$X$4:$X$40=$DZ$15)*($OS$6:$OS$42=1))&gt;0)</f>
        <v>#N/A</v>
      </c>
      <c r="OU15" t="e">
        <f>$OU$14+--($OT15)</f>
        <v>#N/A</v>
      </c>
      <c r="OV15" t="e">
        <f t="shared" si="130"/>
        <v>#N/A</v>
      </c>
      <c r="OW15">
        <f>IF(COUNTIF('Buyer Groups'!DG15:ED15,0)+COUNTIF('Buyer Groups'!EF15:EN15,0)&gt;0,0,1)</f>
        <v>1</v>
      </c>
      <c r="OX15" t="e">
        <f>IF($EE$15="",FALSE,SUMPRODUCT(('Final Calculation Sheet'!$Y$4:$Y$40=$EE$15)*($OW$6:$OW$42=1))&gt;0)</f>
        <v>#N/A</v>
      </c>
      <c r="OY15" t="e">
        <f>$OY$14+--($OX15)</f>
        <v>#N/A</v>
      </c>
      <c r="OZ15" t="e">
        <f t="shared" si="131"/>
        <v>#N/A</v>
      </c>
      <c r="PA15">
        <f>IF(COUNTIF('Buyer Groups'!DG15:EE15,0)+COUNTIF('Buyer Groups'!EG15:EN15,0)&gt;0,0,1)</f>
        <v>1</v>
      </c>
      <c r="PB15" t="b">
        <f ca="1">IF($EJ$15="",FALSE,SUMPRODUCT(('Final Calculation Sheet'!$Z$4:$Z$40=$EJ$15)*($PA$6:$PA$42=1))&gt;0)</f>
        <v>1</v>
      </c>
      <c r="PC15">
        <f ca="1">$PC$14+--($PB15)</f>
        <v>12</v>
      </c>
      <c r="PD15">
        <f t="shared" ca="1" si="132"/>
        <v>2301.2478000000001</v>
      </c>
      <c r="PE15">
        <f>IF(COUNTIF('Buyer Groups'!DG15:EF15,0)+COUNTIF('Buyer Groups'!EH15:EN15,0)&gt;0,0,1)</f>
        <v>1</v>
      </c>
      <c r="PF15" t="e">
        <f>IF($EO$15="",FALSE,SUMPRODUCT(('Final Calculation Sheet'!$AA$4:$AA$40=$EO$15)*($PE$6:$PE$42=1))&gt;0)</f>
        <v>#N/A</v>
      </c>
      <c r="PG15" t="e">
        <f>$PG$14+--($PF15)</f>
        <v>#N/A</v>
      </c>
      <c r="PH15" t="e">
        <f t="shared" si="133"/>
        <v>#N/A</v>
      </c>
      <c r="PI15">
        <f>IF(COUNTIF('Buyer Groups'!DG15:EG15,0)+COUNTIF('Buyer Groups'!EI15:EN15,0)&gt;0,0,1)</f>
        <v>1</v>
      </c>
      <c r="PJ15" t="e">
        <f>IF($ET$15="",FALSE,SUMPRODUCT(('Final Calculation Sheet'!$AB$4:$AB$40=$ET$15)*($PI$6:$PI$42=1))&gt;0)</f>
        <v>#N/A</v>
      </c>
      <c r="PK15" t="e">
        <f>$PK$14+--($PJ15)</f>
        <v>#N/A</v>
      </c>
      <c r="PL15" t="e">
        <f t="shared" si="134"/>
        <v>#N/A</v>
      </c>
      <c r="PM15">
        <f>IF(COUNTIF('Buyer Groups'!DG15:EH15,0)+COUNTIF('Buyer Groups'!EJ15:EN15,0)&gt;0,0,1)</f>
        <v>1</v>
      </c>
      <c r="PN15" t="b">
        <f>IF($EY$15="",FALSE,SUMPRODUCT(('Final Calculation Sheet'!$AC$4:$AC$40=$EY$15)*($PM$6:$PM$42=1))&gt;0)</f>
        <v>1</v>
      </c>
      <c r="PO15">
        <f>$PO$14+--($PN15)</f>
        <v>12</v>
      </c>
      <c r="PP15">
        <f t="shared" si="135"/>
        <v>74168</v>
      </c>
      <c r="PQ15">
        <f>IF(COUNTIF('Buyer Groups'!DG15:EI15,0)+COUNTIF('Buyer Groups'!EK15:EN15,0)&gt;0,0,1)</f>
        <v>1</v>
      </c>
      <c r="PR15" t="b">
        <f>IF($FD$15="",FALSE,SUMPRODUCT(('Final Calculation Sheet'!$AD$4:$AD$40=$FD$15)*($PQ$6:$PQ$42=1))&gt;0)</f>
        <v>0</v>
      </c>
      <c r="PS15">
        <f>$PS$14+--($PR15)</f>
        <v>11</v>
      </c>
      <c r="PT15" t="str">
        <f t="shared" si="136"/>
        <v/>
      </c>
      <c r="PU15">
        <f>IF(COUNTIF('Buyer Groups'!DG15:EJ15,0)+COUNTIF('Buyer Groups'!EL15:EN15,0)&gt;0,0,1)</f>
        <v>1</v>
      </c>
      <c r="PV15" t="b">
        <f>IF($FX$15="",FALSE,SUMPRODUCT((IF('Final Calculation Sheet'!$AD$4:$AD$40&lt;=5,"SETTLED","OUTSTANDING")=$FX$15)*($PU$6:$PU$42=1))&gt;0)</f>
        <v>0</v>
      </c>
      <c r="PW15">
        <f>$PW$14+--($PV15)</f>
        <v>1</v>
      </c>
      <c r="PX15" t="str">
        <f t="shared" si="137"/>
        <v/>
      </c>
      <c r="PY15">
        <f>IF(COUNTIF('Buyer Groups'!DG15:EK15,0)+COUNTIF('Buyer Groups'!EM15:EN15,0)&gt;0,0,1)</f>
        <v>1</v>
      </c>
      <c r="PZ15" t="e">
        <f>IF($FI$15="",FALSE,SUMPRODUCT(('Final Calculation Sheet'!$AF$4:$AF$40=$FI$15)*($PY$6:$PY$42=1))&gt;0)</f>
        <v>#N/A</v>
      </c>
      <c r="QA15" t="e">
        <f>$QA$14+--($PZ15)</f>
        <v>#N/A</v>
      </c>
      <c r="QB15" t="e">
        <f t="shared" si="138"/>
        <v>#N/A</v>
      </c>
      <c r="QC15">
        <f>IF(COUNTIF('Buyer Groups'!DG15:EL15,0)+COUNTIF('Buyer Groups'!EN15:EN15,0)&gt;0,0,1)</f>
        <v>1</v>
      </c>
      <c r="QD15" t="e">
        <f>IF($FN$15="",FALSE,SUMPRODUCT(('Final Calculation Sheet'!$AG$4:$AG$40=$FN$15)*($QC$6:$QC$42=1))&gt;0)</f>
        <v>#N/A</v>
      </c>
      <c r="QE15" t="e">
        <f>$QE$14+--($QD15)</f>
        <v>#N/A</v>
      </c>
      <c r="QF15" t="e">
        <f t="shared" si="139"/>
        <v>#N/A</v>
      </c>
      <c r="QG15">
        <f>IF(COUNTIF('Buyer Groups'!DG15:EM15,0)&gt;0,0,1)</f>
        <v>1</v>
      </c>
      <c r="QH15" t="e">
        <f>IF($FS$15="",FALSE,SUMPRODUCT(('Final Calculation Sheet'!$AH$4:$AH$40=$FS$15)*($QG$6:$QG$42=1))&gt;0)</f>
        <v>#N/A</v>
      </c>
      <c r="QI15" t="e">
        <f>$QI$14+--($QH15)</f>
        <v>#N/A</v>
      </c>
      <c r="QJ15" t="e">
        <f t="shared" si="140"/>
        <v>#N/A</v>
      </c>
      <c r="QK15" t="str">
        <f>IF('Final Calculation Sheet'!$AH$15="","",'Final Calculation Sheet'!$AH$15)</f>
        <v>20.08.2026</v>
      </c>
      <c r="QL15">
        <f>IF(QK15="","",COUNTIFS(QK$4:QK$40,"&lt;"&amp;QK15,QK$4:QK$40,"&lt;&gt;"&amp;"")+COUNTIF(QK$4:QK15,QK15))</f>
        <v>15</v>
      </c>
      <c r="QM15" t="str">
        <f t="shared" si="141"/>
        <v>17.08.2026</v>
      </c>
      <c r="QN15" t="e">
        <f ca="1">QN14+F(AND(QM15&lt;&gt;"",COUNTIF(QM$4:QM15,QM15)=1),1,0)</f>
        <v>#N/A</v>
      </c>
      <c r="QO15" t="e">
        <f t="shared" si="142"/>
        <v>#N/A</v>
      </c>
      <c r="QP15">
        <f>IF(COUNTIF('Final Calculation Sheet'!$AM15:$BS15,0)&gt;0,0,1)</f>
        <v>1</v>
      </c>
      <c r="QQ15" t="b">
        <f>IF($AI$15="",FALSE,SUMPRODUCT(('Final Calculation Sheet'!$A$4:$A$40=$AI$15)*($QP$4:$QP$40=1))&gt;0)</f>
        <v>1</v>
      </c>
      <c r="QR15">
        <f t="shared" si="177"/>
        <v>12</v>
      </c>
      <c r="QS15">
        <f t="shared" si="143"/>
        <v>90</v>
      </c>
      <c r="QT15">
        <f>IF(COUNTIF('Final Calculation Sheet'!$AL15:$AL15,0)+COUNTIF('Final Calculation Sheet'!$AN15:$BS15,0)&gt;0,0,1)</f>
        <v>1</v>
      </c>
      <c r="QU15" t="b">
        <f>IF($Y$15="",FALSE,SUMPRODUCT(('Final Calculation Sheet'!$B$4:$B$40=$Y$15)*($QT$4:$QT$40=1))&gt;0)</f>
        <v>1</v>
      </c>
      <c r="QV15">
        <f t="shared" si="178"/>
        <v>12</v>
      </c>
      <c r="QW15" t="str">
        <f t="shared" si="144"/>
        <v>Scrap of 33 KV CB</v>
      </c>
      <c r="QX15">
        <f>IF(COUNTIF('Final Calculation Sheet'!$AL15:$AM15,0)+COUNTIF('Final Calculation Sheet'!$AO15:$BS15,0)&gt;0,0,1)</f>
        <v>1</v>
      </c>
      <c r="QY15" t="b">
        <f>IF($AS$15="",FALSE,SUMPRODUCT(('Final Calculation Sheet'!$C$4:$C$40=$AS$15)*($QX$4:$QX$40=1))&gt;0)</f>
        <v>1</v>
      </c>
      <c r="QZ15">
        <f t="shared" si="179"/>
        <v>12</v>
      </c>
      <c r="RA15">
        <f t="shared" si="145"/>
        <v>710</v>
      </c>
      <c r="RB15">
        <f>IF(COUNTIF('Final Calculation Sheet'!$AL15:$AN15,0)+COUNTIF('Final Calculation Sheet'!$AP15:$BS15,0)&gt;0,0,1)</f>
        <v>1</v>
      </c>
      <c r="RC15" t="b">
        <f>IF($AD$15="",FALSE,SUMPRODUCT(('Final Calculation Sheet'!$D$4:$D$40=$AD$15)*($RB$4:$RB$40=1))&gt;0)</f>
        <v>0</v>
      </c>
      <c r="RD15">
        <f t="shared" si="180"/>
        <v>4</v>
      </c>
      <c r="RE15" t="str">
        <f t="shared" si="146"/>
        <v/>
      </c>
      <c r="RF15">
        <f>IF(COUNTIF('Final Calculation Sheet'!$AL15:$AO15,0)+COUNTIF('Final Calculation Sheet'!$AQ15:$BS15,0)&gt;0,0,1)</f>
        <v>1</v>
      </c>
      <c r="RG15" t="b">
        <f>IF($AN$15="",FALSE,SUMPRODUCT(('Final Calculation Sheet'!$E$4:$E$40=$AN$15)*($RF$4:$RF$40=1))&gt;0)</f>
        <v>0</v>
      </c>
      <c r="RH15">
        <f t="shared" si="181"/>
        <v>3</v>
      </c>
      <c r="RI15" t="str">
        <f t="shared" si="147"/>
        <v/>
      </c>
      <c r="RJ15">
        <f>IF(COUNTIF('Final Calculation Sheet'!$AL15:$AP15,0)+COUNTIF('Final Calculation Sheet'!$AR15:$BS15,0)&gt;0,0,1)</f>
        <v>1</v>
      </c>
      <c r="RK15" t="b">
        <f>IF($O$15="",FALSE,SUMPRODUCT(('Final Calculation Sheet'!$F$4:$F$40=$O$15)*($RJ$4:$RJ$40=1))&gt;0)</f>
        <v>1</v>
      </c>
      <c r="RL15">
        <f t="shared" si="182"/>
        <v>12</v>
      </c>
      <c r="RM15">
        <f t="shared" si="148"/>
        <v>2008</v>
      </c>
      <c r="RN15">
        <f>IF(COUNTIF('Final Calculation Sheet'!$AL15:$AQ15,0)+COUNTIF('Final Calculation Sheet'!$AS15:$BS15,0)&gt;0,0,1)</f>
        <v>1</v>
      </c>
      <c r="RO15" t="b">
        <f>IF($T$15="",FALSE,SUMPRODUCT(('Final Calculation Sheet'!$G$4:$G$40=$T$15)*($RN$4:$RN$40=1))&gt;0)</f>
        <v>1</v>
      </c>
      <c r="RP15">
        <f t="shared" si="183"/>
        <v>12</v>
      </c>
      <c r="RQ15" t="str">
        <f t="shared" si="149"/>
        <v>STERLING ENTERPRISES</v>
      </c>
      <c r="RR15">
        <f>IF(COUNTIF('Final Calculation Sheet'!$AL15:$AR15,0)+COUNTIF('Final Calculation Sheet'!$AT15:$BS15,0)&gt;0,0,1)</f>
        <v>1</v>
      </c>
      <c r="RS15" t="b">
        <f>IF($AX$15="",FALSE,SUMPRODUCT(('Final Calculation Sheet'!$H$4:$H$40=$AX$15)*($RR$4:$RR$40=1))&gt;0)</f>
        <v>1</v>
      </c>
      <c r="RT15">
        <f t="shared" si="184"/>
        <v>12</v>
      </c>
      <c r="RU15">
        <f t="shared" si="150"/>
        <v>65007</v>
      </c>
      <c r="RV15">
        <f>IF(COUNTIF('Final Calculation Sheet'!$AL15:$AS15,0)+COUNTIF('Final Calculation Sheet'!$AU15:$BS15,0)&gt;0,0,1)</f>
        <v>1</v>
      </c>
      <c r="RW15" t="b">
        <f>IF($BC$15="",FALSE,SUMPRODUCT(('Final Calculation Sheet'!$I$4:$I$40=$BC$15)*($RV$4:$RV$40=1))&gt;0)</f>
        <v>1</v>
      </c>
      <c r="RX15">
        <f t="shared" si="185"/>
        <v>12</v>
      </c>
      <c r="RY15">
        <f t="shared" si="151"/>
        <v>11701</v>
      </c>
      <c r="RZ15">
        <f>IF(COUNTIF('Final Calculation Sheet'!$AL15:$AT15,0)+COUNTIF('Final Calculation Sheet'!$AV15:$BS15,0)&gt;0,0,1)</f>
        <v>1</v>
      </c>
      <c r="SA15" t="b">
        <f>IF($BH$15="",FALSE,SUMPRODUCT(('Final Calculation Sheet'!$J$4:$J$40=$BH$15)*($RZ$4:$RZ$40=1))&gt;0)</f>
        <v>1</v>
      </c>
      <c r="SB15">
        <f t="shared" si="186"/>
        <v>12</v>
      </c>
      <c r="SC15">
        <f t="shared" si="152"/>
        <v>76708</v>
      </c>
      <c r="SD15">
        <f>IF(COUNTIF('Final Calculation Sheet'!$AL15:$AU15,0)+COUNTIF('Final Calculation Sheet'!$AW15:$BS15,0)&gt;0,0,1)</f>
        <v>1</v>
      </c>
      <c r="SE15" t="b">
        <f>IF($BM$15="",FALSE,SUMPRODUCT(('Final Calculation Sheet'!$K$4:$K$40=$BM$15)*($SD$4:$SD$40=1))&gt;0)</f>
        <v>1</v>
      </c>
      <c r="SF15">
        <f t="shared" si="187"/>
        <v>12</v>
      </c>
      <c r="SG15">
        <f t="shared" si="153"/>
        <v>1534</v>
      </c>
      <c r="SH15">
        <f>IF(COUNTIF('Final Calculation Sheet'!$AL15:$AV15,0)+COUNTIF('Final Calculation Sheet'!$AX15:$BS15,0)&gt;0,0,1)</f>
        <v>1</v>
      </c>
      <c r="SI15" t="b">
        <f>IF($BR$15="",FALSE,SUMPRODUCT(('Final Calculation Sheet'!$L$4:$L$40=$BR$15)*($SH$4:$SH$40=1))&gt;0)</f>
        <v>1</v>
      </c>
      <c r="SJ15">
        <f t="shared" si="188"/>
        <v>12</v>
      </c>
      <c r="SK15">
        <f t="shared" si="154"/>
        <v>65.007000000000005</v>
      </c>
      <c r="SL15">
        <f>IF(COUNTIF('Final Calculation Sheet'!$AL15:$AW15,0)+COUNTIF('Final Calculation Sheet'!$AY15:$BS15,0)&gt;0,0,1)</f>
        <v>1</v>
      </c>
      <c r="SM15" t="b">
        <f>IF($BW$15="",FALSE,SUMPRODUCT(('Final Calculation Sheet'!$M$4:$M$40=$BW$15)*($SL$4:$SL$40=1))&gt;0)</f>
        <v>1</v>
      </c>
      <c r="SN15">
        <f t="shared" si="189"/>
        <v>12</v>
      </c>
      <c r="SO15">
        <f t="shared" si="155"/>
        <v>1725.9358499999998</v>
      </c>
      <c r="SP15">
        <f>IF(COUNTIF('Final Calculation Sheet'!$AL15:$AX15,0)+COUNTIF('Final Calculation Sheet'!$AZ15:$BS15,0)&gt;0,0,1)</f>
        <v>1</v>
      </c>
      <c r="SQ15" t="b">
        <f>IF($CB$15="",FALSE,SUMPRODUCT(('Final Calculation Sheet'!$N$4:$N$40=$CB$15)*($SP$4:$SP$40=1))&gt;0)</f>
        <v>1</v>
      </c>
      <c r="SR15">
        <f t="shared" si="190"/>
        <v>12</v>
      </c>
      <c r="SS15">
        <f t="shared" si="156"/>
        <v>29.253150000000002</v>
      </c>
      <c r="ST15">
        <f>IF(COUNTIF('Final Calculation Sheet'!$AL15:$AY15,0)+COUNTIF('Final Calculation Sheet'!$BA15:$BS15,0)&gt;0,0,1)</f>
        <v>1</v>
      </c>
      <c r="SU15" t="b">
        <f>IF($CG$15="",FALSE,SUMPRODUCT(('Final Calculation Sheet'!$O$4:$O$40=$CG$15)*($ST$4:$ST$40=1))&gt;0)</f>
        <v>1</v>
      </c>
      <c r="SV15">
        <f t="shared" si="191"/>
        <v>12</v>
      </c>
      <c r="SW15">
        <f t="shared" si="157"/>
        <v>1696.6826999999998</v>
      </c>
      <c r="SX15">
        <f>IF(COUNTIF('Final Calculation Sheet'!$AL15:$AZ15,0)+COUNTIF('Final Calculation Sheet'!$BB15:$BS15,0)&gt;0,0,1)</f>
        <v>1</v>
      </c>
      <c r="SY15" t="b">
        <f>IF($CL$15="",FALSE,SUMPRODUCT(('Final Calculation Sheet'!$P$4:$P$40=$CL$15)*($SX$4:$SX$40=1))&gt;0)</f>
        <v>1</v>
      </c>
      <c r="SZ15">
        <f t="shared" si="192"/>
        <v>12</v>
      </c>
      <c r="TA15">
        <f t="shared" si="158"/>
        <v>1762</v>
      </c>
      <c r="TB15">
        <f>IF(COUNTIF('Final Calculation Sheet'!$AL15:$BA15,0)+COUNTIF('Final Calculation Sheet'!$BC15:$BS15,0)&gt;0,0,1)</f>
        <v>1</v>
      </c>
      <c r="TC15" t="b">
        <f>IF($CQ$15="",FALSE,SUMPRODUCT(('Final Calculation Sheet'!$Q$4:$Q$40=$CQ$15)*($TB$4:$TB$40=1))&gt;0)</f>
        <v>0</v>
      </c>
      <c r="TD15">
        <f t="shared" si="193"/>
        <v>2</v>
      </c>
      <c r="TE15" t="str">
        <f t="shared" si="159"/>
        <v/>
      </c>
      <c r="TF15">
        <f>IF(COUNTIF('Final Calculation Sheet'!$AL15:$BB15,0)+COUNTIF('Final Calculation Sheet'!$BD15:$BS15,0)&gt;0,0,1)</f>
        <v>1</v>
      </c>
      <c r="TG15" t="b">
        <f>IF($CV$15="",FALSE,SUMPRODUCT(('Final Calculation Sheet'!$R$4:$R$40=$CV$15)*($TF$4:$TF$40=1))&gt;0)</f>
        <v>0</v>
      </c>
      <c r="TH15">
        <f t="shared" si="194"/>
        <v>5</v>
      </c>
      <c r="TI15" t="str">
        <f t="shared" si="160"/>
        <v/>
      </c>
      <c r="TJ15">
        <f>IF(COUNTIF('Final Calculation Sheet'!$AL15:$BC15,0)+COUNTIF('Final Calculation Sheet'!$BE15:$BS15,0)&gt;0,0,1)</f>
        <v>1</v>
      </c>
      <c r="TK15" t="b">
        <f>IF($DA$15="",FALSE,SUMPRODUCT(('Final Calculation Sheet'!$S$4:$S$40=$DA$15)*($TJ$4:$TJ$40=1))&gt;0)</f>
        <v>1</v>
      </c>
      <c r="TL15">
        <f t="shared" si="195"/>
        <v>12</v>
      </c>
      <c r="TM15">
        <f t="shared" si="161"/>
        <v>76481</v>
      </c>
      <c r="TN15">
        <f>IF(COUNTIF('Final Calculation Sheet'!$AL15:$BD15,0)+COUNTIF('Final Calculation Sheet'!$BF15:$BS15,0)&gt;0,0,1)</f>
        <v>1</v>
      </c>
      <c r="TO15" t="b">
        <f>IF($DF$15="",FALSE,SUMPRODUCT(('Final Calculation Sheet'!$T$4:$T$40=$DF$15)*($TN$4:$TN$40=1))&gt;0)</f>
        <v>1</v>
      </c>
      <c r="TP15">
        <f t="shared" si="196"/>
        <v>12</v>
      </c>
      <c r="TQ15">
        <f t="shared" si="162"/>
        <v>16252</v>
      </c>
      <c r="TR15">
        <f>IF(COUNTIF('Final Calculation Sheet'!$AL15:$BE15,0)+COUNTIF('Final Calculation Sheet'!$BG15:$BS15,0)&gt;0,0,1)</f>
        <v>1</v>
      </c>
      <c r="TS15" t="b">
        <f>IF($DK$15="",FALSE,SUMPRODUCT(('Final Calculation Sheet'!$U$4:$U$40=$DK$15)*($TR$4:$TR$40=1))&gt;0)</f>
        <v>1</v>
      </c>
      <c r="TT15">
        <f t="shared" si="197"/>
        <v>12</v>
      </c>
      <c r="TU15">
        <f t="shared" si="163"/>
        <v>16252</v>
      </c>
      <c r="TV15">
        <f>IF(COUNTIF('Final Calculation Sheet'!$AL15:$BF15,0)+COUNTIF('Final Calculation Sheet'!$BH15:$BS15,0)&gt;0,0,1)</f>
        <v>1</v>
      </c>
      <c r="TW15" t="b">
        <f>IF($DP$15="",FALSE,SUMPRODUCT(('Final Calculation Sheet'!$V$4:$V$40=$DP$15)*($TV$4:$TV$40=1))&gt;0)</f>
        <v>0</v>
      </c>
      <c r="TX15">
        <f t="shared" si="198"/>
        <v>6</v>
      </c>
      <c r="TY15" t="str">
        <f t="shared" si="164"/>
        <v/>
      </c>
      <c r="TZ15">
        <f>IF(COUNTIF('Final Calculation Sheet'!$AL15:$BG15,0)+COUNTIF('Final Calculation Sheet'!$BI15:$BS15,0)&gt;0,0,1)</f>
        <v>1</v>
      </c>
      <c r="UA15" t="b">
        <f>IF($DU$15="",FALSE,SUMPRODUCT(('Final Calculation Sheet'!$W$4:$W$40=$DU$15)*($TZ$4:$TZ$40=1))&gt;0)</f>
        <v>1</v>
      </c>
      <c r="UB15">
        <f t="shared" si="199"/>
        <v>12</v>
      </c>
      <c r="UC15">
        <f t="shared" si="165"/>
        <v>60229</v>
      </c>
      <c r="UD15">
        <f>IF(COUNTIF('Final Calculation Sheet'!$AL15:$BH15,0)+COUNTIF('Final Calculation Sheet'!$BJ15:$BS15,0)&gt;0,0,1)</f>
        <v>1</v>
      </c>
      <c r="UE15" t="e">
        <f>IF($DZ$15="",FALSE,SUMPRODUCT(('Final Calculation Sheet'!$X$4:$X$40=$DZ$15)*($UD$4:$UD$40=1))&gt;0)</f>
        <v>#N/A</v>
      </c>
      <c r="UF15" t="e">
        <f t="shared" si="200"/>
        <v>#N/A</v>
      </c>
      <c r="UG15" t="e">
        <f t="shared" si="166"/>
        <v>#N/A</v>
      </c>
      <c r="UH15">
        <f>IF(COUNTIF('Final Calculation Sheet'!$AL15:$BI15,0)+COUNTIF('Final Calculation Sheet'!$BK15:$BS15,0)&gt;0,0,1)</f>
        <v>1</v>
      </c>
      <c r="UI15" t="e">
        <f>IF($EE$15="",FALSE,SUMPRODUCT(('Final Calculation Sheet'!$Y$4:$Y$40=$EE$15)*($UH$4:$UH$40=1))&gt;0)</f>
        <v>#N/A</v>
      </c>
      <c r="UJ15" t="e">
        <f t="shared" si="201"/>
        <v>#N/A</v>
      </c>
      <c r="UK15" t="e">
        <f t="shared" si="167"/>
        <v>#N/A</v>
      </c>
      <c r="UL15">
        <f>IF(COUNTIF('Final Calculation Sheet'!$AL15:$BJ15,0)+COUNTIF('Final Calculation Sheet'!$BL15:$BS15,0)&gt;0,0,1)</f>
        <v>1</v>
      </c>
      <c r="UM15" t="b">
        <f ca="1">IF($EJ$15="",FALSE,SUMPRODUCT(('Final Calculation Sheet'!$Z$4:$Z$40=$EJ$15)*($UL$4:$UL$40=1))&gt;0)</f>
        <v>1</v>
      </c>
      <c r="UN15">
        <f t="shared" ca="1" si="202"/>
        <v>12</v>
      </c>
      <c r="UO15">
        <f t="shared" ca="1" si="168"/>
        <v>2301.2478000000001</v>
      </c>
      <c r="UP15">
        <f>IF(COUNTIF('Final Calculation Sheet'!$AL15:$BK15,0)+COUNTIF('Final Calculation Sheet'!$BM15:$BS15,0)&gt;0,0,1)</f>
        <v>1</v>
      </c>
      <c r="UQ15" t="e">
        <f>IF($EO$15="",FALSE,SUMPRODUCT(('Final Calculation Sheet'!$AA$4:$AA$40=$EO$15)*($UP$4:$UP$40=1))&gt;0)</f>
        <v>#N/A</v>
      </c>
      <c r="UR15" t="e">
        <f t="shared" si="203"/>
        <v>#N/A</v>
      </c>
      <c r="US15" t="e">
        <f t="shared" si="169"/>
        <v>#N/A</v>
      </c>
      <c r="UT15">
        <f>IF(COUNTIF('Final Calculation Sheet'!$AL15:$BL15,0)+COUNTIF('Final Calculation Sheet'!$BN15:$BS15,0)&gt;0,0,1)</f>
        <v>1</v>
      </c>
      <c r="UU15" t="e">
        <f>IF($ET$15="",FALSE,SUMPRODUCT(('Final Calculation Sheet'!$AB$4:$AB$40=$ET$15)*($UT$4:$UT$40=1))&gt;0)</f>
        <v>#N/A</v>
      </c>
      <c r="UV15" t="e">
        <f t="shared" si="204"/>
        <v>#N/A</v>
      </c>
      <c r="UW15" t="e">
        <f t="shared" si="170"/>
        <v>#N/A</v>
      </c>
      <c r="UX15">
        <f>IF(COUNTIF('Final Calculation Sheet'!$AL15:$BM15,0)+COUNTIF('Final Calculation Sheet'!$BO15:$BS15,0)&gt;0,0,1)</f>
        <v>1</v>
      </c>
      <c r="UY15" t="b">
        <f>IF($EY$15="",FALSE,SUMPRODUCT(('Final Calculation Sheet'!$AC$4:$AC$40=$EY$15)*($UX$4:$UX$40=1))&gt;0)</f>
        <v>1</v>
      </c>
      <c r="UZ15">
        <f t="shared" si="205"/>
        <v>12</v>
      </c>
      <c r="VA15">
        <f t="shared" si="171"/>
        <v>74168</v>
      </c>
      <c r="VB15">
        <f>IF(COUNTIF('Final Calculation Sheet'!$AL15:$BN15,0)+COUNTIF('Final Calculation Sheet'!$BP15:$BS15,0)&gt;0,0,1)</f>
        <v>1</v>
      </c>
      <c r="VC15" t="b">
        <f>IF($FD$15="",FALSE,SUMPRODUCT(('Final Calculation Sheet'!$AD$4:$AD$40=$FD$15)*($VB$4:$VB$40=1))&gt;0)</f>
        <v>0</v>
      </c>
      <c r="VD15">
        <f t="shared" si="206"/>
        <v>11</v>
      </c>
      <c r="VE15" t="str">
        <f t="shared" si="172"/>
        <v/>
      </c>
      <c r="VF15">
        <f>IF(COUNTIF('Final Calculation Sheet'!$AL15:$BO15,0)+COUNTIF('Final Calculation Sheet'!$BQ15:$BS15,0)&gt;0,0,1)</f>
        <v>1</v>
      </c>
      <c r="VG15" t="e">
        <f>IF($FI$15="",FALSE,SUMPRODUCT(('Final Calculation Sheet'!$AE$4:$AE$40=$FI$15)*($VF$4:$VF$40=1))&gt;0)</f>
        <v>#N/A</v>
      </c>
      <c r="VH15" t="e">
        <f t="shared" si="207"/>
        <v>#N/A</v>
      </c>
      <c r="VI15" t="e">
        <f t="shared" si="173"/>
        <v>#N/A</v>
      </c>
      <c r="VJ15">
        <f>IF(COUNTIF('Final Calculation Sheet'!$AL15:$BP15,0)+COUNTIF('Final Calculation Sheet'!$BR15:$BS15,0)&gt;0,0,1)</f>
        <v>1</v>
      </c>
      <c r="VK15" t="e">
        <f>IF($FN$15="",FALSE,SUMPRODUCT(('Final Calculation Sheet'!$AF$4:$AF$40=$FN$15)*($VJ$4:$VJ$40=1))&gt;0)</f>
        <v>#N/A</v>
      </c>
      <c r="VL15" t="e">
        <f t="shared" si="208"/>
        <v>#N/A</v>
      </c>
      <c r="VM15" t="e">
        <f t="shared" si="174"/>
        <v>#N/A</v>
      </c>
      <c r="VN15">
        <f>IF(COUNTIF('Final Calculation Sheet'!$AL15:$BQ15,0)+COUNTIF('Final Calculation Sheet'!$BS15:$BS15,0)&gt;0,0,1)</f>
        <v>1</v>
      </c>
      <c r="VO15" t="e">
        <f>IF($FS$15="",FALSE,SUMPRODUCT(('Final Calculation Sheet'!$AG$4:$AG$40=$FS$15)*($VN$4:$VN$40=1))&gt;0)</f>
        <v>#N/A</v>
      </c>
      <c r="VP15" t="e">
        <f t="shared" si="209"/>
        <v>#N/A</v>
      </c>
      <c r="VQ15" t="e">
        <f t="shared" si="175"/>
        <v>#N/A</v>
      </c>
      <c r="VR15">
        <f>IF(COUNTIF('Final Calculation Sheet'!$AL15:$BR15,0)&gt;0,0,1)</f>
        <v>1</v>
      </c>
      <c r="VS15" t="e">
        <f>IF($QO$15="",FALSE,SUMPRODUCT(('Final Calculation Sheet'!$AH$4:$AH$40=$QO$15)*($VR$4:$VR$40=1))&gt;0)</f>
        <v>#N/A</v>
      </c>
      <c r="VT15" t="e">
        <f t="shared" si="210"/>
        <v>#N/A</v>
      </c>
      <c r="VU15" t="e">
        <f t="shared" si="176"/>
        <v>#N/A</v>
      </c>
    </row>
    <row r="16" spans="1:593" x14ac:dyDescent="0.3">
      <c r="A16">
        <f>IF('Final Calculation Sheet'!$F$16="","",'Final Calculation Sheet'!$F$16)</f>
        <v>2011</v>
      </c>
      <c r="B16">
        <f>IF(A16="","",COUNTIFS(A$4:A$114,"&lt;"&amp;A16,A$4:A$114,"&lt;&gt;"&amp;"")+COUNTIF(A$4:A16,A16))</f>
        <v>13</v>
      </c>
      <c r="C16">
        <f t="shared" si="0"/>
        <v>2011</v>
      </c>
      <c r="D16">
        <f>D15+IF(AND(C16&lt;&gt;"",COUNTIF(C$4:C16,C16)=1),1,0)</f>
        <v>13</v>
      </c>
      <c r="E16" t="e">
        <f t="shared" si="1"/>
        <v>#N/A</v>
      </c>
      <c r="F16">
        <f t="shared" si="2"/>
        <v>13</v>
      </c>
      <c r="G16">
        <f>IF(F16="","",COUNTIFS(F$4:F$40,"&lt;"&amp;F16,F$4:F$40,"&lt;&gt;"&amp;"")+COUNTIF(F$4:F16,F16))</f>
        <v>13</v>
      </c>
      <c r="H16">
        <f t="shared" si="3"/>
        <v>13</v>
      </c>
      <c r="I16">
        <f>I15+IF(AND(H16&lt;&gt;"",COUNTIF(H$4:H16,H16)=1),1,0)</f>
        <v>13</v>
      </c>
      <c r="J16">
        <f t="shared" si="4"/>
        <v>13</v>
      </c>
      <c r="K16">
        <f>IF('Final Calculation Sheet'!$F$16="","",'Final Calculation Sheet'!$F$16)</f>
        <v>2011</v>
      </c>
      <c r="L16">
        <f>IF(K16="","",COUNTIFS(K$4:K$40,"&lt;"&amp;K16,K$4:K$40,"&lt;&gt;"&amp;"")+COUNTIF(K$4:K16,K16))</f>
        <v>13</v>
      </c>
      <c r="M16">
        <f t="shared" si="5"/>
        <v>2011</v>
      </c>
      <c r="N16">
        <f>N15+IF(AND(M16&lt;&gt;"",COUNTIF(M$4:M16,M16)=1),1,0)</f>
        <v>13</v>
      </c>
      <c r="O16">
        <f t="shared" si="6"/>
        <v>2011</v>
      </c>
      <c r="P16" t="str">
        <f>IF('Final Calculation Sheet'!$G$16="","",'Final Calculation Sheet'!$G$16)</f>
        <v>STERLING ENTERPRISES</v>
      </c>
      <c r="Q16">
        <f>IF(P16="","",COUNTIFS(P$4:P$40,"&lt;"&amp;P16,P$4:P$40,"&lt;&gt;"&amp;"")+COUNTIF(P$4:P16,P16))</f>
        <v>29</v>
      </c>
      <c r="R16" t="str">
        <f t="shared" si="7"/>
        <v>NATIONAL ENTERPRISES</v>
      </c>
      <c r="S16">
        <f>S15+IF(AND(R16&lt;&gt;"",COUNTIF(R$4:R16,R16)=1),1,0)</f>
        <v>6</v>
      </c>
      <c r="T16" t="str">
        <f t="shared" si="8"/>
        <v>WATAN SCRAP TRADERS</v>
      </c>
      <c r="U16" t="str">
        <f>IF('Final Calculation Sheet'!$B$16="","",'Final Calculation Sheet'!$B$16)</f>
        <v>Scrap of empty oil Barrel</v>
      </c>
      <c r="V16">
        <f>IF(U16="","",COUNTIFS(U$4:U$40,"&lt;"&amp;U16,U$4:U$40,"&lt;&gt;"&amp;"")+COUNTIF(U$4:U16,U16))</f>
        <v>26</v>
      </c>
      <c r="W16" t="str">
        <f t="shared" si="9"/>
        <v>Scrap of 132 KV Wave Trap</v>
      </c>
      <c r="X16">
        <f>X15+IF(AND(W16&lt;&gt;"",COUNTIF(W$4:W16,W16)=1),1,0)</f>
        <v>7</v>
      </c>
      <c r="Y16" t="str">
        <f t="shared" si="10"/>
        <v>Scrap of 33 KV CT</v>
      </c>
      <c r="Z16">
        <f>IF('Final Calculation Sheet'!$D$16="","",'Final Calculation Sheet'!$D$16)</f>
        <v>21977</v>
      </c>
      <c r="AA16">
        <f>IF(Z16="","",COUNTIFS(Z$4:Z$40,"&lt;"&amp;Z16,Z$4:Z$40,"&lt;&gt;"&amp;"")+COUNTIF(Z$4:Z16,Z16))</f>
        <v>11</v>
      </c>
      <c r="AB16">
        <f t="shared" si="11"/>
        <v>21978</v>
      </c>
      <c r="AC16">
        <f>AC15+IF(AND(AB16&lt;&gt;"",COUNTIF(AB$4:AB16,AB16)=1),1,0)</f>
        <v>2</v>
      </c>
      <c r="AD16" t="str">
        <f t="shared" si="12"/>
        <v/>
      </c>
      <c r="AE16">
        <f>IF('Final Calculation Sheet'!$A$16="","",'Final Calculation Sheet'!$A$16)</f>
        <v>22</v>
      </c>
      <c r="AF16">
        <f>IF(AE16="","",COUNTIFS(AE$4:AE$40,"&lt;"&amp;AE16,AE$4:AE$40,"&lt;&gt;"&amp;"")+COUNTIF(AE$4:AE16,AE16))</f>
        <v>22</v>
      </c>
      <c r="AG16">
        <f t="shared" si="13"/>
        <v>3</v>
      </c>
      <c r="AH16">
        <f>AH15+IF(AND(AG16&lt;&gt;"",COUNTIF(AG$4:AG16,AG16)=1),1,0)</f>
        <v>3</v>
      </c>
      <c r="AI16">
        <f t="shared" si="14"/>
        <v>100</v>
      </c>
      <c r="AJ16" t="str">
        <f>IF('Final Calculation Sheet'!$E$16="","",'Final Calculation Sheet'!$E$16)</f>
        <v>NO</v>
      </c>
      <c r="AK16">
        <f>IF(AJ16="","",COUNTIFS(AJ$4:AJ$40,"&lt;"&amp;AJ16,AJ$4:AJ$40,"&lt;&gt;"&amp;"")+COUNTIF(AJ$4:AJ16,AJ16))</f>
        <v>16</v>
      </c>
      <c r="AL16" t="str">
        <f t="shared" si="15"/>
        <v>NO</v>
      </c>
      <c r="AM16">
        <f>AM15+IF(AND(AL16&lt;&gt;"",COUNTIF(AL$4:AL16,AL16)=1),1,0)</f>
        <v>3</v>
      </c>
      <c r="AN16" t="str">
        <f t="shared" si="16"/>
        <v/>
      </c>
      <c r="AO16" s="50">
        <f>IF('Final Calculation Sheet'!$C$16="","",'Final Calculation Sheet'!$C$16)</f>
        <v>700</v>
      </c>
      <c r="AP16">
        <f>IF(AO16="","",COUNTIFS(AO$4:AO$40,"&lt;"&amp;AO16,AO$4:AO$40,"&lt;&gt;"&amp;"")+COUNTIF(AO$4:AO16,AO16))</f>
        <v>11</v>
      </c>
      <c r="AQ16" s="50">
        <f t="shared" si="17"/>
        <v>702</v>
      </c>
      <c r="AR16">
        <f>AR15+IF(AND(AQ16&lt;&gt;"",COUNTIF(AQ$4:AQ16,AQ16)=1),1,0)</f>
        <v>11</v>
      </c>
      <c r="AS16" s="50">
        <f t="shared" si="18"/>
        <v>1181</v>
      </c>
      <c r="AT16" s="50">
        <f>IF('Final Calculation Sheet'!$H$16="","",'Final Calculation Sheet'!$H$16)</f>
        <v>15400</v>
      </c>
      <c r="AU16">
        <f>IF(AT16="","",COUNTIFS(AT$4:AT$40,"&lt;"&amp;AT16,AT$4:AT$40,"&lt;&gt;"&amp;"")+COUNTIF(AT$4:AT16,AT16))</f>
        <v>1</v>
      </c>
      <c r="AV16" s="50">
        <f t="shared" si="19"/>
        <v>70006</v>
      </c>
      <c r="AW16">
        <f>AW15+IF(AND(AV16&lt;&gt;"",COUNTIF(AV$4:AV16,AV16)=1),1,0)</f>
        <v>13</v>
      </c>
      <c r="AX16" s="50">
        <f t="shared" si="20"/>
        <v>70006</v>
      </c>
      <c r="AY16" s="50">
        <f>IF('Final Calculation Sheet'!$I$16="","",'Final Calculation Sheet'!$I$16)</f>
        <v>2772</v>
      </c>
      <c r="AZ16">
        <f>IF(AY16="","",COUNTIFS(AY$4:AY$40,"&lt;"&amp;AY16,AY$4:AY$40,"&lt;&gt;"&amp;"")+COUNTIF(AY$4:AY16,AY16))</f>
        <v>1</v>
      </c>
      <c r="BA16" s="50">
        <f t="shared" si="21"/>
        <v>12601</v>
      </c>
      <c r="BB16">
        <f>BB15+IF(AND(BA16&lt;&gt;"",COUNTIF(BA$4:BA16,BA16)=1),1,0)</f>
        <v>13</v>
      </c>
      <c r="BC16" s="50">
        <f t="shared" si="22"/>
        <v>12601</v>
      </c>
      <c r="BD16" s="50">
        <f>IF('Final Calculation Sheet'!$J$16="","",'Final Calculation Sheet'!$J$16)</f>
        <v>18172</v>
      </c>
      <c r="BE16">
        <f>IF(BD16="","",COUNTIFS(BD$4:BD$40,"&lt;"&amp;BD16,BD$4:BD$40,"&lt;&gt;"&amp;"")+COUNTIF(BD$4:BD16,BD16))</f>
        <v>1</v>
      </c>
      <c r="BF16" s="50">
        <f t="shared" si="23"/>
        <v>82607</v>
      </c>
      <c r="BG16">
        <f>BG15+IF(AND(BF16&lt;&gt;"",COUNTIF(BF$4:BF16,BF16)=1),1,0)</f>
        <v>13</v>
      </c>
      <c r="BH16" s="50">
        <f t="shared" si="24"/>
        <v>82607</v>
      </c>
      <c r="BI16" s="50">
        <f>IF('Final Calculation Sheet'!$K$16="","",'Final Calculation Sheet'!$K$16)</f>
        <v>363</v>
      </c>
      <c r="BJ16">
        <f>IF(BI16="","",COUNTIFS(BI$4:BI$40,"&lt;"&amp;BI16,BI$4:BI$40,"&lt;&gt;"&amp;"")+COUNTIF(BI$4:BI16,BI16))</f>
        <v>1</v>
      </c>
      <c r="BK16" s="50">
        <f t="shared" si="25"/>
        <v>1652</v>
      </c>
      <c r="BL16">
        <f>BL15+IF(AND(BK16&lt;&gt;"",COUNTIF(BK$4:BK16,BK16)=1),1,0)</f>
        <v>13</v>
      </c>
      <c r="BM16" s="50">
        <f t="shared" si="26"/>
        <v>1652</v>
      </c>
      <c r="BN16" s="50">
        <f>IF('Final Calculation Sheet'!$L$16="","",'Final Calculation Sheet'!$L$16)</f>
        <v>15.4</v>
      </c>
      <c r="BO16">
        <f>IF(BN16="","",COUNTIFS(BN$4:BN$40,"&lt;"&amp;BN16,BN$4:BN$40,"&lt;&gt;"&amp;"")+COUNTIF(BN$4:BN16,BN16))</f>
        <v>1</v>
      </c>
      <c r="BP16" s="50">
        <f t="shared" si="27"/>
        <v>70.006</v>
      </c>
      <c r="BQ16">
        <f>BQ15+IF(AND(BP16&lt;&gt;"",COUNTIF(BP$4:BP16,BP16)=1),1,0)</f>
        <v>13</v>
      </c>
      <c r="BR16" s="50">
        <f t="shared" si="28"/>
        <v>70.006</v>
      </c>
      <c r="BS16" s="50">
        <f>IF('Final Calculation Sheet'!$M$16="","",'Final Calculation Sheet'!$M$16)</f>
        <v>408.87</v>
      </c>
      <c r="BT16">
        <f>IF(BS16="","",COUNTIFS(BS$4:BS$40,"&lt;"&amp;BS16,BS$4:BS$40,"&lt;&gt;"&amp;"")+COUNTIF(BS$4:BS16,BS16))</f>
        <v>1</v>
      </c>
      <c r="BU16" s="50">
        <f t="shared" si="29"/>
        <v>1858.6592999999998</v>
      </c>
      <c r="BV16">
        <f>BV15+IF(AND(BU16&lt;&gt;"",COUNTIF(BU$4:BU16,BU16)=1),1,0)</f>
        <v>13</v>
      </c>
      <c r="BW16" s="50">
        <f t="shared" si="30"/>
        <v>1858.6592999999998</v>
      </c>
      <c r="BX16" s="126">
        <f>IF('Final Calculation Sheet'!$N$16="","",'Final Calculation Sheet'!$N$16)</f>
        <v>6.93</v>
      </c>
      <c r="BY16">
        <f>IF(BX16="","",COUNTIFS(BX$4:BX$40,"&lt;"&amp;BX16,BX$4:BX$40,"&lt;&gt;"&amp;"")+COUNTIF(BX$4:BX16,BX16))</f>
        <v>1</v>
      </c>
      <c r="BZ16" s="126">
        <f t="shared" si="31"/>
        <v>31.502700000000001</v>
      </c>
      <c r="CA16">
        <f>CA15+IF(AND(BZ16&lt;&gt;"",COUNTIF(BZ$4:BZ16,BZ16)=1),1,0)</f>
        <v>13</v>
      </c>
      <c r="CB16" s="126">
        <f t="shared" si="32"/>
        <v>31.502700000000001</v>
      </c>
      <c r="CC16" s="50">
        <f>IF('Final Calculation Sheet'!$O$16="","",'Final Calculation Sheet'!$O$16)</f>
        <v>401.94</v>
      </c>
      <c r="CD16">
        <f>IF(CC16="","",COUNTIFS(CC$4:CC$40,"&lt;"&amp;CC16,CC$4:CC$40,"&lt;&gt;"&amp;"")+COUNTIF(CC$4:CC16,CC16))</f>
        <v>1</v>
      </c>
      <c r="CE16" s="50">
        <f t="shared" si="33"/>
        <v>1827.1565999999998</v>
      </c>
      <c r="CF16">
        <f>CF15+IF(AND(CE16&lt;&gt;"",COUNTIF(CE$4:CE16,CE16)=1),1,0)</f>
        <v>13</v>
      </c>
      <c r="CG16" s="50">
        <f t="shared" si="34"/>
        <v>1827.1565999999998</v>
      </c>
      <c r="CH16" s="50">
        <f>IF('Final Calculation Sheet'!$P$16="","",'Final Calculation Sheet'!$P$16)</f>
        <v>417</v>
      </c>
      <c r="CI16">
        <f>IF(CH16="","",COUNTIFS(CH$4:CH$40,"&lt;"&amp;CH16,CH$4:CH$40,"&lt;&gt;"&amp;"")+COUNTIF(CH$4:CH16,CH16))</f>
        <v>1</v>
      </c>
      <c r="CJ16" s="50">
        <f t="shared" si="35"/>
        <v>1897</v>
      </c>
      <c r="CK16">
        <f>CK15+IF(AND(CJ16&lt;&gt;"",COUNTIF(CJ$4:CJ16,CJ16)=1),1,0)</f>
        <v>13</v>
      </c>
      <c r="CL16" s="50">
        <f t="shared" si="36"/>
        <v>1897</v>
      </c>
      <c r="CM16" s="127">
        <f>IF('Final Calculation Sheet'!$Q$16="","",'Final Calculation Sheet'!$Q$16)</f>
        <v>0</v>
      </c>
      <c r="CN16">
        <f>IF(CM16="","",COUNTIFS(CM$4:CM$40,"&lt;"&amp;CM16,CM$4:CM$40,"&lt;&gt;"&amp;"")+COUNTIF(CM$4:CM16,CM16))</f>
        <v>11</v>
      </c>
      <c r="CO16" s="127">
        <f t="shared" si="37"/>
        <v>0</v>
      </c>
      <c r="CP16">
        <f>CP15+IF(AND(CO16&lt;&gt;"",COUNTIF(CO$4:CO16,CO16)=1),1,0)</f>
        <v>1</v>
      </c>
      <c r="CQ16" t="str">
        <f t="shared" si="38"/>
        <v/>
      </c>
      <c r="CR16" s="50">
        <f>IF('Final Calculation Sheet'!$R$16="","",'Final Calculation Sheet'!$R$16)</f>
        <v>0</v>
      </c>
      <c r="CS16">
        <f>IF(CR16="","",COUNTIFS(CR$4:CR$40,"&lt;"&amp;CR16,CR$4:CR$40,"&lt;&gt;"&amp;"")+COUNTIF(CR$4:CR16,CR16))</f>
        <v>11</v>
      </c>
      <c r="CT16" s="50">
        <f t="shared" si="39"/>
        <v>0</v>
      </c>
      <c r="CU16">
        <f>CU15+IF(AND(CT16&lt;&gt;"",COUNTIF(CT$4:CT16,CT16)=1),1,0)</f>
        <v>1</v>
      </c>
      <c r="CV16" t="str">
        <f t="shared" si="40"/>
        <v/>
      </c>
      <c r="CW16" s="50">
        <f>IF('Final Calculation Sheet'!$S$16="","",'Final Calculation Sheet'!$S$16)</f>
        <v>18118</v>
      </c>
      <c r="CX16">
        <f>IF(CW16="","",COUNTIFS(CW$4:CW$40,"&lt;"&amp;CW16,CW$4:CW$40,"&lt;&gt;"&amp;"")+COUNTIF(CW$4:CW16,CW16))</f>
        <v>1</v>
      </c>
      <c r="CY16" s="50">
        <f t="shared" si="41"/>
        <v>82362</v>
      </c>
      <c r="CZ16">
        <f>CZ15+IF(AND(CY16&lt;&gt;"",COUNTIF(CY$4:CY16,CY16)=1),1,0)</f>
        <v>13</v>
      </c>
      <c r="DA16" s="50">
        <f t="shared" si="42"/>
        <v>82362</v>
      </c>
      <c r="DB16" s="50">
        <f>IF('Final Calculation Sheet'!$T$16="","",'Final Calculation Sheet'!$T$16)</f>
        <v>3850</v>
      </c>
      <c r="DC16">
        <f>IF(DB16="","",COUNTIFS(DB$4:DB$40,"&lt;"&amp;DB16,DB$4:DB$40,"&lt;&gt;"&amp;"")+COUNTIF(DB$4:DB16,DB16))</f>
        <v>1</v>
      </c>
      <c r="DD16" s="50">
        <f t="shared" si="43"/>
        <v>17502</v>
      </c>
      <c r="DE16">
        <f>DE15+IF(AND(DD16&lt;&gt;"",COUNTIF(DD$4:DD16,DD16)=1),1,0)</f>
        <v>13</v>
      </c>
      <c r="DF16" s="50">
        <f t="shared" si="44"/>
        <v>17502</v>
      </c>
      <c r="DG16" s="128">
        <f>IF('Final Calculation Sheet'!$U$16="","",'Final Calculation Sheet'!$U$16)</f>
        <v>3850</v>
      </c>
      <c r="DH16">
        <f>IF(DG16="","",COUNTIFS(DG$4:DG$40,"&lt;"&amp;DG16,DG$4:DG$40,"&lt;&gt;"&amp;"")+COUNTIF(DG$4:DG16,DG16))</f>
        <v>1</v>
      </c>
      <c r="DI16" s="128">
        <f t="shared" si="45"/>
        <v>17502</v>
      </c>
      <c r="DJ16">
        <f>DJ15+IF(AND(DI16&lt;&gt;"",COUNTIF(DI$4:DI16,DI16)=1),1,0)</f>
        <v>13</v>
      </c>
      <c r="DK16" s="128">
        <f t="shared" si="46"/>
        <v>17502</v>
      </c>
      <c r="DL16" t="str">
        <f>IF('Final Calculation Sheet'!$V$16="","",'Final Calculation Sheet'!$V$16)</f>
        <v>11.08.2026</v>
      </c>
      <c r="DM16">
        <f>IF(DL16="","",COUNTIFS(DL$4:DL$40,"&lt;"&amp;DL16,DL$4:DL$40,"&lt;&gt;"&amp;"")+COUNTIF(DL$4:DL16,DL16))</f>
        <v>5</v>
      </c>
      <c r="DN16" t="str">
        <f t="shared" si="47"/>
        <v>13.08.2026</v>
      </c>
      <c r="DO16">
        <f>DO15+IF(AND(DN16&lt;&gt;"",COUNTIF(DN$4:DN16,DN16)=1),1,0)</f>
        <v>3</v>
      </c>
      <c r="DP16" t="str">
        <f t="shared" si="48"/>
        <v/>
      </c>
      <c r="DQ16" s="50">
        <f>IF('Final Calculation Sheet'!$W$16="","",'Final Calculation Sheet'!$W$16)</f>
        <v>14268</v>
      </c>
      <c r="DR16">
        <f>IF(DQ16="","",COUNTIFS(DQ$4:DQ$40,"&lt;"&amp;DQ16,DQ$4:DQ$40,"&lt;&gt;"&amp;"")+COUNTIF(DQ$4:DQ16,DQ16))</f>
        <v>1</v>
      </c>
      <c r="DS16" s="50">
        <f t="shared" si="49"/>
        <v>64861</v>
      </c>
      <c r="DT16">
        <f>DT15+IF(AND(DS16&lt;&gt;"",COUNTIF(DS$4:DS16,DS16)=1),1,0)</f>
        <v>13</v>
      </c>
      <c r="DU16" s="50">
        <f t="shared" si="50"/>
        <v>64861</v>
      </c>
      <c r="DV16" s="50">
        <f>IF('Final Calculation Sheet'!$X$16="","",'Final Calculation Sheet'!$X$16)</f>
        <v>14267</v>
      </c>
      <c r="DW16">
        <f>IF(DV16="","",COUNTIFS(DV$4:DV$40,"&lt;"&amp;DV16,DV$4:DV$40,"&lt;&gt;"&amp;"")+COUNTIF(DV$4:DV16,DV16))</f>
        <v>1</v>
      </c>
      <c r="DX16" s="50">
        <f t="shared" si="51"/>
        <v>65782</v>
      </c>
      <c r="DY16">
        <f>DY15+IF(AND(DX16&lt;&gt;"",COUNTIF(DX$4:DX16,DX16)=1),1,0)</f>
        <v>13</v>
      </c>
      <c r="DZ16" t="e">
        <f t="shared" si="52"/>
        <v>#N/A</v>
      </c>
      <c r="EA16" t="str">
        <f>IF('Final Calculation Sheet'!$Y$16="","",'Final Calculation Sheet'!$Y$16)</f>
        <v>11.08.2026</v>
      </c>
      <c r="EB16">
        <f>IF(EA16="","",COUNTIFS(EA$4:EA$40,"&lt;"&amp;EA16,EA$4:EA$40,"&lt;&gt;"&amp;"")+COUNTIF(EA$4:EA16,EA16))</f>
        <v>5</v>
      </c>
      <c r="EC16" t="str">
        <f t="shared" si="53"/>
        <v>18.08.2026</v>
      </c>
      <c r="ED16">
        <f>ED15+IF(AND(EC16&lt;&gt;"",COUNTIF(EC$4:EC16,EC16)=1),1,0)</f>
        <v>6</v>
      </c>
      <c r="EE16" t="e">
        <f t="shared" si="54"/>
        <v>#N/A</v>
      </c>
      <c r="EF16" s="50">
        <f ca="1">IF('Final Calculation Sheet'!$Z$16="","",'Final Calculation Sheet'!$Z$16)</f>
        <v>545.16</v>
      </c>
      <c r="EG16">
        <f ca="1">IF(EF16="","",COUNTIFS(EF$4:EF$40,"&lt;"&amp;EF16,EF$4:EF$40,"&lt;&gt;"&amp;"")+COUNTIF(EF$4:EF16,EF16))</f>
        <v>1</v>
      </c>
      <c r="EH16" s="50">
        <f t="shared" ca="1" si="55"/>
        <v>2478.2123999999999</v>
      </c>
      <c r="EI16">
        <f ca="1">EI15+IF(AND(EH16&lt;&gt;"",COUNTIF(EH$4:EH16,EH16)=1),1,0)</f>
        <v>13</v>
      </c>
      <c r="EJ16">
        <f t="shared" ca="1" si="56"/>
        <v>2478.2123999999999</v>
      </c>
      <c r="EK16" t="str">
        <f>IF('Final Calculation Sheet'!$AA$16="","",'Final Calculation Sheet'!$AA$16)</f>
        <v/>
      </c>
      <c r="EL16" t="str">
        <f>IF(EK16="","",COUNTIFS(EK$4:EK$40,"&lt;"&amp;EK16,EK$4:EK$40,"&lt;&gt;"&amp;"")+COUNTIF(EK$4:EK16,EK16))</f>
        <v/>
      </c>
      <c r="EM16" t="e">
        <f t="shared" si="57"/>
        <v>#N/A</v>
      </c>
      <c r="EN16" t="e">
        <f>EN15+IF(AND(EM16&lt;&gt;"",COUNTIF(EM$4:EM16,EM16)=1),1,0)</f>
        <v>#N/A</v>
      </c>
      <c r="EO16" t="e">
        <f t="shared" si="58"/>
        <v>#N/A</v>
      </c>
      <c r="EP16" t="str">
        <f>IF('Final Calculation Sheet'!$AB$16="","",'Final Calculation Sheet'!$AB$16)</f>
        <v/>
      </c>
      <c r="EQ16" t="str">
        <f>IF(EP16="","",COUNTIFS(EP$4:EP$40,"&lt;"&amp;EP16,EP$4:EP$40,"&lt;&gt;"&amp;"")+COUNTIF(EP$4:EP16,EP16))</f>
        <v/>
      </c>
      <c r="ER16" t="e">
        <f t="shared" si="59"/>
        <v>#N/A</v>
      </c>
      <c r="ES16" t="e">
        <f>ES15+IF(AND(ER16&lt;&gt;"",COUNTIF(ER$4:ER16,ER16)=1),1,0)</f>
        <v>#N/A</v>
      </c>
      <c r="ET16" t="e">
        <f t="shared" si="60"/>
        <v>#N/A</v>
      </c>
      <c r="EU16" s="50">
        <f>IF('Final Calculation Sheet'!$AC$16="","",'Final Calculation Sheet'!$AC$16)</f>
        <v>18117</v>
      </c>
      <c r="EV16">
        <f>IF(EU16="","",COUNTIFS(EU$4:EU$40,"&lt;"&amp;EU16,EU$4:EU$40,"&lt;&gt;"&amp;"")+COUNTIF(EU$4:EU16,EU16))</f>
        <v>2</v>
      </c>
      <c r="EW16" s="50">
        <f t="shared" si="61"/>
        <v>76481</v>
      </c>
      <c r="EX16">
        <f>EX15+IF(AND(EW16&lt;&gt;"",COUNTIF(EW$4:EW16,EW16)=1),1,0)</f>
        <v>13</v>
      </c>
      <c r="EY16" s="50">
        <f t="shared" si="62"/>
        <v>76481</v>
      </c>
      <c r="EZ16" s="50">
        <f>IF('Final Calculation Sheet'!$AD$16="","",'Final Calculation Sheet'!$AD$16)</f>
        <v>1</v>
      </c>
      <c r="FA16">
        <f>IF(EZ16="","",COUNTIFS(EZ$4:EZ$40,"&lt;"&amp;EZ16,EZ$4:EZ$40,"&lt;&gt;"&amp;"")+COUNTIF(EZ$4:EZ16,EZ16))</f>
        <v>31</v>
      </c>
      <c r="FB16" s="50">
        <f t="shared" si="63"/>
        <v>0</v>
      </c>
      <c r="FC16">
        <f>FC15+IF(AND(FB16&lt;&gt;"",COUNTIF(FB$4:FB16,FB16)=1),1,0)</f>
        <v>7</v>
      </c>
      <c r="FD16" t="str">
        <f t="shared" si="64"/>
        <v/>
      </c>
      <c r="FE16" t="str">
        <f>IF('Final Calculation Sheet'!$AF$16="","",'Final Calculation Sheet'!$AF$16)</f>
        <v>DR2640100019</v>
      </c>
      <c r="FF16">
        <f>IF(FE16="","",COUNTIFS(FE$4:FE$40,"&lt;"&amp;FE16,FE$4:FE$40,"&lt;&gt;"&amp;"")+COUNTIF(FE$4:FE16,FE16))</f>
        <v>8</v>
      </c>
      <c r="FG16" t="str">
        <f t="shared" si="65"/>
        <v>DR2640100024</v>
      </c>
      <c r="FH16" t="e">
        <f>FH15+IF(AND(FG16&lt;&gt;"",COUNTIF(FG$4:FG16,FG16)=1),1,0)</f>
        <v>#N/A</v>
      </c>
      <c r="FI16" t="e">
        <f t="shared" si="66"/>
        <v>#N/A</v>
      </c>
      <c r="FJ16" s="129">
        <f>IF('Final Calculation Sheet'!$AG$16="","",'Final Calculation Sheet'!$AG$16)</f>
        <v>1800003157</v>
      </c>
      <c r="FK16">
        <f>IF(FJ16="","",COUNTIFS(FJ$4:FJ$40,"&lt;"&amp;FJ16,FJ$4:FJ$40,"&lt;&gt;"&amp;"")+COUNTIF(FJ$4:FJ16,FJ16))</f>
        <v>3</v>
      </c>
      <c r="FL16" s="129">
        <f t="shared" si="67"/>
        <v>1800003271</v>
      </c>
      <c r="FM16">
        <f>FM15+IF(AND(FL16&lt;&gt;"",COUNTIF(FL$4:FL16,FL16)=1),1,0)</f>
        <v>13</v>
      </c>
      <c r="FN16" t="e">
        <f t="shared" si="68"/>
        <v>#N/A</v>
      </c>
      <c r="FO16" t="str">
        <f>IF('Final Calculation Sheet'!$AH$16="","",'Final Calculation Sheet'!$AH$16)</f>
        <v>14.08.2026</v>
      </c>
      <c r="FP16">
        <f>IF(FO16="","",COUNTIFS(FO$4:FO$40,"&lt;"&amp;FO16,FO$4:FO$40,"&lt;&gt;"&amp;"")+COUNTIF(FO$4:FO16,FO16))</f>
        <v>8</v>
      </c>
      <c r="FQ16" t="str">
        <f t="shared" si="69"/>
        <v>17.08.2026</v>
      </c>
      <c r="FR16" t="e">
        <f>FR15+IF(AND(FQ16&lt;&gt;"",COUNTIF(FQ$4:FQ16,FQ16)=1),1,0)</f>
        <v>#N/A</v>
      </c>
      <c r="FS16" t="e">
        <f t="shared" si="70"/>
        <v>#N/A</v>
      </c>
      <c r="FU16" t="str">
        <f>IF(FT16="","",COUNTIFS(FT$4:FT$40,"&lt;"&amp;FT16,FT$4:FT$40,"&lt;&gt;"&amp;"")+COUNTIF(FT$4:FT16,FT16))</f>
        <v/>
      </c>
      <c r="FV16" t="str">
        <f t="shared" si="71"/>
        <v/>
      </c>
      <c r="FW16">
        <f>FW15+IF(AND(FV16&lt;&gt;"",COUNTIF(FV$4:FV16,FV16)=1),1,0)</f>
        <v>2</v>
      </c>
      <c r="FX16" t="str">
        <f t="shared" si="72"/>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6" t="b">
        <f>IF($Y$16="",FALSE,SUMPRODUCT(('Final Calculation Sheet'!$B$4:$B$40=$Y$16)*($FY$6:$FY$42=1))&gt;0)</f>
        <v>1</v>
      </c>
      <c r="GA16">
        <f>$GA$15+--($FZ$16)</f>
        <v>13</v>
      </c>
      <c r="GB16" t="str">
        <f t="shared" si="73"/>
        <v>Scrap of 33 KV CT</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D16" t="b">
        <f>IF($O$16="",FALSE,SUMPRODUCT(('Final Calculation Sheet'!$F$4:$F$40=$O$16)*($GC$6:$GC$42=1))&gt;0)</f>
        <v>1</v>
      </c>
      <c r="GE16">
        <f>$GE$15+--($GD16)</f>
        <v>13</v>
      </c>
      <c r="GF16">
        <f t="shared" si="74"/>
        <v>2011</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H16" t="b">
        <f>IF($T$16="",FALSE,SUMPRODUCT(('Final Calculation Sheet'!$G$4:$G$40=$T$16)*($GG$6:$GG$42=1))&gt;0)</f>
        <v>1</v>
      </c>
      <c r="GI16">
        <f>$GI$15+--($GH16)</f>
        <v>13</v>
      </c>
      <c r="GJ16" t="str">
        <f t="shared" si="75"/>
        <v>WATAN SCRAP TRADERS</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L16" t="b">
        <f>IF($AD$16="",FALSE,SUMPRODUCT(('Final Calculation Sheet'!$D$4:$D$40=$AD$16)*($GK$6:$GK$42=1))&gt;0)</f>
        <v>0</v>
      </c>
      <c r="GM16">
        <f>$GM$15+--($GL16)</f>
        <v>4</v>
      </c>
      <c r="GN16" t="str">
        <f t="shared" si="76"/>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P16" t="b">
        <f>IF($AI$16="",FALSE,SUMPRODUCT(('Final Calculation Sheet'!$A$4:$A$40=$AI$16)*($GO$6:$GO$42=1))&gt;0)</f>
        <v>1</v>
      </c>
      <c r="GQ16">
        <f>$GQ$15+--($GP16)</f>
        <v>13</v>
      </c>
      <c r="GR16">
        <f t="shared" si="77"/>
        <v>100</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T16" t="b">
        <f>IF($AN$16="",FALSE,SUMPRODUCT(('Final Calculation Sheet'!$E$4:$E$40=$AN$16)*($GS$6:$GS$42=1))&gt;0)</f>
        <v>0</v>
      </c>
      <c r="GU16">
        <f>$GU$15+--($GT16)</f>
        <v>3</v>
      </c>
      <c r="GV16" t="str">
        <f t="shared" si="78"/>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GX16" t="b">
        <f>IF($AS$16="",FALSE,SUMPRODUCT(('Final Calculation Sheet'!$C$4:$C$40=$AS$16)*($GW$6:$GW$42=1))&gt;0)</f>
        <v>1</v>
      </c>
      <c r="GY16">
        <f>$GY$15+--($GX16)</f>
        <v>13</v>
      </c>
      <c r="GZ16">
        <f t="shared" si="79"/>
        <v>1181</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B16" t="b">
        <f>IF($AX$16="",FALSE,SUMPRODUCT(('Final Calculation Sheet'!$H$4:$H$40=$AX$16)*($HA$6:$HA$42=1))&gt;0)</f>
        <v>1</v>
      </c>
      <c r="HC16">
        <f>$HC$15+--($HB16)</f>
        <v>13</v>
      </c>
      <c r="HD16">
        <f t="shared" si="80"/>
        <v>70006</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F16" t="b">
        <f>IF($BC$16="",FALSE,SUMPRODUCT(('Final Calculation Sheet'!$I$4:$I$40=$BC$16)*($HE$6:$HE$42=1))&gt;0)</f>
        <v>1</v>
      </c>
      <c r="HG16">
        <f>$HG$15+--($HF16)</f>
        <v>13</v>
      </c>
      <c r="HH16">
        <f t="shared" si="81"/>
        <v>12601</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J16" t="b">
        <f>IF($BH$16="",FALSE,SUMPRODUCT(('Final Calculation Sheet'!$J$4:$J$40=$BH$16)*($HI$6:$HI$42=1))&gt;0)</f>
        <v>1</v>
      </c>
      <c r="HK16">
        <f>$HK$15+--($HJ16)</f>
        <v>13</v>
      </c>
      <c r="HL16">
        <f t="shared" si="82"/>
        <v>82607</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N16" t="b">
        <f>IF($BM$16="",FALSE,SUMPRODUCT(('Final Calculation Sheet'!$K$4:$K$40=$BM$16)*($HM$6:$HM$42=1))&gt;0)</f>
        <v>1</v>
      </c>
      <c r="HO16">
        <f>$HO$15+--($HN16)</f>
        <v>13</v>
      </c>
      <c r="HP16">
        <f t="shared" si="83"/>
        <v>1652</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R16" t="b">
        <f>IF($BR$16="",FALSE,SUMPRODUCT(('Final Calculation Sheet'!$L$4:$L$40=$BR$16)*($HQ$6:$HQ$42=1))&gt;0)</f>
        <v>1</v>
      </c>
      <c r="HS16">
        <f>$HS$15+--($HR16)</f>
        <v>13</v>
      </c>
      <c r="HT16">
        <f t="shared" si="84"/>
        <v>70.006</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V16" t="b">
        <f>IF($BW$16="",FALSE,SUMPRODUCT(('Final Calculation Sheet'!$M$4:$M$40=$BW$16)*($HU$6:$HU$42=1))&gt;0)</f>
        <v>1</v>
      </c>
      <c r="HW16">
        <f>$HW$15+--($HV16)</f>
        <v>13</v>
      </c>
      <c r="HX16">
        <f t="shared" si="85"/>
        <v>1858.6592999999998</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HZ16" t="b">
        <f>IF($CB$16="",FALSE,SUMPRODUCT(('Final Calculation Sheet'!$N$4:$N$40=$CB$16)*($HY$6:$HY$42=1))&gt;0)</f>
        <v>1</v>
      </c>
      <c r="IA16">
        <f>$IA$15+--($HZ16)</f>
        <v>13</v>
      </c>
      <c r="IB16">
        <f t="shared" si="86"/>
        <v>31.502700000000001</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D16" t="b">
        <f>IF($CG$16="",FALSE,SUMPRODUCT(('Final Calculation Sheet'!$O$4:$O$40=$CG$16)*($IC$6:$IC$42=1))&gt;0)</f>
        <v>1</v>
      </c>
      <c r="IE16">
        <f>$IE$15+--($ID16)</f>
        <v>13</v>
      </c>
      <c r="IF16">
        <f t="shared" si="87"/>
        <v>1827.1565999999998</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H16" t="b">
        <f>IF($CL$16="",FALSE,SUMPRODUCT(('Final Calculation Sheet'!$P$4:$P$40=$CL$16)*($IG$6:$IG$42=1))&gt;0)</f>
        <v>1</v>
      </c>
      <c r="II16">
        <f>$II$15+--($IH16)</f>
        <v>13</v>
      </c>
      <c r="IJ16">
        <f t="shared" si="88"/>
        <v>1897</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L16" t="b">
        <f>IF($CQ$16="",FALSE,SUMPRODUCT(('Final Calculation Sheet'!$Q$4:$Q$40=$CQ$16)*($IK$6:$IK$42=1))&gt;0)</f>
        <v>0</v>
      </c>
      <c r="IM16">
        <f>$IM$15+--($IL16)</f>
        <v>2</v>
      </c>
      <c r="IN16" t="str">
        <f t="shared" si="89"/>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P16" t="b">
        <f>IF($CV$16="",FALSE,SUMPRODUCT(('Final Calculation Sheet'!$R$4:$R$40=$CV$16)*($IO$6:$IO$42=1))&gt;0)</f>
        <v>0</v>
      </c>
      <c r="IQ16">
        <f>$IQ$15+--($IP16)</f>
        <v>5</v>
      </c>
      <c r="IR16" t="str">
        <f t="shared" si="90"/>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T16" t="b">
        <f>IF($DA$16="",FALSE,SUMPRODUCT(('Final Calculation Sheet'!$S$4:$S$40=$DA$16)*($IS$6:$IS$42=1))&gt;0)</f>
        <v>1</v>
      </c>
      <c r="IU16">
        <f>$IU$15+--($IT16)</f>
        <v>13</v>
      </c>
      <c r="IV16">
        <f t="shared" si="91"/>
        <v>82362</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IX16" t="b">
        <f>IF($DF$16="",FALSE,SUMPRODUCT(('Final Calculation Sheet'!$T$4:$T$40=$DF$16)*($IW$6:$IW$42=1))&gt;0)</f>
        <v>1</v>
      </c>
      <c r="IY16">
        <f>$IY$15+--($IX16)</f>
        <v>13</v>
      </c>
      <c r="IZ16">
        <f t="shared" si="92"/>
        <v>17502</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B16" t="b">
        <f>IF($DK$16="",FALSE,SUMPRODUCT(('Final Calculation Sheet'!$U$4:$U$40=$DK$16)*($JA$6:$JA$42=1))&gt;0)</f>
        <v>1</v>
      </c>
      <c r="JC16">
        <f>$JC$15+--($JB16)</f>
        <v>13</v>
      </c>
      <c r="JD16">
        <f t="shared" si="93"/>
        <v>17502</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F16" t="b">
        <f>IF($DP$16="",FALSE,SUMPRODUCT(('Final Calculation Sheet'!$V$4:$V$40=$DP$16)*($JE$6:$JE$42=1))&gt;0)</f>
        <v>0</v>
      </c>
      <c r="JG16">
        <f>$JG$15+--($JF16)</f>
        <v>6</v>
      </c>
      <c r="JH16" t="str">
        <f t="shared" si="94"/>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J16" t="b">
        <f>IF($DU$16="",FALSE,SUMPRODUCT(('Final Calculation Sheet'!$W$4:$W$40=$DU$16)*($JI$6:$JI$42=1))&gt;0)</f>
        <v>1</v>
      </c>
      <c r="JK16">
        <f>$JK$15+--($JJ16)</f>
        <v>13</v>
      </c>
      <c r="JL16">
        <f t="shared" si="95"/>
        <v>64861</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N16" t="e">
        <f>IF($DZ$16="",FALSE,SUMPRODUCT(('Final Calculation Sheet'!$X$4:$X$40=$DZ$16)*($JM$6:$JM$42=1))&gt;0)</f>
        <v>#N/A</v>
      </c>
      <c r="JO16" t="e">
        <f>$JO$15+--($JN16)</f>
        <v>#N/A</v>
      </c>
      <c r="JP16" t="e">
        <f t="shared" si="96"/>
        <v>#N/A</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R16" t="e">
        <f>IF($EE$16="",FALSE,SUMPRODUCT(('Final Calculation Sheet'!$Y$4:$Y$40=$EE$16)*($JQ$6:$JQ$42=1))&gt;0)</f>
        <v>#N/A</v>
      </c>
      <c r="JS16" t="e">
        <f>$JS$15+--($JR16)</f>
        <v>#N/A</v>
      </c>
      <c r="JT16" t="e">
        <f t="shared" si="97"/>
        <v>#N/A</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V16" t="b">
        <f ca="1">IF($EJ$16="",FALSE,SUMPRODUCT(('Final Calculation Sheet'!$Z$4:$Z$40=$EJ$16)*($JU$6:$JU$42=1))&gt;0)</f>
        <v>1</v>
      </c>
      <c r="JW16">
        <f ca="1">$JW$15+--($JV16)</f>
        <v>13</v>
      </c>
      <c r="JX16">
        <f t="shared" ca="1" si="98"/>
        <v>2478.2123999999999</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JZ16" t="e">
        <f>IF($EO$16="",FALSE,SUMPRODUCT(('Final Calculation Sheet'!$AA$4:$AA$40=$EO$16)*($JY$6:$JY$42=1))&gt;0)</f>
        <v>#N/A</v>
      </c>
      <c r="KA16" t="e">
        <f>$KA$15+--($JZ16)</f>
        <v>#N/A</v>
      </c>
      <c r="KB16" t="e">
        <f t="shared" si="99"/>
        <v>#N/A</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D16" t="e">
        <f>IF($ET$16="",FALSE,SUMPRODUCT(('Final Calculation Sheet'!$AB$4:$AB$40=$ET$16)*($KC$6:$KC$42=1))&gt;0)</f>
        <v>#N/A</v>
      </c>
      <c r="KE16" t="e">
        <f>$KE$15+--($KD16)</f>
        <v>#N/A</v>
      </c>
      <c r="KF16" t="e">
        <f t="shared" si="100"/>
        <v>#N/A</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H16" t="b">
        <f>IF($EY$16="",FALSE,SUMPRODUCT(('Final Calculation Sheet'!$AC$4:$AC$40=$EY$16)*($KG$6:$KG$42=1))&gt;0)</f>
        <v>1</v>
      </c>
      <c r="KI16">
        <f>$KI$15+--($KH16)</f>
        <v>13</v>
      </c>
      <c r="KJ16">
        <f t="shared" si="101"/>
        <v>76481</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L16" t="b">
        <f>IF($FD$16="",FALSE,SUMPRODUCT(('Final Calculation Sheet'!$AD$4:$AD$40=$FD$16)*($KK$6:$KK$42=1))&gt;0)</f>
        <v>0</v>
      </c>
      <c r="KM16">
        <f>$KM$15+--($KL16)</f>
        <v>11</v>
      </c>
      <c r="KN16" t="str">
        <f t="shared" si="102"/>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P16" t="b">
        <f>IF($FX$16="",FALSE,SUMPRODUCT((IF('Final Calculation Sheet'!$AD$4:$AD$40&lt;=5,"SETTLED","OUTSTANDING")=$FX$16)*($KO$6:$KO$42=1))&gt;0)</f>
        <v>0</v>
      </c>
      <c r="KQ16">
        <f>$KQ$15+--($KP16)</f>
        <v>1</v>
      </c>
      <c r="KR16" t="str">
        <f t="shared" si="103"/>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T16" t="e">
        <f>IF($FI$16="",FALSE,SUMPRODUCT(('Final Calculation Sheet'!$AF$4:$AF$40=$FI$16)*($KS$6:$KS$42=1))&gt;0)</f>
        <v>#N/A</v>
      </c>
      <c r="KU16" t="e">
        <f>$KU$15+--($KT16)</f>
        <v>#N/A</v>
      </c>
      <c r="KV16" t="e">
        <f t="shared" si="104"/>
        <v>#N/A</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KX16" t="e">
        <f>IF($FN$16="",FALSE,SUMPRODUCT(('Final Calculation Sheet'!$AG$4:$AG$40=$FN$16)*($KW$6:$KW$42=1))&gt;0)</f>
        <v>#N/A</v>
      </c>
      <c r="KY16" t="e">
        <f>$KY$15+--($KX16)</f>
        <v>#N/A</v>
      </c>
      <c r="KZ16" t="e">
        <f t="shared" si="105"/>
        <v>#N/A</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LB16" t="e">
        <f>IF($FS$16="",FALSE,SUMPRODUCT(('Final Calculation Sheet'!$AH$4:$AH$40=$FS$16)*($LA$6:$LA$42=1))&gt;0)</f>
        <v>#N/A</v>
      </c>
      <c r="LC16" t="e">
        <f>$LC$15+--($LB16)</f>
        <v>#N/A</v>
      </c>
      <c r="LD16" t="e">
        <f t="shared" si="106"/>
        <v>#N/A</v>
      </c>
      <c r="LE16">
        <f>IF(COUNTIF('Buyer Groups'!DH16:EN16,0)&gt;0,0,1)</f>
        <v>1</v>
      </c>
      <c r="LF16" t="b">
        <f>IF($O$16="",FALSE,SUMPRODUCT(('Final Calculation Sheet'!$F$4:$F$40=$O$16)*($LE$6:$LE$42=1))&gt;0)</f>
        <v>1</v>
      </c>
      <c r="LG16">
        <f>$LG$15+--($LF16)</f>
        <v>13</v>
      </c>
      <c r="LH16">
        <f t="shared" si="107"/>
        <v>2011</v>
      </c>
      <c r="LI16">
        <f>IF(COUNTIF('Buyer Groups'!DG16:DG16,0)+COUNTIF('Buyer Groups'!DI16:EN16,0)&gt;0,0,1)</f>
        <v>1</v>
      </c>
      <c r="LJ16" t="b">
        <f>IF($T$16="",FALSE,SUMPRODUCT(('Final Calculation Sheet'!$G$4:$G$40=$T$16)*($LI$6:$LI$42=1))&gt;0)</f>
        <v>1</v>
      </c>
      <c r="LK16">
        <f>$LK$15+--($LJ16)</f>
        <v>13</v>
      </c>
      <c r="LL16" t="str">
        <f t="shared" si="108"/>
        <v>WATAN SCRAP TRADERS</v>
      </c>
      <c r="LM16">
        <f>IF(COUNTIF('Buyer Groups'!DG16:DH16,0)+COUNTIF('Buyer Groups'!DJ16:EN16,0)&gt;0,0,1)</f>
        <v>1</v>
      </c>
      <c r="LN16" t="b">
        <f>IF($Y$16="",FALSE,SUMPRODUCT(('Final Calculation Sheet'!$B$4:$B$40=$Y$16)*($LM$6:$LM$42=1))&gt;0)</f>
        <v>1</v>
      </c>
      <c r="LO16">
        <f>$LO$15+--($LN16)</f>
        <v>13</v>
      </c>
      <c r="LP16" t="str">
        <f t="shared" si="109"/>
        <v>Scrap of 33 KV CT</v>
      </c>
      <c r="LQ16">
        <f>IF(COUNTIF('Buyer Groups'!DG16:DI16,0)+COUNTIF('Buyer Groups'!DK16:EN16,0)&gt;0,0,1)</f>
        <v>1</v>
      </c>
      <c r="LR16" t="b">
        <f>IF($AD$16="",FALSE,SUMPRODUCT(('Final Calculation Sheet'!$D$4:$D$40=$AD$16)*($LQ$6:$LQ$42=1))&gt;0)</f>
        <v>0</v>
      </c>
      <c r="LS16">
        <f>$LS$15+--($LR16)</f>
        <v>4</v>
      </c>
      <c r="LT16" t="str">
        <f t="shared" si="110"/>
        <v/>
      </c>
      <c r="LU16">
        <f>IF(COUNTIF('Buyer Groups'!DG16:DJ16,0)+COUNTIF('Buyer Groups'!DL16:EN16,0)&gt;0,0,1)</f>
        <v>1</v>
      </c>
      <c r="LV16" t="b">
        <f>IF($AI$16="",FALSE,SUMPRODUCT(('Final Calculation Sheet'!$A$4:$A$40=$AI$16)*($LU$6:$LU$42=1))&gt;0)</f>
        <v>1</v>
      </c>
      <c r="LW16">
        <f>$LW$15+--($LV16)</f>
        <v>13</v>
      </c>
      <c r="LX16">
        <f t="shared" si="111"/>
        <v>100</v>
      </c>
      <c r="LY16">
        <f>IF(COUNTIF('Buyer Groups'!DG16:DK16,0)+COUNTIF('Buyer Groups'!DM16:EN16,0)&gt;0,0,1)</f>
        <v>1</v>
      </c>
      <c r="LZ16" t="b">
        <f>IF($AN$16="",FALSE,SUMPRODUCT(('Final Calculation Sheet'!$E$4:$E$40=$AN$16)*($LY$6:$LY$42=1))&gt;0)</f>
        <v>0</v>
      </c>
      <c r="MA16">
        <f>$MA$15+--($LZ16)</f>
        <v>3</v>
      </c>
      <c r="MB16" t="str">
        <f t="shared" si="112"/>
        <v/>
      </c>
      <c r="MC16">
        <f>IF(COUNTIF('Buyer Groups'!DG16:DL16,0)+COUNTIF('Buyer Groups'!DN16:EN16,0)&gt;0,0,1)</f>
        <v>1</v>
      </c>
      <c r="MD16" t="b">
        <f>IF($AS$16="",FALSE,SUMPRODUCT(('Final Calculation Sheet'!$C$4:$C$40=$AS$16)*($MC$6:$MC$42=1))&gt;0)</f>
        <v>1</v>
      </c>
      <c r="ME16">
        <f>$ME$15+--($MD16)</f>
        <v>13</v>
      </c>
      <c r="MF16">
        <f t="shared" si="113"/>
        <v>1181</v>
      </c>
      <c r="MG16">
        <f>IF(COUNTIF('Buyer Groups'!DG16:DM16,0)+COUNTIF('Buyer Groups'!DO16:EN16,0)&gt;0,0,1)</f>
        <v>1</v>
      </c>
      <c r="MH16" t="b">
        <f>IF($AX$16="",FALSE,SUMPRODUCT(('Final Calculation Sheet'!$H$4:$H$40=$AX$16)*($MG$6:$MG$42=1))&gt;0)</f>
        <v>1</v>
      </c>
      <c r="MI16">
        <f>$MI$15+--($MH16)</f>
        <v>13</v>
      </c>
      <c r="MJ16">
        <f t="shared" si="114"/>
        <v>70006</v>
      </c>
      <c r="MK16">
        <f>IF(COUNTIF('Buyer Groups'!DG16:DN16,0)+COUNTIF('Buyer Groups'!DP16:EN16,0)&gt;0,0,1)</f>
        <v>1</v>
      </c>
      <c r="ML16" t="b">
        <f>IF($BC$16="",FALSE,SUMPRODUCT(('Final Calculation Sheet'!$I$4:$I$40=$BC$16)*($MK$6:$MK$42=1))&gt;0)</f>
        <v>1</v>
      </c>
      <c r="MM16">
        <f>$MM$15+--($ML16)</f>
        <v>13</v>
      </c>
      <c r="MN16">
        <f t="shared" si="115"/>
        <v>12601</v>
      </c>
      <c r="MO16">
        <f>IF(COUNTIF('Buyer Groups'!DG16:DO16,0)+COUNTIF('Buyer Groups'!DQ16:EN16,0)&gt;0,0,1)</f>
        <v>1</v>
      </c>
      <c r="MP16" t="b">
        <f>IF($BH$16="",FALSE,SUMPRODUCT(('Final Calculation Sheet'!$J$4:$J$40=$BH$16)*($MO$6:$MO$42=1))&gt;0)</f>
        <v>1</v>
      </c>
      <c r="MQ16">
        <f>$MQ$15+--($MP16)</f>
        <v>13</v>
      </c>
      <c r="MR16">
        <f t="shared" si="116"/>
        <v>82607</v>
      </c>
      <c r="MS16">
        <f>IF(COUNTIF('Buyer Groups'!DG16:DP16,0)+COUNTIF('Buyer Groups'!DR16:EN16,0)&gt;0,0,1)</f>
        <v>1</v>
      </c>
      <c r="MT16" t="b">
        <f>IF($BM$16="",FALSE,SUMPRODUCT(('Final Calculation Sheet'!$K$4:$K$40=$BM$16)*($MS$6:$MS$42=1))&gt;0)</f>
        <v>1</v>
      </c>
      <c r="MU16">
        <f>$MU$15+--($MT16)</f>
        <v>13</v>
      </c>
      <c r="MV16">
        <f t="shared" si="117"/>
        <v>1652</v>
      </c>
      <c r="MW16">
        <f>IF(COUNTIF('Buyer Groups'!DG16:DQ16,0)+COUNTIF('Buyer Groups'!DS16:EN16,0)&gt;0,0,1)</f>
        <v>1</v>
      </c>
      <c r="MX16" t="b">
        <f>IF($BR$16="",FALSE,SUMPRODUCT(('Final Calculation Sheet'!$L$4:$L$40=$BR$16)*($MW$6:$MW$42=1))&gt;0)</f>
        <v>1</v>
      </c>
      <c r="MY16">
        <f>$MY$15+--($MX16)</f>
        <v>13</v>
      </c>
      <c r="MZ16">
        <f t="shared" si="118"/>
        <v>70.006</v>
      </c>
      <c r="NA16">
        <f>IF(COUNTIF('Buyer Groups'!DG16:DR16,0)+COUNTIF('Buyer Groups'!DT16:EN16,0)&gt;0,0,1)</f>
        <v>1</v>
      </c>
      <c r="NB16" t="b">
        <f>IF($BW$16="",FALSE,SUMPRODUCT(('Final Calculation Sheet'!$M$4:$M$40=$BW$16)*($NA$6:$NA$42=1))&gt;0)</f>
        <v>1</v>
      </c>
      <c r="NC16">
        <f>$NC$15+--($NB16)</f>
        <v>13</v>
      </c>
      <c r="ND16">
        <f t="shared" si="119"/>
        <v>1858.6592999999998</v>
      </c>
      <c r="NE16">
        <f>IF(COUNTIF('Buyer Groups'!DG16:DS16,0)+COUNTIF('Buyer Groups'!DU16:EN16,0)&gt;0,0,1)</f>
        <v>1</v>
      </c>
      <c r="NF16" t="b">
        <f>IF($CB$16="",FALSE,SUMPRODUCT(('Final Calculation Sheet'!$N$4:$N$40=$CB$16)*($NE$6:$NE$42=1))&gt;0)</f>
        <v>1</v>
      </c>
      <c r="NG16">
        <f>$NG$15+--($NF16)</f>
        <v>13</v>
      </c>
      <c r="NH16">
        <f t="shared" si="120"/>
        <v>31.502700000000001</v>
      </c>
      <c r="NI16">
        <f>IF(COUNTIF('Buyer Groups'!DG16:DT16,0)+COUNTIF('Buyer Groups'!DV16:EN16,0)&gt;0,0,1)</f>
        <v>1</v>
      </c>
      <c r="NJ16" t="b">
        <f>IF($CG$16="",FALSE,SUMPRODUCT(('Final Calculation Sheet'!$O$4:$O$40=$CG$16)*($NI$6:$NI$42=1))&gt;0)</f>
        <v>1</v>
      </c>
      <c r="NK16">
        <f>$NK$15+--($NJ16)</f>
        <v>13</v>
      </c>
      <c r="NL16">
        <f t="shared" si="121"/>
        <v>1827.1565999999998</v>
      </c>
      <c r="NM16">
        <f>IF(COUNTIF('Buyer Groups'!DG16:DU16,0)+COUNTIF('Buyer Groups'!DW16:EN16,0)&gt;0,0,1)</f>
        <v>1</v>
      </c>
      <c r="NN16" t="b">
        <f>IF($CL$16="",FALSE,SUMPRODUCT(('Final Calculation Sheet'!$P$4:$P$40=$CL$16)*($NM$6:$NM$42=1))&gt;0)</f>
        <v>1</v>
      </c>
      <c r="NO16">
        <f>$NO$15+--($NN16)</f>
        <v>13</v>
      </c>
      <c r="NP16">
        <f t="shared" si="122"/>
        <v>1897</v>
      </c>
      <c r="NQ16">
        <f>IF(COUNTIF('Buyer Groups'!DG16:DV16,0)+COUNTIF('Buyer Groups'!DX16:EN16,0)&gt;0,0,1)</f>
        <v>1</v>
      </c>
      <c r="NR16" t="b">
        <f>IF($CQ$16="",FALSE,SUMPRODUCT(('Final Calculation Sheet'!$Q$4:$Q$40=$CQ$16)*($NQ$6:$NQ$42=1))&gt;0)</f>
        <v>0</v>
      </c>
      <c r="NS16">
        <f>$NS$15+--($NR16)</f>
        <v>2</v>
      </c>
      <c r="NT16" t="str">
        <f t="shared" si="123"/>
        <v/>
      </c>
      <c r="NU16">
        <f>IF(COUNTIF('Buyer Groups'!DG16:DW16,0)+COUNTIF('Buyer Groups'!DY16:EN16,0)&gt;0,0,1)</f>
        <v>1</v>
      </c>
      <c r="NV16" t="b">
        <f>IF($CV$16="",FALSE,SUMPRODUCT(('Final Calculation Sheet'!$R$4:$R$40=$CV$16)*($NU$6:$NU$42=1))&gt;0)</f>
        <v>0</v>
      </c>
      <c r="NW16">
        <f>$NW$15+--($NV16)</f>
        <v>5</v>
      </c>
      <c r="NX16" t="str">
        <f t="shared" si="124"/>
        <v/>
      </c>
      <c r="NY16">
        <f>IF(COUNTIF('Buyer Groups'!DG16:DX16,0)+COUNTIF('Buyer Groups'!DZ16:EN16,0)&gt;0,0,1)</f>
        <v>1</v>
      </c>
      <c r="NZ16" t="b">
        <f>IF($DA$16="",FALSE,SUMPRODUCT(('Final Calculation Sheet'!$S$4:$S$40=$DA$16)*($NY$6:$NY$42=1))&gt;0)</f>
        <v>1</v>
      </c>
      <c r="OA16">
        <f>$OA$15+--($NZ16)</f>
        <v>13</v>
      </c>
      <c r="OB16">
        <f t="shared" si="125"/>
        <v>82362</v>
      </c>
      <c r="OC16">
        <f>IF(COUNTIF('Buyer Groups'!DG16:DY16,0)+COUNTIF('Buyer Groups'!EA16:EN16,0)&gt;0,0,1)</f>
        <v>1</v>
      </c>
      <c r="OD16" t="b">
        <f>IF($DF$16="",FALSE,SUMPRODUCT(('Final Calculation Sheet'!$T$4:$T$40=$DF$16)*($OC$6:$OC$42=1))&gt;0)</f>
        <v>1</v>
      </c>
      <c r="OE16">
        <f>$OE$15+--($OD16)</f>
        <v>13</v>
      </c>
      <c r="OF16">
        <f t="shared" si="126"/>
        <v>17502</v>
      </c>
      <c r="OG16">
        <f>IF(COUNTIF('Buyer Groups'!DG16:DZ16,0)+COUNTIF('Buyer Groups'!EB16:EN16,0)&gt;0,0,1)</f>
        <v>1</v>
      </c>
      <c r="OH16" t="b">
        <f>IF($DK$16="",FALSE,SUMPRODUCT(('Final Calculation Sheet'!$U$4:$U$40=$DK$16)*($OG$6:$OG$42=1))&gt;0)</f>
        <v>1</v>
      </c>
      <c r="OI16">
        <f>$OI$15+--($OH16)</f>
        <v>13</v>
      </c>
      <c r="OJ16">
        <f t="shared" si="127"/>
        <v>17502</v>
      </c>
      <c r="OK16">
        <f>IF(COUNTIF('Buyer Groups'!DG16:EA16,0)+COUNTIF('Buyer Groups'!EC16:EN16,0)&gt;0,0,1)</f>
        <v>1</v>
      </c>
      <c r="OL16" t="b">
        <f>IF($DP$16="",FALSE,SUMPRODUCT(('Final Calculation Sheet'!$V$4:$V$40=$DP$16)*($OK$6:$OK$42=1))&gt;0)</f>
        <v>0</v>
      </c>
      <c r="OM16">
        <f>$OM$15+--($OL16)</f>
        <v>6</v>
      </c>
      <c r="ON16" t="str">
        <f t="shared" si="128"/>
        <v/>
      </c>
      <c r="OO16">
        <f>IF(COUNTIF('Buyer Groups'!DG16:EB16,0)+COUNTIF('Buyer Groups'!ED16:EN16,0)&gt;0,0,1)</f>
        <v>1</v>
      </c>
      <c r="OP16" t="b">
        <f>IF($DU$16="",FALSE,SUMPRODUCT(('Final Calculation Sheet'!$W$4:$W$40=$DU$16)*($OO$6:$OO$42=1))&gt;0)</f>
        <v>1</v>
      </c>
      <c r="OQ16">
        <f>$OQ$15+--($OP16)</f>
        <v>13</v>
      </c>
      <c r="OR16">
        <f t="shared" si="129"/>
        <v>64861</v>
      </c>
      <c r="OS16">
        <f>IF(COUNTIF('Buyer Groups'!DG16:EC16,0)+COUNTIF('Buyer Groups'!EE16:EN16,0)&gt;0,0,1)</f>
        <v>1</v>
      </c>
      <c r="OT16" t="e">
        <f>IF($DZ$16="",FALSE,SUMPRODUCT(('Final Calculation Sheet'!$X$4:$X$40=$DZ$16)*($OS$6:$OS$42=1))&gt;0)</f>
        <v>#N/A</v>
      </c>
      <c r="OU16" t="e">
        <f>$OU$15+--($OT16)</f>
        <v>#N/A</v>
      </c>
      <c r="OV16" t="e">
        <f t="shared" si="130"/>
        <v>#N/A</v>
      </c>
      <c r="OW16">
        <f>IF(COUNTIF('Buyer Groups'!DG16:ED16,0)+COUNTIF('Buyer Groups'!EF16:EN16,0)&gt;0,0,1)</f>
        <v>1</v>
      </c>
      <c r="OX16" t="e">
        <f>IF($EE$16="",FALSE,SUMPRODUCT(('Final Calculation Sheet'!$Y$4:$Y$40=$EE$16)*($OW$6:$OW$42=1))&gt;0)</f>
        <v>#N/A</v>
      </c>
      <c r="OY16" t="e">
        <f>$OY$15+--($OX16)</f>
        <v>#N/A</v>
      </c>
      <c r="OZ16" t="e">
        <f t="shared" si="131"/>
        <v>#N/A</v>
      </c>
      <c r="PA16">
        <f>IF(COUNTIF('Buyer Groups'!DG16:EE16,0)+COUNTIF('Buyer Groups'!EG16:EN16,0)&gt;0,0,1)</f>
        <v>1</v>
      </c>
      <c r="PB16" t="b">
        <f ca="1">IF($EJ$16="",FALSE,SUMPRODUCT(('Final Calculation Sheet'!$Z$4:$Z$40=$EJ$16)*($PA$6:$PA$42=1))&gt;0)</f>
        <v>1</v>
      </c>
      <c r="PC16">
        <f ca="1">$PC$15+--($PB16)</f>
        <v>13</v>
      </c>
      <c r="PD16">
        <f t="shared" ca="1" si="132"/>
        <v>2478.2123999999999</v>
      </c>
      <c r="PE16">
        <f>IF(COUNTIF('Buyer Groups'!DG16:EF16,0)+COUNTIF('Buyer Groups'!EH16:EN16,0)&gt;0,0,1)</f>
        <v>1</v>
      </c>
      <c r="PF16" t="e">
        <f>IF($EO$16="",FALSE,SUMPRODUCT(('Final Calculation Sheet'!$AA$4:$AA$40=$EO$16)*($PE$6:$PE$42=1))&gt;0)</f>
        <v>#N/A</v>
      </c>
      <c r="PG16" t="e">
        <f>$PG$15+--($PF16)</f>
        <v>#N/A</v>
      </c>
      <c r="PH16" t="e">
        <f t="shared" si="133"/>
        <v>#N/A</v>
      </c>
      <c r="PI16">
        <f>IF(COUNTIF('Buyer Groups'!DG16:EG16,0)+COUNTIF('Buyer Groups'!EI16:EN16,0)&gt;0,0,1)</f>
        <v>1</v>
      </c>
      <c r="PJ16" t="e">
        <f>IF($ET$16="",FALSE,SUMPRODUCT(('Final Calculation Sheet'!$AB$4:$AB$40=$ET$16)*($PI$6:$PI$42=1))&gt;0)</f>
        <v>#N/A</v>
      </c>
      <c r="PK16" t="e">
        <f>$PK$15+--($PJ16)</f>
        <v>#N/A</v>
      </c>
      <c r="PL16" t="e">
        <f t="shared" si="134"/>
        <v>#N/A</v>
      </c>
      <c r="PM16">
        <f>IF(COUNTIF('Buyer Groups'!DG16:EH16,0)+COUNTIF('Buyer Groups'!EJ16:EN16,0)&gt;0,0,1)</f>
        <v>1</v>
      </c>
      <c r="PN16" t="b">
        <f>IF($EY$16="",FALSE,SUMPRODUCT(('Final Calculation Sheet'!$AC$4:$AC$40=$EY$16)*($PM$6:$PM$42=1))&gt;0)</f>
        <v>1</v>
      </c>
      <c r="PO16">
        <f>$PO$15+--($PN16)</f>
        <v>13</v>
      </c>
      <c r="PP16">
        <f t="shared" si="135"/>
        <v>76481</v>
      </c>
      <c r="PQ16">
        <f>IF(COUNTIF('Buyer Groups'!DG16:EI16,0)+COUNTIF('Buyer Groups'!EK16:EN16,0)&gt;0,0,1)</f>
        <v>1</v>
      </c>
      <c r="PR16" t="b">
        <f>IF($FD$16="",FALSE,SUMPRODUCT(('Final Calculation Sheet'!$AD$4:$AD$40=$FD$16)*($PQ$6:$PQ$42=1))&gt;0)</f>
        <v>0</v>
      </c>
      <c r="PS16">
        <f>$PS$15+--($PR16)</f>
        <v>11</v>
      </c>
      <c r="PT16" t="str">
        <f t="shared" si="136"/>
        <v/>
      </c>
      <c r="PU16">
        <f>IF(COUNTIF('Buyer Groups'!DG16:EJ16,0)+COUNTIF('Buyer Groups'!EL16:EN16,0)&gt;0,0,1)</f>
        <v>1</v>
      </c>
      <c r="PV16" t="b">
        <f>IF($FX$16="",FALSE,SUMPRODUCT((IF('Final Calculation Sheet'!$AD$4:$AD$40&lt;=5,"SETTLED","OUTSTANDING")=$FX$16)*($PU$6:$PU$42=1))&gt;0)</f>
        <v>0</v>
      </c>
      <c r="PW16">
        <f>$PW$15+--($PV16)</f>
        <v>1</v>
      </c>
      <c r="PX16" t="str">
        <f t="shared" si="137"/>
        <v/>
      </c>
      <c r="PY16">
        <f>IF(COUNTIF('Buyer Groups'!DG16:EK16,0)+COUNTIF('Buyer Groups'!EM16:EN16,0)&gt;0,0,1)</f>
        <v>1</v>
      </c>
      <c r="PZ16" t="e">
        <f>IF($FI$16="",FALSE,SUMPRODUCT(('Final Calculation Sheet'!$AF$4:$AF$40=$FI$16)*($PY$6:$PY$42=1))&gt;0)</f>
        <v>#N/A</v>
      </c>
      <c r="QA16" t="e">
        <f>$QA$15+--($PZ16)</f>
        <v>#N/A</v>
      </c>
      <c r="QB16" t="e">
        <f t="shared" si="138"/>
        <v>#N/A</v>
      </c>
      <c r="QC16">
        <f>IF(COUNTIF('Buyer Groups'!DG16:EL16,0)+COUNTIF('Buyer Groups'!EN16:EN16,0)&gt;0,0,1)</f>
        <v>1</v>
      </c>
      <c r="QD16" t="e">
        <f>IF($FN$16="",FALSE,SUMPRODUCT(('Final Calculation Sheet'!$AG$4:$AG$40=$FN$16)*($QC$6:$QC$42=1))&gt;0)</f>
        <v>#N/A</v>
      </c>
      <c r="QE16" t="e">
        <f>$QE$15+--($QD16)</f>
        <v>#N/A</v>
      </c>
      <c r="QF16" t="e">
        <f t="shared" si="139"/>
        <v>#N/A</v>
      </c>
      <c r="QG16">
        <f>IF(COUNTIF('Buyer Groups'!DG16:EM16,0)&gt;0,0,1)</f>
        <v>1</v>
      </c>
      <c r="QH16" t="e">
        <f>IF($FS$16="",FALSE,SUMPRODUCT(('Final Calculation Sheet'!$AH$4:$AH$40=$FS$16)*($QG$6:$QG$42=1))&gt;0)</f>
        <v>#N/A</v>
      </c>
      <c r="QI16" t="e">
        <f>$QI$15+--($QH16)</f>
        <v>#N/A</v>
      </c>
      <c r="QJ16" t="e">
        <f t="shared" si="140"/>
        <v>#N/A</v>
      </c>
      <c r="QK16" t="str">
        <f>IF('Final Calculation Sheet'!$AH$16="","",'Final Calculation Sheet'!$AH$16)</f>
        <v>14.08.2026</v>
      </c>
      <c r="QL16">
        <f>IF(QK16="","",COUNTIFS(QK$4:QK$40,"&lt;"&amp;QK16,QK$4:QK$40,"&lt;&gt;"&amp;"")+COUNTIF(QK$4:QK16,QK16))</f>
        <v>8</v>
      </c>
      <c r="QM16" t="str">
        <f t="shared" si="141"/>
        <v>17.08.2026</v>
      </c>
      <c r="QN16" t="e">
        <f ca="1">QN15+F(AND(QM16&lt;&gt;"",COUNTIF(QM$4:QM16,QM16)=1),1,0)</f>
        <v>#N/A</v>
      </c>
      <c r="QO16" t="e">
        <f t="shared" si="142"/>
        <v>#N/A</v>
      </c>
      <c r="QP16">
        <f>IF(COUNTIF('Final Calculation Sheet'!$AM16:$BS16,0)&gt;0,0,1)</f>
        <v>1</v>
      </c>
      <c r="QQ16" t="b">
        <f>IF($AI$16="",FALSE,SUMPRODUCT(('Final Calculation Sheet'!$A$4:$A$40=$AI$16)*($QP$4:$QP$40=1))&gt;0)</f>
        <v>1</v>
      </c>
      <c r="QR16">
        <f t="shared" si="177"/>
        <v>13</v>
      </c>
      <c r="QS16">
        <f t="shared" si="143"/>
        <v>100</v>
      </c>
      <c r="QT16">
        <f>IF(COUNTIF('Final Calculation Sheet'!$AL16:$AL16,0)+COUNTIF('Final Calculation Sheet'!$AN16:$BS16,0)&gt;0,0,1)</f>
        <v>1</v>
      </c>
      <c r="QU16" t="b">
        <f>IF($Y$16="",FALSE,SUMPRODUCT(('Final Calculation Sheet'!$B$4:$B$40=$Y$16)*($QT$4:$QT$40=1))&gt;0)</f>
        <v>1</v>
      </c>
      <c r="QV16">
        <f t="shared" si="178"/>
        <v>13</v>
      </c>
      <c r="QW16" t="str">
        <f t="shared" si="144"/>
        <v>Scrap of 33 KV CT</v>
      </c>
      <c r="QX16">
        <f>IF(COUNTIF('Final Calculation Sheet'!$AL16:$AM16,0)+COUNTIF('Final Calculation Sheet'!$AO16:$BS16,0)&gt;0,0,1)</f>
        <v>1</v>
      </c>
      <c r="QY16" t="b">
        <f>IF($AS$16="",FALSE,SUMPRODUCT(('Final Calculation Sheet'!$C$4:$C$40=$AS$16)*($QX$4:$QX$40=1))&gt;0)</f>
        <v>1</v>
      </c>
      <c r="QZ16">
        <f t="shared" si="179"/>
        <v>13</v>
      </c>
      <c r="RA16">
        <f t="shared" si="145"/>
        <v>1181</v>
      </c>
      <c r="RB16">
        <f>IF(COUNTIF('Final Calculation Sheet'!$AL16:$AN16,0)+COUNTIF('Final Calculation Sheet'!$AP16:$BS16,0)&gt;0,0,1)</f>
        <v>1</v>
      </c>
      <c r="RC16" t="b">
        <f>IF($AD$16="",FALSE,SUMPRODUCT(('Final Calculation Sheet'!$D$4:$D$40=$AD$16)*($RB$4:$RB$40=1))&gt;0)</f>
        <v>0</v>
      </c>
      <c r="RD16">
        <f t="shared" si="180"/>
        <v>4</v>
      </c>
      <c r="RE16" t="str">
        <f t="shared" si="146"/>
        <v/>
      </c>
      <c r="RF16">
        <f>IF(COUNTIF('Final Calculation Sheet'!$AL16:$AO16,0)+COUNTIF('Final Calculation Sheet'!$AQ16:$BS16,0)&gt;0,0,1)</f>
        <v>1</v>
      </c>
      <c r="RG16" t="b">
        <f>IF($AN$16="",FALSE,SUMPRODUCT(('Final Calculation Sheet'!$E$4:$E$40=$AN$16)*($RF$4:$RF$40=1))&gt;0)</f>
        <v>0</v>
      </c>
      <c r="RH16">
        <f t="shared" si="181"/>
        <v>3</v>
      </c>
      <c r="RI16" t="str">
        <f t="shared" si="147"/>
        <v/>
      </c>
      <c r="RJ16">
        <f>IF(COUNTIF('Final Calculation Sheet'!$AL16:$AP16,0)+COUNTIF('Final Calculation Sheet'!$AR16:$BS16,0)&gt;0,0,1)</f>
        <v>1</v>
      </c>
      <c r="RK16" t="b">
        <f>IF($O$16="",FALSE,SUMPRODUCT(('Final Calculation Sheet'!$F$4:$F$40=$O$16)*($RJ$4:$RJ$40=1))&gt;0)</f>
        <v>1</v>
      </c>
      <c r="RL16">
        <f t="shared" si="182"/>
        <v>13</v>
      </c>
      <c r="RM16">
        <f t="shared" si="148"/>
        <v>2011</v>
      </c>
      <c r="RN16">
        <f>IF(COUNTIF('Final Calculation Sheet'!$AL16:$AQ16,0)+COUNTIF('Final Calculation Sheet'!$AS16:$BS16,0)&gt;0,0,1)</f>
        <v>1</v>
      </c>
      <c r="RO16" t="b">
        <f>IF($T$16="",FALSE,SUMPRODUCT(('Final Calculation Sheet'!$G$4:$G$40=$T$16)*($RN$4:$RN$40=1))&gt;0)</f>
        <v>1</v>
      </c>
      <c r="RP16">
        <f t="shared" si="183"/>
        <v>13</v>
      </c>
      <c r="RQ16" t="str">
        <f t="shared" si="149"/>
        <v>WATAN SCRAP TRADERS</v>
      </c>
      <c r="RR16">
        <f>IF(COUNTIF('Final Calculation Sheet'!$AL16:$AR16,0)+COUNTIF('Final Calculation Sheet'!$AT16:$BS16,0)&gt;0,0,1)</f>
        <v>1</v>
      </c>
      <c r="RS16" t="b">
        <f>IF($AX$16="",FALSE,SUMPRODUCT(('Final Calculation Sheet'!$H$4:$H$40=$AX$16)*($RR$4:$RR$40=1))&gt;0)</f>
        <v>1</v>
      </c>
      <c r="RT16">
        <f t="shared" si="184"/>
        <v>13</v>
      </c>
      <c r="RU16">
        <f t="shared" si="150"/>
        <v>70006</v>
      </c>
      <c r="RV16">
        <f>IF(COUNTIF('Final Calculation Sheet'!$AL16:$AS16,0)+COUNTIF('Final Calculation Sheet'!$AU16:$BS16,0)&gt;0,0,1)</f>
        <v>1</v>
      </c>
      <c r="RW16" t="b">
        <f>IF($BC$16="",FALSE,SUMPRODUCT(('Final Calculation Sheet'!$I$4:$I$40=$BC$16)*($RV$4:$RV$40=1))&gt;0)</f>
        <v>1</v>
      </c>
      <c r="RX16">
        <f t="shared" si="185"/>
        <v>13</v>
      </c>
      <c r="RY16">
        <f t="shared" si="151"/>
        <v>12601</v>
      </c>
      <c r="RZ16">
        <f>IF(COUNTIF('Final Calculation Sheet'!$AL16:$AT16,0)+COUNTIF('Final Calculation Sheet'!$AV16:$BS16,0)&gt;0,0,1)</f>
        <v>1</v>
      </c>
      <c r="SA16" t="b">
        <f>IF($BH$16="",FALSE,SUMPRODUCT(('Final Calculation Sheet'!$J$4:$J$40=$BH$16)*($RZ$4:$RZ$40=1))&gt;0)</f>
        <v>1</v>
      </c>
      <c r="SB16">
        <f t="shared" si="186"/>
        <v>13</v>
      </c>
      <c r="SC16">
        <f t="shared" si="152"/>
        <v>82607</v>
      </c>
      <c r="SD16">
        <f>IF(COUNTIF('Final Calculation Sheet'!$AL16:$AU16,0)+COUNTIF('Final Calculation Sheet'!$AW16:$BS16,0)&gt;0,0,1)</f>
        <v>1</v>
      </c>
      <c r="SE16" t="b">
        <f>IF($BM$16="",FALSE,SUMPRODUCT(('Final Calculation Sheet'!$K$4:$K$40=$BM$16)*($SD$4:$SD$40=1))&gt;0)</f>
        <v>1</v>
      </c>
      <c r="SF16">
        <f t="shared" si="187"/>
        <v>13</v>
      </c>
      <c r="SG16">
        <f t="shared" si="153"/>
        <v>1652</v>
      </c>
      <c r="SH16">
        <f>IF(COUNTIF('Final Calculation Sheet'!$AL16:$AV16,0)+COUNTIF('Final Calculation Sheet'!$AX16:$BS16,0)&gt;0,0,1)</f>
        <v>1</v>
      </c>
      <c r="SI16" t="b">
        <f>IF($BR$16="",FALSE,SUMPRODUCT(('Final Calculation Sheet'!$L$4:$L$40=$BR$16)*($SH$4:$SH$40=1))&gt;0)</f>
        <v>1</v>
      </c>
      <c r="SJ16">
        <f t="shared" si="188"/>
        <v>13</v>
      </c>
      <c r="SK16">
        <f t="shared" si="154"/>
        <v>70.006</v>
      </c>
      <c r="SL16">
        <f>IF(COUNTIF('Final Calculation Sheet'!$AL16:$AW16,0)+COUNTIF('Final Calculation Sheet'!$AY16:$BS16,0)&gt;0,0,1)</f>
        <v>1</v>
      </c>
      <c r="SM16" t="b">
        <f>IF($BW$16="",FALSE,SUMPRODUCT(('Final Calculation Sheet'!$M$4:$M$40=$BW$16)*($SL$4:$SL$40=1))&gt;0)</f>
        <v>1</v>
      </c>
      <c r="SN16">
        <f t="shared" si="189"/>
        <v>13</v>
      </c>
      <c r="SO16">
        <f t="shared" si="155"/>
        <v>1858.6592999999998</v>
      </c>
      <c r="SP16">
        <f>IF(COUNTIF('Final Calculation Sheet'!$AL16:$AX16,0)+COUNTIF('Final Calculation Sheet'!$AZ16:$BS16,0)&gt;0,0,1)</f>
        <v>1</v>
      </c>
      <c r="SQ16" t="b">
        <f>IF($CB$16="",FALSE,SUMPRODUCT(('Final Calculation Sheet'!$N$4:$N$40=$CB$16)*($SP$4:$SP$40=1))&gt;0)</f>
        <v>1</v>
      </c>
      <c r="SR16">
        <f t="shared" si="190"/>
        <v>13</v>
      </c>
      <c r="SS16">
        <f t="shared" si="156"/>
        <v>31.502700000000001</v>
      </c>
      <c r="ST16">
        <f>IF(COUNTIF('Final Calculation Sheet'!$AL16:$AY16,0)+COUNTIF('Final Calculation Sheet'!$BA16:$BS16,0)&gt;0,0,1)</f>
        <v>1</v>
      </c>
      <c r="SU16" t="b">
        <f>IF($CG$16="",FALSE,SUMPRODUCT(('Final Calculation Sheet'!$O$4:$O$40=$CG$16)*($ST$4:$ST$40=1))&gt;0)</f>
        <v>1</v>
      </c>
      <c r="SV16">
        <f t="shared" si="191"/>
        <v>13</v>
      </c>
      <c r="SW16">
        <f t="shared" si="157"/>
        <v>1827.1565999999998</v>
      </c>
      <c r="SX16">
        <f>IF(COUNTIF('Final Calculation Sheet'!$AL16:$AZ16,0)+COUNTIF('Final Calculation Sheet'!$BB16:$BS16,0)&gt;0,0,1)</f>
        <v>1</v>
      </c>
      <c r="SY16" t="b">
        <f>IF($CL$16="",FALSE,SUMPRODUCT(('Final Calculation Sheet'!$P$4:$P$40=$CL$16)*($SX$4:$SX$40=1))&gt;0)</f>
        <v>1</v>
      </c>
      <c r="SZ16">
        <f t="shared" si="192"/>
        <v>13</v>
      </c>
      <c r="TA16">
        <f t="shared" si="158"/>
        <v>1897</v>
      </c>
      <c r="TB16">
        <f>IF(COUNTIF('Final Calculation Sheet'!$AL16:$BA16,0)+COUNTIF('Final Calculation Sheet'!$BC16:$BS16,0)&gt;0,0,1)</f>
        <v>1</v>
      </c>
      <c r="TC16" t="b">
        <f>IF($CQ$16="",FALSE,SUMPRODUCT(('Final Calculation Sheet'!$Q$4:$Q$40=$CQ$16)*($TB$4:$TB$40=1))&gt;0)</f>
        <v>0</v>
      </c>
      <c r="TD16">
        <f t="shared" si="193"/>
        <v>2</v>
      </c>
      <c r="TE16" t="str">
        <f t="shared" si="159"/>
        <v/>
      </c>
      <c r="TF16">
        <f>IF(COUNTIF('Final Calculation Sheet'!$AL16:$BB16,0)+COUNTIF('Final Calculation Sheet'!$BD16:$BS16,0)&gt;0,0,1)</f>
        <v>1</v>
      </c>
      <c r="TG16" t="b">
        <f>IF($CV$16="",FALSE,SUMPRODUCT(('Final Calculation Sheet'!$R$4:$R$40=$CV$16)*($TF$4:$TF$40=1))&gt;0)</f>
        <v>0</v>
      </c>
      <c r="TH16">
        <f t="shared" si="194"/>
        <v>5</v>
      </c>
      <c r="TI16" t="str">
        <f t="shared" si="160"/>
        <v/>
      </c>
      <c r="TJ16">
        <f>IF(COUNTIF('Final Calculation Sheet'!$AL16:$BC16,0)+COUNTIF('Final Calculation Sheet'!$BE16:$BS16,0)&gt;0,0,1)</f>
        <v>1</v>
      </c>
      <c r="TK16" t="b">
        <f>IF($DA$16="",FALSE,SUMPRODUCT(('Final Calculation Sheet'!$S$4:$S$40=$DA$16)*($TJ$4:$TJ$40=1))&gt;0)</f>
        <v>1</v>
      </c>
      <c r="TL16">
        <f t="shared" si="195"/>
        <v>13</v>
      </c>
      <c r="TM16">
        <f t="shared" si="161"/>
        <v>82362</v>
      </c>
      <c r="TN16">
        <f>IF(COUNTIF('Final Calculation Sheet'!$AL16:$BD16,0)+COUNTIF('Final Calculation Sheet'!$BF16:$BS16,0)&gt;0,0,1)</f>
        <v>1</v>
      </c>
      <c r="TO16" t="b">
        <f>IF($DF$16="",FALSE,SUMPRODUCT(('Final Calculation Sheet'!$T$4:$T$40=$DF$16)*($TN$4:$TN$40=1))&gt;0)</f>
        <v>1</v>
      </c>
      <c r="TP16">
        <f t="shared" si="196"/>
        <v>13</v>
      </c>
      <c r="TQ16">
        <f t="shared" si="162"/>
        <v>17502</v>
      </c>
      <c r="TR16">
        <f>IF(COUNTIF('Final Calculation Sheet'!$AL16:$BE16,0)+COUNTIF('Final Calculation Sheet'!$BG16:$BS16,0)&gt;0,0,1)</f>
        <v>1</v>
      </c>
      <c r="TS16" t="b">
        <f>IF($DK$16="",FALSE,SUMPRODUCT(('Final Calculation Sheet'!$U$4:$U$40=$DK$16)*($TR$4:$TR$40=1))&gt;0)</f>
        <v>1</v>
      </c>
      <c r="TT16">
        <f t="shared" si="197"/>
        <v>13</v>
      </c>
      <c r="TU16">
        <f t="shared" si="163"/>
        <v>17502</v>
      </c>
      <c r="TV16">
        <f>IF(COUNTIF('Final Calculation Sheet'!$AL16:$BF16,0)+COUNTIF('Final Calculation Sheet'!$BH16:$BS16,0)&gt;0,0,1)</f>
        <v>1</v>
      </c>
      <c r="TW16" t="b">
        <f>IF($DP$16="",FALSE,SUMPRODUCT(('Final Calculation Sheet'!$V$4:$V$40=$DP$16)*($TV$4:$TV$40=1))&gt;0)</f>
        <v>0</v>
      </c>
      <c r="TX16">
        <f t="shared" si="198"/>
        <v>6</v>
      </c>
      <c r="TY16" t="str">
        <f t="shared" si="164"/>
        <v/>
      </c>
      <c r="TZ16">
        <f>IF(COUNTIF('Final Calculation Sheet'!$AL16:$BG16,0)+COUNTIF('Final Calculation Sheet'!$BI16:$BS16,0)&gt;0,0,1)</f>
        <v>1</v>
      </c>
      <c r="UA16" t="b">
        <f>IF($DU$16="",FALSE,SUMPRODUCT(('Final Calculation Sheet'!$W$4:$W$40=$DU$16)*($TZ$4:$TZ$40=1))&gt;0)</f>
        <v>1</v>
      </c>
      <c r="UB16">
        <f t="shared" si="199"/>
        <v>13</v>
      </c>
      <c r="UC16">
        <f t="shared" si="165"/>
        <v>64861</v>
      </c>
      <c r="UD16">
        <f>IF(COUNTIF('Final Calculation Sheet'!$AL16:$BH16,0)+COUNTIF('Final Calculation Sheet'!$BJ16:$BS16,0)&gt;0,0,1)</f>
        <v>1</v>
      </c>
      <c r="UE16" t="e">
        <f>IF($DZ$16="",FALSE,SUMPRODUCT(('Final Calculation Sheet'!$X$4:$X$40=$DZ$16)*($UD$4:$UD$40=1))&gt;0)</f>
        <v>#N/A</v>
      </c>
      <c r="UF16" t="e">
        <f t="shared" si="200"/>
        <v>#N/A</v>
      </c>
      <c r="UG16" t="e">
        <f t="shared" si="166"/>
        <v>#N/A</v>
      </c>
      <c r="UH16">
        <f>IF(COUNTIF('Final Calculation Sheet'!$AL16:$BI16,0)+COUNTIF('Final Calculation Sheet'!$BK16:$BS16,0)&gt;0,0,1)</f>
        <v>1</v>
      </c>
      <c r="UI16" t="e">
        <f>IF($EE$16="",FALSE,SUMPRODUCT(('Final Calculation Sheet'!$Y$4:$Y$40=$EE$16)*($UH$4:$UH$40=1))&gt;0)</f>
        <v>#N/A</v>
      </c>
      <c r="UJ16" t="e">
        <f t="shared" si="201"/>
        <v>#N/A</v>
      </c>
      <c r="UK16" t="e">
        <f t="shared" si="167"/>
        <v>#N/A</v>
      </c>
      <c r="UL16">
        <f>IF(COUNTIF('Final Calculation Sheet'!$AL16:$BJ16,0)+COUNTIF('Final Calculation Sheet'!$BL16:$BS16,0)&gt;0,0,1)</f>
        <v>1</v>
      </c>
      <c r="UM16" t="b">
        <f ca="1">IF($EJ$16="",FALSE,SUMPRODUCT(('Final Calculation Sheet'!$Z$4:$Z$40=$EJ$16)*($UL$4:$UL$40=1))&gt;0)</f>
        <v>1</v>
      </c>
      <c r="UN16">
        <f t="shared" ca="1" si="202"/>
        <v>13</v>
      </c>
      <c r="UO16">
        <f t="shared" ca="1" si="168"/>
        <v>2478.2123999999999</v>
      </c>
      <c r="UP16">
        <f>IF(COUNTIF('Final Calculation Sheet'!$AL16:$BK16,0)+COUNTIF('Final Calculation Sheet'!$BM16:$BS16,0)&gt;0,0,1)</f>
        <v>1</v>
      </c>
      <c r="UQ16" t="e">
        <f>IF($EO$16="",FALSE,SUMPRODUCT(('Final Calculation Sheet'!$AA$4:$AA$40=$EO$16)*($UP$4:$UP$40=1))&gt;0)</f>
        <v>#N/A</v>
      </c>
      <c r="UR16" t="e">
        <f t="shared" si="203"/>
        <v>#N/A</v>
      </c>
      <c r="US16" t="e">
        <f t="shared" si="169"/>
        <v>#N/A</v>
      </c>
      <c r="UT16">
        <f>IF(COUNTIF('Final Calculation Sheet'!$AL16:$BL16,0)+COUNTIF('Final Calculation Sheet'!$BN16:$BS16,0)&gt;0,0,1)</f>
        <v>1</v>
      </c>
      <c r="UU16" t="e">
        <f>IF($ET$16="",FALSE,SUMPRODUCT(('Final Calculation Sheet'!$AB$4:$AB$40=$ET$16)*($UT$4:$UT$40=1))&gt;0)</f>
        <v>#N/A</v>
      </c>
      <c r="UV16" t="e">
        <f t="shared" si="204"/>
        <v>#N/A</v>
      </c>
      <c r="UW16" t="e">
        <f t="shared" si="170"/>
        <v>#N/A</v>
      </c>
      <c r="UX16">
        <f>IF(COUNTIF('Final Calculation Sheet'!$AL16:$BM16,0)+COUNTIF('Final Calculation Sheet'!$BO16:$BS16,0)&gt;0,0,1)</f>
        <v>1</v>
      </c>
      <c r="UY16" t="b">
        <f>IF($EY$16="",FALSE,SUMPRODUCT(('Final Calculation Sheet'!$AC$4:$AC$40=$EY$16)*($UX$4:$UX$40=1))&gt;0)</f>
        <v>1</v>
      </c>
      <c r="UZ16">
        <f t="shared" si="205"/>
        <v>13</v>
      </c>
      <c r="VA16">
        <f t="shared" si="171"/>
        <v>76481</v>
      </c>
      <c r="VB16">
        <f>IF(COUNTIF('Final Calculation Sheet'!$AL16:$BN16,0)+COUNTIF('Final Calculation Sheet'!$BP16:$BS16,0)&gt;0,0,1)</f>
        <v>1</v>
      </c>
      <c r="VC16" t="b">
        <f>IF($FD$16="",FALSE,SUMPRODUCT(('Final Calculation Sheet'!$AD$4:$AD$40=$FD$16)*($VB$4:$VB$40=1))&gt;0)</f>
        <v>0</v>
      </c>
      <c r="VD16">
        <f t="shared" si="206"/>
        <v>11</v>
      </c>
      <c r="VE16" t="str">
        <f t="shared" si="172"/>
        <v/>
      </c>
      <c r="VF16">
        <f>IF(COUNTIF('Final Calculation Sheet'!$AL16:$BO16,0)+COUNTIF('Final Calculation Sheet'!$BQ16:$BS16,0)&gt;0,0,1)</f>
        <v>1</v>
      </c>
      <c r="VG16" t="e">
        <f>IF($FI$16="",FALSE,SUMPRODUCT(('Final Calculation Sheet'!$AE$4:$AE$40=$FI$16)*($VF$4:$VF$40=1))&gt;0)</f>
        <v>#N/A</v>
      </c>
      <c r="VH16" t="e">
        <f t="shared" si="207"/>
        <v>#N/A</v>
      </c>
      <c r="VI16" t="e">
        <f t="shared" si="173"/>
        <v>#N/A</v>
      </c>
      <c r="VJ16">
        <f>IF(COUNTIF('Final Calculation Sheet'!$AL16:$BP16,0)+COUNTIF('Final Calculation Sheet'!$BR16:$BS16,0)&gt;0,0,1)</f>
        <v>1</v>
      </c>
      <c r="VK16" t="e">
        <f>IF($FN$16="",FALSE,SUMPRODUCT(('Final Calculation Sheet'!$AF$4:$AF$40=$FN$16)*($VJ$4:$VJ$40=1))&gt;0)</f>
        <v>#N/A</v>
      </c>
      <c r="VL16" t="e">
        <f t="shared" si="208"/>
        <v>#N/A</v>
      </c>
      <c r="VM16" t="e">
        <f t="shared" si="174"/>
        <v>#N/A</v>
      </c>
      <c r="VN16">
        <f>IF(COUNTIF('Final Calculation Sheet'!$AL16:$BQ16,0)+COUNTIF('Final Calculation Sheet'!$BS16:$BS16,0)&gt;0,0,1)</f>
        <v>1</v>
      </c>
      <c r="VO16" t="e">
        <f>IF($FS$16="",FALSE,SUMPRODUCT(('Final Calculation Sheet'!$AG$4:$AG$40=$FS$16)*($VN$4:$VN$40=1))&gt;0)</f>
        <v>#N/A</v>
      </c>
      <c r="VP16" t="e">
        <f t="shared" si="209"/>
        <v>#N/A</v>
      </c>
      <c r="VQ16" t="e">
        <f t="shared" si="175"/>
        <v>#N/A</v>
      </c>
      <c r="VR16">
        <f>IF(COUNTIF('Final Calculation Sheet'!$AL16:$BR16,0)&gt;0,0,1)</f>
        <v>1</v>
      </c>
      <c r="VS16" t="e">
        <f>IF($QO$16="",FALSE,SUMPRODUCT(('Final Calculation Sheet'!$AH$4:$AH$40=$QO$16)*($VR$4:$VR$40=1))&gt;0)</f>
        <v>#N/A</v>
      </c>
      <c r="VT16" t="e">
        <f t="shared" si="210"/>
        <v>#N/A</v>
      </c>
      <c r="VU16" t="e">
        <f t="shared" si="176"/>
        <v>#N/A</v>
      </c>
    </row>
    <row r="17" spans="1:593" x14ac:dyDescent="0.3">
      <c r="A17">
        <f>IF('Final Calculation Sheet'!$F$17="","",'Final Calculation Sheet'!$F$17)</f>
        <v>2015</v>
      </c>
      <c r="B17">
        <f>IF(A17="","",COUNTIFS(A$4:A$114,"&lt;"&amp;A17,A$4:A$114,"&lt;&gt;"&amp;"")+COUNTIF(A$4:A17,A17))</f>
        <v>14</v>
      </c>
      <c r="C17">
        <f t="shared" si="0"/>
        <v>2015</v>
      </c>
      <c r="D17">
        <f>D16+IF(AND(C17&lt;&gt;"",COUNTIF(C$4:C17,C17)=1),1,0)</f>
        <v>14</v>
      </c>
      <c r="E17" t="e">
        <f t="shared" si="1"/>
        <v>#N/A</v>
      </c>
      <c r="F17">
        <f t="shared" si="2"/>
        <v>14</v>
      </c>
      <c r="G17">
        <f>IF(F17="","",COUNTIFS(F$4:F$40,"&lt;"&amp;F17,F$4:F$40,"&lt;&gt;"&amp;"")+COUNTIF(F$4:F17,F17))</f>
        <v>14</v>
      </c>
      <c r="H17">
        <f t="shared" si="3"/>
        <v>14</v>
      </c>
      <c r="I17">
        <f>I16+IF(AND(H17&lt;&gt;"",COUNTIF(H$4:H17,H17)=1),1,0)</f>
        <v>14</v>
      </c>
      <c r="J17">
        <f t="shared" si="4"/>
        <v>14</v>
      </c>
      <c r="K17">
        <f>IF('Final Calculation Sheet'!$F$17="","",'Final Calculation Sheet'!$F$17)</f>
        <v>2015</v>
      </c>
      <c r="L17">
        <f>IF(K17="","",COUNTIFS(K$4:K$40,"&lt;"&amp;K17,K$4:K$40,"&lt;&gt;"&amp;"")+COUNTIF(K$4:K17,K17))</f>
        <v>14</v>
      </c>
      <c r="M17">
        <f t="shared" si="5"/>
        <v>2015</v>
      </c>
      <c r="N17">
        <f>N16+IF(AND(M17&lt;&gt;"",COUNTIF(M$4:M17,M17)=1),1,0)</f>
        <v>14</v>
      </c>
      <c r="O17">
        <f t="shared" si="6"/>
        <v>2015</v>
      </c>
      <c r="P17" t="str">
        <f>IF('Final Calculation Sheet'!$G$17="","",'Final Calculation Sheet'!$G$17)</f>
        <v>STERLING ENTERPRISES</v>
      </c>
      <c r="Q17">
        <f>IF(P17="","",COUNTIFS(P$4:P$40,"&lt;"&amp;P17,P$4:P$40,"&lt;&gt;"&amp;"")+COUNTIF(P$4:P17,P17))</f>
        <v>30</v>
      </c>
      <c r="R17" t="str">
        <f t="shared" si="7"/>
        <v>NATIONAL ENTERPRISES</v>
      </c>
      <c r="S17">
        <f>S16+IF(AND(R17&lt;&gt;"",COUNTIF(R$4:R17,R17)=1),1,0)</f>
        <v>6</v>
      </c>
      <c r="T17" t="str">
        <f t="shared" si="8"/>
        <v/>
      </c>
      <c r="U17" t="str">
        <f>IF('Final Calculation Sheet'!$B$17="","",'Final Calculation Sheet'!$B$17)</f>
        <v>Scrap of empty oil Barrels</v>
      </c>
      <c r="V17">
        <f>IF(U17="","",COUNTIFS(U$4:U$40,"&lt;"&amp;U17,U$4:U$40,"&lt;&gt;"&amp;"")+COUNTIF(U$4:U17,U17))</f>
        <v>27</v>
      </c>
      <c r="W17" t="str">
        <f t="shared" si="9"/>
        <v>Scrap of 145 KV CB</v>
      </c>
      <c r="X17">
        <f>X16+IF(AND(W17&lt;&gt;"",COUNTIF(W$4:W17,W17)=1),1,0)</f>
        <v>8</v>
      </c>
      <c r="Y17" t="str">
        <f t="shared" si="10"/>
        <v>Scrap of 33 KV GCB</v>
      </c>
      <c r="Z17">
        <f>IF('Final Calculation Sheet'!$D$17="","",'Final Calculation Sheet'!$D$17)</f>
        <v>21978</v>
      </c>
      <c r="AA17">
        <f>IF(Z17="","",COUNTIFS(Z$4:Z$40,"&lt;"&amp;Z17,Z$4:Z$40,"&lt;&gt;"&amp;"")+COUNTIF(Z$4:Z17,Z17))</f>
        <v>12</v>
      </c>
      <c r="AB17">
        <f t="shared" si="11"/>
        <v>21978</v>
      </c>
      <c r="AC17">
        <f>AC16+IF(AND(AB17&lt;&gt;"",COUNTIF(AB$4:AB17,AB17)=1),1,0)</f>
        <v>2</v>
      </c>
      <c r="AD17" t="str">
        <f t="shared" si="12"/>
        <v/>
      </c>
      <c r="AE17">
        <f>IF('Final Calculation Sheet'!$A$17="","",'Final Calculation Sheet'!$A$17)</f>
        <v>100</v>
      </c>
      <c r="AF17">
        <f>IF(AE17="","",COUNTIFS(AE$4:AE$40,"&lt;"&amp;AE17,AE$4:AE$40,"&lt;&gt;"&amp;"")+COUNTIF(AE$4:AE17,AE17))</f>
        <v>28</v>
      </c>
      <c r="AG17">
        <f t="shared" si="13"/>
        <v>3</v>
      </c>
      <c r="AH17">
        <f>AH16+IF(AND(AG17&lt;&gt;"",COUNTIF(AG$4:AG17,AG17)=1),1,0)</f>
        <v>3</v>
      </c>
      <c r="AI17">
        <f t="shared" si="14"/>
        <v>150</v>
      </c>
      <c r="AJ17" t="str">
        <f>IF('Final Calculation Sheet'!$E$17="","",'Final Calculation Sheet'!$E$17)</f>
        <v>NO</v>
      </c>
      <c r="AK17">
        <f>IF(AJ17="","",COUNTIFS(AJ$4:AJ$40,"&lt;"&amp;AJ17,AJ$4:AJ$40,"&lt;&gt;"&amp;"")+COUNTIF(AJ$4:AJ17,AJ17))</f>
        <v>17</v>
      </c>
      <c r="AL17" t="str">
        <f t="shared" si="15"/>
        <v>NO</v>
      </c>
      <c r="AM17">
        <f>AM16+IF(AND(AL17&lt;&gt;"",COUNTIF(AL$4:AL17,AL17)=1),1,0)</f>
        <v>3</v>
      </c>
      <c r="AN17" t="str">
        <f t="shared" si="16"/>
        <v/>
      </c>
      <c r="AO17" s="50">
        <f>IF('Final Calculation Sheet'!$C$17="","",'Final Calculation Sheet'!$C$17)</f>
        <v>710</v>
      </c>
      <c r="AP17">
        <f>IF(AO17="","",COUNTIFS(AO$4:AO$40,"&lt;"&amp;AO17,AO$4:AO$40,"&lt;&gt;"&amp;"")+COUNTIF(AO$4:AO17,AO17))</f>
        <v>14</v>
      </c>
      <c r="AQ17" s="50">
        <f t="shared" si="17"/>
        <v>710</v>
      </c>
      <c r="AR17">
        <f>AR16+IF(AND(AQ17&lt;&gt;"",COUNTIF(AQ$4:AQ17,AQ17)=1),1,0)</f>
        <v>12</v>
      </c>
      <c r="AS17" s="50">
        <f t="shared" si="18"/>
        <v>1456</v>
      </c>
      <c r="AT17" s="50">
        <f>IF('Final Calculation Sheet'!$H$17="","",'Final Calculation Sheet'!$H$17)</f>
        <v>71000</v>
      </c>
      <c r="AU17">
        <f>IF(AT17="","",COUNTIFS(AT$4:AT$40,"&lt;"&amp;AT17,AT$4:AT$40,"&lt;&gt;"&amp;"")+COUNTIF(AT$4:AT17,AT17))</f>
        <v>14</v>
      </c>
      <c r="AV17" s="50">
        <f t="shared" si="19"/>
        <v>71000</v>
      </c>
      <c r="AW17">
        <f>AW16+IF(AND(AV17&lt;&gt;"",COUNTIF(AV$4:AV17,AV17)=1),1,0)</f>
        <v>14</v>
      </c>
      <c r="AX17" s="50">
        <f t="shared" si="20"/>
        <v>71000</v>
      </c>
      <c r="AY17" s="50">
        <f>IF('Final Calculation Sheet'!$I$17="","",'Final Calculation Sheet'!$I$17)</f>
        <v>12780</v>
      </c>
      <c r="AZ17">
        <f>IF(AY17="","",COUNTIFS(AY$4:AY$40,"&lt;"&amp;AY17,AY$4:AY$40,"&lt;&gt;"&amp;"")+COUNTIF(AY$4:AY17,AY17))</f>
        <v>14</v>
      </c>
      <c r="BA17" s="50">
        <f t="shared" si="21"/>
        <v>12780</v>
      </c>
      <c r="BB17">
        <f>BB16+IF(AND(BA17&lt;&gt;"",COUNTIF(BA$4:BA17,BA17)=1),1,0)</f>
        <v>14</v>
      </c>
      <c r="BC17" s="50">
        <f t="shared" si="22"/>
        <v>12780</v>
      </c>
      <c r="BD17" s="50">
        <f>IF('Final Calculation Sheet'!$J$17="","",'Final Calculation Sheet'!$J$17)</f>
        <v>83780</v>
      </c>
      <c r="BE17">
        <f>IF(BD17="","",COUNTIFS(BD$4:BD$40,"&lt;"&amp;BD17,BD$4:BD$40,"&lt;&gt;"&amp;"")+COUNTIF(BD$4:BD17,BD17))</f>
        <v>14</v>
      </c>
      <c r="BF17" s="50">
        <f t="shared" si="23"/>
        <v>83780</v>
      </c>
      <c r="BG17">
        <f>BG16+IF(AND(BF17&lt;&gt;"",COUNTIF(BF$4:BF17,BF17)=1),1,0)</f>
        <v>14</v>
      </c>
      <c r="BH17" s="50">
        <f t="shared" si="24"/>
        <v>83780</v>
      </c>
      <c r="BI17" s="50">
        <f>IF('Final Calculation Sheet'!$K$17="","",'Final Calculation Sheet'!$K$17)</f>
        <v>1676</v>
      </c>
      <c r="BJ17">
        <f>IF(BI17="","",COUNTIFS(BI$4:BI$40,"&lt;"&amp;BI17,BI$4:BI$40,"&lt;&gt;"&amp;"")+COUNTIF(BI$4:BI17,BI17))</f>
        <v>14</v>
      </c>
      <c r="BK17" s="50">
        <f t="shared" si="25"/>
        <v>1676</v>
      </c>
      <c r="BL17">
        <f>BL16+IF(AND(BK17&lt;&gt;"",COUNTIF(BK$4:BK17,BK17)=1),1,0)</f>
        <v>14</v>
      </c>
      <c r="BM17" s="50">
        <f t="shared" si="26"/>
        <v>1676</v>
      </c>
      <c r="BN17" s="50">
        <f>IF('Final Calculation Sheet'!$L$17="","",'Final Calculation Sheet'!$L$17)</f>
        <v>71</v>
      </c>
      <c r="BO17">
        <f>IF(BN17="","",COUNTIFS(BN$4:BN$40,"&lt;"&amp;BN17,BN$4:BN$40,"&lt;&gt;"&amp;"")+COUNTIF(BN$4:BN17,BN17))</f>
        <v>14</v>
      </c>
      <c r="BP17" s="50">
        <f t="shared" si="27"/>
        <v>71</v>
      </c>
      <c r="BQ17">
        <f>BQ16+IF(AND(BP17&lt;&gt;"",COUNTIF(BP$4:BP17,BP17)=1),1,0)</f>
        <v>14</v>
      </c>
      <c r="BR17" s="50">
        <f t="shared" si="28"/>
        <v>71</v>
      </c>
      <c r="BS17" s="50">
        <f>IF('Final Calculation Sheet'!$M$17="","",'Final Calculation Sheet'!$M$17)</f>
        <v>1885.05</v>
      </c>
      <c r="BT17">
        <f>IF(BS17="","",COUNTIFS(BS$4:BS$40,"&lt;"&amp;BS17,BS$4:BS$40,"&lt;&gt;"&amp;"")+COUNTIF(BS$4:BS17,BS17))</f>
        <v>14</v>
      </c>
      <c r="BU17" s="50">
        <f t="shared" si="29"/>
        <v>1885.05</v>
      </c>
      <c r="BV17">
        <f>BV16+IF(AND(BU17&lt;&gt;"",COUNTIF(BU$4:BU17,BU17)=1),1,0)</f>
        <v>14</v>
      </c>
      <c r="BW17" s="50">
        <f t="shared" si="30"/>
        <v>1885.05</v>
      </c>
      <c r="BX17" s="126">
        <f>IF('Final Calculation Sheet'!$N$17="","",'Final Calculation Sheet'!$N$17)</f>
        <v>31.95</v>
      </c>
      <c r="BY17">
        <f>IF(BX17="","",COUNTIFS(BX$4:BX$40,"&lt;"&amp;BX17,BX$4:BX$40,"&lt;&gt;"&amp;"")+COUNTIF(BX$4:BX17,BX17))</f>
        <v>14</v>
      </c>
      <c r="BZ17" s="126">
        <f t="shared" si="31"/>
        <v>31.95</v>
      </c>
      <c r="CA17">
        <f>CA16+IF(AND(BZ17&lt;&gt;"",COUNTIF(BZ$4:BZ17,BZ17)=1),1,0)</f>
        <v>14</v>
      </c>
      <c r="CB17" s="126">
        <f t="shared" si="32"/>
        <v>31.95</v>
      </c>
      <c r="CC17" s="50">
        <f>IF('Final Calculation Sheet'!$O$17="","",'Final Calculation Sheet'!$O$17)</f>
        <v>1853.1</v>
      </c>
      <c r="CD17">
        <f>IF(CC17="","",COUNTIFS(CC$4:CC$40,"&lt;"&amp;CC17,CC$4:CC$40,"&lt;&gt;"&amp;"")+COUNTIF(CC$4:CC17,CC17))</f>
        <v>14</v>
      </c>
      <c r="CE17" s="50">
        <f t="shared" si="33"/>
        <v>1853.1</v>
      </c>
      <c r="CF17">
        <f>CF16+IF(AND(CE17&lt;&gt;"",COUNTIF(CE$4:CE17,CE17)=1),1,0)</f>
        <v>14</v>
      </c>
      <c r="CG17" s="50">
        <f t="shared" si="34"/>
        <v>1853.1</v>
      </c>
      <c r="CH17" s="50">
        <f>IF('Final Calculation Sheet'!$P$17="","",'Final Calculation Sheet'!$P$17)</f>
        <v>1924</v>
      </c>
      <c r="CI17">
        <f>IF(CH17="","",COUNTIFS(CH$4:CH$40,"&lt;"&amp;CH17,CH$4:CH$40,"&lt;&gt;"&amp;"")+COUNTIF(CH$4:CH17,CH17))</f>
        <v>14</v>
      </c>
      <c r="CJ17" s="50">
        <f t="shared" si="35"/>
        <v>1924</v>
      </c>
      <c r="CK17">
        <f>CK16+IF(AND(CJ17&lt;&gt;"",COUNTIF(CJ$4:CJ17,CJ17)=1),1,0)</f>
        <v>14</v>
      </c>
      <c r="CL17" s="50">
        <f t="shared" si="36"/>
        <v>1924</v>
      </c>
      <c r="CM17" s="127">
        <f>IF('Final Calculation Sheet'!$Q$17="","",'Final Calculation Sheet'!$Q$17)</f>
        <v>0</v>
      </c>
      <c r="CN17">
        <f>IF(CM17="","",COUNTIFS(CM$4:CM$40,"&lt;"&amp;CM17,CM$4:CM$40,"&lt;&gt;"&amp;"")+COUNTIF(CM$4:CM17,CM17))</f>
        <v>12</v>
      </c>
      <c r="CO17" s="127">
        <f t="shared" si="37"/>
        <v>0</v>
      </c>
      <c r="CP17">
        <f>CP16+IF(AND(CO17&lt;&gt;"",COUNTIF(CO$4:CO17,CO17)=1),1,0)</f>
        <v>1</v>
      </c>
      <c r="CQ17" t="str">
        <f t="shared" si="38"/>
        <v/>
      </c>
      <c r="CR17" s="50">
        <f>IF('Final Calculation Sheet'!$R$17="","",'Final Calculation Sheet'!$R$17)</f>
        <v>0</v>
      </c>
      <c r="CS17">
        <f>IF(CR17="","",COUNTIFS(CR$4:CR$40,"&lt;"&amp;CR17,CR$4:CR$40,"&lt;&gt;"&amp;"")+COUNTIF(CR$4:CR17,CR17))</f>
        <v>12</v>
      </c>
      <c r="CT17" s="50">
        <f t="shared" si="39"/>
        <v>0</v>
      </c>
      <c r="CU17">
        <f>CU16+IF(AND(CT17&lt;&gt;"",COUNTIF(CT$4:CT17,CT17)=1),1,0)</f>
        <v>1</v>
      </c>
      <c r="CV17" t="str">
        <f t="shared" si="40"/>
        <v/>
      </c>
      <c r="CW17" s="50">
        <f>IF('Final Calculation Sheet'!$S$17="","",'Final Calculation Sheet'!$S$17)</f>
        <v>83532</v>
      </c>
      <c r="CX17">
        <f>IF(CW17="","",COUNTIFS(CW$4:CW$40,"&lt;"&amp;CW17,CW$4:CW$40,"&lt;&gt;"&amp;"")+COUNTIF(CW$4:CW17,CW17))</f>
        <v>14</v>
      </c>
      <c r="CY17" s="50">
        <f t="shared" si="41"/>
        <v>83532</v>
      </c>
      <c r="CZ17">
        <f>CZ16+IF(AND(CY17&lt;&gt;"",COUNTIF(CY$4:CY17,CY17)=1),1,0)</f>
        <v>14</v>
      </c>
      <c r="DA17" s="50">
        <f t="shared" si="42"/>
        <v>83532</v>
      </c>
      <c r="DB17" s="50">
        <f>IF('Final Calculation Sheet'!$T$17="","",'Final Calculation Sheet'!$T$17)</f>
        <v>17750</v>
      </c>
      <c r="DC17">
        <f>IF(DB17="","",COUNTIFS(DB$4:DB$40,"&lt;"&amp;DB17,DB$4:DB$40,"&lt;&gt;"&amp;"")+COUNTIF(DB$4:DB17,DB17))</f>
        <v>14</v>
      </c>
      <c r="DD17" s="50">
        <f t="shared" si="43"/>
        <v>17750</v>
      </c>
      <c r="DE17">
        <f>DE16+IF(AND(DD17&lt;&gt;"",COUNTIF(DD$4:DD17,DD17)=1),1,0)</f>
        <v>14</v>
      </c>
      <c r="DF17" s="50">
        <f t="shared" si="44"/>
        <v>17750</v>
      </c>
      <c r="DG17" s="128">
        <f>IF('Final Calculation Sheet'!$U$17="","",'Final Calculation Sheet'!$U$17)</f>
        <v>17750</v>
      </c>
      <c r="DH17">
        <f>IF(DG17="","",COUNTIFS(DG$4:DG$40,"&lt;"&amp;DG17,DG$4:DG$40,"&lt;&gt;"&amp;"")+COUNTIF(DG$4:DG17,DG17))</f>
        <v>14</v>
      </c>
      <c r="DI17" s="128">
        <f t="shared" si="45"/>
        <v>17750</v>
      </c>
      <c r="DJ17">
        <f>DJ16+IF(AND(DI17&lt;&gt;"",COUNTIF(DI$4:DI17,DI17)=1),1,0)</f>
        <v>14</v>
      </c>
      <c r="DK17" s="128">
        <f t="shared" si="46"/>
        <v>17750</v>
      </c>
      <c r="DL17" t="str">
        <f>IF('Final Calculation Sheet'!$V$17="","",'Final Calculation Sheet'!$V$17)</f>
        <v>11.08.2026</v>
      </c>
      <c r="DM17">
        <f>IF(DL17="","",COUNTIFS(DL$4:DL$40,"&lt;"&amp;DL17,DL$4:DL$40,"&lt;&gt;"&amp;"")+COUNTIF(DL$4:DL17,DL17))</f>
        <v>6</v>
      </c>
      <c r="DN17" t="str">
        <f t="shared" si="47"/>
        <v>13.08.2026</v>
      </c>
      <c r="DO17">
        <f>DO16+IF(AND(DN17&lt;&gt;"",COUNTIF(DN$4:DN17,DN17)=1),1,0)</f>
        <v>3</v>
      </c>
      <c r="DP17" t="str">
        <f t="shared" si="48"/>
        <v/>
      </c>
      <c r="DQ17" s="50">
        <f>IF('Final Calculation Sheet'!$W$17="","",'Final Calculation Sheet'!$W$17)</f>
        <v>65782</v>
      </c>
      <c r="DR17">
        <f>IF(DQ17="","",COUNTIFS(DQ$4:DQ$40,"&lt;"&amp;DQ17,DQ$4:DQ$40,"&lt;&gt;"&amp;"")+COUNTIF(DQ$4:DQ17,DQ17))</f>
        <v>14</v>
      </c>
      <c r="DS17" s="50">
        <f t="shared" si="49"/>
        <v>65782</v>
      </c>
      <c r="DT17">
        <f>DT16+IF(AND(DS17&lt;&gt;"",COUNTIF(DS$4:DS17,DS17)=1),1,0)</f>
        <v>14</v>
      </c>
      <c r="DU17" s="50">
        <f t="shared" si="50"/>
        <v>65782</v>
      </c>
      <c r="DV17" s="50">
        <f>IF('Final Calculation Sheet'!$X$17="","",'Final Calculation Sheet'!$X$17)</f>
        <v>65782</v>
      </c>
      <c r="DW17">
        <f>IF(DV17="","",COUNTIFS(DV$4:DV$40,"&lt;"&amp;DV17,DV$4:DV$40,"&lt;&gt;"&amp;"")+COUNTIF(DV$4:DV17,DV17))</f>
        <v>13</v>
      </c>
      <c r="DX17" s="50">
        <f t="shared" si="51"/>
        <v>69491</v>
      </c>
      <c r="DY17">
        <f>DY16+IF(AND(DX17&lt;&gt;"",COUNTIF(DX$4:DX17,DX17)=1),1,0)</f>
        <v>14</v>
      </c>
      <c r="DZ17" t="e">
        <f t="shared" si="52"/>
        <v>#N/A</v>
      </c>
      <c r="EA17" t="str">
        <f>IF('Final Calculation Sheet'!$Y$17="","",'Final Calculation Sheet'!$Y$17)</f>
        <v>11.08.2026</v>
      </c>
      <c r="EB17">
        <f>IF(EA17="","",COUNTIFS(EA$4:EA$40,"&lt;"&amp;EA17,EA$4:EA$40,"&lt;&gt;"&amp;"")+COUNTIF(EA$4:EA17,EA17))</f>
        <v>6</v>
      </c>
      <c r="EC17" t="str">
        <f t="shared" si="53"/>
        <v>20.08.2026</v>
      </c>
      <c r="ED17">
        <f>ED16+IF(AND(EC17&lt;&gt;"",COUNTIF(EC$4:EC17,EC17)=1),1,0)</f>
        <v>7</v>
      </c>
      <c r="EE17" t="e">
        <f t="shared" si="54"/>
        <v>#N/A</v>
      </c>
      <c r="EF17" s="50">
        <f ca="1">IF('Final Calculation Sheet'!$Z$17="","",'Final Calculation Sheet'!$Z$17)</f>
        <v>2513.3999999999996</v>
      </c>
      <c r="EG17">
        <f ca="1">IF(EF17="","",COUNTIFS(EF$4:EF$40,"&lt;"&amp;EF17,EF$4:EF$40,"&lt;&gt;"&amp;"")+COUNTIF(EF$4:EF17,EF17))</f>
        <v>14</v>
      </c>
      <c r="EH17" s="50">
        <f t="shared" ca="1" si="55"/>
        <v>2513.3999999999996</v>
      </c>
      <c r="EI17">
        <f ca="1">EI16+IF(AND(EH17&lt;&gt;"",COUNTIF(EH$4:EH17,EH17)=1),1,0)</f>
        <v>14</v>
      </c>
      <c r="EJ17">
        <f t="shared" ca="1" si="56"/>
        <v>2513.3999999999996</v>
      </c>
      <c r="EK17" t="str">
        <f>IF('Final Calculation Sheet'!$AA$17="","",'Final Calculation Sheet'!$AA$17)</f>
        <v/>
      </c>
      <c r="EL17" t="str">
        <f>IF(EK17="","",COUNTIFS(EK$4:EK$40,"&lt;"&amp;EK17,EK$4:EK$40,"&lt;&gt;"&amp;"")+COUNTIF(EK$4:EK17,EK17))</f>
        <v/>
      </c>
      <c r="EM17" t="e">
        <f t="shared" si="57"/>
        <v>#N/A</v>
      </c>
      <c r="EN17" t="e">
        <f>EN16+IF(AND(EM17&lt;&gt;"",COUNTIF(EM$4:EM17,EM17)=1),1,0)</f>
        <v>#N/A</v>
      </c>
      <c r="EO17" t="e">
        <f t="shared" si="58"/>
        <v>#N/A</v>
      </c>
      <c r="EP17" t="str">
        <f>IF('Final Calculation Sheet'!$AB$17="","",'Final Calculation Sheet'!$AB$17)</f>
        <v/>
      </c>
      <c r="EQ17" t="str">
        <f>IF(EP17="","",COUNTIFS(EP$4:EP$40,"&lt;"&amp;EP17,EP$4:EP$40,"&lt;&gt;"&amp;"")+COUNTIF(EP$4:EP17,EP17))</f>
        <v/>
      </c>
      <c r="ER17" t="e">
        <f t="shared" si="59"/>
        <v>#N/A</v>
      </c>
      <c r="ES17" t="e">
        <f>ES16+IF(AND(ER17&lt;&gt;"",COUNTIF(ER$4:ER17,ER17)=1),1,0)</f>
        <v>#N/A</v>
      </c>
      <c r="ET17" t="e">
        <f t="shared" si="60"/>
        <v>#N/A</v>
      </c>
      <c r="EU17" s="50">
        <f>IF('Final Calculation Sheet'!$AC$17="","",'Final Calculation Sheet'!$AC$17)</f>
        <v>83532</v>
      </c>
      <c r="EV17">
        <f>IF(EU17="","",COUNTIFS(EU$4:EU$40,"&lt;"&amp;EU17,EU$4:EU$40,"&lt;&gt;"&amp;"")+COUNTIF(EU$4:EU17,EU17))</f>
        <v>15</v>
      </c>
      <c r="EW17" s="50">
        <f t="shared" si="61"/>
        <v>82361</v>
      </c>
      <c r="EX17">
        <f>EX16+IF(AND(EW17&lt;&gt;"",COUNTIF(EW$4:EW17,EW17)=1),1,0)</f>
        <v>14</v>
      </c>
      <c r="EY17" s="50">
        <f t="shared" si="62"/>
        <v>82361</v>
      </c>
      <c r="EZ17" s="50">
        <f>IF('Final Calculation Sheet'!$AD$17="","",'Final Calculation Sheet'!$AD$17)</f>
        <v>0</v>
      </c>
      <c r="FA17">
        <f>IF(EZ17="","",COUNTIFS(EZ$4:EZ$40,"&lt;"&amp;EZ17,EZ$4:EZ$40,"&lt;&gt;"&amp;"")+COUNTIF(EZ$4:EZ17,EZ17))</f>
        <v>15</v>
      </c>
      <c r="FB17" s="50">
        <f t="shared" si="63"/>
        <v>0</v>
      </c>
      <c r="FC17">
        <f>FC16+IF(AND(FB17&lt;&gt;"",COUNTIF(FB$4:FB17,FB17)=1),1,0)</f>
        <v>7</v>
      </c>
      <c r="FD17" t="str">
        <f t="shared" si="64"/>
        <v/>
      </c>
      <c r="FE17" t="str">
        <f>IF('Final Calculation Sheet'!$AF$17="","",'Final Calculation Sheet'!$AF$17)</f>
        <v>DR2640100020</v>
      </c>
      <c r="FF17">
        <f>IF(FE17="","",COUNTIFS(FE$4:FE$40,"&lt;"&amp;FE17,FE$4:FE$40,"&lt;&gt;"&amp;"")+COUNTIF(FE$4:FE17,FE17))</f>
        <v>9</v>
      </c>
      <c r="FG17" t="str">
        <f t="shared" si="65"/>
        <v>DR2640100025</v>
      </c>
      <c r="FH17" t="e">
        <f>FH16+IF(AND(FG17&lt;&gt;"",COUNTIF(FG$4:FG17,FG17)=1),1,0)</f>
        <v>#N/A</v>
      </c>
      <c r="FI17" t="e">
        <f t="shared" si="66"/>
        <v>#N/A</v>
      </c>
      <c r="FJ17" s="129">
        <f>IF('Final Calculation Sheet'!$AG$17="","",'Final Calculation Sheet'!$AG$17)</f>
        <v>1800003158</v>
      </c>
      <c r="FK17">
        <f>IF(FJ17="","",COUNTIFS(FJ$4:FJ$40,"&lt;"&amp;FJ17,FJ$4:FJ$40,"&lt;&gt;"&amp;"")+COUNTIF(FJ$4:FJ17,FJ17))</f>
        <v>4</v>
      </c>
      <c r="FL17" s="129">
        <f t="shared" si="67"/>
        <v>1800003302</v>
      </c>
      <c r="FM17">
        <f>FM16+IF(AND(FL17&lt;&gt;"",COUNTIF(FL$4:FL17,FL17)=1),1,0)</f>
        <v>14</v>
      </c>
      <c r="FN17" t="e">
        <f t="shared" si="68"/>
        <v>#N/A</v>
      </c>
      <c r="FO17" t="str">
        <f>IF('Final Calculation Sheet'!$AH$17="","",'Final Calculation Sheet'!$AH$17)</f>
        <v>14.08.2026</v>
      </c>
      <c r="FP17">
        <f>IF(FO17="","",COUNTIFS(FO$4:FO$40,"&lt;"&amp;FO17,FO$4:FO$40,"&lt;&gt;"&amp;"")+COUNTIF(FO$4:FO17,FO17))</f>
        <v>9</v>
      </c>
      <c r="FQ17" t="str">
        <f t="shared" si="69"/>
        <v>19.08.2026</v>
      </c>
      <c r="FR17" t="e">
        <f>FR16+IF(AND(FQ17&lt;&gt;"",COUNTIF(FQ$4:FQ17,FQ17)=1),1,0)</f>
        <v>#N/A</v>
      </c>
      <c r="FS17" t="e">
        <f t="shared" si="70"/>
        <v>#N/A</v>
      </c>
      <c r="FU17" t="str">
        <f>IF(FT17="","",COUNTIFS(FT$4:FT$40,"&lt;"&amp;FT17,FT$4:FT$40,"&lt;&gt;"&amp;"")+COUNTIF(FT$4:FT17,FT17))</f>
        <v/>
      </c>
      <c r="FV17" t="str">
        <f t="shared" si="71"/>
        <v/>
      </c>
      <c r="FW17">
        <f>FW16+IF(AND(FV17&lt;&gt;"",COUNTIF(FV$4:FV17,FV17)=1),1,0)</f>
        <v>2</v>
      </c>
      <c r="FX17" t="str">
        <f t="shared" si="72"/>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7" t="b">
        <f>IF($Y$17="",FALSE,SUMPRODUCT(('Final Calculation Sheet'!$B$4:$B$40=$Y$17)*($FY$6:$FY$42=1))&gt;0)</f>
        <v>1</v>
      </c>
      <c r="GA17">
        <f>$GA$16+--($FZ$17)</f>
        <v>14</v>
      </c>
      <c r="GB17" t="str">
        <f t="shared" si="73"/>
        <v>Scrap of 33 KV GCB</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D17" t="b">
        <f>IF($O$17="",FALSE,SUMPRODUCT(('Final Calculation Sheet'!$F$4:$F$40=$O$17)*($GC$6:$GC$42=1))&gt;0)</f>
        <v>1</v>
      </c>
      <c r="GE17">
        <f>$GE$16+--($GD17)</f>
        <v>14</v>
      </c>
      <c r="GF17">
        <f t="shared" si="74"/>
        <v>2015</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H17" t="b">
        <f>IF($T$17="",FALSE,SUMPRODUCT(('Final Calculation Sheet'!$G$4:$G$40=$T$17)*($GG$6:$GG$42=1))&gt;0)</f>
        <v>0</v>
      </c>
      <c r="GI17">
        <f>$GI$16+--($GH17)</f>
        <v>13</v>
      </c>
      <c r="GJ17" t="str">
        <f t="shared" si="75"/>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L17" t="b">
        <f>IF($AD$17="",FALSE,SUMPRODUCT(('Final Calculation Sheet'!$D$4:$D$40=$AD$17)*($GK$6:$GK$42=1))&gt;0)</f>
        <v>0</v>
      </c>
      <c r="GM17">
        <f>$GM$16+--($GL17)</f>
        <v>4</v>
      </c>
      <c r="GN17" t="str">
        <f t="shared" si="76"/>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P17" t="b">
        <f>IF($AI$17="",FALSE,SUMPRODUCT(('Final Calculation Sheet'!$A$4:$A$40=$AI$17)*($GO$6:$GO$42=1))&gt;0)</f>
        <v>1</v>
      </c>
      <c r="GQ17">
        <f>$GQ$16+--($GP17)</f>
        <v>14</v>
      </c>
      <c r="GR17">
        <f t="shared" si="77"/>
        <v>150</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T17" t="b">
        <f>IF($AN$17="",FALSE,SUMPRODUCT(('Final Calculation Sheet'!$E$4:$E$40=$AN$17)*($GS$6:$GS$42=1))&gt;0)</f>
        <v>0</v>
      </c>
      <c r="GU17">
        <f>$GU$16+--($GT17)</f>
        <v>3</v>
      </c>
      <c r="GV17" t="str">
        <f t="shared" si="78"/>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GX17" t="b">
        <f>IF($AS$17="",FALSE,SUMPRODUCT(('Final Calculation Sheet'!$C$4:$C$40=$AS$17)*($GW$6:$GW$42=1))&gt;0)</f>
        <v>1</v>
      </c>
      <c r="GY17">
        <f>$GY$16+--($GX17)</f>
        <v>14</v>
      </c>
      <c r="GZ17">
        <f t="shared" si="79"/>
        <v>1456</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B17" t="b">
        <f>IF($AX$17="",FALSE,SUMPRODUCT(('Final Calculation Sheet'!$H$4:$H$40=$AX$17)*($HA$6:$HA$42=1))&gt;0)</f>
        <v>1</v>
      </c>
      <c r="HC17">
        <f>$HC$16+--($HB17)</f>
        <v>14</v>
      </c>
      <c r="HD17">
        <f t="shared" si="80"/>
        <v>71000</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F17" t="b">
        <f>IF($BC$17="",FALSE,SUMPRODUCT(('Final Calculation Sheet'!$I$4:$I$40=$BC$17)*($HE$6:$HE$42=1))&gt;0)</f>
        <v>1</v>
      </c>
      <c r="HG17">
        <f>$HG$16+--($HF17)</f>
        <v>14</v>
      </c>
      <c r="HH17">
        <f t="shared" si="81"/>
        <v>12780</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J17" t="b">
        <f>IF($BH$17="",FALSE,SUMPRODUCT(('Final Calculation Sheet'!$J$4:$J$40=$BH$17)*($HI$6:$HI$42=1))&gt;0)</f>
        <v>1</v>
      </c>
      <c r="HK17">
        <f>$HK$16+--($HJ17)</f>
        <v>14</v>
      </c>
      <c r="HL17">
        <f t="shared" si="82"/>
        <v>83780</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N17" t="b">
        <f>IF($BM$17="",FALSE,SUMPRODUCT(('Final Calculation Sheet'!$K$4:$K$40=$BM$17)*($HM$6:$HM$42=1))&gt;0)</f>
        <v>1</v>
      </c>
      <c r="HO17">
        <f>$HO$16+--($HN17)</f>
        <v>14</v>
      </c>
      <c r="HP17">
        <f t="shared" si="83"/>
        <v>1676</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R17" t="b">
        <f>IF($BR$17="",FALSE,SUMPRODUCT(('Final Calculation Sheet'!$L$4:$L$40=$BR$17)*($HQ$6:$HQ$42=1))&gt;0)</f>
        <v>1</v>
      </c>
      <c r="HS17">
        <f>$HS$16+--($HR17)</f>
        <v>14</v>
      </c>
      <c r="HT17">
        <f t="shared" si="84"/>
        <v>71</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V17" t="b">
        <f>IF($BW$17="",FALSE,SUMPRODUCT(('Final Calculation Sheet'!$M$4:$M$40=$BW$17)*($HU$6:$HU$42=1))&gt;0)</f>
        <v>1</v>
      </c>
      <c r="HW17">
        <f>$HW$16+--($HV17)</f>
        <v>14</v>
      </c>
      <c r="HX17">
        <f t="shared" si="85"/>
        <v>1885.05</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HZ17" t="b">
        <f>IF($CB$17="",FALSE,SUMPRODUCT(('Final Calculation Sheet'!$N$4:$N$40=$CB$17)*($HY$6:$HY$42=1))&gt;0)</f>
        <v>1</v>
      </c>
      <c r="IA17">
        <f>$IA$16+--($HZ17)</f>
        <v>14</v>
      </c>
      <c r="IB17">
        <f t="shared" si="86"/>
        <v>31.95</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D17" t="b">
        <f>IF($CG$17="",FALSE,SUMPRODUCT(('Final Calculation Sheet'!$O$4:$O$40=$CG$17)*($IC$6:$IC$42=1))&gt;0)</f>
        <v>1</v>
      </c>
      <c r="IE17">
        <f>$IE$16+--($ID17)</f>
        <v>14</v>
      </c>
      <c r="IF17">
        <f t="shared" si="87"/>
        <v>1853.1</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H17" t="b">
        <f>IF($CL$17="",FALSE,SUMPRODUCT(('Final Calculation Sheet'!$P$4:$P$40=$CL$17)*($IG$6:$IG$42=1))&gt;0)</f>
        <v>1</v>
      </c>
      <c r="II17">
        <f>$II$16+--($IH17)</f>
        <v>14</v>
      </c>
      <c r="IJ17">
        <f t="shared" si="88"/>
        <v>1924</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L17" t="b">
        <f>IF($CQ$17="",FALSE,SUMPRODUCT(('Final Calculation Sheet'!$Q$4:$Q$40=$CQ$17)*($IK$6:$IK$42=1))&gt;0)</f>
        <v>0</v>
      </c>
      <c r="IM17">
        <f>$IM$16+--($IL17)</f>
        <v>2</v>
      </c>
      <c r="IN17" t="str">
        <f t="shared" si="89"/>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P17" t="b">
        <f>IF($CV$17="",FALSE,SUMPRODUCT(('Final Calculation Sheet'!$R$4:$R$40=$CV$17)*($IO$6:$IO$42=1))&gt;0)</f>
        <v>0</v>
      </c>
      <c r="IQ17">
        <f>$IQ$16+--($IP17)</f>
        <v>5</v>
      </c>
      <c r="IR17" t="str">
        <f t="shared" si="90"/>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T17" t="b">
        <f>IF($DA$17="",FALSE,SUMPRODUCT(('Final Calculation Sheet'!$S$4:$S$40=$DA$17)*($IS$6:$IS$42=1))&gt;0)</f>
        <v>1</v>
      </c>
      <c r="IU17">
        <f>$IU$16+--($IT17)</f>
        <v>14</v>
      </c>
      <c r="IV17">
        <f t="shared" si="91"/>
        <v>83532</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IX17" t="b">
        <f>IF($DF$17="",FALSE,SUMPRODUCT(('Final Calculation Sheet'!$T$4:$T$40=$DF$17)*($IW$6:$IW$42=1))&gt;0)</f>
        <v>1</v>
      </c>
      <c r="IY17">
        <f>$IY$16+--($IX17)</f>
        <v>14</v>
      </c>
      <c r="IZ17">
        <f t="shared" si="92"/>
        <v>17750</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B17" t="b">
        <f>IF($DK$17="",FALSE,SUMPRODUCT(('Final Calculation Sheet'!$U$4:$U$40=$DK$17)*($JA$6:$JA$42=1))&gt;0)</f>
        <v>1</v>
      </c>
      <c r="JC17">
        <f>$JC$16+--($JB17)</f>
        <v>14</v>
      </c>
      <c r="JD17">
        <f t="shared" si="93"/>
        <v>17750</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F17" t="b">
        <f>IF($DP$17="",FALSE,SUMPRODUCT(('Final Calculation Sheet'!$V$4:$V$40=$DP$17)*($JE$6:$JE$42=1))&gt;0)</f>
        <v>0</v>
      </c>
      <c r="JG17">
        <f>$JG$16+--($JF17)</f>
        <v>6</v>
      </c>
      <c r="JH17" t="str">
        <f t="shared" si="94"/>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J17" t="b">
        <f>IF($DU$17="",FALSE,SUMPRODUCT(('Final Calculation Sheet'!$W$4:$W$40=$DU$17)*($JI$6:$JI$42=1))&gt;0)</f>
        <v>1</v>
      </c>
      <c r="JK17">
        <f>$JK$16+--($JJ17)</f>
        <v>14</v>
      </c>
      <c r="JL17">
        <f t="shared" si="95"/>
        <v>65782</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N17" t="e">
        <f>IF($DZ$17="",FALSE,SUMPRODUCT(('Final Calculation Sheet'!$X$4:$X$40=$DZ$17)*($JM$6:$JM$42=1))&gt;0)</f>
        <v>#N/A</v>
      </c>
      <c r="JO17" t="e">
        <f>$JO$16+--($JN17)</f>
        <v>#N/A</v>
      </c>
      <c r="JP17" t="e">
        <f t="shared" si="96"/>
        <v>#N/A</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R17" t="e">
        <f>IF($EE$17="",FALSE,SUMPRODUCT(('Final Calculation Sheet'!$Y$4:$Y$40=$EE$17)*($JQ$6:$JQ$42=1))&gt;0)</f>
        <v>#N/A</v>
      </c>
      <c r="JS17" t="e">
        <f>$JS$16+--($JR17)</f>
        <v>#N/A</v>
      </c>
      <c r="JT17" t="e">
        <f t="shared" si="97"/>
        <v>#N/A</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V17" t="b">
        <f ca="1">IF($EJ$17="",FALSE,SUMPRODUCT(('Final Calculation Sheet'!$Z$4:$Z$40=$EJ$17)*($JU$6:$JU$42=1))&gt;0)</f>
        <v>1</v>
      </c>
      <c r="JW17">
        <f ca="1">$JW$16+--($JV17)</f>
        <v>14</v>
      </c>
      <c r="JX17">
        <f t="shared" ca="1" si="98"/>
        <v>2513.3999999999996</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JZ17" t="e">
        <f>IF($EO$17="",FALSE,SUMPRODUCT(('Final Calculation Sheet'!$AA$4:$AA$40=$EO$17)*($JY$6:$JY$42=1))&gt;0)</f>
        <v>#N/A</v>
      </c>
      <c r="KA17" t="e">
        <f>$KA$16+--($JZ17)</f>
        <v>#N/A</v>
      </c>
      <c r="KB17" t="e">
        <f t="shared" si="99"/>
        <v>#N/A</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D17" t="e">
        <f>IF($ET$17="",FALSE,SUMPRODUCT(('Final Calculation Sheet'!$AB$4:$AB$40=$ET$17)*($KC$6:$KC$42=1))&gt;0)</f>
        <v>#N/A</v>
      </c>
      <c r="KE17" t="e">
        <f>$KE$16+--($KD17)</f>
        <v>#N/A</v>
      </c>
      <c r="KF17" t="e">
        <f t="shared" si="100"/>
        <v>#N/A</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H17" t="b">
        <f>IF($EY$17="",FALSE,SUMPRODUCT(('Final Calculation Sheet'!$AC$4:$AC$40=$EY$17)*($KG$6:$KG$42=1))&gt;0)</f>
        <v>1</v>
      </c>
      <c r="KI17">
        <f>$KI$16+--($KH17)</f>
        <v>14</v>
      </c>
      <c r="KJ17">
        <f t="shared" si="101"/>
        <v>82361</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L17" t="b">
        <f>IF($FD$17="",FALSE,SUMPRODUCT(('Final Calculation Sheet'!$AD$4:$AD$40=$FD$17)*($KK$6:$KK$42=1))&gt;0)</f>
        <v>0</v>
      </c>
      <c r="KM17">
        <f>$KM$16+--($KL17)</f>
        <v>11</v>
      </c>
      <c r="KN17" t="str">
        <f t="shared" si="102"/>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P17" t="b">
        <f>IF($FX$17="",FALSE,SUMPRODUCT((IF('Final Calculation Sheet'!$AD$4:$AD$40&lt;=5,"SETTLED","OUTSTANDING")=$FX$17)*($KO$6:$KO$42=1))&gt;0)</f>
        <v>0</v>
      </c>
      <c r="KQ17">
        <f>$KQ$16+--($KP17)</f>
        <v>1</v>
      </c>
      <c r="KR17" t="str">
        <f t="shared" si="103"/>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T17" t="e">
        <f>IF($FI$17="",FALSE,SUMPRODUCT(('Final Calculation Sheet'!$AF$4:$AF$40=$FI$17)*($KS$6:$KS$42=1))&gt;0)</f>
        <v>#N/A</v>
      </c>
      <c r="KU17" t="e">
        <f>$KU$16+--($KT17)</f>
        <v>#N/A</v>
      </c>
      <c r="KV17" t="e">
        <f t="shared" si="104"/>
        <v>#N/A</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KX17" t="e">
        <f>IF($FN$17="",FALSE,SUMPRODUCT(('Final Calculation Sheet'!$AG$4:$AG$40=$FN$17)*($KW$6:$KW$42=1))&gt;0)</f>
        <v>#N/A</v>
      </c>
      <c r="KY17" t="e">
        <f>$KY$16+--($KX17)</f>
        <v>#N/A</v>
      </c>
      <c r="KZ17" t="e">
        <f t="shared" si="105"/>
        <v>#N/A</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LB17" t="e">
        <f>IF($FS$17="",FALSE,SUMPRODUCT(('Final Calculation Sheet'!$AH$4:$AH$40=$FS$17)*($LA$6:$LA$42=1))&gt;0)</f>
        <v>#N/A</v>
      </c>
      <c r="LC17" t="e">
        <f>$LC$16+--($LB17)</f>
        <v>#N/A</v>
      </c>
      <c r="LD17" t="e">
        <f t="shared" si="106"/>
        <v>#N/A</v>
      </c>
      <c r="LE17">
        <f>IF(COUNTIF('Buyer Groups'!DH17:EN17,0)&gt;0,0,1)</f>
        <v>1</v>
      </c>
      <c r="LF17" t="b">
        <f>IF($O$17="",FALSE,SUMPRODUCT(('Final Calculation Sheet'!$F$4:$F$40=$O$17)*($LE$6:$LE$42=1))&gt;0)</f>
        <v>1</v>
      </c>
      <c r="LG17">
        <f>$LG$16+--($LF17)</f>
        <v>14</v>
      </c>
      <c r="LH17">
        <f t="shared" si="107"/>
        <v>2015</v>
      </c>
      <c r="LI17">
        <f>IF(COUNTIF('Buyer Groups'!DG17:DG17,0)+COUNTIF('Buyer Groups'!DI17:EN17,0)&gt;0,0,1)</f>
        <v>1</v>
      </c>
      <c r="LJ17" t="b">
        <f>IF($T$17="",FALSE,SUMPRODUCT(('Final Calculation Sheet'!$G$4:$G$40=$T$17)*($LI$6:$LI$42=1))&gt;0)</f>
        <v>0</v>
      </c>
      <c r="LK17">
        <f>$LK$16+--($LJ17)</f>
        <v>13</v>
      </c>
      <c r="LL17" t="str">
        <f t="shared" si="108"/>
        <v/>
      </c>
      <c r="LM17">
        <f>IF(COUNTIF('Buyer Groups'!DG17:DH17,0)+COUNTIF('Buyer Groups'!DJ17:EN17,0)&gt;0,0,1)</f>
        <v>1</v>
      </c>
      <c r="LN17" t="b">
        <f>IF($Y$17="",FALSE,SUMPRODUCT(('Final Calculation Sheet'!$B$4:$B$40=$Y$17)*($LM$6:$LM$42=1))&gt;0)</f>
        <v>1</v>
      </c>
      <c r="LO17">
        <f>$LO$16+--($LN17)</f>
        <v>14</v>
      </c>
      <c r="LP17" t="str">
        <f t="shared" si="109"/>
        <v>Scrap of 33 KV GCB</v>
      </c>
      <c r="LQ17">
        <f>IF(COUNTIF('Buyer Groups'!DG17:DI17,0)+COUNTIF('Buyer Groups'!DK17:EN17,0)&gt;0,0,1)</f>
        <v>1</v>
      </c>
      <c r="LR17" t="b">
        <f>IF($AD$17="",FALSE,SUMPRODUCT(('Final Calculation Sheet'!$D$4:$D$40=$AD$17)*($LQ$6:$LQ$42=1))&gt;0)</f>
        <v>0</v>
      </c>
      <c r="LS17">
        <f>$LS$16+--($LR17)</f>
        <v>4</v>
      </c>
      <c r="LT17" t="str">
        <f t="shared" si="110"/>
        <v/>
      </c>
      <c r="LU17">
        <f>IF(COUNTIF('Buyer Groups'!DG17:DJ17,0)+COUNTIF('Buyer Groups'!DL17:EN17,0)&gt;0,0,1)</f>
        <v>1</v>
      </c>
      <c r="LV17" t="b">
        <f>IF($AI$17="",FALSE,SUMPRODUCT(('Final Calculation Sheet'!$A$4:$A$40=$AI$17)*($LU$6:$LU$42=1))&gt;0)</f>
        <v>1</v>
      </c>
      <c r="LW17">
        <f>$LW$16+--($LV17)</f>
        <v>14</v>
      </c>
      <c r="LX17">
        <f t="shared" si="111"/>
        <v>150</v>
      </c>
      <c r="LY17">
        <f>IF(COUNTIF('Buyer Groups'!DG17:DK17,0)+COUNTIF('Buyer Groups'!DM17:EN17,0)&gt;0,0,1)</f>
        <v>1</v>
      </c>
      <c r="LZ17" t="b">
        <f>IF($AN$17="",FALSE,SUMPRODUCT(('Final Calculation Sheet'!$E$4:$E$40=$AN$17)*($LY$6:$LY$42=1))&gt;0)</f>
        <v>0</v>
      </c>
      <c r="MA17">
        <f>$MA$16+--($LZ17)</f>
        <v>3</v>
      </c>
      <c r="MB17" t="str">
        <f t="shared" si="112"/>
        <v/>
      </c>
      <c r="MC17">
        <f>IF(COUNTIF('Buyer Groups'!DG17:DL17,0)+COUNTIF('Buyer Groups'!DN17:EN17,0)&gt;0,0,1)</f>
        <v>1</v>
      </c>
      <c r="MD17" t="b">
        <f>IF($AS$17="",FALSE,SUMPRODUCT(('Final Calculation Sheet'!$C$4:$C$40=$AS$17)*($MC$6:$MC$42=1))&gt;0)</f>
        <v>1</v>
      </c>
      <c r="ME17">
        <f>$ME$16+--($MD17)</f>
        <v>14</v>
      </c>
      <c r="MF17">
        <f t="shared" si="113"/>
        <v>1456</v>
      </c>
      <c r="MG17">
        <f>IF(COUNTIF('Buyer Groups'!DG17:DM17,0)+COUNTIF('Buyer Groups'!DO17:EN17,0)&gt;0,0,1)</f>
        <v>1</v>
      </c>
      <c r="MH17" t="b">
        <f>IF($AX$17="",FALSE,SUMPRODUCT(('Final Calculation Sheet'!$H$4:$H$40=$AX$17)*($MG$6:$MG$42=1))&gt;0)</f>
        <v>1</v>
      </c>
      <c r="MI17">
        <f>$MI$16+--($MH17)</f>
        <v>14</v>
      </c>
      <c r="MJ17">
        <f t="shared" si="114"/>
        <v>71000</v>
      </c>
      <c r="MK17">
        <f>IF(COUNTIF('Buyer Groups'!DG17:DN17,0)+COUNTIF('Buyer Groups'!DP17:EN17,0)&gt;0,0,1)</f>
        <v>1</v>
      </c>
      <c r="ML17" t="b">
        <f>IF($BC$17="",FALSE,SUMPRODUCT(('Final Calculation Sheet'!$I$4:$I$40=$BC$17)*($MK$6:$MK$42=1))&gt;0)</f>
        <v>1</v>
      </c>
      <c r="MM17">
        <f>$MM$16+--($ML17)</f>
        <v>14</v>
      </c>
      <c r="MN17">
        <f t="shared" si="115"/>
        <v>12780</v>
      </c>
      <c r="MO17">
        <f>IF(COUNTIF('Buyer Groups'!DG17:DO17,0)+COUNTIF('Buyer Groups'!DQ17:EN17,0)&gt;0,0,1)</f>
        <v>1</v>
      </c>
      <c r="MP17" t="b">
        <f>IF($BH$17="",FALSE,SUMPRODUCT(('Final Calculation Sheet'!$J$4:$J$40=$BH$17)*($MO$6:$MO$42=1))&gt;0)</f>
        <v>1</v>
      </c>
      <c r="MQ17">
        <f>$MQ$16+--($MP17)</f>
        <v>14</v>
      </c>
      <c r="MR17">
        <f t="shared" si="116"/>
        <v>83780</v>
      </c>
      <c r="MS17">
        <f>IF(COUNTIF('Buyer Groups'!DG17:DP17,0)+COUNTIF('Buyer Groups'!DR17:EN17,0)&gt;0,0,1)</f>
        <v>1</v>
      </c>
      <c r="MT17" t="b">
        <f>IF($BM$17="",FALSE,SUMPRODUCT(('Final Calculation Sheet'!$K$4:$K$40=$BM$17)*($MS$6:$MS$42=1))&gt;0)</f>
        <v>1</v>
      </c>
      <c r="MU17">
        <f>$MU$16+--($MT17)</f>
        <v>14</v>
      </c>
      <c r="MV17">
        <f t="shared" si="117"/>
        <v>1676</v>
      </c>
      <c r="MW17">
        <f>IF(COUNTIF('Buyer Groups'!DG17:DQ17,0)+COUNTIF('Buyer Groups'!DS17:EN17,0)&gt;0,0,1)</f>
        <v>1</v>
      </c>
      <c r="MX17" t="b">
        <f>IF($BR$17="",FALSE,SUMPRODUCT(('Final Calculation Sheet'!$L$4:$L$40=$BR$17)*($MW$6:$MW$42=1))&gt;0)</f>
        <v>1</v>
      </c>
      <c r="MY17">
        <f>$MY$16+--($MX17)</f>
        <v>14</v>
      </c>
      <c r="MZ17">
        <f t="shared" si="118"/>
        <v>71</v>
      </c>
      <c r="NA17">
        <f>IF(COUNTIF('Buyer Groups'!DG17:DR17,0)+COUNTIF('Buyer Groups'!DT17:EN17,0)&gt;0,0,1)</f>
        <v>1</v>
      </c>
      <c r="NB17" t="b">
        <f>IF($BW$17="",FALSE,SUMPRODUCT(('Final Calculation Sheet'!$M$4:$M$40=$BW$17)*($NA$6:$NA$42=1))&gt;0)</f>
        <v>1</v>
      </c>
      <c r="NC17">
        <f>$NC$16+--($NB17)</f>
        <v>14</v>
      </c>
      <c r="ND17">
        <f t="shared" si="119"/>
        <v>1885.05</v>
      </c>
      <c r="NE17">
        <f>IF(COUNTIF('Buyer Groups'!DG17:DS17,0)+COUNTIF('Buyer Groups'!DU17:EN17,0)&gt;0,0,1)</f>
        <v>1</v>
      </c>
      <c r="NF17" t="b">
        <f>IF($CB$17="",FALSE,SUMPRODUCT(('Final Calculation Sheet'!$N$4:$N$40=$CB$17)*($NE$6:$NE$42=1))&gt;0)</f>
        <v>1</v>
      </c>
      <c r="NG17">
        <f>$NG$16+--($NF17)</f>
        <v>14</v>
      </c>
      <c r="NH17">
        <f t="shared" si="120"/>
        <v>31.95</v>
      </c>
      <c r="NI17">
        <f>IF(COUNTIF('Buyer Groups'!DG17:DT17,0)+COUNTIF('Buyer Groups'!DV17:EN17,0)&gt;0,0,1)</f>
        <v>1</v>
      </c>
      <c r="NJ17" t="b">
        <f>IF($CG$17="",FALSE,SUMPRODUCT(('Final Calculation Sheet'!$O$4:$O$40=$CG$17)*($NI$6:$NI$42=1))&gt;0)</f>
        <v>1</v>
      </c>
      <c r="NK17">
        <f>$NK$16+--($NJ17)</f>
        <v>14</v>
      </c>
      <c r="NL17">
        <f t="shared" si="121"/>
        <v>1853.1</v>
      </c>
      <c r="NM17">
        <f>IF(COUNTIF('Buyer Groups'!DG17:DU17,0)+COUNTIF('Buyer Groups'!DW17:EN17,0)&gt;0,0,1)</f>
        <v>1</v>
      </c>
      <c r="NN17" t="b">
        <f>IF($CL$17="",FALSE,SUMPRODUCT(('Final Calculation Sheet'!$P$4:$P$40=$CL$17)*($NM$6:$NM$42=1))&gt;0)</f>
        <v>1</v>
      </c>
      <c r="NO17">
        <f>$NO$16+--($NN17)</f>
        <v>14</v>
      </c>
      <c r="NP17">
        <f t="shared" si="122"/>
        <v>1924</v>
      </c>
      <c r="NQ17">
        <f>IF(COUNTIF('Buyer Groups'!DG17:DV17,0)+COUNTIF('Buyer Groups'!DX17:EN17,0)&gt;0,0,1)</f>
        <v>1</v>
      </c>
      <c r="NR17" t="b">
        <f>IF($CQ$17="",FALSE,SUMPRODUCT(('Final Calculation Sheet'!$Q$4:$Q$40=$CQ$17)*($NQ$6:$NQ$42=1))&gt;0)</f>
        <v>0</v>
      </c>
      <c r="NS17">
        <f>$NS$16+--($NR17)</f>
        <v>2</v>
      </c>
      <c r="NT17" t="str">
        <f t="shared" si="123"/>
        <v/>
      </c>
      <c r="NU17">
        <f>IF(COUNTIF('Buyer Groups'!DG17:DW17,0)+COUNTIF('Buyer Groups'!DY17:EN17,0)&gt;0,0,1)</f>
        <v>1</v>
      </c>
      <c r="NV17" t="b">
        <f>IF($CV$17="",FALSE,SUMPRODUCT(('Final Calculation Sheet'!$R$4:$R$40=$CV$17)*($NU$6:$NU$42=1))&gt;0)</f>
        <v>0</v>
      </c>
      <c r="NW17">
        <f>$NW$16+--($NV17)</f>
        <v>5</v>
      </c>
      <c r="NX17" t="str">
        <f t="shared" si="124"/>
        <v/>
      </c>
      <c r="NY17">
        <f>IF(COUNTIF('Buyer Groups'!DG17:DX17,0)+COUNTIF('Buyer Groups'!DZ17:EN17,0)&gt;0,0,1)</f>
        <v>1</v>
      </c>
      <c r="NZ17" t="b">
        <f>IF($DA$17="",FALSE,SUMPRODUCT(('Final Calculation Sheet'!$S$4:$S$40=$DA$17)*($NY$6:$NY$42=1))&gt;0)</f>
        <v>1</v>
      </c>
      <c r="OA17">
        <f>$OA$16+--($NZ17)</f>
        <v>14</v>
      </c>
      <c r="OB17">
        <f t="shared" si="125"/>
        <v>83532</v>
      </c>
      <c r="OC17">
        <f>IF(COUNTIF('Buyer Groups'!DG17:DY17,0)+COUNTIF('Buyer Groups'!EA17:EN17,0)&gt;0,0,1)</f>
        <v>1</v>
      </c>
      <c r="OD17" t="b">
        <f>IF($DF$17="",FALSE,SUMPRODUCT(('Final Calculation Sheet'!$T$4:$T$40=$DF$17)*($OC$6:$OC$42=1))&gt;0)</f>
        <v>1</v>
      </c>
      <c r="OE17">
        <f>$OE$16+--($OD17)</f>
        <v>14</v>
      </c>
      <c r="OF17">
        <f t="shared" si="126"/>
        <v>17750</v>
      </c>
      <c r="OG17">
        <f>IF(COUNTIF('Buyer Groups'!DG17:DZ17,0)+COUNTIF('Buyer Groups'!EB17:EN17,0)&gt;0,0,1)</f>
        <v>1</v>
      </c>
      <c r="OH17" t="b">
        <f>IF($DK$17="",FALSE,SUMPRODUCT(('Final Calculation Sheet'!$U$4:$U$40=$DK$17)*($OG$6:$OG$42=1))&gt;0)</f>
        <v>1</v>
      </c>
      <c r="OI17">
        <f>$OI$16+--($OH17)</f>
        <v>14</v>
      </c>
      <c r="OJ17">
        <f t="shared" si="127"/>
        <v>17750</v>
      </c>
      <c r="OK17">
        <f>IF(COUNTIF('Buyer Groups'!DG17:EA17,0)+COUNTIF('Buyer Groups'!EC17:EN17,0)&gt;0,0,1)</f>
        <v>1</v>
      </c>
      <c r="OL17" t="b">
        <f>IF($DP$17="",FALSE,SUMPRODUCT(('Final Calculation Sheet'!$V$4:$V$40=$DP$17)*($OK$6:$OK$42=1))&gt;0)</f>
        <v>0</v>
      </c>
      <c r="OM17">
        <f>$OM$16+--($OL17)</f>
        <v>6</v>
      </c>
      <c r="ON17" t="str">
        <f t="shared" si="128"/>
        <v/>
      </c>
      <c r="OO17">
        <f>IF(COUNTIF('Buyer Groups'!DG17:EB17,0)+COUNTIF('Buyer Groups'!ED17:EN17,0)&gt;0,0,1)</f>
        <v>1</v>
      </c>
      <c r="OP17" t="b">
        <f>IF($DU$17="",FALSE,SUMPRODUCT(('Final Calculation Sheet'!$W$4:$W$40=$DU$17)*($OO$6:$OO$42=1))&gt;0)</f>
        <v>1</v>
      </c>
      <c r="OQ17">
        <f>$OQ$16+--($OP17)</f>
        <v>14</v>
      </c>
      <c r="OR17">
        <f t="shared" si="129"/>
        <v>65782</v>
      </c>
      <c r="OS17">
        <f>IF(COUNTIF('Buyer Groups'!DG17:EC17,0)+COUNTIF('Buyer Groups'!EE17:EN17,0)&gt;0,0,1)</f>
        <v>1</v>
      </c>
      <c r="OT17" t="e">
        <f>IF($DZ$17="",FALSE,SUMPRODUCT(('Final Calculation Sheet'!$X$4:$X$40=$DZ$17)*($OS$6:$OS$42=1))&gt;0)</f>
        <v>#N/A</v>
      </c>
      <c r="OU17" t="e">
        <f>$OU$16+--($OT17)</f>
        <v>#N/A</v>
      </c>
      <c r="OV17" t="e">
        <f t="shared" si="130"/>
        <v>#N/A</v>
      </c>
      <c r="OW17">
        <f>IF(COUNTIF('Buyer Groups'!DG17:ED17,0)+COUNTIF('Buyer Groups'!EF17:EN17,0)&gt;0,0,1)</f>
        <v>1</v>
      </c>
      <c r="OX17" t="e">
        <f>IF($EE$17="",FALSE,SUMPRODUCT(('Final Calculation Sheet'!$Y$4:$Y$40=$EE$17)*($OW$6:$OW$42=1))&gt;0)</f>
        <v>#N/A</v>
      </c>
      <c r="OY17" t="e">
        <f>$OY$16+--($OX17)</f>
        <v>#N/A</v>
      </c>
      <c r="OZ17" t="e">
        <f t="shared" si="131"/>
        <v>#N/A</v>
      </c>
      <c r="PA17">
        <f>IF(COUNTIF('Buyer Groups'!DG17:EE17,0)+COUNTIF('Buyer Groups'!EG17:EN17,0)&gt;0,0,1)</f>
        <v>1</v>
      </c>
      <c r="PB17" t="b">
        <f ca="1">IF($EJ$17="",FALSE,SUMPRODUCT(('Final Calculation Sheet'!$Z$4:$Z$40=$EJ$17)*($PA$6:$PA$42=1))&gt;0)</f>
        <v>1</v>
      </c>
      <c r="PC17">
        <f ca="1">$PC$16+--($PB17)</f>
        <v>14</v>
      </c>
      <c r="PD17">
        <f t="shared" ca="1" si="132"/>
        <v>2513.3999999999996</v>
      </c>
      <c r="PE17">
        <f>IF(COUNTIF('Buyer Groups'!DG17:EF17,0)+COUNTIF('Buyer Groups'!EH17:EN17,0)&gt;0,0,1)</f>
        <v>1</v>
      </c>
      <c r="PF17" t="e">
        <f>IF($EO$17="",FALSE,SUMPRODUCT(('Final Calculation Sheet'!$AA$4:$AA$40=$EO$17)*($PE$6:$PE$42=1))&gt;0)</f>
        <v>#N/A</v>
      </c>
      <c r="PG17" t="e">
        <f>$PG$16+--($PF17)</f>
        <v>#N/A</v>
      </c>
      <c r="PH17" t="e">
        <f t="shared" si="133"/>
        <v>#N/A</v>
      </c>
      <c r="PI17">
        <f>IF(COUNTIF('Buyer Groups'!DG17:EG17,0)+COUNTIF('Buyer Groups'!EI17:EN17,0)&gt;0,0,1)</f>
        <v>1</v>
      </c>
      <c r="PJ17" t="e">
        <f>IF($ET$17="",FALSE,SUMPRODUCT(('Final Calculation Sheet'!$AB$4:$AB$40=$ET$17)*($PI$6:$PI$42=1))&gt;0)</f>
        <v>#N/A</v>
      </c>
      <c r="PK17" t="e">
        <f>$PK$16+--($PJ17)</f>
        <v>#N/A</v>
      </c>
      <c r="PL17" t="e">
        <f t="shared" si="134"/>
        <v>#N/A</v>
      </c>
      <c r="PM17">
        <f>IF(COUNTIF('Buyer Groups'!DG17:EH17,0)+COUNTIF('Buyer Groups'!EJ17:EN17,0)&gt;0,0,1)</f>
        <v>1</v>
      </c>
      <c r="PN17" t="b">
        <f>IF($EY$17="",FALSE,SUMPRODUCT(('Final Calculation Sheet'!$AC$4:$AC$40=$EY$17)*($PM$6:$PM$42=1))&gt;0)</f>
        <v>1</v>
      </c>
      <c r="PO17">
        <f>$PO$16+--($PN17)</f>
        <v>14</v>
      </c>
      <c r="PP17">
        <f t="shared" si="135"/>
        <v>82361</v>
      </c>
      <c r="PQ17">
        <f>IF(COUNTIF('Buyer Groups'!DG17:EI17,0)+COUNTIF('Buyer Groups'!EK17:EN17,0)&gt;0,0,1)</f>
        <v>1</v>
      </c>
      <c r="PR17" t="b">
        <f>IF($FD$17="",FALSE,SUMPRODUCT(('Final Calculation Sheet'!$AD$4:$AD$40=$FD$17)*($PQ$6:$PQ$42=1))&gt;0)</f>
        <v>0</v>
      </c>
      <c r="PS17">
        <f>$PS$16+--($PR17)</f>
        <v>11</v>
      </c>
      <c r="PT17" t="str">
        <f t="shared" si="136"/>
        <v/>
      </c>
      <c r="PU17">
        <f>IF(COUNTIF('Buyer Groups'!DG17:EJ17,0)+COUNTIF('Buyer Groups'!EL17:EN17,0)&gt;0,0,1)</f>
        <v>1</v>
      </c>
      <c r="PV17" t="b">
        <f>IF($FX$17="",FALSE,SUMPRODUCT((IF('Final Calculation Sheet'!$AD$4:$AD$40&lt;=5,"SETTLED","OUTSTANDING")=$FX$17)*($PU$6:$PU$42=1))&gt;0)</f>
        <v>0</v>
      </c>
      <c r="PW17">
        <f>$PW$16+--($PV17)</f>
        <v>1</v>
      </c>
      <c r="PX17" t="str">
        <f t="shared" si="137"/>
        <v/>
      </c>
      <c r="PY17">
        <f>IF(COUNTIF('Buyer Groups'!DG17:EK17,0)+COUNTIF('Buyer Groups'!EM17:EN17,0)&gt;0,0,1)</f>
        <v>1</v>
      </c>
      <c r="PZ17" t="e">
        <f>IF($FI$17="",FALSE,SUMPRODUCT(('Final Calculation Sheet'!$AF$4:$AF$40=$FI$17)*($PY$6:$PY$42=1))&gt;0)</f>
        <v>#N/A</v>
      </c>
      <c r="QA17" t="e">
        <f>$QA$16+--($PZ17)</f>
        <v>#N/A</v>
      </c>
      <c r="QB17" t="e">
        <f t="shared" si="138"/>
        <v>#N/A</v>
      </c>
      <c r="QC17">
        <f>IF(COUNTIF('Buyer Groups'!DG17:EL17,0)+COUNTIF('Buyer Groups'!EN17:EN17,0)&gt;0,0,1)</f>
        <v>1</v>
      </c>
      <c r="QD17" t="e">
        <f>IF($FN$17="",FALSE,SUMPRODUCT(('Final Calculation Sheet'!$AG$4:$AG$40=$FN$17)*($QC$6:$QC$42=1))&gt;0)</f>
        <v>#N/A</v>
      </c>
      <c r="QE17" t="e">
        <f>$QE$16+--($QD17)</f>
        <v>#N/A</v>
      </c>
      <c r="QF17" t="e">
        <f t="shared" si="139"/>
        <v>#N/A</v>
      </c>
      <c r="QG17">
        <f>IF(COUNTIF('Buyer Groups'!DG17:EM17,0)&gt;0,0,1)</f>
        <v>1</v>
      </c>
      <c r="QH17" t="e">
        <f>IF($FS$17="",FALSE,SUMPRODUCT(('Final Calculation Sheet'!$AH$4:$AH$40=$FS$17)*($QG$6:$QG$42=1))&gt;0)</f>
        <v>#N/A</v>
      </c>
      <c r="QI17" t="e">
        <f>$QI$16+--($QH17)</f>
        <v>#N/A</v>
      </c>
      <c r="QJ17" t="e">
        <f t="shared" si="140"/>
        <v>#N/A</v>
      </c>
      <c r="QK17" t="str">
        <f>IF('Final Calculation Sheet'!$AH$17="","",'Final Calculation Sheet'!$AH$17)</f>
        <v>14.08.2026</v>
      </c>
      <c r="QL17">
        <f>IF(QK17="","",COUNTIFS(QK$4:QK$40,"&lt;"&amp;QK17,QK$4:QK$40,"&lt;&gt;"&amp;"")+COUNTIF(QK$4:QK17,QK17))</f>
        <v>9</v>
      </c>
      <c r="QM17" t="str">
        <f t="shared" si="141"/>
        <v>19.08.2026</v>
      </c>
      <c r="QN17" t="e">
        <f ca="1">QN16+F(AND(QM17&lt;&gt;"",COUNTIF(QM$4:QM17,QM17)=1),1,0)</f>
        <v>#N/A</v>
      </c>
      <c r="QO17" t="e">
        <f t="shared" si="142"/>
        <v>#N/A</v>
      </c>
      <c r="QP17">
        <f>IF(COUNTIF('Final Calculation Sheet'!$AM17:$BS17,0)&gt;0,0,1)</f>
        <v>1</v>
      </c>
      <c r="QQ17" t="b">
        <f>IF($AI$17="",FALSE,SUMPRODUCT(('Final Calculation Sheet'!$A$4:$A$40=$AI$17)*($QP$4:$QP$40=1))&gt;0)</f>
        <v>1</v>
      </c>
      <c r="QR17">
        <f t="shared" si="177"/>
        <v>14</v>
      </c>
      <c r="QS17">
        <f t="shared" si="143"/>
        <v>150</v>
      </c>
      <c r="QT17">
        <f>IF(COUNTIF('Final Calculation Sheet'!$AL17:$AL17,0)+COUNTIF('Final Calculation Sheet'!$AN17:$BS17,0)&gt;0,0,1)</f>
        <v>1</v>
      </c>
      <c r="QU17" t="b">
        <f>IF($Y$17="",FALSE,SUMPRODUCT(('Final Calculation Sheet'!$B$4:$B$40=$Y$17)*($QT$4:$QT$40=1))&gt;0)</f>
        <v>1</v>
      </c>
      <c r="QV17">
        <f t="shared" si="178"/>
        <v>14</v>
      </c>
      <c r="QW17" t="str">
        <f t="shared" si="144"/>
        <v>Scrap of 33 KV GCB</v>
      </c>
      <c r="QX17">
        <f>IF(COUNTIF('Final Calculation Sheet'!$AL17:$AM17,0)+COUNTIF('Final Calculation Sheet'!$AO17:$BS17,0)&gt;0,0,1)</f>
        <v>1</v>
      </c>
      <c r="QY17" t="b">
        <f>IF($AS$17="",FALSE,SUMPRODUCT(('Final Calculation Sheet'!$C$4:$C$40=$AS$17)*($QX$4:$QX$40=1))&gt;0)</f>
        <v>1</v>
      </c>
      <c r="QZ17">
        <f t="shared" si="179"/>
        <v>14</v>
      </c>
      <c r="RA17">
        <f t="shared" si="145"/>
        <v>1456</v>
      </c>
      <c r="RB17">
        <f>IF(COUNTIF('Final Calculation Sheet'!$AL17:$AN17,0)+COUNTIF('Final Calculation Sheet'!$AP17:$BS17,0)&gt;0,0,1)</f>
        <v>1</v>
      </c>
      <c r="RC17" t="b">
        <f>IF($AD$17="",FALSE,SUMPRODUCT(('Final Calculation Sheet'!$D$4:$D$40=$AD$17)*($RB$4:$RB$40=1))&gt;0)</f>
        <v>0</v>
      </c>
      <c r="RD17">
        <f t="shared" si="180"/>
        <v>4</v>
      </c>
      <c r="RE17" t="str">
        <f t="shared" si="146"/>
        <v/>
      </c>
      <c r="RF17">
        <f>IF(COUNTIF('Final Calculation Sheet'!$AL17:$AO17,0)+COUNTIF('Final Calculation Sheet'!$AQ17:$BS17,0)&gt;0,0,1)</f>
        <v>1</v>
      </c>
      <c r="RG17" t="b">
        <f>IF($AN$17="",FALSE,SUMPRODUCT(('Final Calculation Sheet'!$E$4:$E$40=$AN$17)*($RF$4:$RF$40=1))&gt;0)</f>
        <v>0</v>
      </c>
      <c r="RH17">
        <f t="shared" si="181"/>
        <v>3</v>
      </c>
      <c r="RI17" t="str">
        <f t="shared" si="147"/>
        <v/>
      </c>
      <c r="RJ17">
        <f>IF(COUNTIF('Final Calculation Sheet'!$AL17:$AP17,0)+COUNTIF('Final Calculation Sheet'!$AR17:$BS17,0)&gt;0,0,1)</f>
        <v>1</v>
      </c>
      <c r="RK17" t="b">
        <f>IF($O$17="",FALSE,SUMPRODUCT(('Final Calculation Sheet'!$F$4:$F$40=$O$17)*($RJ$4:$RJ$40=1))&gt;0)</f>
        <v>1</v>
      </c>
      <c r="RL17">
        <f t="shared" si="182"/>
        <v>14</v>
      </c>
      <c r="RM17">
        <f t="shared" si="148"/>
        <v>2015</v>
      </c>
      <c r="RN17">
        <f>IF(COUNTIF('Final Calculation Sheet'!$AL17:$AQ17,0)+COUNTIF('Final Calculation Sheet'!$AS17:$BS17,0)&gt;0,0,1)</f>
        <v>1</v>
      </c>
      <c r="RO17" t="b">
        <f>IF($T$17="",FALSE,SUMPRODUCT(('Final Calculation Sheet'!$G$4:$G$40=$T$17)*($RN$4:$RN$40=1))&gt;0)</f>
        <v>0</v>
      </c>
      <c r="RP17">
        <f t="shared" si="183"/>
        <v>13</v>
      </c>
      <c r="RQ17" t="str">
        <f t="shared" si="149"/>
        <v/>
      </c>
      <c r="RR17">
        <f>IF(COUNTIF('Final Calculation Sheet'!$AL17:$AR17,0)+COUNTIF('Final Calculation Sheet'!$AT17:$BS17,0)&gt;0,0,1)</f>
        <v>1</v>
      </c>
      <c r="RS17" t="b">
        <f>IF($AX$17="",FALSE,SUMPRODUCT(('Final Calculation Sheet'!$H$4:$H$40=$AX$17)*($RR$4:$RR$40=1))&gt;0)</f>
        <v>1</v>
      </c>
      <c r="RT17">
        <f t="shared" si="184"/>
        <v>14</v>
      </c>
      <c r="RU17">
        <f t="shared" si="150"/>
        <v>71000</v>
      </c>
      <c r="RV17">
        <f>IF(COUNTIF('Final Calculation Sheet'!$AL17:$AS17,0)+COUNTIF('Final Calculation Sheet'!$AU17:$BS17,0)&gt;0,0,1)</f>
        <v>1</v>
      </c>
      <c r="RW17" t="b">
        <f>IF($BC$17="",FALSE,SUMPRODUCT(('Final Calculation Sheet'!$I$4:$I$40=$BC$17)*($RV$4:$RV$40=1))&gt;0)</f>
        <v>1</v>
      </c>
      <c r="RX17">
        <f t="shared" si="185"/>
        <v>14</v>
      </c>
      <c r="RY17">
        <f t="shared" si="151"/>
        <v>12780</v>
      </c>
      <c r="RZ17">
        <f>IF(COUNTIF('Final Calculation Sheet'!$AL17:$AT17,0)+COUNTIF('Final Calculation Sheet'!$AV17:$BS17,0)&gt;0,0,1)</f>
        <v>1</v>
      </c>
      <c r="SA17" t="b">
        <f>IF($BH$17="",FALSE,SUMPRODUCT(('Final Calculation Sheet'!$J$4:$J$40=$BH$17)*($RZ$4:$RZ$40=1))&gt;0)</f>
        <v>1</v>
      </c>
      <c r="SB17">
        <f t="shared" si="186"/>
        <v>14</v>
      </c>
      <c r="SC17">
        <f t="shared" si="152"/>
        <v>83780</v>
      </c>
      <c r="SD17">
        <f>IF(COUNTIF('Final Calculation Sheet'!$AL17:$AU17,0)+COUNTIF('Final Calculation Sheet'!$AW17:$BS17,0)&gt;0,0,1)</f>
        <v>1</v>
      </c>
      <c r="SE17" t="b">
        <f>IF($BM$17="",FALSE,SUMPRODUCT(('Final Calculation Sheet'!$K$4:$K$40=$BM$17)*($SD$4:$SD$40=1))&gt;0)</f>
        <v>1</v>
      </c>
      <c r="SF17">
        <f t="shared" si="187"/>
        <v>14</v>
      </c>
      <c r="SG17">
        <f t="shared" si="153"/>
        <v>1676</v>
      </c>
      <c r="SH17">
        <f>IF(COUNTIF('Final Calculation Sheet'!$AL17:$AV17,0)+COUNTIF('Final Calculation Sheet'!$AX17:$BS17,0)&gt;0,0,1)</f>
        <v>1</v>
      </c>
      <c r="SI17" t="b">
        <f>IF($BR$17="",FALSE,SUMPRODUCT(('Final Calculation Sheet'!$L$4:$L$40=$BR$17)*($SH$4:$SH$40=1))&gt;0)</f>
        <v>1</v>
      </c>
      <c r="SJ17">
        <f t="shared" si="188"/>
        <v>14</v>
      </c>
      <c r="SK17">
        <f t="shared" si="154"/>
        <v>71</v>
      </c>
      <c r="SL17">
        <f>IF(COUNTIF('Final Calculation Sheet'!$AL17:$AW17,0)+COUNTIF('Final Calculation Sheet'!$AY17:$BS17,0)&gt;0,0,1)</f>
        <v>1</v>
      </c>
      <c r="SM17" t="b">
        <f>IF($BW$17="",FALSE,SUMPRODUCT(('Final Calculation Sheet'!$M$4:$M$40=$BW$17)*($SL$4:$SL$40=1))&gt;0)</f>
        <v>1</v>
      </c>
      <c r="SN17">
        <f t="shared" si="189"/>
        <v>14</v>
      </c>
      <c r="SO17">
        <f t="shared" si="155"/>
        <v>1885.05</v>
      </c>
      <c r="SP17">
        <f>IF(COUNTIF('Final Calculation Sheet'!$AL17:$AX17,0)+COUNTIF('Final Calculation Sheet'!$AZ17:$BS17,0)&gt;0,0,1)</f>
        <v>1</v>
      </c>
      <c r="SQ17" t="b">
        <f>IF($CB$17="",FALSE,SUMPRODUCT(('Final Calculation Sheet'!$N$4:$N$40=$CB$17)*($SP$4:$SP$40=1))&gt;0)</f>
        <v>1</v>
      </c>
      <c r="SR17">
        <f t="shared" si="190"/>
        <v>14</v>
      </c>
      <c r="SS17">
        <f t="shared" si="156"/>
        <v>31.95</v>
      </c>
      <c r="ST17">
        <f>IF(COUNTIF('Final Calculation Sheet'!$AL17:$AY17,0)+COUNTIF('Final Calculation Sheet'!$BA17:$BS17,0)&gt;0,0,1)</f>
        <v>1</v>
      </c>
      <c r="SU17" t="b">
        <f>IF($CG$17="",FALSE,SUMPRODUCT(('Final Calculation Sheet'!$O$4:$O$40=$CG$17)*($ST$4:$ST$40=1))&gt;0)</f>
        <v>1</v>
      </c>
      <c r="SV17">
        <f t="shared" si="191"/>
        <v>14</v>
      </c>
      <c r="SW17">
        <f t="shared" si="157"/>
        <v>1853.1</v>
      </c>
      <c r="SX17">
        <f>IF(COUNTIF('Final Calculation Sheet'!$AL17:$AZ17,0)+COUNTIF('Final Calculation Sheet'!$BB17:$BS17,0)&gt;0,0,1)</f>
        <v>1</v>
      </c>
      <c r="SY17" t="b">
        <f>IF($CL$17="",FALSE,SUMPRODUCT(('Final Calculation Sheet'!$P$4:$P$40=$CL$17)*($SX$4:$SX$40=1))&gt;0)</f>
        <v>1</v>
      </c>
      <c r="SZ17">
        <f t="shared" si="192"/>
        <v>14</v>
      </c>
      <c r="TA17">
        <f t="shared" si="158"/>
        <v>1924</v>
      </c>
      <c r="TB17">
        <f>IF(COUNTIF('Final Calculation Sheet'!$AL17:$BA17,0)+COUNTIF('Final Calculation Sheet'!$BC17:$BS17,0)&gt;0,0,1)</f>
        <v>1</v>
      </c>
      <c r="TC17" t="b">
        <f>IF($CQ$17="",FALSE,SUMPRODUCT(('Final Calculation Sheet'!$Q$4:$Q$40=$CQ$17)*($TB$4:$TB$40=1))&gt;0)</f>
        <v>0</v>
      </c>
      <c r="TD17">
        <f t="shared" si="193"/>
        <v>2</v>
      </c>
      <c r="TE17" t="str">
        <f t="shared" si="159"/>
        <v/>
      </c>
      <c r="TF17">
        <f>IF(COUNTIF('Final Calculation Sheet'!$AL17:$BB17,0)+COUNTIF('Final Calculation Sheet'!$BD17:$BS17,0)&gt;0,0,1)</f>
        <v>1</v>
      </c>
      <c r="TG17" t="b">
        <f>IF($CV$17="",FALSE,SUMPRODUCT(('Final Calculation Sheet'!$R$4:$R$40=$CV$17)*($TF$4:$TF$40=1))&gt;0)</f>
        <v>0</v>
      </c>
      <c r="TH17">
        <f t="shared" si="194"/>
        <v>5</v>
      </c>
      <c r="TI17" t="str">
        <f t="shared" si="160"/>
        <v/>
      </c>
      <c r="TJ17">
        <f>IF(COUNTIF('Final Calculation Sheet'!$AL17:$BC17,0)+COUNTIF('Final Calculation Sheet'!$BE17:$BS17,0)&gt;0,0,1)</f>
        <v>1</v>
      </c>
      <c r="TK17" t="b">
        <f>IF($DA$17="",FALSE,SUMPRODUCT(('Final Calculation Sheet'!$S$4:$S$40=$DA$17)*($TJ$4:$TJ$40=1))&gt;0)</f>
        <v>1</v>
      </c>
      <c r="TL17">
        <f t="shared" si="195"/>
        <v>14</v>
      </c>
      <c r="TM17">
        <f t="shared" si="161"/>
        <v>83532</v>
      </c>
      <c r="TN17">
        <f>IF(COUNTIF('Final Calculation Sheet'!$AL17:$BD17,0)+COUNTIF('Final Calculation Sheet'!$BF17:$BS17,0)&gt;0,0,1)</f>
        <v>1</v>
      </c>
      <c r="TO17" t="b">
        <f>IF($DF$17="",FALSE,SUMPRODUCT(('Final Calculation Sheet'!$T$4:$T$40=$DF$17)*($TN$4:$TN$40=1))&gt;0)</f>
        <v>1</v>
      </c>
      <c r="TP17">
        <f t="shared" si="196"/>
        <v>14</v>
      </c>
      <c r="TQ17">
        <f t="shared" si="162"/>
        <v>17750</v>
      </c>
      <c r="TR17">
        <f>IF(COUNTIF('Final Calculation Sheet'!$AL17:$BE17,0)+COUNTIF('Final Calculation Sheet'!$BG17:$BS17,0)&gt;0,0,1)</f>
        <v>1</v>
      </c>
      <c r="TS17" t="b">
        <f>IF($DK$17="",FALSE,SUMPRODUCT(('Final Calculation Sheet'!$U$4:$U$40=$DK$17)*($TR$4:$TR$40=1))&gt;0)</f>
        <v>1</v>
      </c>
      <c r="TT17">
        <f t="shared" si="197"/>
        <v>14</v>
      </c>
      <c r="TU17">
        <f t="shared" si="163"/>
        <v>17750</v>
      </c>
      <c r="TV17">
        <f>IF(COUNTIF('Final Calculation Sheet'!$AL17:$BF17,0)+COUNTIF('Final Calculation Sheet'!$BH17:$BS17,0)&gt;0,0,1)</f>
        <v>1</v>
      </c>
      <c r="TW17" t="b">
        <f>IF($DP$17="",FALSE,SUMPRODUCT(('Final Calculation Sheet'!$V$4:$V$40=$DP$17)*($TV$4:$TV$40=1))&gt;0)</f>
        <v>0</v>
      </c>
      <c r="TX17">
        <f t="shared" si="198"/>
        <v>6</v>
      </c>
      <c r="TY17" t="str">
        <f t="shared" si="164"/>
        <v/>
      </c>
      <c r="TZ17">
        <f>IF(COUNTIF('Final Calculation Sheet'!$AL17:$BG17,0)+COUNTIF('Final Calculation Sheet'!$BI17:$BS17,0)&gt;0,0,1)</f>
        <v>1</v>
      </c>
      <c r="UA17" t="b">
        <f>IF($DU$17="",FALSE,SUMPRODUCT(('Final Calculation Sheet'!$W$4:$W$40=$DU$17)*($TZ$4:$TZ$40=1))&gt;0)</f>
        <v>1</v>
      </c>
      <c r="UB17">
        <f t="shared" si="199"/>
        <v>14</v>
      </c>
      <c r="UC17">
        <f t="shared" si="165"/>
        <v>65782</v>
      </c>
      <c r="UD17">
        <f>IF(COUNTIF('Final Calculation Sheet'!$AL17:$BH17,0)+COUNTIF('Final Calculation Sheet'!$BJ17:$BS17,0)&gt;0,0,1)</f>
        <v>1</v>
      </c>
      <c r="UE17" t="e">
        <f>IF($DZ$17="",FALSE,SUMPRODUCT(('Final Calculation Sheet'!$X$4:$X$40=$DZ$17)*($UD$4:$UD$40=1))&gt;0)</f>
        <v>#N/A</v>
      </c>
      <c r="UF17" t="e">
        <f t="shared" si="200"/>
        <v>#N/A</v>
      </c>
      <c r="UG17" t="e">
        <f t="shared" si="166"/>
        <v>#N/A</v>
      </c>
      <c r="UH17">
        <f>IF(COUNTIF('Final Calculation Sheet'!$AL17:$BI17,0)+COUNTIF('Final Calculation Sheet'!$BK17:$BS17,0)&gt;0,0,1)</f>
        <v>1</v>
      </c>
      <c r="UI17" t="e">
        <f>IF($EE$17="",FALSE,SUMPRODUCT(('Final Calculation Sheet'!$Y$4:$Y$40=$EE$17)*($UH$4:$UH$40=1))&gt;0)</f>
        <v>#N/A</v>
      </c>
      <c r="UJ17" t="e">
        <f t="shared" si="201"/>
        <v>#N/A</v>
      </c>
      <c r="UK17" t="e">
        <f t="shared" si="167"/>
        <v>#N/A</v>
      </c>
      <c r="UL17">
        <f>IF(COUNTIF('Final Calculation Sheet'!$AL17:$BJ17,0)+COUNTIF('Final Calculation Sheet'!$BL17:$BS17,0)&gt;0,0,1)</f>
        <v>1</v>
      </c>
      <c r="UM17" t="b">
        <f ca="1">IF($EJ$17="",FALSE,SUMPRODUCT(('Final Calculation Sheet'!$Z$4:$Z$40=$EJ$17)*($UL$4:$UL$40=1))&gt;0)</f>
        <v>1</v>
      </c>
      <c r="UN17">
        <f t="shared" ca="1" si="202"/>
        <v>14</v>
      </c>
      <c r="UO17">
        <f t="shared" ca="1" si="168"/>
        <v>2513.3999999999996</v>
      </c>
      <c r="UP17">
        <f>IF(COUNTIF('Final Calculation Sheet'!$AL17:$BK17,0)+COUNTIF('Final Calculation Sheet'!$BM17:$BS17,0)&gt;0,0,1)</f>
        <v>1</v>
      </c>
      <c r="UQ17" t="e">
        <f>IF($EO$17="",FALSE,SUMPRODUCT(('Final Calculation Sheet'!$AA$4:$AA$40=$EO$17)*($UP$4:$UP$40=1))&gt;0)</f>
        <v>#N/A</v>
      </c>
      <c r="UR17" t="e">
        <f t="shared" si="203"/>
        <v>#N/A</v>
      </c>
      <c r="US17" t="e">
        <f t="shared" si="169"/>
        <v>#N/A</v>
      </c>
      <c r="UT17">
        <f>IF(COUNTIF('Final Calculation Sheet'!$AL17:$BL17,0)+COUNTIF('Final Calculation Sheet'!$BN17:$BS17,0)&gt;0,0,1)</f>
        <v>1</v>
      </c>
      <c r="UU17" t="e">
        <f>IF($ET$17="",FALSE,SUMPRODUCT(('Final Calculation Sheet'!$AB$4:$AB$40=$ET$17)*($UT$4:$UT$40=1))&gt;0)</f>
        <v>#N/A</v>
      </c>
      <c r="UV17" t="e">
        <f t="shared" si="204"/>
        <v>#N/A</v>
      </c>
      <c r="UW17" t="e">
        <f t="shared" si="170"/>
        <v>#N/A</v>
      </c>
      <c r="UX17">
        <f>IF(COUNTIF('Final Calculation Sheet'!$AL17:$BM17,0)+COUNTIF('Final Calculation Sheet'!$BO17:$BS17,0)&gt;0,0,1)</f>
        <v>1</v>
      </c>
      <c r="UY17" t="b">
        <f>IF($EY$17="",FALSE,SUMPRODUCT(('Final Calculation Sheet'!$AC$4:$AC$40=$EY$17)*($UX$4:$UX$40=1))&gt;0)</f>
        <v>1</v>
      </c>
      <c r="UZ17">
        <f t="shared" si="205"/>
        <v>14</v>
      </c>
      <c r="VA17">
        <f t="shared" si="171"/>
        <v>82361</v>
      </c>
      <c r="VB17">
        <f>IF(COUNTIF('Final Calculation Sheet'!$AL17:$BN17,0)+COUNTIF('Final Calculation Sheet'!$BP17:$BS17,0)&gt;0,0,1)</f>
        <v>1</v>
      </c>
      <c r="VC17" t="b">
        <f>IF($FD$17="",FALSE,SUMPRODUCT(('Final Calculation Sheet'!$AD$4:$AD$40=$FD$17)*($VB$4:$VB$40=1))&gt;0)</f>
        <v>0</v>
      </c>
      <c r="VD17">
        <f t="shared" si="206"/>
        <v>11</v>
      </c>
      <c r="VE17" t="str">
        <f t="shared" si="172"/>
        <v/>
      </c>
      <c r="VF17">
        <f>IF(COUNTIF('Final Calculation Sheet'!$AL17:$BO17,0)+COUNTIF('Final Calculation Sheet'!$BQ17:$BS17,0)&gt;0,0,1)</f>
        <v>1</v>
      </c>
      <c r="VG17" t="e">
        <f>IF($FI$17="",FALSE,SUMPRODUCT(('Final Calculation Sheet'!$AE$4:$AE$40=$FI$17)*($VF$4:$VF$40=1))&gt;0)</f>
        <v>#N/A</v>
      </c>
      <c r="VH17" t="e">
        <f t="shared" si="207"/>
        <v>#N/A</v>
      </c>
      <c r="VI17" t="e">
        <f t="shared" si="173"/>
        <v>#N/A</v>
      </c>
      <c r="VJ17">
        <f>IF(COUNTIF('Final Calculation Sheet'!$AL17:$BP17,0)+COUNTIF('Final Calculation Sheet'!$BR17:$BS17,0)&gt;0,0,1)</f>
        <v>1</v>
      </c>
      <c r="VK17" t="e">
        <f>IF($FN$17="",FALSE,SUMPRODUCT(('Final Calculation Sheet'!$AF$4:$AF$40=$FN$17)*($VJ$4:$VJ$40=1))&gt;0)</f>
        <v>#N/A</v>
      </c>
      <c r="VL17" t="e">
        <f t="shared" si="208"/>
        <v>#N/A</v>
      </c>
      <c r="VM17" t="e">
        <f t="shared" si="174"/>
        <v>#N/A</v>
      </c>
      <c r="VN17">
        <f>IF(COUNTIF('Final Calculation Sheet'!$AL17:$BQ17,0)+COUNTIF('Final Calculation Sheet'!$BS17:$BS17,0)&gt;0,0,1)</f>
        <v>1</v>
      </c>
      <c r="VO17" t="e">
        <f>IF($FS$17="",FALSE,SUMPRODUCT(('Final Calculation Sheet'!$AG$4:$AG$40=$FS$17)*($VN$4:$VN$40=1))&gt;0)</f>
        <v>#N/A</v>
      </c>
      <c r="VP17" t="e">
        <f t="shared" si="209"/>
        <v>#N/A</v>
      </c>
      <c r="VQ17" t="e">
        <f t="shared" si="175"/>
        <v>#N/A</v>
      </c>
      <c r="VR17">
        <f>IF(COUNTIF('Final Calculation Sheet'!$AL17:$BR17,0)&gt;0,0,1)</f>
        <v>1</v>
      </c>
      <c r="VS17" t="e">
        <f>IF($QO$17="",FALSE,SUMPRODUCT(('Final Calculation Sheet'!$AH$4:$AH$40=$QO$17)*($VR$4:$VR$40=1))&gt;0)</f>
        <v>#N/A</v>
      </c>
      <c r="VT17" t="e">
        <f t="shared" si="210"/>
        <v>#N/A</v>
      </c>
      <c r="VU17" t="e">
        <f t="shared" si="176"/>
        <v>#N/A</v>
      </c>
    </row>
    <row r="18" spans="1:593" x14ac:dyDescent="0.3">
      <c r="A18">
        <f>IF('Final Calculation Sheet'!$F$18="","",'Final Calculation Sheet'!$F$18)</f>
        <v>2018</v>
      </c>
      <c r="B18">
        <f>IF(A18="","",COUNTIFS(A$4:A$114,"&lt;"&amp;A18,A$4:A$114,"&lt;&gt;"&amp;"")+COUNTIF(A$4:A18,A18))</f>
        <v>15</v>
      </c>
      <c r="C18">
        <f t="shared" si="0"/>
        <v>2018</v>
      </c>
      <c r="D18">
        <f>D17+IF(AND(C18&lt;&gt;"",COUNTIF(C$4:C18,C18)=1),1,0)</f>
        <v>15</v>
      </c>
      <c r="E18" t="e">
        <f t="shared" si="1"/>
        <v>#N/A</v>
      </c>
      <c r="F18">
        <f t="shared" si="2"/>
        <v>15</v>
      </c>
      <c r="G18">
        <f>IF(F18="","",COUNTIFS(F$4:F$40,"&lt;"&amp;F18,F$4:F$40,"&lt;&gt;"&amp;"")+COUNTIF(F$4:F18,F18))</f>
        <v>15</v>
      </c>
      <c r="H18">
        <f t="shared" si="3"/>
        <v>15</v>
      </c>
      <c r="I18">
        <f>I17+IF(AND(H18&lt;&gt;"",COUNTIF(H$4:H18,H18)=1),1,0)</f>
        <v>15</v>
      </c>
      <c r="J18">
        <f t="shared" si="4"/>
        <v>15</v>
      </c>
      <c r="K18">
        <f>IF('Final Calculation Sheet'!$F$18="","",'Final Calculation Sheet'!$F$18)</f>
        <v>2018</v>
      </c>
      <c r="L18">
        <f>IF(K18="","",COUNTIFS(K$4:K$40,"&lt;"&amp;K18,K$4:K$40,"&lt;&gt;"&amp;"")+COUNTIF(K$4:K18,K18))</f>
        <v>15</v>
      </c>
      <c r="M18">
        <f t="shared" si="5"/>
        <v>2018</v>
      </c>
      <c r="N18">
        <f>N17+IF(AND(M18&lt;&gt;"",COUNTIF(M$4:M18,M18)=1),1,0)</f>
        <v>15</v>
      </c>
      <c r="O18">
        <f t="shared" si="6"/>
        <v>2018</v>
      </c>
      <c r="P18" t="str">
        <f>IF('Final Calculation Sheet'!$G$18="","",'Final Calculation Sheet'!$G$18)</f>
        <v>NATIONAL ENTERPRISES</v>
      </c>
      <c r="Q18">
        <f>IF(P18="","",COUNTIFS(P$4:P$40,"&lt;"&amp;P18,P$4:P$40,"&lt;&gt;"&amp;"")+COUNTIF(P$4:P18,P18))</f>
        <v>11</v>
      </c>
      <c r="R18" t="str">
        <f t="shared" si="7"/>
        <v>NATIONAL ENTERPRISES</v>
      </c>
      <c r="S18">
        <f>S17+IF(AND(R18&lt;&gt;"",COUNTIF(R$4:R18,R18)=1),1,0)</f>
        <v>6</v>
      </c>
      <c r="T18" t="str">
        <f t="shared" si="8"/>
        <v/>
      </c>
      <c r="U18" t="str">
        <f>IF('Final Calculation Sheet'!$B$18="","",'Final Calculation Sheet'!$B$18)</f>
        <v>Scrap of 220 KV Circuit Breaker</v>
      </c>
      <c r="V18">
        <f>IF(U18="","",COUNTIFS(U$4:U$40,"&lt;"&amp;U18,U$4:U$40,"&lt;&gt;"&amp;"")+COUNTIF(U$4:U18,U18))</f>
        <v>15</v>
      </c>
      <c r="W18" t="str">
        <f t="shared" si="9"/>
        <v>Scrap of 220 KV Circuit Breaker</v>
      </c>
      <c r="X18">
        <f>X17+IF(AND(W18&lt;&gt;"",COUNTIF(W$4:W18,W18)=1),1,0)</f>
        <v>9</v>
      </c>
      <c r="Y18" t="str">
        <f t="shared" si="10"/>
        <v>Scrap of 66 KV Isolater</v>
      </c>
      <c r="Z18">
        <f>IF('Final Calculation Sheet'!$D$18="","",'Final Calculation Sheet'!$D$18)</f>
        <v>21978</v>
      </c>
      <c r="AA18">
        <f>IF(Z18="","",COUNTIFS(Z$4:Z$40,"&lt;"&amp;Z18,Z$4:Z$40,"&lt;&gt;"&amp;"")+COUNTIF(Z$4:Z18,Z18))</f>
        <v>13</v>
      </c>
      <c r="AB18">
        <f t="shared" si="11"/>
        <v>21978</v>
      </c>
      <c r="AC18">
        <f>AC17+IF(AND(AB18&lt;&gt;"",COUNTIF(AB$4:AB18,AB18)=1),1,0)</f>
        <v>2</v>
      </c>
      <c r="AD18" t="str">
        <f t="shared" si="12"/>
        <v/>
      </c>
      <c r="AE18">
        <f>IF('Final Calculation Sheet'!$A$18="","",'Final Calculation Sheet'!$A$18)</f>
        <v>1</v>
      </c>
      <c r="AF18">
        <f>IF(AE18="","",COUNTIFS(AE$4:AE$40,"&lt;"&amp;AE18,AE$4:AE$40,"&lt;&gt;"&amp;"")+COUNTIF(AE$4:AE18,AE18))</f>
        <v>5</v>
      </c>
      <c r="AG18">
        <f t="shared" si="13"/>
        <v>3</v>
      </c>
      <c r="AH18">
        <f>AH17+IF(AND(AG18&lt;&gt;"",COUNTIF(AG$4:AG18,AG18)=1),1,0)</f>
        <v>3</v>
      </c>
      <c r="AI18">
        <f t="shared" si="14"/>
        <v>250</v>
      </c>
      <c r="AJ18" t="str">
        <f>IF('Final Calculation Sheet'!$E$18="","",'Final Calculation Sheet'!$E$18)</f>
        <v>NO</v>
      </c>
      <c r="AK18">
        <f>IF(AJ18="","",COUNTIFS(AJ$4:AJ$40,"&lt;"&amp;AJ18,AJ$4:AJ$40,"&lt;&gt;"&amp;"")+COUNTIF(AJ$4:AJ18,AJ18))</f>
        <v>18</v>
      </c>
      <c r="AL18" t="str">
        <f t="shared" si="15"/>
        <v>NO</v>
      </c>
      <c r="AM18">
        <f>AM17+IF(AND(AL18&lt;&gt;"",COUNTIF(AL$4:AL18,AL18)=1),1,0)</f>
        <v>3</v>
      </c>
      <c r="AN18" t="str">
        <f t="shared" si="16"/>
        <v/>
      </c>
      <c r="AO18" s="50">
        <f>IF('Final Calculation Sheet'!$C$18="","",'Final Calculation Sheet'!$C$18)</f>
        <v>220001</v>
      </c>
      <c r="AP18">
        <f>IF(AO18="","",COUNTIFS(AO$4:AO$40,"&lt;"&amp;AO18,AO$4:AO$40,"&lt;&gt;"&amp;"")+COUNTIF(AO$4:AO18,AO18))</f>
        <v>35</v>
      </c>
      <c r="AQ18" s="50">
        <f t="shared" si="17"/>
        <v>1181</v>
      </c>
      <c r="AR18">
        <f>AR17+IF(AND(AQ18&lt;&gt;"",COUNTIF(AQ$4:AQ18,AQ18)=1),1,0)</f>
        <v>13</v>
      </c>
      <c r="AS18" s="50">
        <f t="shared" si="18"/>
        <v>14001</v>
      </c>
      <c r="AT18" s="50">
        <f>IF('Final Calculation Sheet'!$H$18="","",'Final Calculation Sheet'!$H$18)</f>
        <v>220001</v>
      </c>
      <c r="AU18">
        <f>IF(AT18="","",COUNTIFS(AT$4:AT$40,"&lt;"&amp;AT18,AT$4:AT$40,"&lt;&gt;"&amp;"")+COUNTIF(AT$4:AT18,AT18))</f>
        <v>26</v>
      </c>
      <c r="AV18" s="50">
        <f t="shared" si="19"/>
        <v>75003</v>
      </c>
      <c r="AW18">
        <f>AW17+IF(AND(AV18&lt;&gt;"",COUNTIF(AV$4:AV18,AV18)=1),1,0)</f>
        <v>15</v>
      </c>
      <c r="AX18" s="50">
        <f t="shared" si="20"/>
        <v>75003</v>
      </c>
      <c r="AY18" s="50">
        <f>IF('Final Calculation Sheet'!$I$18="","",'Final Calculation Sheet'!$I$18)</f>
        <v>39600</v>
      </c>
      <c r="AZ18">
        <f>IF(AY18="","",COUNTIFS(AY$4:AY$40,"&lt;"&amp;AY18,AY$4:AY$40,"&lt;&gt;"&amp;"")+COUNTIF(AY$4:AY18,AY18))</f>
        <v>26</v>
      </c>
      <c r="BA18" s="50">
        <f t="shared" si="21"/>
        <v>13501</v>
      </c>
      <c r="BB18">
        <f>BB17+IF(AND(BA18&lt;&gt;"",COUNTIF(BA$4:BA18,BA18)=1),1,0)</f>
        <v>15</v>
      </c>
      <c r="BC18" s="50">
        <f t="shared" si="22"/>
        <v>13501</v>
      </c>
      <c r="BD18" s="50">
        <f>IF('Final Calculation Sheet'!$J$18="","",'Final Calculation Sheet'!$J$18)</f>
        <v>259601</v>
      </c>
      <c r="BE18">
        <f>IF(BD18="","",COUNTIFS(BD$4:BD$40,"&lt;"&amp;BD18,BD$4:BD$40,"&lt;&gt;"&amp;"")+COUNTIF(BD$4:BD18,BD18))</f>
        <v>26</v>
      </c>
      <c r="BF18" s="50">
        <f t="shared" si="23"/>
        <v>88504</v>
      </c>
      <c r="BG18">
        <f>BG17+IF(AND(BF18&lt;&gt;"",COUNTIF(BF$4:BF18,BF18)=1),1,0)</f>
        <v>15</v>
      </c>
      <c r="BH18" s="50">
        <f t="shared" si="24"/>
        <v>88504</v>
      </c>
      <c r="BI18" s="50">
        <f>IF('Final Calculation Sheet'!$K$18="","",'Final Calculation Sheet'!$K$18)</f>
        <v>5192</v>
      </c>
      <c r="BJ18">
        <f>IF(BI18="","",COUNTIFS(BI$4:BI$40,"&lt;"&amp;BI18,BI$4:BI$40,"&lt;&gt;"&amp;"")+COUNTIF(BI$4:BI18,BI18))</f>
        <v>26</v>
      </c>
      <c r="BK18" s="50">
        <f t="shared" si="25"/>
        <v>1770</v>
      </c>
      <c r="BL18">
        <f>BL17+IF(AND(BK18&lt;&gt;"",COUNTIF(BK$4:BK18,BK18)=1),1,0)</f>
        <v>15</v>
      </c>
      <c r="BM18" s="50">
        <f t="shared" si="26"/>
        <v>1770</v>
      </c>
      <c r="BN18" s="50">
        <f>IF('Final Calculation Sheet'!$L$18="","",'Final Calculation Sheet'!$L$18)</f>
        <v>220.001</v>
      </c>
      <c r="BO18">
        <f>IF(BN18="","",COUNTIFS(BN$4:BN$40,"&lt;"&amp;BN18,BN$4:BN$40,"&lt;&gt;"&amp;"")+COUNTIF(BN$4:BN18,BN18))</f>
        <v>26</v>
      </c>
      <c r="BP18" s="50">
        <f t="shared" si="27"/>
        <v>75.003</v>
      </c>
      <c r="BQ18">
        <f>BQ17+IF(AND(BP18&lt;&gt;"",COUNTIF(BP$4:BP18,BP18)=1),1,0)</f>
        <v>15</v>
      </c>
      <c r="BR18" s="50">
        <f t="shared" si="28"/>
        <v>75.003</v>
      </c>
      <c r="BS18" s="50">
        <f>IF('Final Calculation Sheet'!$M$18="","",'Final Calculation Sheet'!$M$18)</f>
        <v>5841.0265499999996</v>
      </c>
      <c r="BT18">
        <f>IF(BS18="","",COUNTIFS(BS$4:BS$40,"&lt;"&amp;BS18,BS$4:BS$40,"&lt;&gt;"&amp;"")+COUNTIF(BS$4:BS18,BS18))</f>
        <v>26</v>
      </c>
      <c r="BU18" s="50">
        <f t="shared" si="29"/>
        <v>1991.3296499999997</v>
      </c>
      <c r="BV18">
        <f>BV17+IF(AND(BU18&lt;&gt;"",COUNTIF(BU$4:BU18,BU18)=1),1,0)</f>
        <v>15</v>
      </c>
      <c r="BW18" s="50">
        <f t="shared" si="30"/>
        <v>1991.3296499999997</v>
      </c>
      <c r="BX18" s="126">
        <f>IF('Final Calculation Sheet'!$N$18="","",'Final Calculation Sheet'!$N$18)</f>
        <v>99.000450000000001</v>
      </c>
      <c r="BY18">
        <f>IF(BX18="","",COUNTIFS(BX$4:BX$40,"&lt;"&amp;BX18,BX$4:BX$40,"&lt;&gt;"&amp;"")+COUNTIF(BX$4:BX18,BX18))</f>
        <v>26</v>
      </c>
      <c r="BZ18" s="126">
        <f t="shared" si="31"/>
        <v>33.751349999999995</v>
      </c>
      <c r="CA18">
        <f>CA17+IF(AND(BZ18&lt;&gt;"",COUNTIF(BZ$4:BZ18,BZ18)=1),1,0)</f>
        <v>15</v>
      </c>
      <c r="CB18" s="126">
        <f t="shared" si="32"/>
        <v>33.751349999999995</v>
      </c>
      <c r="CC18" s="50">
        <f>IF('Final Calculation Sheet'!$O$18="","",'Final Calculation Sheet'!$O$18)</f>
        <v>5742.0260999999991</v>
      </c>
      <c r="CD18">
        <f>IF(CC18="","",COUNTIFS(CC$4:CC$40,"&lt;"&amp;CC18,CC$4:CC$40,"&lt;&gt;"&amp;"")+COUNTIF(CC$4:CC18,CC18))</f>
        <v>26</v>
      </c>
      <c r="CE18" s="50">
        <f t="shared" si="33"/>
        <v>1957.5782999999997</v>
      </c>
      <c r="CF18">
        <f>CF17+IF(AND(CE18&lt;&gt;"",COUNTIF(CE$4:CE18,CE18)=1),1,0)</f>
        <v>15</v>
      </c>
      <c r="CG18" s="50">
        <f t="shared" si="34"/>
        <v>1957.5782999999997</v>
      </c>
      <c r="CH18" s="50">
        <f>IF('Final Calculation Sheet'!$P$18="","",'Final Calculation Sheet'!$P$18)</f>
        <v>5962</v>
      </c>
      <c r="CI18">
        <f>IF(CH18="","",COUNTIFS(CH$4:CH$40,"&lt;"&amp;CH18,CH$4:CH$40,"&lt;&gt;"&amp;"")+COUNTIF(CH$4:CH18,CH18))</f>
        <v>26</v>
      </c>
      <c r="CJ18" s="50">
        <f t="shared" si="35"/>
        <v>2033</v>
      </c>
      <c r="CK18">
        <f>CK17+IF(AND(CJ18&lt;&gt;"",COUNTIF(CJ$4:CJ18,CJ18)=1),1,0)</f>
        <v>15</v>
      </c>
      <c r="CL18" s="50">
        <f t="shared" si="36"/>
        <v>2033</v>
      </c>
      <c r="CM18" s="127">
        <f>IF('Final Calculation Sheet'!$Q$18="","",'Final Calculation Sheet'!$Q$18)</f>
        <v>0</v>
      </c>
      <c r="CN18">
        <f>IF(CM18="","",COUNTIFS(CM$4:CM$40,"&lt;"&amp;CM18,CM$4:CM$40,"&lt;&gt;"&amp;"")+COUNTIF(CM$4:CM18,CM18))</f>
        <v>13</v>
      </c>
      <c r="CO18" s="127">
        <f t="shared" si="37"/>
        <v>0</v>
      </c>
      <c r="CP18">
        <f>CP17+IF(AND(CO18&lt;&gt;"",COUNTIF(CO$4:CO18,CO18)=1),1,0)</f>
        <v>1</v>
      </c>
      <c r="CQ18" t="str">
        <f t="shared" si="38"/>
        <v/>
      </c>
      <c r="CR18" s="50">
        <f>IF('Final Calculation Sheet'!$R$18="","",'Final Calculation Sheet'!$R$18)</f>
        <v>0</v>
      </c>
      <c r="CS18">
        <f>IF(CR18="","",COUNTIFS(CR$4:CR$40,"&lt;"&amp;CR18,CR$4:CR$40,"&lt;&gt;"&amp;"")+COUNTIF(CR$4:CR18,CR18))</f>
        <v>13</v>
      </c>
      <c r="CT18" s="50">
        <f t="shared" si="39"/>
        <v>0</v>
      </c>
      <c r="CU18">
        <f>CU17+IF(AND(CT18&lt;&gt;"",COUNTIF(CT$4:CT18,CT18)=1),1,0)</f>
        <v>1</v>
      </c>
      <c r="CV18" t="str">
        <f t="shared" si="40"/>
        <v/>
      </c>
      <c r="CW18" s="50">
        <f>IF('Final Calculation Sheet'!$S$18="","",'Final Calculation Sheet'!$S$18)</f>
        <v>258831</v>
      </c>
      <c r="CX18">
        <f>IF(CW18="","",COUNTIFS(CW$4:CW$40,"&lt;"&amp;CW18,CW$4:CW$40,"&lt;&gt;"&amp;"")+COUNTIF(CW$4:CW18,CW18))</f>
        <v>26</v>
      </c>
      <c r="CY18" s="50">
        <f t="shared" si="41"/>
        <v>88241</v>
      </c>
      <c r="CZ18">
        <f>CZ17+IF(AND(CY18&lt;&gt;"",COUNTIF(CY$4:CY18,CY18)=1),1,0)</f>
        <v>15</v>
      </c>
      <c r="DA18" s="50">
        <f t="shared" si="42"/>
        <v>88241</v>
      </c>
      <c r="DB18" s="50">
        <f>IF('Final Calculation Sheet'!$T$18="","",'Final Calculation Sheet'!$T$18)</f>
        <v>55000</v>
      </c>
      <c r="DC18">
        <f>IF(DB18="","",COUNTIFS(DB$4:DB$40,"&lt;"&amp;DB18,DB$4:DB$40,"&lt;&gt;"&amp;"")+COUNTIF(DB$4:DB18,DB18))</f>
        <v>26</v>
      </c>
      <c r="DD18" s="50">
        <f t="shared" si="43"/>
        <v>18751</v>
      </c>
      <c r="DE18">
        <f>DE17+IF(AND(DD18&lt;&gt;"",COUNTIF(DD$4:DD18,DD18)=1),1,0)</f>
        <v>15</v>
      </c>
      <c r="DF18" s="50">
        <f t="shared" si="44"/>
        <v>18751</v>
      </c>
      <c r="DG18" s="128">
        <f>IF('Final Calculation Sheet'!$U$18="","",'Final Calculation Sheet'!$U$18)</f>
        <v>55000</v>
      </c>
      <c r="DH18">
        <f>IF(DG18="","",COUNTIFS(DG$4:DG$40,"&lt;"&amp;DG18,DG$4:DG$40,"&lt;&gt;"&amp;"")+COUNTIF(DG$4:DG18,DG18))</f>
        <v>26</v>
      </c>
      <c r="DI18" s="128">
        <f t="shared" si="45"/>
        <v>18751</v>
      </c>
      <c r="DJ18">
        <f>DJ17+IF(AND(DI18&lt;&gt;"",COUNTIF(DI$4:DI18,DI18)=1),1,0)</f>
        <v>15</v>
      </c>
      <c r="DK18" s="128">
        <f t="shared" si="46"/>
        <v>18751</v>
      </c>
      <c r="DL18" t="str">
        <f>IF('Final Calculation Sheet'!$V$18="","",'Final Calculation Sheet'!$V$18)</f>
        <v>13.08.2026</v>
      </c>
      <c r="DM18">
        <f>IF(DL18="","",COUNTIFS(DL$4:DL$40,"&lt;"&amp;DL18,DL$4:DL$40,"&lt;&gt;"&amp;"")+COUNTIF(DL$4:DL18,DL18))</f>
        <v>18</v>
      </c>
      <c r="DN18" t="str">
        <f t="shared" si="47"/>
        <v>13.08.2026</v>
      </c>
      <c r="DO18">
        <f>DO17+IF(AND(DN18&lt;&gt;"",COUNTIF(DN$4:DN18,DN18)=1),1,0)</f>
        <v>3</v>
      </c>
      <c r="DP18" t="str">
        <f t="shared" si="48"/>
        <v/>
      </c>
      <c r="DQ18" s="50">
        <f>IF('Final Calculation Sheet'!$W$18="","",'Final Calculation Sheet'!$W$18)</f>
        <v>203831</v>
      </c>
      <c r="DR18">
        <f>IF(DQ18="","",COUNTIFS(DQ$4:DQ$40,"&lt;"&amp;DQ18,DQ$4:DQ$40,"&lt;&gt;"&amp;"")+COUNTIF(DQ$4:DQ18,DQ18))</f>
        <v>26</v>
      </c>
      <c r="DS18" s="50">
        <f t="shared" si="49"/>
        <v>69490</v>
      </c>
      <c r="DT18">
        <f>DT17+IF(AND(DS18&lt;&gt;"",COUNTIF(DS$4:DS18,DS18)=1),1,0)</f>
        <v>15</v>
      </c>
      <c r="DU18" s="50">
        <f t="shared" si="50"/>
        <v>69490</v>
      </c>
      <c r="DV18" s="50">
        <f>IF('Final Calculation Sheet'!$X$18="","",'Final Calculation Sheet'!$X$18)</f>
        <v>203831</v>
      </c>
      <c r="DW18">
        <f>IF(DV18="","",COUNTIFS(DV$4:DV$40,"&lt;"&amp;DV18,DV$4:DV$40,"&lt;&gt;"&amp;"")+COUNTIF(DV$4:DV18,DV18))</f>
        <v>25</v>
      </c>
      <c r="DX18" s="50">
        <f t="shared" si="51"/>
        <v>79354</v>
      </c>
      <c r="DY18">
        <f>DY17+IF(AND(DX18&lt;&gt;"",COUNTIF(DX$4:DX18,DX18)=1),1,0)</f>
        <v>15</v>
      </c>
      <c r="DZ18" t="e">
        <f t="shared" si="52"/>
        <v>#N/A</v>
      </c>
      <c r="EA18" t="str">
        <f>IF('Final Calculation Sheet'!$Y$18="","",'Final Calculation Sheet'!$Y$18)</f>
        <v>24.08.2026</v>
      </c>
      <c r="EB18">
        <f>IF(EA18="","",COUNTIFS(EA$4:EA$40,"&lt;"&amp;EA18,EA$4:EA$40,"&lt;&gt;"&amp;"")+COUNTIF(EA$4:EA18,EA18))</f>
        <v>26</v>
      </c>
      <c r="EC18" t="str">
        <f t="shared" si="53"/>
        <v>20.08.2026</v>
      </c>
      <c r="ED18">
        <f>ED17+IF(AND(EC18&lt;&gt;"",COUNTIF(EC$4:EC18,EC18)=1),1,0)</f>
        <v>7</v>
      </c>
      <c r="EE18" t="e">
        <f t="shared" si="54"/>
        <v>#N/A</v>
      </c>
      <c r="EF18" s="50">
        <f ca="1">IF('Final Calculation Sheet'!$Z$18="","",'Final Calculation Sheet'!$Z$18)</f>
        <v>7788.0353999999988</v>
      </c>
      <c r="EG18">
        <f ca="1">IF(EF18="","",COUNTIFS(EF$4:EF$40,"&lt;"&amp;EF18,EF$4:EF$40,"&lt;&gt;"&amp;"")+COUNTIF(EF$4:EF18,EF18))</f>
        <v>26</v>
      </c>
      <c r="EH18" s="50">
        <f t="shared" ca="1" si="55"/>
        <v>2655.1062000000002</v>
      </c>
      <c r="EI18">
        <f ca="1">EI17+IF(AND(EH18&lt;&gt;"",COUNTIF(EH$4:EH18,EH18)=1),1,0)</f>
        <v>15</v>
      </c>
      <c r="EJ18">
        <f t="shared" ca="1" si="56"/>
        <v>2655.1062000000002</v>
      </c>
      <c r="EK18" t="str">
        <f>IF('Final Calculation Sheet'!$AA$18="","",'Final Calculation Sheet'!$AA$18)</f>
        <v/>
      </c>
      <c r="EL18" t="str">
        <f>IF(EK18="","",COUNTIFS(EK$4:EK$40,"&lt;"&amp;EK18,EK$4:EK$40,"&lt;&gt;"&amp;"")+COUNTIF(EK$4:EK18,EK18))</f>
        <v/>
      </c>
      <c r="EM18" t="e">
        <f t="shared" si="57"/>
        <v>#N/A</v>
      </c>
      <c r="EN18" t="e">
        <f>EN17+IF(AND(EM18&lt;&gt;"",COUNTIF(EM$4:EM18,EM18)=1),1,0)</f>
        <v>#N/A</v>
      </c>
      <c r="EO18" t="e">
        <f t="shared" si="58"/>
        <v>#N/A</v>
      </c>
      <c r="EP18" t="str">
        <f>IF('Final Calculation Sheet'!$AB$18="","",'Final Calculation Sheet'!$AB$18)</f>
        <v/>
      </c>
      <c r="EQ18" t="str">
        <f>IF(EP18="","",COUNTIFS(EP$4:EP$40,"&lt;"&amp;EP18,EP$4:EP$40,"&lt;&gt;"&amp;"")+COUNTIF(EP$4:EP18,EP18))</f>
        <v/>
      </c>
      <c r="ER18" t="e">
        <f t="shared" si="59"/>
        <v>#N/A</v>
      </c>
      <c r="ES18" t="e">
        <f>ES17+IF(AND(ER18&lt;&gt;"",COUNTIF(ER$4:ER18,ER18)=1),1,0)</f>
        <v>#N/A</v>
      </c>
      <c r="ET18" t="e">
        <f t="shared" si="60"/>
        <v>#N/A</v>
      </c>
      <c r="EU18" s="50">
        <f>IF('Final Calculation Sheet'!$AC$18="","",'Final Calculation Sheet'!$AC$18)</f>
        <v>258831</v>
      </c>
      <c r="EV18">
        <f>IF(EU18="","",COUNTIFS(EU$4:EU$40,"&lt;"&amp;EU18,EU$4:EU$40,"&lt;&gt;"&amp;"")+COUNTIF(EU$4:EU18,EU18))</f>
        <v>28</v>
      </c>
      <c r="EW18" s="50">
        <f t="shared" si="61"/>
        <v>83532</v>
      </c>
      <c r="EX18">
        <f>EX17+IF(AND(EW18&lt;&gt;"",COUNTIF(EW$4:EW18,EW18)=1),1,0)</f>
        <v>15</v>
      </c>
      <c r="EY18" s="50">
        <f t="shared" si="62"/>
        <v>83532</v>
      </c>
      <c r="EZ18" s="50">
        <f>IF('Final Calculation Sheet'!$AD$18="","",'Final Calculation Sheet'!$AD$18)</f>
        <v>0</v>
      </c>
      <c r="FA18">
        <f>IF(EZ18="","",COUNTIFS(EZ$4:EZ$40,"&lt;"&amp;EZ18,EZ$4:EZ$40,"&lt;&gt;"&amp;"")+COUNTIF(EZ$4:EZ18,EZ18))</f>
        <v>16</v>
      </c>
      <c r="FB18" s="50">
        <f t="shared" si="63"/>
        <v>0</v>
      </c>
      <c r="FC18">
        <f>FC17+IF(AND(FB18&lt;&gt;"",COUNTIF(FB$4:FB18,FB18)=1),1,0)</f>
        <v>7</v>
      </c>
      <c r="FD18" t="str">
        <f t="shared" si="64"/>
        <v/>
      </c>
      <c r="FE18" t="str">
        <f>IF('Final Calculation Sheet'!$AF$18="","",'Final Calculation Sheet'!$AF$18)</f>
        <v>DR2640100034</v>
      </c>
      <c r="FF18">
        <f>IF(FE18="","",COUNTIFS(FE$4:FE$40,"&lt;"&amp;FE18,FE$4:FE$40,"&lt;&gt;"&amp;"")+COUNTIF(FE$4:FE18,FE18))</f>
        <v>23</v>
      </c>
      <c r="FG18" t="str">
        <f t="shared" si="65"/>
        <v>DR2640100026</v>
      </c>
      <c r="FH18" t="e">
        <f>FH17+IF(AND(FG18&lt;&gt;"",COUNTIF(FG$4:FG18,FG18)=1),1,0)</f>
        <v>#N/A</v>
      </c>
      <c r="FI18" t="e">
        <f t="shared" si="66"/>
        <v>#N/A</v>
      </c>
      <c r="FJ18" s="129">
        <f>IF('Final Calculation Sheet'!$AG$18="","",'Final Calculation Sheet'!$AG$18)</f>
        <v>1800003306</v>
      </c>
      <c r="FK18">
        <f>IF(FJ18="","",COUNTIFS(FJ$4:FJ$40,"&lt;"&amp;FJ18,FJ$4:FJ$40,"&lt;&gt;"&amp;"")+COUNTIF(FJ$4:FJ18,FJ18))</f>
        <v>18</v>
      </c>
      <c r="FL18" s="129">
        <f t="shared" si="67"/>
        <v>1800003303</v>
      </c>
      <c r="FM18">
        <f>FM17+IF(AND(FL18&lt;&gt;"",COUNTIF(FL$4:FL18,FL18)=1),1,0)</f>
        <v>15</v>
      </c>
      <c r="FN18" t="e">
        <f t="shared" si="68"/>
        <v>#N/A</v>
      </c>
      <c r="FO18" t="str">
        <f>IF('Final Calculation Sheet'!$AH$18="","",'Final Calculation Sheet'!$AH$18)</f>
        <v>27.08.2026</v>
      </c>
      <c r="FP18">
        <f>IF(FO18="","",COUNTIFS(FO$4:FO$40,"&lt;"&amp;FO18,FO$4:FO$40,"&lt;&gt;"&amp;"")+COUNTIF(FO$4:FO18,FO18))</f>
        <v>26</v>
      </c>
      <c r="FQ18" t="str">
        <f t="shared" si="69"/>
        <v>20.08.2026</v>
      </c>
      <c r="FR18" t="e">
        <f>FR17+IF(AND(FQ18&lt;&gt;"",COUNTIF(FQ$4:FQ18,FQ18)=1),1,0)</f>
        <v>#N/A</v>
      </c>
      <c r="FS18" t="e">
        <f t="shared" si="70"/>
        <v>#N/A</v>
      </c>
      <c r="FU18" t="str">
        <f>IF(FT18="","",COUNTIFS(FT$4:FT$40,"&lt;"&amp;FT18,FT$4:FT$40,"&lt;&gt;"&amp;"")+COUNTIF(FT$4:FT18,FT18))</f>
        <v/>
      </c>
      <c r="FV18" t="str">
        <f t="shared" si="71"/>
        <v/>
      </c>
      <c r="FW18">
        <f>FW17+IF(AND(FV18&lt;&gt;"",COUNTIF(FV$4:FV18,FV18)=1),1,0)</f>
        <v>2</v>
      </c>
      <c r="FX18" t="str">
        <f t="shared" si="72"/>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8" t="b">
        <f>IF($Y$18="",FALSE,SUMPRODUCT(('Final Calculation Sheet'!$B$4:$B$40=$Y$18)*($FY$6:$FY$42=1))&gt;0)</f>
        <v>1</v>
      </c>
      <c r="GA18">
        <f>$GA$17+--($FZ$18)</f>
        <v>15</v>
      </c>
      <c r="GB18" t="str">
        <f t="shared" si="73"/>
        <v>Scrap of 66 KV Isolater</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D18" t="b">
        <f>IF($O$18="",FALSE,SUMPRODUCT(('Final Calculation Sheet'!$F$4:$F$40=$O$18)*($GC$6:$GC$42=1))&gt;0)</f>
        <v>1</v>
      </c>
      <c r="GE18">
        <f>$GE$17+--($GD18)</f>
        <v>15</v>
      </c>
      <c r="GF18">
        <f t="shared" si="74"/>
        <v>2018</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H18" t="b">
        <f>IF($T$18="",FALSE,SUMPRODUCT(('Final Calculation Sheet'!$G$4:$G$40=$T$18)*($GG$6:$GG$42=1))&gt;0)</f>
        <v>0</v>
      </c>
      <c r="GI18">
        <f>$GI$17+--($GH18)</f>
        <v>13</v>
      </c>
      <c r="GJ18" t="str">
        <f t="shared" si="75"/>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L18" t="b">
        <f>IF($AD$18="",FALSE,SUMPRODUCT(('Final Calculation Sheet'!$D$4:$D$40=$AD$18)*($GK$6:$GK$42=1))&gt;0)</f>
        <v>0</v>
      </c>
      <c r="GM18">
        <f>$GM$17+--($GL18)</f>
        <v>4</v>
      </c>
      <c r="GN18" t="str">
        <f t="shared" si="76"/>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P18" t="b">
        <f>IF($AI$18="",FALSE,SUMPRODUCT(('Final Calculation Sheet'!$A$4:$A$40=$AI$18)*($GO$6:$GO$42=1))&gt;0)</f>
        <v>1</v>
      </c>
      <c r="GQ18">
        <f>$GQ$17+--($GP18)</f>
        <v>15</v>
      </c>
      <c r="GR18">
        <f t="shared" si="77"/>
        <v>250</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T18" t="b">
        <f>IF($AN$18="",FALSE,SUMPRODUCT(('Final Calculation Sheet'!$E$4:$E$40=$AN$18)*($GS$6:$GS$42=1))&gt;0)</f>
        <v>0</v>
      </c>
      <c r="GU18">
        <f>$GU$17+--($GT18)</f>
        <v>3</v>
      </c>
      <c r="GV18" t="str">
        <f t="shared" si="78"/>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GX18" t="b">
        <f>IF($AS$18="",FALSE,SUMPRODUCT(('Final Calculation Sheet'!$C$4:$C$40=$AS$18)*($GW$6:$GW$42=1))&gt;0)</f>
        <v>1</v>
      </c>
      <c r="GY18">
        <f>$GY$17+--($GX18)</f>
        <v>15</v>
      </c>
      <c r="GZ18">
        <f t="shared" si="79"/>
        <v>14001</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B18" t="b">
        <f>IF($AX$18="",FALSE,SUMPRODUCT(('Final Calculation Sheet'!$H$4:$H$40=$AX$18)*($HA$6:$HA$42=1))&gt;0)</f>
        <v>1</v>
      </c>
      <c r="HC18">
        <f>$HC$17+--($HB18)</f>
        <v>15</v>
      </c>
      <c r="HD18">
        <f t="shared" si="80"/>
        <v>75003</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F18" t="b">
        <f>IF($BC$18="",FALSE,SUMPRODUCT(('Final Calculation Sheet'!$I$4:$I$40=$BC$18)*($HE$6:$HE$42=1))&gt;0)</f>
        <v>1</v>
      </c>
      <c r="HG18">
        <f>$HG$17+--($HF18)</f>
        <v>15</v>
      </c>
      <c r="HH18">
        <f t="shared" si="81"/>
        <v>13501</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J18" t="b">
        <f>IF($BH$18="",FALSE,SUMPRODUCT(('Final Calculation Sheet'!$J$4:$J$40=$BH$18)*($HI$6:$HI$42=1))&gt;0)</f>
        <v>1</v>
      </c>
      <c r="HK18">
        <f>$HK$17+--($HJ18)</f>
        <v>15</v>
      </c>
      <c r="HL18">
        <f t="shared" si="82"/>
        <v>88504</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N18" t="b">
        <f>IF($BM$18="",FALSE,SUMPRODUCT(('Final Calculation Sheet'!$K$4:$K$40=$BM$18)*($HM$6:$HM$42=1))&gt;0)</f>
        <v>1</v>
      </c>
      <c r="HO18">
        <f>$HO$17+--($HN18)</f>
        <v>15</v>
      </c>
      <c r="HP18">
        <f t="shared" si="83"/>
        <v>1770</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R18" t="b">
        <f>IF($BR$18="",FALSE,SUMPRODUCT(('Final Calculation Sheet'!$L$4:$L$40=$BR$18)*($HQ$6:$HQ$42=1))&gt;0)</f>
        <v>1</v>
      </c>
      <c r="HS18">
        <f>$HS$17+--($HR18)</f>
        <v>15</v>
      </c>
      <c r="HT18">
        <f t="shared" si="84"/>
        <v>75.003</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V18" t="b">
        <f>IF($BW$18="",FALSE,SUMPRODUCT(('Final Calculation Sheet'!$M$4:$M$40=$BW$18)*($HU$6:$HU$42=1))&gt;0)</f>
        <v>1</v>
      </c>
      <c r="HW18">
        <f>$HW$17+--($HV18)</f>
        <v>15</v>
      </c>
      <c r="HX18">
        <f t="shared" si="85"/>
        <v>1991.3296499999997</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HZ18" t="b">
        <f>IF($CB$18="",FALSE,SUMPRODUCT(('Final Calculation Sheet'!$N$4:$N$40=$CB$18)*($HY$6:$HY$42=1))&gt;0)</f>
        <v>1</v>
      </c>
      <c r="IA18">
        <f>$IA$17+--($HZ18)</f>
        <v>15</v>
      </c>
      <c r="IB18">
        <f t="shared" si="86"/>
        <v>33.751349999999995</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D18" t="b">
        <f>IF($CG$18="",FALSE,SUMPRODUCT(('Final Calculation Sheet'!$O$4:$O$40=$CG$18)*($IC$6:$IC$42=1))&gt;0)</f>
        <v>1</v>
      </c>
      <c r="IE18">
        <f>$IE$17+--($ID18)</f>
        <v>15</v>
      </c>
      <c r="IF18">
        <f t="shared" si="87"/>
        <v>1957.5782999999997</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H18" t="b">
        <f>IF($CL$18="",FALSE,SUMPRODUCT(('Final Calculation Sheet'!$P$4:$P$40=$CL$18)*($IG$6:$IG$42=1))&gt;0)</f>
        <v>1</v>
      </c>
      <c r="II18">
        <f>$II$17+--($IH18)</f>
        <v>15</v>
      </c>
      <c r="IJ18">
        <f t="shared" si="88"/>
        <v>2033</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L18" t="b">
        <f>IF($CQ$18="",FALSE,SUMPRODUCT(('Final Calculation Sheet'!$Q$4:$Q$40=$CQ$18)*($IK$6:$IK$42=1))&gt;0)</f>
        <v>0</v>
      </c>
      <c r="IM18">
        <f>$IM$17+--($IL18)</f>
        <v>2</v>
      </c>
      <c r="IN18" t="str">
        <f t="shared" si="89"/>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P18" t="b">
        <f>IF($CV$18="",FALSE,SUMPRODUCT(('Final Calculation Sheet'!$R$4:$R$40=$CV$18)*($IO$6:$IO$42=1))&gt;0)</f>
        <v>0</v>
      </c>
      <c r="IQ18">
        <f>$IQ$17+--($IP18)</f>
        <v>5</v>
      </c>
      <c r="IR18" t="str">
        <f t="shared" si="90"/>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T18" t="b">
        <f>IF($DA$18="",FALSE,SUMPRODUCT(('Final Calculation Sheet'!$S$4:$S$40=$DA$18)*($IS$6:$IS$42=1))&gt;0)</f>
        <v>1</v>
      </c>
      <c r="IU18">
        <f>$IU$17+--($IT18)</f>
        <v>15</v>
      </c>
      <c r="IV18">
        <f t="shared" si="91"/>
        <v>88241</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IX18" t="b">
        <f>IF($DF$18="",FALSE,SUMPRODUCT(('Final Calculation Sheet'!$T$4:$T$40=$DF$18)*($IW$6:$IW$42=1))&gt;0)</f>
        <v>1</v>
      </c>
      <c r="IY18">
        <f>$IY$17+--($IX18)</f>
        <v>15</v>
      </c>
      <c r="IZ18">
        <f t="shared" si="92"/>
        <v>18751</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B18" t="b">
        <f>IF($DK$18="",FALSE,SUMPRODUCT(('Final Calculation Sheet'!$U$4:$U$40=$DK$18)*($JA$6:$JA$42=1))&gt;0)</f>
        <v>1</v>
      </c>
      <c r="JC18">
        <f>$JC$17+--($JB18)</f>
        <v>15</v>
      </c>
      <c r="JD18">
        <f t="shared" si="93"/>
        <v>18751</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F18" t="b">
        <f>IF($DP$18="",FALSE,SUMPRODUCT(('Final Calculation Sheet'!$V$4:$V$40=$DP$18)*($JE$6:$JE$42=1))&gt;0)</f>
        <v>0</v>
      </c>
      <c r="JG18">
        <f>$JG$17+--($JF18)</f>
        <v>6</v>
      </c>
      <c r="JH18" t="str">
        <f t="shared" si="94"/>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J18" t="b">
        <f>IF($DU$18="",FALSE,SUMPRODUCT(('Final Calculation Sheet'!$W$4:$W$40=$DU$18)*($JI$6:$JI$42=1))&gt;0)</f>
        <v>1</v>
      </c>
      <c r="JK18">
        <f>$JK$17+--($JJ18)</f>
        <v>15</v>
      </c>
      <c r="JL18">
        <f t="shared" si="95"/>
        <v>69490</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N18" t="e">
        <f>IF($DZ$18="",FALSE,SUMPRODUCT(('Final Calculation Sheet'!$X$4:$X$40=$DZ$18)*($JM$6:$JM$42=1))&gt;0)</f>
        <v>#N/A</v>
      </c>
      <c r="JO18" t="e">
        <f>$JO$17+--($JN18)</f>
        <v>#N/A</v>
      </c>
      <c r="JP18" t="e">
        <f t="shared" si="96"/>
        <v>#N/A</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R18" t="e">
        <f>IF($EE$18="",FALSE,SUMPRODUCT(('Final Calculation Sheet'!$Y$4:$Y$40=$EE$18)*($JQ$6:$JQ$42=1))&gt;0)</f>
        <v>#N/A</v>
      </c>
      <c r="JS18" t="e">
        <f>$JS$17+--($JR18)</f>
        <v>#N/A</v>
      </c>
      <c r="JT18" t="e">
        <f t="shared" si="97"/>
        <v>#N/A</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V18" t="b">
        <f ca="1">IF($EJ$18="",FALSE,SUMPRODUCT(('Final Calculation Sheet'!$Z$4:$Z$40=$EJ$18)*($JU$6:$JU$42=1))&gt;0)</f>
        <v>1</v>
      </c>
      <c r="JW18">
        <f ca="1">$JW$17+--($JV18)</f>
        <v>15</v>
      </c>
      <c r="JX18">
        <f t="shared" ca="1" si="98"/>
        <v>2655.1062000000002</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JZ18" t="e">
        <f>IF($EO$18="",FALSE,SUMPRODUCT(('Final Calculation Sheet'!$AA$4:$AA$40=$EO$18)*($JY$6:$JY$42=1))&gt;0)</f>
        <v>#N/A</v>
      </c>
      <c r="KA18" t="e">
        <f>$KA$17+--($JZ18)</f>
        <v>#N/A</v>
      </c>
      <c r="KB18" t="e">
        <f t="shared" si="99"/>
        <v>#N/A</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D18" t="e">
        <f>IF($ET$18="",FALSE,SUMPRODUCT(('Final Calculation Sheet'!$AB$4:$AB$40=$ET$18)*($KC$6:$KC$42=1))&gt;0)</f>
        <v>#N/A</v>
      </c>
      <c r="KE18" t="e">
        <f>$KE$17+--($KD18)</f>
        <v>#N/A</v>
      </c>
      <c r="KF18" t="e">
        <f t="shared" si="100"/>
        <v>#N/A</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H18" t="b">
        <f>IF($EY$18="",FALSE,SUMPRODUCT(('Final Calculation Sheet'!$AC$4:$AC$40=$EY$18)*($KG$6:$KG$42=1))&gt;0)</f>
        <v>1</v>
      </c>
      <c r="KI18">
        <f>$KI$17+--($KH18)</f>
        <v>15</v>
      </c>
      <c r="KJ18">
        <f t="shared" si="101"/>
        <v>83532</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L18" t="b">
        <f>IF($FD$18="",FALSE,SUMPRODUCT(('Final Calculation Sheet'!$AD$4:$AD$40=$FD$18)*($KK$6:$KK$42=1))&gt;0)</f>
        <v>0</v>
      </c>
      <c r="KM18">
        <f>$KM$17+--($KL18)</f>
        <v>11</v>
      </c>
      <c r="KN18" t="str">
        <f t="shared" si="102"/>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P18" t="b">
        <f>IF($FX$18="",FALSE,SUMPRODUCT((IF('Final Calculation Sheet'!$AD$4:$AD$40&lt;=5,"SETTLED","OUTSTANDING")=$FX$18)*($KO$6:$KO$42=1))&gt;0)</f>
        <v>0</v>
      </c>
      <c r="KQ18">
        <f>$KQ$17+--($KP18)</f>
        <v>1</v>
      </c>
      <c r="KR18" t="str">
        <f t="shared" si="103"/>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T18" t="e">
        <f>IF($FI$18="",FALSE,SUMPRODUCT(('Final Calculation Sheet'!$AF$4:$AF$40=$FI$18)*($KS$6:$KS$42=1))&gt;0)</f>
        <v>#N/A</v>
      </c>
      <c r="KU18" t="e">
        <f>$KU$17+--($KT18)</f>
        <v>#N/A</v>
      </c>
      <c r="KV18" t="e">
        <f t="shared" si="104"/>
        <v>#N/A</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KX18" t="e">
        <f>IF($FN$18="",FALSE,SUMPRODUCT(('Final Calculation Sheet'!$AG$4:$AG$40=$FN$18)*($KW$6:$KW$42=1))&gt;0)</f>
        <v>#N/A</v>
      </c>
      <c r="KY18" t="e">
        <f>$KY$17+--($KX18)</f>
        <v>#N/A</v>
      </c>
      <c r="KZ18" t="e">
        <f t="shared" si="105"/>
        <v>#N/A</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LB18" t="e">
        <f>IF($FS$18="",FALSE,SUMPRODUCT(('Final Calculation Sheet'!$AH$4:$AH$40=$FS$18)*($LA$6:$LA$42=1))&gt;0)</f>
        <v>#N/A</v>
      </c>
      <c r="LC18" t="e">
        <f>$LC$17+--($LB18)</f>
        <v>#N/A</v>
      </c>
      <c r="LD18" t="e">
        <f t="shared" si="106"/>
        <v>#N/A</v>
      </c>
      <c r="LE18">
        <f>IF(COUNTIF('Buyer Groups'!DH18:EN18,0)&gt;0,0,1)</f>
        <v>1</v>
      </c>
      <c r="LF18" t="b">
        <f>IF($O$18="",FALSE,SUMPRODUCT(('Final Calculation Sheet'!$F$4:$F$40=$O$18)*($LE$6:$LE$42=1))&gt;0)</f>
        <v>1</v>
      </c>
      <c r="LG18">
        <f>$LG$17+--($LF18)</f>
        <v>15</v>
      </c>
      <c r="LH18">
        <f t="shared" si="107"/>
        <v>2018</v>
      </c>
      <c r="LI18">
        <f>IF(COUNTIF('Buyer Groups'!DG18:DG18,0)+COUNTIF('Buyer Groups'!DI18:EN18,0)&gt;0,0,1)</f>
        <v>1</v>
      </c>
      <c r="LJ18" t="b">
        <f>IF($T$18="",FALSE,SUMPRODUCT(('Final Calculation Sheet'!$G$4:$G$40=$T$18)*($LI$6:$LI$42=1))&gt;0)</f>
        <v>0</v>
      </c>
      <c r="LK18">
        <f>$LK$17+--($LJ18)</f>
        <v>13</v>
      </c>
      <c r="LL18" t="str">
        <f t="shared" si="108"/>
        <v/>
      </c>
      <c r="LM18">
        <f>IF(COUNTIF('Buyer Groups'!DG18:DH18,0)+COUNTIF('Buyer Groups'!DJ18:EN18,0)&gt;0,0,1)</f>
        <v>1</v>
      </c>
      <c r="LN18" t="b">
        <f>IF($Y$18="",FALSE,SUMPRODUCT(('Final Calculation Sheet'!$B$4:$B$40=$Y$18)*($LM$6:$LM$42=1))&gt;0)</f>
        <v>1</v>
      </c>
      <c r="LO18">
        <f>$LO$17+--($LN18)</f>
        <v>15</v>
      </c>
      <c r="LP18" t="str">
        <f t="shared" si="109"/>
        <v>Scrap of 66 KV Isolater</v>
      </c>
      <c r="LQ18">
        <f>IF(COUNTIF('Buyer Groups'!DG18:DI18,0)+COUNTIF('Buyer Groups'!DK18:EN18,0)&gt;0,0,1)</f>
        <v>1</v>
      </c>
      <c r="LR18" t="b">
        <f>IF($AD$18="",FALSE,SUMPRODUCT(('Final Calculation Sheet'!$D$4:$D$40=$AD$18)*($LQ$6:$LQ$42=1))&gt;0)</f>
        <v>0</v>
      </c>
      <c r="LS18">
        <f>$LS$17+--($LR18)</f>
        <v>4</v>
      </c>
      <c r="LT18" t="str">
        <f t="shared" si="110"/>
        <v/>
      </c>
      <c r="LU18">
        <f>IF(COUNTIF('Buyer Groups'!DG18:DJ18,0)+COUNTIF('Buyer Groups'!DL18:EN18,0)&gt;0,0,1)</f>
        <v>1</v>
      </c>
      <c r="LV18" t="b">
        <f>IF($AI$18="",FALSE,SUMPRODUCT(('Final Calculation Sheet'!$A$4:$A$40=$AI$18)*($LU$6:$LU$42=1))&gt;0)</f>
        <v>1</v>
      </c>
      <c r="LW18">
        <f>$LW$17+--($LV18)</f>
        <v>15</v>
      </c>
      <c r="LX18">
        <f t="shared" si="111"/>
        <v>250</v>
      </c>
      <c r="LY18">
        <f>IF(COUNTIF('Buyer Groups'!DG18:DK18,0)+COUNTIF('Buyer Groups'!DM18:EN18,0)&gt;0,0,1)</f>
        <v>1</v>
      </c>
      <c r="LZ18" t="b">
        <f>IF($AN$18="",FALSE,SUMPRODUCT(('Final Calculation Sheet'!$E$4:$E$40=$AN$18)*($LY$6:$LY$42=1))&gt;0)</f>
        <v>0</v>
      </c>
      <c r="MA18">
        <f>$MA$17+--($LZ18)</f>
        <v>3</v>
      </c>
      <c r="MB18" t="str">
        <f t="shared" si="112"/>
        <v/>
      </c>
      <c r="MC18">
        <f>IF(COUNTIF('Buyer Groups'!DG18:DL18,0)+COUNTIF('Buyer Groups'!DN18:EN18,0)&gt;0,0,1)</f>
        <v>1</v>
      </c>
      <c r="MD18" t="b">
        <f>IF($AS$18="",FALSE,SUMPRODUCT(('Final Calculation Sheet'!$C$4:$C$40=$AS$18)*($MC$6:$MC$42=1))&gt;0)</f>
        <v>1</v>
      </c>
      <c r="ME18">
        <f>$ME$17+--($MD18)</f>
        <v>15</v>
      </c>
      <c r="MF18">
        <f t="shared" si="113"/>
        <v>14001</v>
      </c>
      <c r="MG18">
        <f>IF(COUNTIF('Buyer Groups'!DG18:DM18,0)+COUNTIF('Buyer Groups'!DO18:EN18,0)&gt;0,0,1)</f>
        <v>1</v>
      </c>
      <c r="MH18" t="b">
        <f>IF($AX$18="",FALSE,SUMPRODUCT(('Final Calculation Sheet'!$H$4:$H$40=$AX$18)*($MG$6:$MG$42=1))&gt;0)</f>
        <v>1</v>
      </c>
      <c r="MI18">
        <f>$MI$17+--($MH18)</f>
        <v>15</v>
      </c>
      <c r="MJ18">
        <f t="shared" si="114"/>
        <v>75003</v>
      </c>
      <c r="MK18">
        <f>IF(COUNTIF('Buyer Groups'!DG18:DN18,0)+COUNTIF('Buyer Groups'!DP18:EN18,0)&gt;0,0,1)</f>
        <v>1</v>
      </c>
      <c r="ML18" t="b">
        <f>IF($BC$18="",FALSE,SUMPRODUCT(('Final Calculation Sheet'!$I$4:$I$40=$BC$18)*($MK$6:$MK$42=1))&gt;0)</f>
        <v>1</v>
      </c>
      <c r="MM18">
        <f>$MM$17+--($ML18)</f>
        <v>15</v>
      </c>
      <c r="MN18">
        <f t="shared" si="115"/>
        <v>13501</v>
      </c>
      <c r="MO18">
        <f>IF(COUNTIF('Buyer Groups'!DG18:DO18,0)+COUNTIF('Buyer Groups'!DQ18:EN18,0)&gt;0,0,1)</f>
        <v>1</v>
      </c>
      <c r="MP18" t="b">
        <f>IF($BH$18="",FALSE,SUMPRODUCT(('Final Calculation Sheet'!$J$4:$J$40=$BH$18)*($MO$6:$MO$42=1))&gt;0)</f>
        <v>1</v>
      </c>
      <c r="MQ18">
        <f>$MQ$17+--($MP18)</f>
        <v>15</v>
      </c>
      <c r="MR18">
        <f t="shared" si="116"/>
        <v>88504</v>
      </c>
      <c r="MS18">
        <f>IF(COUNTIF('Buyer Groups'!DG18:DP18,0)+COUNTIF('Buyer Groups'!DR18:EN18,0)&gt;0,0,1)</f>
        <v>1</v>
      </c>
      <c r="MT18" t="b">
        <f>IF($BM$18="",FALSE,SUMPRODUCT(('Final Calculation Sheet'!$K$4:$K$40=$BM$18)*($MS$6:$MS$42=1))&gt;0)</f>
        <v>1</v>
      </c>
      <c r="MU18">
        <f>$MU$17+--($MT18)</f>
        <v>15</v>
      </c>
      <c r="MV18">
        <f t="shared" si="117"/>
        <v>1770</v>
      </c>
      <c r="MW18">
        <f>IF(COUNTIF('Buyer Groups'!DG18:DQ18,0)+COUNTIF('Buyer Groups'!DS18:EN18,0)&gt;0,0,1)</f>
        <v>1</v>
      </c>
      <c r="MX18" t="b">
        <f>IF($BR$18="",FALSE,SUMPRODUCT(('Final Calculation Sheet'!$L$4:$L$40=$BR$18)*($MW$6:$MW$42=1))&gt;0)</f>
        <v>1</v>
      </c>
      <c r="MY18">
        <f>$MY$17+--($MX18)</f>
        <v>15</v>
      </c>
      <c r="MZ18">
        <f t="shared" si="118"/>
        <v>75.003</v>
      </c>
      <c r="NA18">
        <f>IF(COUNTIF('Buyer Groups'!DG18:DR18,0)+COUNTIF('Buyer Groups'!DT18:EN18,0)&gt;0,0,1)</f>
        <v>1</v>
      </c>
      <c r="NB18" t="b">
        <f>IF($BW$18="",FALSE,SUMPRODUCT(('Final Calculation Sheet'!$M$4:$M$40=$BW$18)*($NA$6:$NA$42=1))&gt;0)</f>
        <v>1</v>
      </c>
      <c r="NC18">
        <f>$NC$17+--($NB18)</f>
        <v>15</v>
      </c>
      <c r="ND18">
        <f t="shared" si="119"/>
        <v>1991.3296499999997</v>
      </c>
      <c r="NE18">
        <f>IF(COUNTIF('Buyer Groups'!DG18:DS18,0)+COUNTIF('Buyer Groups'!DU18:EN18,0)&gt;0,0,1)</f>
        <v>1</v>
      </c>
      <c r="NF18" t="b">
        <f>IF($CB$18="",FALSE,SUMPRODUCT(('Final Calculation Sheet'!$N$4:$N$40=$CB$18)*($NE$6:$NE$42=1))&gt;0)</f>
        <v>1</v>
      </c>
      <c r="NG18">
        <f>$NG$17+--($NF18)</f>
        <v>15</v>
      </c>
      <c r="NH18">
        <f t="shared" si="120"/>
        <v>33.751349999999995</v>
      </c>
      <c r="NI18">
        <f>IF(COUNTIF('Buyer Groups'!DG18:DT18,0)+COUNTIF('Buyer Groups'!DV18:EN18,0)&gt;0,0,1)</f>
        <v>1</v>
      </c>
      <c r="NJ18" t="b">
        <f>IF($CG$18="",FALSE,SUMPRODUCT(('Final Calculation Sheet'!$O$4:$O$40=$CG$18)*($NI$6:$NI$42=1))&gt;0)</f>
        <v>1</v>
      </c>
      <c r="NK18">
        <f>$NK$17+--($NJ18)</f>
        <v>15</v>
      </c>
      <c r="NL18">
        <f t="shared" si="121"/>
        <v>1957.5782999999997</v>
      </c>
      <c r="NM18">
        <f>IF(COUNTIF('Buyer Groups'!DG18:DU18,0)+COUNTIF('Buyer Groups'!DW18:EN18,0)&gt;0,0,1)</f>
        <v>1</v>
      </c>
      <c r="NN18" t="b">
        <f>IF($CL$18="",FALSE,SUMPRODUCT(('Final Calculation Sheet'!$P$4:$P$40=$CL$18)*($NM$6:$NM$42=1))&gt;0)</f>
        <v>1</v>
      </c>
      <c r="NO18">
        <f>$NO$17+--($NN18)</f>
        <v>15</v>
      </c>
      <c r="NP18">
        <f t="shared" si="122"/>
        <v>2033</v>
      </c>
      <c r="NQ18">
        <f>IF(COUNTIF('Buyer Groups'!DG18:DV18,0)+COUNTIF('Buyer Groups'!DX18:EN18,0)&gt;0,0,1)</f>
        <v>1</v>
      </c>
      <c r="NR18" t="b">
        <f>IF($CQ$18="",FALSE,SUMPRODUCT(('Final Calculation Sheet'!$Q$4:$Q$40=$CQ$18)*($NQ$6:$NQ$42=1))&gt;0)</f>
        <v>0</v>
      </c>
      <c r="NS18">
        <f>$NS$17+--($NR18)</f>
        <v>2</v>
      </c>
      <c r="NT18" t="str">
        <f t="shared" si="123"/>
        <v/>
      </c>
      <c r="NU18">
        <f>IF(COUNTIF('Buyer Groups'!DG18:DW18,0)+COUNTIF('Buyer Groups'!DY18:EN18,0)&gt;0,0,1)</f>
        <v>1</v>
      </c>
      <c r="NV18" t="b">
        <f>IF($CV$18="",FALSE,SUMPRODUCT(('Final Calculation Sheet'!$R$4:$R$40=$CV$18)*($NU$6:$NU$42=1))&gt;0)</f>
        <v>0</v>
      </c>
      <c r="NW18">
        <f>$NW$17+--($NV18)</f>
        <v>5</v>
      </c>
      <c r="NX18" t="str">
        <f t="shared" si="124"/>
        <v/>
      </c>
      <c r="NY18">
        <f>IF(COUNTIF('Buyer Groups'!DG18:DX18,0)+COUNTIF('Buyer Groups'!DZ18:EN18,0)&gt;0,0,1)</f>
        <v>1</v>
      </c>
      <c r="NZ18" t="b">
        <f>IF($DA$18="",FALSE,SUMPRODUCT(('Final Calculation Sheet'!$S$4:$S$40=$DA$18)*($NY$6:$NY$42=1))&gt;0)</f>
        <v>1</v>
      </c>
      <c r="OA18">
        <f>$OA$17+--($NZ18)</f>
        <v>15</v>
      </c>
      <c r="OB18">
        <f t="shared" si="125"/>
        <v>88241</v>
      </c>
      <c r="OC18">
        <f>IF(COUNTIF('Buyer Groups'!DG18:DY18,0)+COUNTIF('Buyer Groups'!EA18:EN18,0)&gt;0,0,1)</f>
        <v>1</v>
      </c>
      <c r="OD18" t="b">
        <f>IF($DF$18="",FALSE,SUMPRODUCT(('Final Calculation Sheet'!$T$4:$T$40=$DF$18)*($OC$6:$OC$42=1))&gt;0)</f>
        <v>1</v>
      </c>
      <c r="OE18">
        <f>$OE$17+--($OD18)</f>
        <v>15</v>
      </c>
      <c r="OF18">
        <f t="shared" si="126"/>
        <v>18751</v>
      </c>
      <c r="OG18">
        <f>IF(COUNTIF('Buyer Groups'!DG18:DZ18,0)+COUNTIF('Buyer Groups'!EB18:EN18,0)&gt;0,0,1)</f>
        <v>1</v>
      </c>
      <c r="OH18" t="b">
        <f>IF($DK$18="",FALSE,SUMPRODUCT(('Final Calculation Sheet'!$U$4:$U$40=$DK$18)*($OG$6:$OG$42=1))&gt;0)</f>
        <v>1</v>
      </c>
      <c r="OI18">
        <f>$OI$17+--($OH18)</f>
        <v>15</v>
      </c>
      <c r="OJ18">
        <f t="shared" si="127"/>
        <v>18751</v>
      </c>
      <c r="OK18">
        <f>IF(COUNTIF('Buyer Groups'!DG18:EA18,0)+COUNTIF('Buyer Groups'!EC18:EN18,0)&gt;0,0,1)</f>
        <v>1</v>
      </c>
      <c r="OL18" t="b">
        <f>IF($DP$18="",FALSE,SUMPRODUCT(('Final Calculation Sheet'!$V$4:$V$40=$DP$18)*($OK$6:$OK$42=1))&gt;0)</f>
        <v>0</v>
      </c>
      <c r="OM18">
        <f>$OM$17+--($OL18)</f>
        <v>6</v>
      </c>
      <c r="ON18" t="str">
        <f t="shared" si="128"/>
        <v/>
      </c>
      <c r="OO18">
        <f>IF(COUNTIF('Buyer Groups'!DG18:EB18,0)+COUNTIF('Buyer Groups'!ED18:EN18,0)&gt;0,0,1)</f>
        <v>1</v>
      </c>
      <c r="OP18" t="b">
        <f>IF($DU$18="",FALSE,SUMPRODUCT(('Final Calculation Sheet'!$W$4:$W$40=$DU$18)*($OO$6:$OO$42=1))&gt;0)</f>
        <v>1</v>
      </c>
      <c r="OQ18">
        <f>$OQ$17+--($OP18)</f>
        <v>15</v>
      </c>
      <c r="OR18">
        <f t="shared" si="129"/>
        <v>69490</v>
      </c>
      <c r="OS18">
        <f>IF(COUNTIF('Buyer Groups'!DG18:EC18,0)+COUNTIF('Buyer Groups'!EE18:EN18,0)&gt;0,0,1)</f>
        <v>1</v>
      </c>
      <c r="OT18" t="e">
        <f>IF($DZ$18="",FALSE,SUMPRODUCT(('Final Calculation Sheet'!$X$4:$X$40=$DZ$18)*($OS$6:$OS$42=1))&gt;0)</f>
        <v>#N/A</v>
      </c>
      <c r="OU18" t="e">
        <f>$OU$17+--($OT18)</f>
        <v>#N/A</v>
      </c>
      <c r="OV18" t="e">
        <f t="shared" si="130"/>
        <v>#N/A</v>
      </c>
      <c r="OW18">
        <f>IF(COUNTIF('Buyer Groups'!DG18:ED18,0)+COUNTIF('Buyer Groups'!EF18:EN18,0)&gt;0,0,1)</f>
        <v>1</v>
      </c>
      <c r="OX18" t="e">
        <f>IF($EE$18="",FALSE,SUMPRODUCT(('Final Calculation Sheet'!$Y$4:$Y$40=$EE$18)*($OW$6:$OW$42=1))&gt;0)</f>
        <v>#N/A</v>
      </c>
      <c r="OY18" t="e">
        <f>$OY$17+--($OX18)</f>
        <v>#N/A</v>
      </c>
      <c r="OZ18" t="e">
        <f t="shared" si="131"/>
        <v>#N/A</v>
      </c>
      <c r="PA18">
        <f>IF(COUNTIF('Buyer Groups'!DG18:EE18,0)+COUNTIF('Buyer Groups'!EG18:EN18,0)&gt;0,0,1)</f>
        <v>1</v>
      </c>
      <c r="PB18" t="b">
        <f ca="1">IF($EJ$18="",FALSE,SUMPRODUCT(('Final Calculation Sheet'!$Z$4:$Z$40=$EJ$18)*($PA$6:$PA$42=1))&gt;0)</f>
        <v>1</v>
      </c>
      <c r="PC18">
        <f ca="1">$PC$17+--($PB18)</f>
        <v>15</v>
      </c>
      <c r="PD18">
        <f t="shared" ca="1" si="132"/>
        <v>2655.1062000000002</v>
      </c>
      <c r="PE18">
        <f>IF(COUNTIF('Buyer Groups'!DG18:EF18,0)+COUNTIF('Buyer Groups'!EH18:EN18,0)&gt;0,0,1)</f>
        <v>1</v>
      </c>
      <c r="PF18" t="e">
        <f>IF($EO$18="",FALSE,SUMPRODUCT(('Final Calculation Sheet'!$AA$4:$AA$40=$EO$18)*($PE$6:$PE$42=1))&gt;0)</f>
        <v>#N/A</v>
      </c>
      <c r="PG18" t="e">
        <f>$PG$17+--($PF18)</f>
        <v>#N/A</v>
      </c>
      <c r="PH18" t="e">
        <f t="shared" si="133"/>
        <v>#N/A</v>
      </c>
      <c r="PI18">
        <f>IF(COUNTIF('Buyer Groups'!DG18:EG18,0)+COUNTIF('Buyer Groups'!EI18:EN18,0)&gt;0,0,1)</f>
        <v>1</v>
      </c>
      <c r="PJ18" t="e">
        <f>IF($ET$18="",FALSE,SUMPRODUCT(('Final Calculation Sheet'!$AB$4:$AB$40=$ET$18)*($PI$6:$PI$42=1))&gt;0)</f>
        <v>#N/A</v>
      </c>
      <c r="PK18" t="e">
        <f>$PK$17+--($PJ18)</f>
        <v>#N/A</v>
      </c>
      <c r="PL18" t="e">
        <f t="shared" si="134"/>
        <v>#N/A</v>
      </c>
      <c r="PM18">
        <f>IF(COUNTIF('Buyer Groups'!DG18:EH18,0)+COUNTIF('Buyer Groups'!EJ18:EN18,0)&gt;0,0,1)</f>
        <v>1</v>
      </c>
      <c r="PN18" t="b">
        <f>IF($EY$18="",FALSE,SUMPRODUCT(('Final Calculation Sheet'!$AC$4:$AC$40=$EY$18)*($PM$6:$PM$42=1))&gt;0)</f>
        <v>1</v>
      </c>
      <c r="PO18">
        <f>$PO$17+--($PN18)</f>
        <v>15</v>
      </c>
      <c r="PP18">
        <f t="shared" si="135"/>
        <v>83532</v>
      </c>
      <c r="PQ18">
        <f>IF(COUNTIF('Buyer Groups'!DG18:EI18,0)+COUNTIF('Buyer Groups'!EK18:EN18,0)&gt;0,0,1)</f>
        <v>1</v>
      </c>
      <c r="PR18" t="b">
        <f>IF($FD$18="",FALSE,SUMPRODUCT(('Final Calculation Sheet'!$AD$4:$AD$40=$FD$18)*($PQ$6:$PQ$42=1))&gt;0)</f>
        <v>0</v>
      </c>
      <c r="PS18">
        <f>$PS$17+--($PR18)</f>
        <v>11</v>
      </c>
      <c r="PT18" t="str">
        <f t="shared" si="136"/>
        <v/>
      </c>
      <c r="PU18">
        <f>IF(COUNTIF('Buyer Groups'!DG18:EJ18,0)+COUNTIF('Buyer Groups'!EL18:EN18,0)&gt;0,0,1)</f>
        <v>1</v>
      </c>
      <c r="PV18" t="b">
        <f>IF($FX$18="",FALSE,SUMPRODUCT((IF('Final Calculation Sheet'!$AD$4:$AD$40&lt;=5,"SETTLED","OUTSTANDING")=$FX$18)*($PU$6:$PU$42=1))&gt;0)</f>
        <v>0</v>
      </c>
      <c r="PW18">
        <f>$PW$17+--($PV18)</f>
        <v>1</v>
      </c>
      <c r="PX18" t="str">
        <f t="shared" si="137"/>
        <v/>
      </c>
      <c r="PY18">
        <f>IF(COUNTIF('Buyer Groups'!DG18:EK18,0)+COUNTIF('Buyer Groups'!EM18:EN18,0)&gt;0,0,1)</f>
        <v>1</v>
      </c>
      <c r="PZ18" t="e">
        <f>IF($FI$18="",FALSE,SUMPRODUCT(('Final Calculation Sheet'!$AF$4:$AF$40=$FI$18)*($PY$6:$PY$42=1))&gt;0)</f>
        <v>#N/A</v>
      </c>
      <c r="QA18" t="e">
        <f>$QA$17+--($PZ18)</f>
        <v>#N/A</v>
      </c>
      <c r="QB18" t="e">
        <f t="shared" si="138"/>
        <v>#N/A</v>
      </c>
      <c r="QC18">
        <f>IF(COUNTIF('Buyer Groups'!DG18:EL18,0)+COUNTIF('Buyer Groups'!EN18:EN18,0)&gt;0,0,1)</f>
        <v>1</v>
      </c>
      <c r="QD18" t="e">
        <f>IF($FN$18="",FALSE,SUMPRODUCT(('Final Calculation Sheet'!$AG$4:$AG$40=$FN$18)*($QC$6:$QC$42=1))&gt;0)</f>
        <v>#N/A</v>
      </c>
      <c r="QE18" t="e">
        <f>$QE$17+--($QD18)</f>
        <v>#N/A</v>
      </c>
      <c r="QF18" t="e">
        <f t="shared" si="139"/>
        <v>#N/A</v>
      </c>
      <c r="QG18">
        <f>IF(COUNTIF('Buyer Groups'!DG18:EM18,0)&gt;0,0,1)</f>
        <v>1</v>
      </c>
      <c r="QH18" t="e">
        <f>IF($FS$18="",FALSE,SUMPRODUCT(('Final Calculation Sheet'!$AH$4:$AH$40=$FS$18)*($QG$6:$QG$42=1))&gt;0)</f>
        <v>#N/A</v>
      </c>
      <c r="QI18" t="e">
        <f>$QI$17+--($QH18)</f>
        <v>#N/A</v>
      </c>
      <c r="QJ18" t="e">
        <f t="shared" si="140"/>
        <v>#N/A</v>
      </c>
      <c r="QK18" t="str">
        <f>IF('Final Calculation Sheet'!$AH$18="","",'Final Calculation Sheet'!$AH$18)</f>
        <v>27.08.2026</v>
      </c>
      <c r="QL18">
        <f>IF(QK18="","",COUNTIFS(QK$4:QK$40,"&lt;"&amp;QK18,QK$4:QK$40,"&lt;&gt;"&amp;"")+COUNTIF(QK$4:QK18,QK18))</f>
        <v>26</v>
      </c>
      <c r="QM18" t="str">
        <f t="shared" si="141"/>
        <v>20.08.2026</v>
      </c>
      <c r="QN18" t="e">
        <f ca="1">QN17+F(AND(QM18&lt;&gt;"",COUNTIF(QM$4:QM18,QM18)=1),1,0)</f>
        <v>#N/A</v>
      </c>
      <c r="QO18" t="e">
        <f t="shared" si="142"/>
        <v>#N/A</v>
      </c>
      <c r="QP18">
        <f>IF(COUNTIF('Final Calculation Sheet'!$AM18:$BS18,0)&gt;0,0,1)</f>
        <v>1</v>
      </c>
      <c r="QQ18" t="b">
        <f>IF($AI$18="",FALSE,SUMPRODUCT(('Final Calculation Sheet'!$A$4:$A$40=$AI$18)*($QP$4:$QP$40=1))&gt;0)</f>
        <v>1</v>
      </c>
      <c r="QR18">
        <f t="shared" si="177"/>
        <v>15</v>
      </c>
      <c r="QS18">
        <f t="shared" si="143"/>
        <v>250</v>
      </c>
      <c r="QT18">
        <f>IF(COUNTIF('Final Calculation Sheet'!$AL18:$AL18,0)+COUNTIF('Final Calculation Sheet'!$AN18:$BS18,0)&gt;0,0,1)</f>
        <v>1</v>
      </c>
      <c r="QU18" t="b">
        <f>IF($Y$18="",FALSE,SUMPRODUCT(('Final Calculation Sheet'!$B$4:$B$40=$Y$18)*($QT$4:$QT$40=1))&gt;0)</f>
        <v>1</v>
      </c>
      <c r="QV18">
        <f t="shared" si="178"/>
        <v>15</v>
      </c>
      <c r="QW18" t="str">
        <f t="shared" si="144"/>
        <v>Scrap of 66 KV Isolater</v>
      </c>
      <c r="QX18">
        <f>IF(COUNTIF('Final Calculation Sheet'!$AL18:$AM18,0)+COUNTIF('Final Calculation Sheet'!$AO18:$BS18,0)&gt;0,0,1)</f>
        <v>1</v>
      </c>
      <c r="QY18" t="b">
        <f>IF($AS$18="",FALSE,SUMPRODUCT(('Final Calculation Sheet'!$C$4:$C$40=$AS$18)*($QX$4:$QX$40=1))&gt;0)</f>
        <v>1</v>
      </c>
      <c r="QZ18">
        <f t="shared" si="179"/>
        <v>15</v>
      </c>
      <c r="RA18">
        <f t="shared" si="145"/>
        <v>14001</v>
      </c>
      <c r="RB18">
        <f>IF(COUNTIF('Final Calculation Sheet'!$AL18:$AN18,0)+COUNTIF('Final Calculation Sheet'!$AP18:$BS18,0)&gt;0,0,1)</f>
        <v>1</v>
      </c>
      <c r="RC18" t="b">
        <f>IF($AD$18="",FALSE,SUMPRODUCT(('Final Calculation Sheet'!$D$4:$D$40=$AD$18)*($RB$4:$RB$40=1))&gt;0)</f>
        <v>0</v>
      </c>
      <c r="RD18">
        <f t="shared" si="180"/>
        <v>4</v>
      </c>
      <c r="RE18" t="str">
        <f t="shared" si="146"/>
        <v/>
      </c>
      <c r="RF18">
        <f>IF(COUNTIF('Final Calculation Sheet'!$AL18:$AO18,0)+COUNTIF('Final Calculation Sheet'!$AQ18:$BS18,0)&gt;0,0,1)</f>
        <v>1</v>
      </c>
      <c r="RG18" t="b">
        <f>IF($AN$18="",FALSE,SUMPRODUCT(('Final Calculation Sheet'!$E$4:$E$40=$AN$18)*($RF$4:$RF$40=1))&gt;0)</f>
        <v>0</v>
      </c>
      <c r="RH18">
        <f t="shared" si="181"/>
        <v>3</v>
      </c>
      <c r="RI18" t="str">
        <f t="shared" si="147"/>
        <v/>
      </c>
      <c r="RJ18">
        <f>IF(COUNTIF('Final Calculation Sheet'!$AL18:$AP18,0)+COUNTIF('Final Calculation Sheet'!$AR18:$BS18,0)&gt;0,0,1)</f>
        <v>1</v>
      </c>
      <c r="RK18" t="b">
        <f>IF($O$18="",FALSE,SUMPRODUCT(('Final Calculation Sheet'!$F$4:$F$40=$O$18)*($RJ$4:$RJ$40=1))&gt;0)</f>
        <v>1</v>
      </c>
      <c r="RL18">
        <f t="shared" si="182"/>
        <v>15</v>
      </c>
      <c r="RM18">
        <f t="shared" si="148"/>
        <v>2018</v>
      </c>
      <c r="RN18">
        <f>IF(COUNTIF('Final Calculation Sheet'!$AL18:$AQ18,0)+COUNTIF('Final Calculation Sheet'!$AS18:$BS18,0)&gt;0,0,1)</f>
        <v>1</v>
      </c>
      <c r="RO18" t="b">
        <f>IF($T$18="",FALSE,SUMPRODUCT(('Final Calculation Sheet'!$G$4:$G$40=$T$18)*($RN$4:$RN$40=1))&gt;0)</f>
        <v>0</v>
      </c>
      <c r="RP18">
        <f t="shared" si="183"/>
        <v>13</v>
      </c>
      <c r="RQ18" t="str">
        <f t="shared" si="149"/>
        <v/>
      </c>
      <c r="RR18">
        <f>IF(COUNTIF('Final Calculation Sheet'!$AL18:$AR18,0)+COUNTIF('Final Calculation Sheet'!$AT18:$BS18,0)&gt;0,0,1)</f>
        <v>1</v>
      </c>
      <c r="RS18" t="b">
        <f>IF($AX$18="",FALSE,SUMPRODUCT(('Final Calculation Sheet'!$H$4:$H$40=$AX$18)*($RR$4:$RR$40=1))&gt;0)</f>
        <v>1</v>
      </c>
      <c r="RT18">
        <f t="shared" si="184"/>
        <v>15</v>
      </c>
      <c r="RU18">
        <f t="shared" si="150"/>
        <v>75003</v>
      </c>
      <c r="RV18">
        <f>IF(COUNTIF('Final Calculation Sheet'!$AL18:$AS18,0)+COUNTIF('Final Calculation Sheet'!$AU18:$BS18,0)&gt;0,0,1)</f>
        <v>1</v>
      </c>
      <c r="RW18" t="b">
        <f>IF($BC$18="",FALSE,SUMPRODUCT(('Final Calculation Sheet'!$I$4:$I$40=$BC$18)*($RV$4:$RV$40=1))&gt;0)</f>
        <v>1</v>
      </c>
      <c r="RX18">
        <f t="shared" si="185"/>
        <v>15</v>
      </c>
      <c r="RY18">
        <f t="shared" si="151"/>
        <v>13501</v>
      </c>
      <c r="RZ18">
        <f>IF(COUNTIF('Final Calculation Sheet'!$AL18:$AT18,0)+COUNTIF('Final Calculation Sheet'!$AV18:$BS18,0)&gt;0,0,1)</f>
        <v>1</v>
      </c>
      <c r="SA18" t="b">
        <f>IF($BH$18="",FALSE,SUMPRODUCT(('Final Calculation Sheet'!$J$4:$J$40=$BH$18)*($RZ$4:$RZ$40=1))&gt;0)</f>
        <v>1</v>
      </c>
      <c r="SB18">
        <f t="shared" si="186"/>
        <v>15</v>
      </c>
      <c r="SC18">
        <f t="shared" si="152"/>
        <v>88504</v>
      </c>
      <c r="SD18">
        <f>IF(COUNTIF('Final Calculation Sheet'!$AL18:$AU18,0)+COUNTIF('Final Calculation Sheet'!$AW18:$BS18,0)&gt;0,0,1)</f>
        <v>1</v>
      </c>
      <c r="SE18" t="b">
        <f>IF($BM$18="",FALSE,SUMPRODUCT(('Final Calculation Sheet'!$K$4:$K$40=$BM$18)*($SD$4:$SD$40=1))&gt;0)</f>
        <v>1</v>
      </c>
      <c r="SF18">
        <f t="shared" si="187"/>
        <v>15</v>
      </c>
      <c r="SG18">
        <f t="shared" si="153"/>
        <v>1770</v>
      </c>
      <c r="SH18">
        <f>IF(COUNTIF('Final Calculation Sheet'!$AL18:$AV18,0)+COUNTIF('Final Calculation Sheet'!$AX18:$BS18,0)&gt;0,0,1)</f>
        <v>1</v>
      </c>
      <c r="SI18" t="b">
        <f>IF($BR$18="",FALSE,SUMPRODUCT(('Final Calculation Sheet'!$L$4:$L$40=$BR$18)*($SH$4:$SH$40=1))&gt;0)</f>
        <v>1</v>
      </c>
      <c r="SJ18">
        <f t="shared" si="188"/>
        <v>15</v>
      </c>
      <c r="SK18">
        <f t="shared" si="154"/>
        <v>75.003</v>
      </c>
      <c r="SL18">
        <f>IF(COUNTIF('Final Calculation Sheet'!$AL18:$AW18,0)+COUNTIF('Final Calculation Sheet'!$AY18:$BS18,0)&gt;0,0,1)</f>
        <v>1</v>
      </c>
      <c r="SM18" t="b">
        <f>IF($BW$18="",FALSE,SUMPRODUCT(('Final Calculation Sheet'!$M$4:$M$40=$BW$18)*($SL$4:$SL$40=1))&gt;0)</f>
        <v>1</v>
      </c>
      <c r="SN18">
        <f t="shared" si="189"/>
        <v>15</v>
      </c>
      <c r="SO18">
        <f t="shared" si="155"/>
        <v>1991.3296499999997</v>
      </c>
      <c r="SP18">
        <f>IF(COUNTIF('Final Calculation Sheet'!$AL18:$AX18,0)+COUNTIF('Final Calculation Sheet'!$AZ18:$BS18,0)&gt;0,0,1)</f>
        <v>1</v>
      </c>
      <c r="SQ18" t="b">
        <f>IF($CB$18="",FALSE,SUMPRODUCT(('Final Calculation Sheet'!$N$4:$N$40=$CB$18)*($SP$4:$SP$40=1))&gt;0)</f>
        <v>1</v>
      </c>
      <c r="SR18">
        <f t="shared" si="190"/>
        <v>15</v>
      </c>
      <c r="SS18">
        <f t="shared" si="156"/>
        <v>33.751349999999995</v>
      </c>
      <c r="ST18">
        <f>IF(COUNTIF('Final Calculation Sheet'!$AL18:$AY18,0)+COUNTIF('Final Calculation Sheet'!$BA18:$BS18,0)&gt;0,0,1)</f>
        <v>1</v>
      </c>
      <c r="SU18" t="b">
        <f>IF($CG$18="",FALSE,SUMPRODUCT(('Final Calculation Sheet'!$O$4:$O$40=$CG$18)*($ST$4:$ST$40=1))&gt;0)</f>
        <v>1</v>
      </c>
      <c r="SV18">
        <f t="shared" si="191"/>
        <v>15</v>
      </c>
      <c r="SW18">
        <f t="shared" si="157"/>
        <v>1957.5782999999997</v>
      </c>
      <c r="SX18">
        <f>IF(COUNTIF('Final Calculation Sheet'!$AL18:$AZ18,0)+COUNTIF('Final Calculation Sheet'!$BB18:$BS18,0)&gt;0,0,1)</f>
        <v>1</v>
      </c>
      <c r="SY18" t="b">
        <f>IF($CL$18="",FALSE,SUMPRODUCT(('Final Calculation Sheet'!$P$4:$P$40=$CL$18)*($SX$4:$SX$40=1))&gt;0)</f>
        <v>1</v>
      </c>
      <c r="SZ18">
        <f t="shared" si="192"/>
        <v>15</v>
      </c>
      <c r="TA18">
        <f t="shared" si="158"/>
        <v>2033</v>
      </c>
      <c r="TB18">
        <f>IF(COUNTIF('Final Calculation Sheet'!$AL18:$BA18,0)+COUNTIF('Final Calculation Sheet'!$BC18:$BS18,0)&gt;0,0,1)</f>
        <v>1</v>
      </c>
      <c r="TC18" t="b">
        <f>IF($CQ$18="",FALSE,SUMPRODUCT(('Final Calculation Sheet'!$Q$4:$Q$40=$CQ$18)*($TB$4:$TB$40=1))&gt;0)</f>
        <v>0</v>
      </c>
      <c r="TD18">
        <f t="shared" si="193"/>
        <v>2</v>
      </c>
      <c r="TE18" t="str">
        <f t="shared" si="159"/>
        <v/>
      </c>
      <c r="TF18">
        <f>IF(COUNTIF('Final Calculation Sheet'!$AL18:$BB18,0)+COUNTIF('Final Calculation Sheet'!$BD18:$BS18,0)&gt;0,0,1)</f>
        <v>1</v>
      </c>
      <c r="TG18" t="b">
        <f>IF($CV$18="",FALSE,SUMPRODUCT(('Final Calculation Sheet'!$R$4:$R$40=$CV$18)*($TF$4:$TF$40=1))&gt;0)</f>
        <v>0</v>
      </c>
      <c r="TH18">
        <f t="shared" si="194"/>
        <v>5</v>
      </c>
      <c r="TI18" t="str">
        <f t="shared" si="160"/>
        <v/>
      </c>
      <c r="TJ18">
        <f>IF(COUNTIF('Final Calculation Sheet'!$AL18:$BC18,0)+COUNTIF('Final Calculation Sheet'!$BE18:$BS18,0)&gt;0,0,1)</f>
        <v>1</v>
      </c>
      <c r="TK18" t="b">
        <f>IF($DA$18="",FALSE,SUMPRODUCT(('Final Calculation Sheet'!$S$4:$S$40=$DA$18)*($TJ$4:$TJ$40=1))&gt;0)</f>
        <v>1</v>
      </c>
      <c r="TL18">
        <f t="shared" si="195"/>
        <v>15</v>
      </c>
      <c r="TM18">
        <f t="shared" si="161"/>
        <v>88241</v>
      </c>
      <c r="TN18">
        <f>IF(COUNTIF('Final Calculation Sheet'!$AL18:$BD18,0)+COUNTIF('Final Calculation Sheet'!$BF18:$BS18,0)&gt;0,0,1)</f>
        <v>1</v>
      </c>
      <c r="TO18" t="b">
        <f>IF($DF$18="",FALSE,SUMPRODUCT(('Final Calculation Sheet'!$T$4:$T$40=$DF$18)*($TN$4:$TN$40=1))&gt;0)</f>
        <v>1</v>
      </c>
      <c r="TP18">
        <f t="shared" si="196"/>
        <v>15</v>
      </c>
      <c r="TQ18">
        <f t="shared" si="162"/>
        <v>18751</v>
      </c>
      <c r="TR18">
        <f>IF(COUNTIF('Final Calculation Sheet'!$AL18:$BE18,0)+COUNTIF('Final Calculation Sheet'!$BG18:$BS18,0)&gt;0,0,1)</f>
        <v>1</v>
      </c>
      <c r="TS18" t="b">
        <f>IF($DK$18="",FALSE,SUMPRODUCT(('Final Calculation Sheet'!$U$4:$U$40=$DK$18)*($TR$4:$TR$40=1))&gt;0)</f>
        <v>1</v>
      </c>
      <c r="TT18">
        <f t="shared" si="197"/>
        <v>15</v>
      </c>
      <c r="TU18">
        <f t="shared" si="163"/>
        <v>18751</v>
      </c>
      <c r="TV18">
        <f>IF(COUNTIF('Final Calculation Sheet'!$AL18:$BF18,0)+COUNTIF('Final Calculation Sheet'!$BH18:$BS18,0)&gt;0,0,1)</f>
        <v>1</v>
      </c>
      <c r="TW18" t="b">
        <f>IF($DP$18="",FALSE,SUMPRODUCT(('Final Calculation Sheet'!$V$4:$V$40=$DP$18)*($TV$4:$TV$40=1))&gt;0)</f>
        <v>0</v>
      </c>
      <c r="TX18">
        <f t="shared" si="198"/>
        <v>6</v>
      </c>
      <c r="TY18" t="str">
        <f t="shared" si="164"/>
        <v/>
      </c>
      <c r="TZ18">
        <f>IF(COUNTIF('Final Calculation Sheet'!$AL18:$BG18,0)+COUNTIF('Final Calculation Sheet'!$BI18:$BS18,0)&gt;0,0,1)</f>
        <v>1</v>
      </c>
      <c r="UA18" t="b">
        <f>IF($DU$18="",FALSE,SUMPRODUCT(('Final Calculation Sheet'!$W$4:$W$40=$DU$18)*($TZ$4:$TZ$40=1))&gt;0)</f>
        <v>1</v>
      </c>
      <c r="UB18">
        <f t="shared" si="199"/>
        <v>15</v>
      </c>
      <c r="UC18">
        <f t="shared" si="165"/>
        <v>69490</v>
      </c>
      <c r="UD18">
        <f>IF(COUNTIF('Final Calculation Sheet'!$AL18:$BH18,0)+COUNTIF('Final Calculation Sheet'!$BJ18:$BS18,0)&gt;0,0,1)</f>
        <v>1</v>
      </c>
      <c r="UE18" t="e">
        <f>IF($DZ$18="",FALSE,SUMPRODUCT(('Final Calculation Sheet'!$X$4:$X$40=$DZ$18)*($UD$4:$UD$40=1))&gt;0)</f>
        <v>#N/A</v>
      </c>
      <c r="UF18" t="e">
        <f t="shared" si="200"/>
        <v>#N/A</v>
      </c>
      <c r="UG18" t="e">
        <f t="shared" si="166"/>
        <v>#N/A</v>
      </c>
      <c r="UH18">
        <f>IF(COUNTIF('Final Calculation Sheet'!$AL18:$BI18,0)+COUNTIF('Final Calculation Sheet'!$BK18:$BS18,0)&gt;0,0,1)</f>
        <v>1</v>
      </c>
      <c r="UI18" t="e">
        <f>IF($EE$18="",FALSE,SUMPRODUCT(('Final Calculation Sheet'!$Y$4:$Y$40=$EE$18)*($UH$4:$UH$40=1))&gt;0)</f>
        <v>#N/A</v>
      </c>
      <c r="UJ18" t="e">
        <f t="shared" si="201"/>
        <v>#N/A</v>
      </c>
      <c r="UK18" t="e">
        <f t="shared" si="167"/>
        <v>#N/A</v>
      </c>
      <c r="UL18">
        <f>IF(COUNTIF('Final Calculation Sheet'!$AL18:$BJ18,0)+COUNTIF('Final Calculation Sheet'!$BL18:$BS18,0)&gt;0,0,1)</f>
        <v>1</v>
      </c>
      <c r="UM18" t="b">
        <f ca="1">IF($EJ$18="",FALSE,SUMPRODUCT(('Final Calculation Sheet'!$Z$4:$Z$40=$EJ$18)*($UL$4:$UL$40=1))&gt;0)</f>
        <v>1</v>
      </c>
      <c r="UN18">
        <f t="shared" ca="1" si="202"/>
        <v>15</v>
      </c>
      <c r="UO18">
        <f t="shared" ca="1" si="168"/>
        <v>2655.1062000000002</v>
      </c>
      <c r="UP18">
        <f>IF(COUNTIF('Final Calculation Sheet'!$AL18:$BK18,0)+COUNTIF('Final Calculation Sheet'!$BM18:$BS18,0)&gt;0,0,1)</f>
        <v>1</v>
      </c>
      <c r="UQ18" t="e">
        <f>IF($EO$18="",FALSE,SUMPRODUCT(('Final Calculation Sheet'!$AA$4:$AA$40=$EO$18)*($UP$4:$UP$40=1))&gt;0)</f>
        <v>#N/A</v>
      </c>
      <c r="UR18" t="e">
        <f t="shared" si="203"/>
        <v>#N/A</v>
      </c>
      <c r="US18" t="e">
        <f t="shared" si="169"/>
        <v>#N/A</v>
      </c>
      <c r="UT18">
        <f>IF(COUNTIF('Final Calculation Sheet'!$AL18:$BL18,0)+COUNTIF('Final Calculation Sheet'!$BN18:$BS18,0)&gt;0,0,1)</f>
        <v>1</v>
      </c>
      <c r="UU18" t="e">
        <f>IF($ET$18="",FALSE,SUMPRODUCT(('Final Calculation Sheet'!$AB$4:$AB$40=$ET$18)*($UT$4:$UT$40=1))&gt;0)</f>
        <v>#N/A</v>
      </c>
      <c r="UV18" t="e">
        <f t="shared" si="204"/>
        <v>#N/A</v>
      </c>
      <c r="UW18" t="e">
        <f t="shared" si="170"/>
        <v>#N/A</v>
      </c>
      <c r="UX18">
        <f>IF(COUNTIF('Final Calculation Sheet'!$AL18:$BM18,0)+COUNTIF('Final Calculation Sheet'!$BO18:$BS18,0)&gt;0,0,1)</f>
        <v>1</v>
      </c>
      <c r="UY18" t="b">
        <f>IF($EY$18="",FALSE,SUMPRODUCT(('Final Calculation Sheet'!$AC$4:$AC$40=$EY$18)*($UX$4:$UX$40=1))&gt;0)</f>
        <v>1</v>
      </c>
      <c r="UZ18">
        <f t="shared" si="205"/>
        <v>15</v>
      </c>
      <c r="VA18">
        <f t="shared" si="171"/>
        <v>83532</v>
      </c>
      <c r="VB18">
        <f>IF(COUNTIF('Final Calculation Sheet'!$AL18:$BN18,0)+COUNTIF('Final Calculation Sheet'!$BP18:$BS18,0)&gt;0,0,1)</f>
        <v>1</v>
      </c>
      <c r="VC18" t="b">
        <f>IF($FD$18="",FALSE,SUMPRODUCT(('Final Calculation Sheet'!$AD$4:$AD$40=$FD$18)*($VB$4:$VB$40=1))&gt;0)</f>
        <v>0</v>
      </c>
      <c r="VD18">
        <f t="shared" si="206"/>
        <v>11</v>
      </c>
      <c r="VE18" t="str">
        <f t="shared" si="172"/>
        <v/>
      </c>
      <c r="VF18">
        <f>IF(COUNTIF('Final Calculation Sheet'!$AL18:$BO18,0)+COUNTIF('Final Calculation Sheet'!$BQ18:$BS18,0)&gt;0,0,1)</f>
        <v>1</v>
      </c>
      <c r="VG18" t="e">
        <f>IF($FI$18="",FALSE,SUMPRODUCT(('Final Calculation Sheet'!$AE$4:$AE$40=$FI$18)*($VF$4:$VF$40=1))&gt;0)</f>
        <v>#N/A</v>
      </c>
      <c r="VH18" t="e">
        <f t="shared" si="207"/>
        <v>#N/A</v>
      </c>
      <c r="VI18" t="e">
        <f t="shared" si="173"/>
        <v>#N/A</v>
      </c>
      <c r="VJ18">
        <f>IF(COUNTIF('Final Calculation Sheet'!$AL18:$BP18,0)+COUNTIF('Final Calculation Sheet'!$BR18:$BS18,0)&gt;0,0,1)</f>
        <v>1</v>
      </c>
      <c r="VK18" t="e">
        <f>IF($FN$18="",FALSE,SUMPRODUCT(('Final Calculation Sheet'!$AF$4:$AF$40=$FN$18)*($VJ$4:$VJ$40=1))&gt;0)</f>
        <v>#N/A</v>
      </c>
      <c r="VL18" t="e">
        <f t="shared" si="208"/>
        <v>#N/A</v>
      </c>
      <c r="VM18" t="e">
        <f t="shared" si="174"/>
        <v>#N/A</v>
      </c>
      <c r="VN18">
        <f>IF(COUNTIF('Final Calculation Sheet'!$AL18:$BQ18,0)+COUNTIF('Final Calculation Sheet'!$BS18:$BS18,0)&gt;0,0,1)</f>
        <v>1</v>
      </c>
      <c r="VO18" t="e">
        <f>IF($FS$18="",FALSE,SUMPRODUCT(('Final Calculation Sheet'!$AG$4:$AG$40=$FS$18)*($VN$4:$VN$40=1))&gt;0)</f>
        <v>#N/A</v>
      </c>
      <c r="VP18" t="e">
        <f t="shared" si="209"/>
        <v>#N/A</v>
      </c>
      <c r="VQ18" t="e">
        <f t="shared" si="175"/>
        <v>#N/A</v>
      </c>
      <c r="VR18">
        <f>IF(COUNTIF('Final Calculation Sheet'!$AL18:$BR18,0)&gt;0,0,1)</f>
        <v>1</v>
      </c>
      <c r="VS18" t="e">
        <f>IF($QO$18="",FALSE,SUMPRODUCT(('Final Calculation Sheet'!$AH$4:$AH$40=$QO$18)*($VR$4:$VR$40=1))&gt;0)</f>
        <v>#N/A</v>
      </c>
      <c r="VT18" t="e">
        <f t="shared" si="210"/>
        <v>#N/A</v>
      </c>
      <c r="VU18" t="e">
        <f t="shared" si="176"/>
        <v>#N/A</v>
      </c>
    </row>
    <row r="19" spans="1:593" x14ac:dyDescent="0.3">
      <c r="A19">
        <f>IF('Final Calculation Sheet'!$F$19="","",'Final Calculation Sheet'!$F$19)</f>
        <v>2019</v>
      </c>
      <c r="B19">
        <f>IF(A19="","",COUNTIFS(A$4:A$114,"&lt;"&amp;A19,A$4:A$114,"&lt;&gt;"&amp;"")+COUNTIF(A$4:A19,A19))</f>
        <v>16</v>
      </c>
      <c r="C19">
        <f t="shared" si="0"/>
        <v>2019</v>
      </c>
      <c r="D19">
        <f>D18+IF(AND(C19&lt;&gt;"",COUNTIF(C$4:C19,C19)=1),1,0)</f>
        <v>16</v>
      </c>
      <c r="E19" t="e">
        <f t="shared" si="1"/>
        <v>#N/A</v>
      </c>
      <c r="F19">
        <f t="shared" si="2"/>
        <v>16</v>
      </c>
      <c r="G19">
        <f>IF(F19="","",COUNTIFS(F$4:F$40,"&lt;"&amp;F19,F$4:F$40,"&lt;&gt;"&amp;"")+COUNTIF(F$4:F19,F19))</f>
        <v>16</v>
      </c>
      <c r="H19">
        <f t="shared" si="3"/>
        <v>16</v>
      </c>
      <c r="I19">
        <f>I18+IF(AND(H19&lt;&gt;"",COUNTIF(H$4:H19,H19)=1),1,0)</f>
        <v>16</v>
      </c>
      <c r="J19">
        <f t="shared" si="4"/>
        <v>16</v>
      </c>
      <c r="K19">
        <f>IF('Final Calculation Sheet'!$F$19="","",'Final Calculation Sheet'!$F$19)</f>
        <v>2019</v>
      </c>
      <c r="L19">
        <f>IF(K19="","",COUNTIFS(K$4:K$40,"&lt;"&amp;K19,K$4:K$40,"&lt;&gt;"&amp;"")+COUNTIF(K$4:K19,K19))</f>
        <v>16</v>
      </c>
      <c r="M19">
        <f t="shared" si="5"/>
        <v>2019</v>
      </c>
      <c r="N19">
        <f>N18+IF(AND(M19&lt;&gt;"",COUNTIF(M$4:M19,M19)=1),1,0)</f>
        <v>16</v>
      </c>
      <c r="O19">
        <f t="shared" si="6"/>
        <v>2019</v>
      </c>
      <c r="P19" t="str">
        <f>IF('Final Calculation Sheet'!$G$19="","",'Final Calculation Sheet'!$G$19)</f>
        <v>NATIONAL ENTERPRISES</v>
      </c>
      <c r="Q19">
        <f>IF(P19="","",COUNTIFS(P$4:P$40,"&lt;"&amp;P19,P$4:P$40,"&lt;&gt;"&amp;"")+COUNTIF(P$4:P19,P19))</f>
        <v>12</v>
      </c>
      <c r="R19" t="str">
        <f t="shared" si="7"/>
        <v>NATIONAL ENTERPRISES</v>
      </c>
      <c r="S19">
        <f>S18+IF(AND(R19&lt;&gt;"",COUNTIF(R$4:R19,R19)=1),1,0)</f>
        <v>6</v>
      </c>
      <c r="T19" t="str">
        <f t="shared" si="8"/>
        <v/>
      </c>
      <c r="U19" t="str">
        <f>IF('Final Calculation Sheet'!$B$19="","",'Final Calculation Sheet'!$B$19)</f>
        <v>Scrap of 220 KV Circuit Breaker</v>
      </c>
      <c r="V19">
        <f>IF(U19="","",COUNTIFS(U$4:U$40,"&lt;"&amp;U19,U$4:U$40,"&lt;&gt;"&amp;"")+COUNTIF(U$4:U19,U19))</f>
        <v>16</v>
      </c>
      <c r="W19" t="str">
        <f t="shared" si="9"/>
        <v>Scrap of 220 KV Circuit Breaker</v>
      </c>
      <c r="X19">
        <f>X18+IF(AND(W19&lt;&gt;"",COUNTIF(W$4:W19,W19)=1),1,0)</f>
        <v>9</v>
      </c>
      <c r="Y19" t="str">
        <f t="shared" si="10"/>
        <v>Scrap of 66 kv TBC C &amp; R Panel</v>
      </c>
      <c r="Z19">
        <f>IF('Final Calculation Sheet'!$D$19="","",'Final Calculation Sheet'!$D$19)</f>
        <v>21978</v>
      </c>
      <c r="AA19">
        <f>IF(Z19="","",COUNTIFS(Z$4:Z$40,"&lt;"&amp;Z19,Z$4:Z$40,"&lt;&gt;"&amp;"")+COUNTIF(Z$4:Z19,Z19))</f>
        <v>14</v>
      </c>
      <c r="AB19">
        <f t="shared" si="11"/>
        <v>21978</v>
      </c>
      <c r="AC19">
        <f>AC18+IF(AND(AB19&lt;&gt;"",COUNTIF(AB$4:AB19,AB19)=1),1,0)</f>
        <v>2</v>
      </c>
      <c r="AD19" t="str">
        <f t="shared" si="12"/>
        <v/>
      </c>
      <c r="AE19">
        <f>IF('Final Calculation Sheet'!$A$19="","",'Final Calculation Sheet'!$A$19)</f>
        <v>1</v>
      </c>
      <c r="AF19">
        <f>IF(AE19="","",COUNTIFS(AE$4:AE$40,"&lt;"&amp;AE19,AE$4:AE$40,"&lt;&gt;"&amp;"")+COUNTIF(AE$4:AE19,AE19))</f>
        <v>6</v>
      </c>
      <c r="AG19">
        <f t="shared" si="13"/>
        <v>3</v>
      </c>
      <c r="AH19">
        <f>AH18+IF(AND(AG19&lt;&gt;"",COUNTIF(AG$4:AG19,AG19)=1),1,0)</f>
        <v>3</v>
      </c>
      <c r="AI19">
        <f t="shared" si="14"/>
        <v>270</v>
      </c>
      <c r="AJ19" t="str">
        <f>IF('Final Calculation Sheet'!$E$19="","",'Final Calculation Sheet'!$E$19)</f>
        <v>NO</v>
      </c>
      <c r="AK19">
        <f>IF(AJ19="","",COUNTIFS(AJ$4:AJ$40,"&lt;"&amp;AJ19,AJ$4:AJ$40,"&lt;&gt;"&amp;"")+COUNTIF(AJ$4:AJ19,AJ19))</f>
        <v>19</v>
      </c>
      <c r="AL19" t="str">
        <f t="shared" si="15"/>
        <v>NO</v>
      </c>
      <c r="AM19">
        <f>AM18+IF(AND(AL19&lt;&gt;"",COUNTIF(AL$4:AL19,AL19)=1),1,0)</f>
        <v>3</v>
      </c>
      <c r="AN19" t="str">
        <f t="shared" si="16"/>
        <v/>
      </c>
      <c r="AO19" s="50">
        <f>IF('Final Calculation Sheet'!$C$19="","",'Final Calculation Sheet'!$C$19)</f>
        <v>210001</v>
      </c>
      <c r="AP19">
        <f>IF(AO19="","",COUNTIFS(AO$4:AO$40,"&lt;"&amp;AO19,AO$4:AO$40,"&lt;&gt;"&amp;"")+COUNTIF(AO$4:AO19,AO19))</f>
        <v>34</v>
      </c>
      <c r="AQ19" s="50">
        <f t="shared" si="17"/>
        <v>1456</v>
      </c>
      <c r="AR19">
        <f>AR18+IF(AND(AQ19&lt;&gt;"",COUNTIF(AQ$4:AQ19,AQ19)=1),1,0)</f>
        <v>14</v>
      </c>
      <c r="AS19" s="50">
        <f t="shared" si="18"/>
        <v>15006</v>
      </c>
      <c r="AT19" s="50">
        <f>IF('Final Calculation Sheet'!$H$19="","",'Final Calculation Sheet'!$H$19)</f>
        <v>210001</v>
      </c>
      <c r="AU19">
        <f>IF(AT19="","",COUNTIFS(AT$4:AT$40,"&lt;"&amp;AT19,AT$4:AT$40,"&lt;&gt;"&amp;"")+COUNTIF(AT$4:AT19,AT19))</f>
        <v>24</v>
      </c>
      <c r="AV19" s="50">
        <f t="shared" si="19"/>
        <v>85650</v>
      </c>
      <c r="AW19">
        <f>AW18+IF(AND(AV19&lt;&gt;"",COUNTIF(AV$4:AV19,AV19)=1),1,0)</f>
        <v>16</v>
      </c>
      <c r="AX19" s="50">
        <f t="shared" si="20"/>
        <v>85650</v>
      </c>
      <c r="AY19" s="50">
        <f>IF('Final Calculation Sheet'!$I$19="","",'Final Calculation Sheet'!$I$19)</f>
        <v>37800</v>
      </c>
      <c r="AZ19">
        <f>IF(AY19="","",COUNTIFS(AY$4:AY$40,"&lt;"&amp;AY19,AY$4:AY$40,"&lt;&gt;"&amp;"")+COUNTIF(AY$4:AY19,AY19))</f>
        <v>24</v>
      </c>
      <c r="BA19" s="50">
        <f t="shared" si="21"/>
        <v>15417</v>
      </c>
      <c r="BB19">
        <f>BB18+IF(AND(BA19&lt;&gt;"",COUNTIF(BA$4:BA19,BA19)=1),1,0)</f>
        <v>16</v>
      </c>
      <c r="BC19" s="50">
        <f t="shared" si="22"/>
        <v>15417</v>
      </c>
      <c r="BD19" s="50">
        <f>IF('Final Calculation Sheet'!$J$19="","",'Final Calculation Sheet'!$J$19)</f>
        <v>247801</v>
      </c>
      <c r="BE19">
        <f>IF(BD19="","",COUNTIFS(BD$4:BD$40,"&lt;"&amp;BD19,BD$4:BD$40,"&lt;&gt;"&amp;"")+COUNTIF(BD$4:BD19,BD19))</f>
        <v>24</v>
      </c>
      <c r="BF19" s="50">
        <f t="shared" si="23"/>
        <v>101067</v>
      </c>
      <c r="BG19">
        <f>BG18+IF(AND(BF19&lt;&gt;"",COUNTIF(BF$4:BF19,BF19)=1),1,0)</f>
        <v>16</v>
      </c>
      <c r="BH19" s="50">
        <f t="shared" si="24"/>
        <v>101067</v>
      </c>
      <c r="BI19" s="50">
        <f>IF('Final Calculation Sheet'!$K$19="","",'Final Calculation Sheet'!$K$19)</f>
        <v>4956</v>
      </c>
      <c r="BJ19">
        <f>IF(BI19="","",COUNTIFS(BI$4:BI$40,"&lt;"&amp;BI19,BI$4:BI$40,"&lt;&gt;"&amp;"")+COUNTIF(BI$4:BI19,BI19))</f>
        <v>24</v>
      </c>
      <c r="BK19" s="50">
        <f t="shared" si="25"/>
        <v>2021</v>
      </c>
      <c r="BL19">
        <f>BL18+IF(AND(BK19&lt;&gt;"",COUNTIF(BK$4:BK19,BK19)=1),1,0)</f>
        <v>16</v>
      </c>
      <c r="BM19" s="50">
        <f t="shared" si="26"/>
        <v>2021</v>
      </c>
      <c r="BN19" s="50">
        <f>IF('Final Calculation Sheet'!$L$19="","",'Final Calculation Sheet'!$L$19)</f>
        <v>210.001</v>
      </c>
      <c r="BO19">
        <f>IF(BN19="","",COUNTIFS(BN$4:BN$40,"&lt;"&amp;BN19,BN$4:BN$40,"&lt;&gt;"&amp;"")+COUNTIF(BN$4:BN19,BN19))</f>
        <v>24</v>
      </c>
      <c r="BP19" s="50">
        <f t="shared" si="27"/>
        <v>85.65</v>
      </c>
      <c r="BQ19">
        <f>BQ18+IF(AND(BP19&lt;&gt;"",COUNTIF(BP$4:BP19,BP19)=1),1,0)</f>
        <v>16</v>
      </c>
      <c r="BR19" s="50">
        <f t="shared" si="28"/>
        <v>85.65</v>
      </c>
      <c r="BS19" s="50">
        <f>IF('Final Calculation Sheet'!$M$19="","",'Final Calculation Sheet'!$M$19)</f>
        <v>5575.5265499999996</v>
      </c>
      <c r="BT19">
        <f>IF(BS19="","",COUNTIFS(BS$4:BS$40,"&lt;"&amp;BS19,BS$4:BS$40,"&lt;&gt;"&amp;"")+COUNTIF(BS$4:BS19,BS19))</f>
        <v>24</v>
      </c>
      <c r="BU19" s="50">
        <f t="shared" si="29"/>
        <v>2274.0074999999997</v>
      </c>
      <c r="BV19">
        <f>BV18+IF(AND(BU19&lt;&gt;"",COUNTIF(BU$4:BU19,BU19)=1),1,0)</f>
        <v>16</v>
      </c>
      <c r="BW19" s="50">
        <f t="shared" si="30"/>
        <v>2274.0074999999997</v>
      </c>
      <c r="BX19" s="126">
        <f>IF('Final Calculation Sheet'!$N$19="","",'Final Calculation Sheet'!$N$19)</f>
        <v>94.500450000000001</v>
      </c>
      <c r="BY19">
        <f>IF(BX19="","",COUNTIFS(BX$4:BX$40,"&lt;"&amp;BX19,BX$4:BX$40,"&lt;&gt;"&amp;"")+COUNTIF(BX$4:BX19,BX19))</f>
        <v>24</v>
      </c>
      <c r="BZ19" s="126">
        <f t="shared" si="31"/>
        <v>38.542500000000004</v>
      </c>
      <c r="CA19">
        <f>CA18+IF(AND(BZ19&lt;&gt;"",COUNTIF(BZ$4:BZ19,BZ19)=1),1,0)</f>
        <v>16</v>
      </c>
      <c r="CB19" s="126">
        <f t="shared" si="32"/>
        <v>38.542500000000004</v>
      </c>
      <c r="CC19" s="50">
        <f>IF('Final Calculation Sheet'!$O$19="","",'Final Calculation Sheet'!$O$19)</f>
        <v>5481.0260999999991</v>
      </c>
      <c r="CD19">
        <f>IF(CC19="","",COUNTIFS(CC$4:CC$40,"&lt;"&amp;CC19,CC$4:CC$40,"&lt;&gt;"&amp;"")+COUNTIF(CC$4:CC19,CC19))</f>
        <v>24</v>
      </c>
      <c r="CE19" s="50">
        <f t="shared" si="33"/>
        <v>2235.4649999999997</v>
      </c>
      <c r="CF19">
        <f>CF18+IF(AND(CE19&lt;&gt;"",COUNTIF(CE$4:CE19,CE19)=1),1,0)</f>
        <v>16</v>
      </c>
      <c r="CG19" s="50">
        <f t="shared" si="34"/>
        <v>2235.4649999999997</v>
      </c>
      <c r="CH19" s="50">
        <f>IF('Final Calculation Sheet'!$P$19="","",'Final Calculation Sheet'!$P$19)</f>
        <v>5691</v>
      </c>
      <c r="CI19">
        <f>IF(CH19="","",COUNTIFS(CH$4:CH$40,"&lt;"&amp;CH19,CH$4:CH$40,"&lt;&gt;"&amp;"")+COUNTIF(CH$4:CH19,CH19))</f>
        <v>24</v>
      </c>
      <c r="CJ19" s="50">
        <f t="shared" si="35"/>
        <v>2321</v>
      </c>
      <c r="CK19">
        <f>CK18+IF(AND(CJ19&lt;&gt;"",COUNTIF(CJ$4:CJ19,CJ19)=1),1,0)</f>
        <v>16</v>
      </c>
      <c r="CL19" s="50">
        <f t="shared" si="36"/>
        <v>2321</v>
      </c>
      <c r="CM19" s="127">
        <f>IF('Final Calculation Sheet'!$Q$19="","",'Final Calculation Sheet'!$Q$19)</f>
        <v>0</v>
      </c>
      <c r="CN19">
        <f>IF(CM19="","",COUNTIFS(CM$4:CM$40,"&lt;"&amp;CM19,CM$4:CM$40,"&lt;&gt;"&amp;"")+COUNTIF(CM$4:CM19,CM19))</f>
        <v>14</v>
      </c>
      <c r="CO19" s="127">
        <f t="shared" si="37"/>
        <v>0</v>
      </c>
      <c r="CP19">
        <f>CP18+IF(AND(CO19&lt;&gt;"",COUNTIF(CO$4:CO19,CO19)=1),1,0)</f>
        <v>1</v>
      </c>
      <c r="CQ19" t="str">
        <f t="shared" si="38"/>
        <v/>
      </c>
      <c r="CR19" s="50">
        <f>IF('Final Calculation Sheet'!$R$19="","",'Final Calculation Sheet'!$R$19)</f>
        <v>0</v>
      </c>
      <c r="CS19">
        <f>IF(CR19="","",COUNTIFS(CR$4:CR$40,"&lt;"&amp;CR19,CR$4:CR$40,"&lt;&gt;"&amp;"")+COUNTIF(CR$4:CR19,CR19))</f>
        <v>14</v>
      </c>
      <c r="CT19" s="50">
        <f t="shared" si="39"/>
        <v>0</v>
      </c>
      <c r="CU19">
        <f>CU18+IF(AND(CT19&lt;&gt;"",COUNTIF(CT$4:CT19,CT19)=1),1,0)</f>
        <v>1</v>
      </c>
      <c r="CV19" t="str">
        <f t="shared" si="40"/>
        <v/>
      </c>
      <c r="CW19" s="50">
        <f>IF('Final Calculation Sheet'!$S$19="","",'Final Calculation Sheet'!$S$19)</f>
        <v>247066</v>
      </c>
      <c r="CX19">
        <f>IF(CW19="","",COUNTIFS(CW$4:CW$40,"&lt;"&amp;CW19,CW$4:CW$40,"&lt;&gt;"&amp;"")+COUNTIF(CW$4:CW19,CW19))</f>
        <v>24</v>
      </c>
      <c r="CY19" s="50">
        <f t="shared" si="41"/>
        <v>100767</v>
      </c>
      <c r="CZ19">
        <f>CZ18+IF(AND(CY19&lt;&gt;"",COUNTIF(CY$4:CY19,CY19)=1),1,0)</f>
        <v>16</v>
      </c>
      <c r="DA19" s="50">
        <f t="shared" si="42"/>
        <v>100767</v>
      </c>
      <c r="DB19" s="50">
        <f>IF('Final Calculation Sheet'!$T$19="","",'Final Calculation Sheet'!$T$19)</f>
        <v>52500</v>
      </c>
      <c r="DC19">
        <f>IF(DB19="","",COUNTIFS(DB$4:DB$40,"&lt;"&amp;DB19,DB$4:DB$40,"&lt;&gt;"&amp;"")+COUNTIF(DB$4:DB19,DB19))</f>
        <v>24</v>
      </c>
      <c r="DD19" s="50">
        <f t="shared" si="43"/>
        <v>21413</v>
      </c>
      <c r="DE19">
        <f>DE18+IF(AND(DD19&lt;&gt;"",COUNTIF(DD$4:DD19,DD19)=1),1,0)</f>
        <v>16</v>
      </c>
      <c r="DF19" s="50">
        <f t="shared" si="44"/>
        <v>21413</v>
      </c>
      <c r="DG19" s="128">
        <f>IF('Final Calculation Sheet'!$U$19="","",'Final Calculation Sheet'!$U$19)</f>
        <v>52500</v>
      </c>
      <c r="DH19">
        <f>IF(DG19="","",COUNTIFS(DG$4:DG$40,"&lt;"&amp;DG19,DG$4:DG$40,"&lt;&gt;"&amp;"")+COUNTIF(DG$4:DG19,DG19))</f>
        <v>24</v>
      </c>
      <c r="DI19" s="128">
        <f t="shared" si="45"/>
        <v>21413</v>
      </c>
      <c r="DJ19">
        <f>DJ18+IF(AND(DI19&lt;&gt;"",COUNTIF(DI$4:DI19,DI19)=1),1,0)</f>
        <v>16</v>
      </c>
      <c r="DK19" s="128">
        <f t="shared" si="46"/>
        <v>21413</v>
      </c>
      <c r="DL19" t="str">
        <f>IF('Final Calculation Sheet'!$V$19="","",'Final Calculation Sheet'!$V$19)</f>
        <v>13.08.2026</v>
      </c>
      <c r="DM19">
        <f>IF(DL19="","",COUNTIFS(DL$4:DL$40,"&lt;"&amp;DL19,DL$4:DL$40,"&lt;&gt;"&amp;"")+COUNTIF(DL$4:DL19,DL19))</f>
        <v>19</v>
      </c>
      <c r="DN19" t="str">
        <f t="shared" si="47"/>
        <v>13.08.2026</v>
      </c>
      <c r="DO19">
        <f>DO18+IF(AND(DN19&lt;&gt;"",COUNTIF(DN$4:DN19,DN19)=1),1,0)</f>
        <v>3</v>
      </c>
      <c r="DP19" t="str">
        <f t="shared" si="48"/>
        <v/>
      </c>
      <c r="DQ19" s="50">
        <f>IF('Final Calculation Sheet'!$W$19="","",'Final Calculation Sheet'!$W$19)</f>
        <v>194566</v>
      </c>
      <c r="DR19">
        <f>IF(DQ19="","",COUNTIFS(DQ$4:DQ$40,"&lt;"&amp;DQ19,DQ$4:DQ$40,"&lt;&gt;"&amp;"")+COUNTIF(DQ$4:DQ19,DQ19))</f>
        <v>24</v>
      </c>
      <c r="DS19" s="50">
        <f t="shared" si="49"/>
        <v>79355</v>
      </c>
      <c r="DT19">
        <f>DT18+IF(AND(DS19&lt;&gt;"",COUNTIF(DS$4:DS19,DS19)=1),1,0)</f>
        <v>16</v>
      </c>
      <c r="DU19" s="50">
        <f t="shared" si="50"/>
        <v>79355</v>
      </c>
      <c r="DV19" s="50">
        <f>IF('Final Calculation Sheet'!$X$19="","",'Final Calculation Sheet'!$X$19)</f>
        <v>194566</v>
      </c>
      <c r="DW19">
        <f>IF(DV19="","",COUNTIFS(DV$4:DV$40,"&lt;"&amp;DV19,DV$4:DV$40,"&lt;&gt;"&amp;"")+COUNTIF(DV$4:DV19,DV19))</f>
        <v>23</v>
      </c>
      <c r="DX19" s="50">
        <f t="shared" si="51"/>
        <v>111189</v>
      </c>
      <c r="DY19">
        <f>DY18+IF(AND(DX19&lt;&gt;"",COUNTIF(DX$4:DX19,DX19)=1),1,0)</f>
        <v>16</v>
      </c>
      <c r="DZ19" t="e">
        <f t="shared" si="52"/>
        <v>#N/A</v>
      </c>
      <c r="EA19" t="str">
        <f>IF('Final Calculation Sheet'!$Y$19="","",'Final Calculation Sheet'!$Y$19)</f>
        <v>24.08.2026</v>
      </c>
      <c r="EB19">
        <f>IF(EA19="","",COUNTIFS(EA$4:EA$40,"&lt;"&amp;EA19,EA$4:EA$40,"&lt;&gt;"&amp;"")+COUNTIF(EA$4:EA19,EA19))</f>
        <v>27</v>
      </c>
      <c r="EC19" t="str">
        <f t="shared" si="53"/>
        <v>20.08.2026</v>
      </c>
      <c r="ED19">
        <f>ED18+IF(AND(EC19&lt;&gt;"",COUNTIF(EC$4:EC19,EC19)=1),1,0)</f>
        <v>7</v>
      </c>
      <c r="EE19" t="e">
        <f t="shared" si="54"/>
        <v>#N/A</v>
      </c>
      <c r="EF19" s="50">
        <f ca="1">IF('Final Calculation Sheet'!$Z$19="","",'Final Calculation Sheet'!$Z$19)</f>
        <v>7434.0353999999988</v>
      </c>
      <c r="EG19">
        <f ca="1">IF(EF19="","",COUNTIFS(EF$4:EF$40,"&lt;"&amp;EF19,EF$4:EF$40,"&lt;&gt;"&amp;"")+COUNTIF(EF$4:EF19,EF19))</f>
        <v>24</v>
      </c>
      <c r="EH19" s="50">
        <f t="shared" ca="1" si="55"/>
        <v>2832.2123999999999</v>
      </c>
      <c r="EI19">
        <f ca="1">EI18+IF(AND(EH19&lt;&gt;"",COUNTIF(EH$4:EH19,EH19)=1),1,0)</f>
        <v>16</v>
      </c>
      <c r="EJ19">
        <f t="shared" ca="1" si="56"/>
        <v>2832.2123999999999</v>
      </c>
      <c r="EK19" t="str">
        <f>IF('Final Calculation Sheet'!$AA$19="","",'Final Calculation Sheet'!$AA$19)</f>
        <v/>
      </c>
      <c r="EL19" t="str">
        <f>IF(EK19="","",COUNTIFS(EK$4:EK$40,"&lt;"&amp;EK19,EK$4:EK$40,"&lt;&gt;"&amp;"")+COUNTIF(EK$4:EK19,EK19))</f>
        <v/>
      </c>
      <c r="EM19" t="e">
        <f t="shared" si="57"/>
        <v>#N/A</v>
      </c>
      <c r="EN19" t="e">
        <f>EN18+IF(AND(EM19&lt;&gt;"",COUNTIF(EM$4:EM19,EM19)=1),1,0)</f>
        <v>#N/A</v>
      </c>
      <c r="EO19" t="e">
        <f t="shared" si="58"/>
        <v>#N/A</v>
      </c>
      <c r="EP19" t="str">
        <f>IF('Final Calculation Sheet'!$AB$19="","",'Final Calculation Sheet'!$AB$19)</f>
        <v/>
      </c>
      <c r="EQ19" t="str">
        <f>IF(EP19="","",COUNTIFS(EP$4:EP$40,"&lt;"&amp;EP19,EP$4:EP$40,"&lt;&gt;"&amp;"")+COUNTIF(EP$4:EP19,EP19))</f>
        <v/>
      </c>
      <c r="ER19" t="e">
        <f t="shared" si="59"/>
        <v>#N/A</v>
      </c>
      <c r="ES19" t="e">
        <f>ES18+IF(AND(ER19&lt;&gt;"",COUNTIF(ER$4:ER19,ER19)=1),1,0)</f>
        <v>#N/A</v>
      </c>
      <c r="ET19" t="e">
        <f t="shared" si="60"/>
        <v>#N/A</v>
      </c>
      <c r="EU19" s="50">
        <f>IF('Final Calculation Sheet'!$AC$19="","",'Final Calculation Sheet'!$AC$19)</f>
        <v>247066</v>
      </c>
      <c r="EV19">
        <f>IF(EU19="","",COUNTIFS(EU$4:EU$40,"&lt;"&amp;EU19,EU$4:EU$40,"&lt;&gt;"&amp;"")+COUNTIF(EU$4:EU19,EU19))</f>
        <v>26</v>
      </c>
      <c r="EW19" s="50">
        <f t="shared" si="61"/>
        <v>88242</v>
      </c>
      <c r="EX19">
        <f>EX18+IF(AND(EW19&lt;&gt;"",COUNTIF(EW$4:EW19,EW19)=1),1,0)</f>
        <v>16</v>
      </c>
      <c r="EY19" s="50">
        <f t="shared" si="62"/>
        <v>88242</v>
      </c>
      <c r="EZ19" s="50">
        <f>IF('Final Calculation Sheet'!$AD$19="","",'Final Calculation Sheet'!$AD$19)</f>
        <v>0</v>
      </c>
      <c r="FA19">
        <f>IF(EZ19="","",COUNTIFS(EZ$4:EZ$40,"&lt;"&amp;EZ19,EZ$4:EZ$40,"&lt;&gt;"&amp;"")+COUNTIF(EZ$4:EZ19,EZ19))</f>
        <v>17</v>
      </c>
      <c r="FB19" s="50">
        <f t="shared" si="63"/>
        <v>0</v>
      </c>
      <c r="FC19">
        <f>FC18+IF(AND(FB19&lt;&gt;"",COUNTIF(FB$4:FB19,FB19)=1),1,0)</f>
        <v>7</v>
      </c>
      <c r="FD19" t="str">
        <f t="shared" si="64"/>
        <v/>
      </c>
      <c r="FE19" t="str">
        <f>IF('Final Calculation Sheet'!$AF$19="","",'Final Calculation Sheet'!$AF$19)</f>
        <v>DR2640100035</v>
      </c>
      <c r="FF19">
        <f>IF(FE19="","",COUNTIFS(FE$4:FE$40,"&lt;"&amp;FE19,FE$4:FE$40,"&lt;&gt;"&amp;"")+COUNTIF(FE$4:FE19,FE19))</f>
        <v>24</v>
      </c>
      <c r="FG19" t="str">
        <f t="shared" si="65"/>
        <v>DR2640100027</v>
      </c>
      <c r="FH19" t="e">
        <f>FH18+IF(AND(FG19&lt;&gt;"",COUNTIF(FG$4:FG19,FG19)=1),1,0)</f>
        <v>#N/A</v>
      </c>
      <c r="FI19" t="e">
        <f t="shared" si="66"/>
        <v>#N/A</v>
      </c>
      <c r="FJ19" s="129">
        <f>IF('Final Calculation Sheet'!$AG$19="","",'Final Calculation Sheet'!$AG$19)</f>
        <v>1800003307</v>
      </c>
      <c r="FK19">
        <f>IF(FJ19="","",COUNTIFS(FJ$4:FJ$40,"&lt;"&amp;FJ19,FJ$4:FJ$40,"&lt;&gt;"&amp;"")+COUNTIF(FJ$4:FJ19,FJ19))</f>
        <v>19</v>
      </c>
      <c r="FL19" s="129">
        <f t="shared" si="67"/>
        <v>1800003304</v>
      </c>
      <c r="FM19">
        <f>FM18+IF(AND(FL19&lt;&gt;"",COUNTIF(FL$4:FL19,FL19)=1),1,0)</f>
        <v>16</v>
      </c>
      <c r="FN19" t="e">
        <f t="shared" si="68"/>
        <v>#N/A</v>
      </c>
      <c r="FO19" t="str">
        <f>IF('Final Calculation Sheet'!$AH$19="","",'Final Calculation Sheet'!$AH$19)</f>
        <v>27.08.2026</v>
      </c>
      <c r="FP19">
        <f>IF(FO19="","",COUNTIFS(FO$4:FO$40,"&lt;"&amp;FO19,FO$4:FO$40,"&lt;&gt;"&amp;"")+COUNTIF(FO$4:FO19,FO19))</f>
        <v>27</v>
      </c>
      <c r="FQ19" t="str">
        <f t="shared" si="69"/>
        <v>20.08.2026</v>
      </c>
      <c r="FR19" t="e">
        <f>FR18+IF(AND(FQ19&lt;&gt;"",COUNTIF(FQ$4:FQ19,FQ19)=1),1,0)</f>
        <v>#N/A</v>
      </c>
      <c r="FS19" t="e">
        <f t="shared" si="70"/>
        <v>#N/A</v>
      </c>
      <c r="FU19" t="str">
        <f>IF(FT19="","",COUNTIFS(FT$4:FT$40,"&lt;"&amp;FT19,FT$4:FT$40,"&lt;&gt;"&amp;"")+COUNTIF(FT$4:FT19,FT19))</f>
        <v/>
      </c>
      <c r="FV19" t="str">
        <f t="shared" si="71"/>
        <v/>
      </c>
      <c r="FW19">
        <f>FW18+IF(AND(FV19&lt;&gt;"",COUNTIF(FV$4:FV19,FV19)=1),1,0)</f>
        <v>2</v>
      </c>
      <c r="FX19" t="str">
        <f t="shared" si="72"/>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19" t="b">
        <f>IF($Y$19="",FALSE,SUMPRODUCT(('Final Calculation Sheet'!$B$4:$B$40=$Y$19)*($FY$6:$FY$42=1))&gt;0)</f>
        <v>1</v>
      </c>
      <c r="GA19">
        <f>$GA$18+--($FZ$19)</f>
        <v>16</v>
      </c>
      <c r="GB19" t="str">
        <f t="shared" si="73"/>
        <v>Scrap of 66 kv TBC C &amp; R Panel</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D19" t="b">
        <f>IF($O$19="",FALSE,SUMPRODUCT(('Final Calculation Sheet'!$F$4:$F$40=$O$19)*($GC$6:$GC$42=1))&gt;0)</f>
        <v>1</v>
      </c>
      <c r="GE19">
        <f>$GE$18+--($GD19)</f>
        <v>16</v>
      </c>
      <c r="GF19">
        <f t="shared" si="74"/>
        <v>2019</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H19" t="b">
        <f>IF($T$19="",FALSE,SUMPRODUCT(('Final Calculation Sheet'!$G$4:$G$40=$T$19)*($GG$6:$GG$42=1))&gt;0)</f>
        <v>0</v>
      </c>
      <c r="GI19">
        <f>$GI$18+--($GH19)</f>
        <v>13</v>
      </c>
      <c r="GJ19" t="str">
        <f t="shared" si="75"/>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L19" t="b">
        <f>IF($AD$19="",FALSE,SUMPRODUCT(('Final Calculation Sheet'!$D$4:$D$40=$AD$19)*($GK$6:$GK$42=1))&gt;0)</f>
        <v>0</v>
      </c>
      <c r="GM19">
        <f>$GM$18+--($GL19)</f>
        <v>4</v>
      </c>
      <c r="GN19" t="str">
        <f t="shared" si="76"/>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P19" t="b">
        <f>IF($AI$19="",FALSE,SUMPRODUCT(('Final Calculation Sheet'!$A$4:$A$40=$AI$19)*($GO$6:$GO$42=1))&gt;0)</f>
        <v>1</v>
      </c>
      <c r="GQ19">
        <f>$GQ$18+--($GP19)</f>
        <v>16</v>
      </c>
      <c r="GR19">
        <f t="shared" si="77"/>
        <v>270</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T19" t="b">
        <f>IF($AN$19="",FALSE,SUMPRODUCT(('Final Calculation Sheet'!$E$4:$E$40=$AN$19)*($GS$6:$GS$42=1))&gt;0)</f>
        <v>0</v>
      </c>
      <c r="GU19">
        <f>$GU$18+--($GT19)</f>
        <v>3</v>
      </c>
      <c r="GV19" t="str">
        <f t="shared" si="78"/>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GX19" t="b">
        <f>IF($AS$19="",FALSE,SUMPRODUCT(('Final Calculation Sheet'!$C$4:$C$40=$AS$19)*($GW$6:$GW$42=1))&gt;0)</f>
        <v>1</v>
      </c>
      <c r="GY19">
        <f>$GY$18+--($GX19)</f>
        <v>16</v>
      </c>
      <c r="GZ19">
        <f t="shared" si="79"/>
        <v>15006</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B19" t="b">
        <f>IF($AX$19="",FALSE,SUMPRODUCT(('Final Calculation Sheet'!$H$4:$H$40=$AX$19)*($HA$6:$HA$42=1))&gt;0)</f>
        <v>1</v>
      </c>
      <c r="HC19">
        <f>$HC$18+--($HB19)</f>
        <v>16</v>
      </c>
      <c r="HD19">
        <f t="shared" si="80"/>
        <v>85650</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F19" t="b">
        <f>IF($BC$19="",FALSE,SUMPRODUCT(('Final Calculation Sheet'!$I$4:$I$40=$BC$19)*($HE$6:$HE$42=1))&gt;0)</f>
        <v>1</v>
      </c>
      <c r="HG19">
        <f>$HG$18+--($HF19)</f>
        <v>16</v>
      </c>
      <c r="HH19">
        <f t="shared" si="81"/>
        <v>15417</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J19" t="b">
        <f>IF($BH$19="",FALSE,SUMPRODUCT(('Final Calculation Sheet'!$J$4:$J$40=$BH$19)*($HI$6:$HI$42=1))&gt;0)</f>
        <v>1</v>
      </c>
      <c r="HK19">
        <f>$HK$18+--($HJ19)</f>
        <v>16</v>
      </c>
      <c r="HL19">
        <f t="shared" si="82"/>
        <v>101067</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N19" t="b">
        <f>IF($BM$19="",FALSE,SUMPRODUCT(('Final Calculation Sheet'!$K$4:$K$40=$BM$19)*($HM$6:$HM$42=1))&gt;0)</f>
        <v>1</v>
      </c>
      <c r="HO19">
        <f>$HO$18+--($HN19)</f>
        <v>16</v>
      </c>
      <c r="HP19">
        <f t="shared" si="83"/>
        <v>2021</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R19" t="b">
        <f>IF($BR$19="",FALSE,SUMPRODUCT(('Final Calculation Sheet'!$L$4:$L$40=$BR$19)*($HQ$6:$HQ$42=1))&gt;0)</f>
        <v>1</v>
      </c>
      <c r="HS19">
        <f>$HS$18+--($HR19)</f>
        <v>16</v>
      </c>
      <c r="HT19">
        <f t="shared" si="84"/>
        <v>85.65</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V19" t="b">
        <f>IF($BW$19="",FALSE,SUMPRODUCT(('Final Calculation Sheet'!$M$4:$M$40=$BW$19)*($HU$6:$HU$42=1))&gt;0)</f>
        <v>1</v>
      </c>
      <c r="HW19">
        <f>$HW$18+--($HV19)</f>
        <v>16</v>
      </c>
      <c r="HX19">
        <f t="shared" si="85"/>
        <v>2274.0074999999997</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HZ19" t="b">
        <f>IF($CB$19="",FALSE,SUMPRODUCT(('Final Calculation Sheet'!$N$4:$N$40=$CB$19)*($HY$6:$HY$42=1))&gt;0)</f>
        <v>1</v>
      </c>
      <c r="IA19">
        <f>$IA$18+--($HZ19)</f>
        <v>16</v>
      </c>
      <c r="IB19">
        <f t="shared" si="86"/>
        <v>38.542500000000004</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D19" t="b">
        <f>IF($CG$19="",FALSE,SUMPRODUCT(('Final Calculation Sheet'!$O$4:$O$40=$CG$19)*($IC$6:$IC$42=1))&gt;0)</f>
        <v>1</v>
      </c>
      <c r="IE19">
        <f>$IE$18+--($ID19)</f>
        <v>16</v>
      </c>
      <c r="IF19">
        <f t="shared" si="87"/>
        <v>2235.4649999999997</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H19" t="b">
        <f>IF($CL$19="",FALSE,SUMPRODUCT(('Final Calculation Sheet'!$P$4:$P$40=$CL$19)*($IG$6:$IG$42=1))&gt;0)</f>
        <v>1</v>
      </c>
      <c r="II19">
        <f>$II$18+--($IH19)</f>
        <v>16</v>
      </c>
      <c r="IJ19">
        <f t="shared" si="88"/>
        <v>2321</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L19" t="b">
        <f>IF($CQ$19="",FALSE,SUMPRODUCT(('Final Calculation Sheet'!$Q$4:$Q$40=$CQ$19)*($IK$6:$IK$42=1))&gt;0)</f>
        <v>0</v>
      </c>
      <c r="IM19">
        <f>$IM$18+--($IL19)</f>
        <v>2</v>
      </c>
      <c r="IN19" t="str">
        <f t="shared" si="89"/>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P19" t="b">
        <f>IF($CV$19="",FALSE,SUMPRODUCT(('Final Calculation Sheet'!$R$4:$R$40=$CV$19)*($IO$6:$IO$42=1))&gt;0)</f>
        <v>0</v>
      </c>
      <c r="IQ19">
        <f>$IQ$18+--($IP19)</f>
        <v>5</v>
      </c>
      <c r="IR19" t="str">
        <f t="shared" si="90"/>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T19" t="b">
        <f>IF($DA$19="",FALSE,SUMPRODUCT(('Final Calculation Sheet'!$S$4:$S$40=$DA$19)*($IS$6:$IS$42=1))&gt;0)</f>
        <v>1</v>
      </c>
      <c r="IU19">
        <f>$IU$18+--($IT19)</f>
        <v>16</v>
      </c>
      <c r="IV19">
        <f t="shared" si="91"/>
        <v>100767</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IX19" t="b">
        <f>IF($DF$19="",FALSE,SUMPRODUCT(('Final Calculation Sheet'!$T$4:$T$40=$DF$19)*($IW$6:$IW$42=1))&gt;0)</f>
        <v>1</v>
      </c>
      <c r="IY19">
        <f>$IY$18+--($IX19)</f>
        <v>16</v>
      </c>
      <c r="IZ19">
        <f t="shared" si="92"/>
        <v>21413</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B19" t="b">
        <f>IF($DK$19="",FALSE,SUMPRODUCT(('Final Calculation Sheet'!$U$4:$U$40=$DK$19)*($JA$6:$JA$42=1))&gt;0)</f>
        <v>1</v>
      </c>
      <c r="JC19">
        <f>$JC$18+--($JB19)</f>
        <v>16</v>
      </c>
      <c r="JD19">
        <f t="shared" si="93"/>
        <v>21413</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F19" t="b">
        <f>IF($DP$19="",FALSE,SUMPRODUCT(('Final Calculation Sheet'!$V$4:$V$40=$DP$19)*($JE$6:$JE$42=1))&gt;0)</f>
        <v>0</v>
      </c>
      <c r="JG19">
        <f>$JG$18+--($JF19)</f>
        <v>6</v>
      </c>
      <c r="JH19" t="str">
        <f t="shared" si="94"/>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J19" t="b">
        <f>IF($DU$19="",FALSE,SUMPRODUCT(('Final Calculation Sheet'!$W$4:$W$40=$DU$19)*($JI$6:$JI$42=1))&gt;0)</f>
        <v>1</v>
      </c>
      <c r="JK19">
        <f>$JK$18+--($JJ19)</f>
        <v>16</v>
      </c>
      <c r="JL19">
        <f t="shared" si="95"/>
        <v>79355</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N19" t="e">
        <f>IF($DZ$19="",FALSE,SUMPRODUCT(('Final Calculation Sheet'!$X$4:$X$40=$DZ$19)*($JM$6:$JM$42=1))&gt;0)</f>
        <v>#N/A</v>
      </c>
      <c r="JO19" t="e">
        <f>$JO$18+--($JN19)</f>
        <v>#N/A</v>
      </c>
      <c r="JP19" t="e">
        <f t="shared" si="96"/>
        <v>#N/A</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R19" t="e">
        <f>IF($EE$19="",FALSE,SUMPRODUCT(('Final Calculation Sheet'!$Y$4:$Y$40=$EE$19)*($JQ$6:$JQ$42=1))&gt;0)</f>
        <v>#N/A</v>
      </c>
      <c r="JS19" t="e">
        <f>$JS$18+--($JR19)</f>
        <v>#N/A</v>
      </c>
      <c r="JT19" t="e">
        <f t="shared" si="97"/>
        <v>#N/A</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V19" t="b">
        <f ca="1">IF($EJ$19="",FALSE,SUMPRODUCT(('Final Calculation Sheet'!$Z$4:$Z$40=$EJ$19)*($JU$6:$JU$42=1))&gt;0)</f>
        <v>1</v>
      </c>
      <c r="JW19">
        <f ca="1">$JW$18+--($JV19)</f>
        <v>16</v>
      </c>
      <c r="JX19">
        <f t="shared" ca="1" si="98"/>
        <v>2832.2123999999999</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JZ19" t="e">
        <f>IF($EO$19="",FALSE,SUMPRODUCT(('Final Calculation Sheet'!$AA$4:$AA$40=$EO$19)*($JY$6:$JY$42=1))&gt;0)</f>
        <v>#N/A</v>
      </c>
      <c r="KA19" t="e">
        <f>$KA$18+--($JZ19)</f>
        <v>#N/A</v>
      </c>
      <c r="KB19" t="e">
        <f t="shared" si="99"/>
        <v>#N/A</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D19" t="e">
        <f>IF($ET$19="",FALSE,SUMPRODUCT(('Final Calculation Sheet'!$AB$4:$AB$40=$ET$19)*($KC$6:$KC$42=1))&gt;0)</f>
        <v>#N/A</v>
      </c>
      <c r="KE19" t="e">
        <f>$KE$18+--($KD19)</f>
        <v>#N/A</v>
      </c>
      <c r="KF19" t="e">
        <f t="shared" si="100"/>
        <v>#N/A</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H19" t="b">
        <f>IF($EY$19="",FALSE,SUMPRODUCT(('Final Calculation Sheet'!$AC$4:$AC$40=$EY$19)*($KG$6:$KG$42=1))&gt;0)</f>
        <v>1</v>
      </c>
      <c r="KI19">
        <f>$KI$18+--($KH19)</f>
        <v>16</v>
      </c>
      <c r="KJ19">
        <f t="shared" si="101"/>
        <v>88242</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L19" t="b">
        <f>IF($FD$19="",FALSE,SUMPRODUCT(('Final Calculation Sheet'!$AD$4:$AD$40=$FD$19)*($KK$6:$KK$42=1))&gt;0)</f>
        <v>0</v>
      </c>
      <c r="KM19">
        <f>$KM$18+--($KL19)</f>
        <v>11</v>
      </c>
      <c r="KN19" t="str">
        <f t="shared" si="102"/>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P19" t="b">
        <f>IF($FX$19="",FALSE,SUMPRODUCT((IF('Final Calculation Sheet'!$AD$4:$AD$40&lt;=5,"SETTLED","OUTSTANDING")=$FX$19)*($KO$6:$KO$42=1))&gt;0)</f>
        <v>0</v>
      </c>
      <c r="KQ19">
        <f>$KQ$18+--($KP19)</f>
        <v>1</v>
      </c>
      <c r="KR19" t="str">
        <f t="shared" si="103"/>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T19" t="e">
        <f>IF($FI$19="",FALSE,SUMPRODUCT(('Final Calculation Sheet'!$AF$4:$AF$40=$FI$19)*($KS$6:$KS$42=1))&gt;0)</f>
        <v>#N/A</v>
      </c>
      <c r="KU19" t="e">
        <f>$KU$18+--($KT19)</f>
        <v>#N/A</v>
      </c>
      <c r="KV19" t="e">
        <f t="shared" si="104"/>
        <v>#N/A</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KX19" t="e">
        <f>IF($FN$19="",FALSE,SUMPRODUCT(('Final Calculation Sheet'!$AG$4:$AG$40=$FN$19)*($KW$6:$KW$42=1))&gt;0)</f>
        <v>#N/A</v>
      </c>
      <c r="KY19" t="e">
        <f>$KY$18+--($KX19)</f>
        <v>#N/A</v>
      </c>
      <c r="KZ19" t="e">
        <f t="shared" si="105"/>
        <v>#N/A</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LB19" t="e">
        <f>IF($FS$19="",FALSE,SUMPRODUCT(('Final Calculation Sheet'!$AH$4:$AH$40=$FS$19)*($LA$6:$LA$42=1))&gt;0)</f>
        <v>#N/A</v>
      </c>
      <c r="LC19" t="e">
        <f>$LC$18+--($LB19)</f>
        <v>#N/A</v>
      </c>
      <c r="LD19" t="e">
        <f t="shared" si="106"/>
        <v>#N/A</v>
      </c>
      <c r="LE19">
        <f>IF(COUNTIF('Buyer Groups'!DH19:EN19,0)&gt;0,0,1)</f>
        <v>1</v>
      </c>
      <c r="LF19" t="b">
        <f>IF($O$19="",FALSE,SUMPRODUCT(('Final Calculation Sheet'!$F$4:$F$40=$O$19)*($LE$6:$LE$42=1))&gt;0)</f>
        <v>1</v>
      </c>
      <c r="LG19">
        <f>$LG$18+--($LF19)</f>
        <v>16</v>
      </c>
      <c r="LH19">
        <f t="shared" si="107"/>
        <v>2019</v>
      </c>
      <c r="LI19">
        <f>IF(COUNTIF('Buyer Groups'!DG19:DG19,0)+COUNTIF('Buyer Groups'!DI19:EN19,0)&gt;0,0,1)</f>
        <v>1</v>
      </c>
      <c r="LJ19" t="b">
        <f>IF($T$19="",FALSE,SUMPRODUCT(('Final Calculation Sheet'!$G$4:$G$40=$T$19)*($LI$6:$LI$42=1))&gt;0)</f>
        <v>0</v>
      </c>
      <c r="LK19">
        <f>$LK$18+--($LJ19)</f>
        <v>13</v>
      </c>
      <c r="LL19" t="str">
        <f t="shared" si="108"/>
        <v/>
      </c>
      <c r="LM19">
        <f>IF(COUNTIF('Buyer Groups'!DG19:DH19,0)+COUNTIF('Buyer Groups'!DJ19:EN19,0)&gt;0,0,1)</f>
        <v>1</v>
      </c>
      <c r="LN19" t="b">
        <f>IF($Y$19="",FALSE,SUMPRODUCT(('Final Calculation Sheet'!$B$4:$B$40=$Y$19)*($LM$6:$LM$42=1))&gt;0)</f>
        <v>1</v>
      </c>
      <c r="LO19">
        <f>$LO$18+--($LN19)</f>
        <v>16</v>
      </c>
      <c r="LP19" t="str">
        <f t="shared" si="109"/>
        <v>Scrap of 66 kv TBC C &amp; R Panel</v>
      </c>
      <c r="LQ19">
        <f>IF(COUNTIF('Buyer Groups'!DG19:DI19,0)+COUNTIF('Buyer Groups'!DK19:EN19,0)&gt;0,0,1)</f>
        <v>1</v>
      </c>
      <c r="LR19" t="b">
        <f>IF($AD$19="",FALSE,SUMPRODUCT(('Final Calculation Sheet'!$D$4:$D$40=$AD$19)*($LQ$6:$LQ$42=1))&gt;0)</f>
        <v>0</v>
      </c>
      <c r="LS19">
        <f>$LS$18+--($LR19)</f>
        <v>4</v>
      </c>
      <c r="LT19" t="str">
        <f t="shared" si="110"/>
        <v/>
      </c>
      <c r="LU19">
        <f>IF(COUNTIF('Buyer Groups'!DG19:DJ19,0)+COUNTIF('Buyer Groups'!DL19:EN19,0)&gt;0,0,1)</f>
        <v>1</v>
      </c>
      <c r="LV19" t="b">
        <f>IF($AI$19="",FALSE,SUMPRODUCT(('Final Calculation Sheet'!$A$4:$A$40=$AI$19)*($LU$6:$LU$42=1))&gt;0)</f>
        <v>1</v>
      </c>
      <c r="LW19">
        <f>$LW$18+--($LV19)</f>
        <v>16</v>
      </c>
      <c r="LX19">
        <f t="shared" si="111"/>
        <v>270</v>
      </c>
      <c r="LY19">
        <f>IF(COUNTIF('Buyer Groups'!DG19:DK19,0)+COUNTIF('Buyer Groups'!DM19:EN19,0)&gt;0,0,1)</f>
        <v>1</v>
      </c>
      <c r="LZ19" t="b">
        <f>IF($AN$19="",FALSE,SUMPRODUCT(('Final Calculation Sheet'!$E$4:$E$40=$AN$19)*($LY$6:$LY$42=1))&gt;0)</f>
        <v>0</v>
      </c>
      <c r="MA19">
        <f>$MA$18+--($LZ19)</f>
        <v>3</v>
      </c>
      <c r="MB19" t="str">
        <f t="shared" si="112"/>
        <v/>
      </c>
      <c r="MC19">
        <f>IF(COUNTIF('Buyer Groups'!DG19:DL19,0)+COUNTIF('Buyer Groups'!DN19:EN19,0)&gt;0,0,1)</f>
        <v>1</v>
      </c>
      <c r="MD19" t="b">
        <f>IF($AS$19="",FALSE,SUMPRODUCT(('Final Calculation Sheet'!$C$4:$C$40=$AS$19)*($MC$6:$MC$42=1))&gt;0)</f>
        <v>1</v>
      </c>
      <c r="ME19">
        <f>$ME$18+--($MD19)</f>
        <v>16</v>
      </c>
      <c r="MF19">
        <f t="shared" si="113"/>
        <v>15006</v>
      </c>
      <c r="MG19">
        <f>IF(COUNTIF('Buyer Groups'!DG19:DM19,0)+COUNTIF('Buyer Groups'!DO19:EN19,0)&gt;0,0,1)</f>
        <v>1</v>
      </c>
      <c r="MH19" t="b">
        <f>IF($AX$19="",FALSE,SUMPRODUCT(('Final Calculation Sheet'!$H$4:$H$40=$AX$19)*($MG$6:$MG$42=1))&gt;0)</f>
        <v>1</v>
      </c>
      <c r="MI19">
        <f>$MI$18+--($MH19)</f>
        <v>16</v>
      </c>
      <c r="MJ19">
        <f t="shared" si="114"/>
        <v>85650</v>
      </c>
      <c r="MK19">
        <f>IF(COUNTIF('Buyer Groups'!DG19:DN19,0)+COUNTIF('Buyer Groups'!DP19:EN19,0)&gt;0,0,1)</f>
        <v>1</v>
      </c>
      <c r="ML19" t="b">
        <f>IF($BC$19="",FALSE,SUMPRODUCT(('Final Calculation Sheet'!$I$4:$I$40=$BC$19)*($MK$6:$MK$42=1))&gt;0)</f>
        <v>1</v>
      </c>
      <c r="MM19">
        <f>$MM$18+--($ML19)</f>
        <v>16</v>
      </c>
      <c r="MN19">
        <f t="shared" si="115"/>
        <v>15417</v>
      </c>
      <c r="MO19">
        <f>IF(COUNTIF('Buyer Groups'!DG19:DO19,0)+COUNTIF('Buyer Groups'!DQ19:EN19,0)&gt;0,0,1)</f>
        <v>1</v>
      </c>
      <c r="MP19" t="b">
        <f>IF($BH$19="",FALSE,SUMPRODUCT(('Final Calculation Sheet'!$J$4:$J$40=$BH$19)*($MO$6:$MO$42=1))&gt;0)</f>
        <v>1</v>
      </c>
      <c r="MQ19">
        <f>$MQ$18+--($MP19)</f>
        <v>16</v>
      </c>
      <c r="MR19">
        <f t="shared" si="116"/>
        <v>101067</v>
      </c>
      <c r="MS19">
        <f>IF(COUNTIF('Buyer Groups'!DG19:DP19,0)+COUNTIF('Buyer Groups'!DR19:EN19,0)&gt;0,0,1)</f>
        <v>1</v>
      </c>
      <c r="MT19" t="b">
        <f>IF($BM$19="",FALSE,SUMPRODUCT(('Final Calculation Sheet'!$K$4:$K$40=$BM$19)*($MS$6:$MS$42=1))&gt;0)</f>
        <v>1</v>
      </c>
      <c r="MU19">
        <f>$MU$18+--($MT19)</f>
        <v>16</v>
      </c>
      <c r="MV19">
        <f t="shared" si="117"/>
        <v>2021</v>
      </c>
      <c r="MW19">
        <f>IF(COUNTIF('Buyer Groups'!DG19:DQ19,0)+COUNTIF('Buyer Groups'!DS19:EN19,0)&gt;0,0,1)</f>
        <v>1</v>
      </c>
      <c r="MX19" t="b">
        <f>IF($BR$19="",FALSE,SUMPRODUCT(('Final Calculation Sheet'!$L$4:$L$40=$BR$19)*($MW$6:$MW$42=1))&gt;0)</f>
        <v>1</v>
      </c>
      <c r="MY19">
        <f>$MY$18+--($MX19)</f>
        <v>16</v>
      </c>
      <c r="MZ19">
        <f t="shared" si="118"/>
        <v>85.65</v>
      </c>
      <c r="NA19">
        <f>IF(COUNTIF('Buyer Groups'!DG19:DR19,0)+COUNTIF('Buyer Groups'!DT19:EN19,0)&gt;0,0,1)</f>
        <v>1</v>
      </c>
      <c r="NB19" t="b">
        <f>IF($BW$19="",FALSE,SUMPRODUCT(('Final Calculation Sheet'!$M$4:$M$40=$BW$19)*($NA$6:$NA$42=1))&gt;0)</f>
        <v>1</v>
      </c>
      <c r="NC19">
        <f>$NC$18+--($NB19)</f>
        <v>16</v>
      </c>
      <c r="ND19">
        <f t="shared" si="119"/>
        <v>2274.0074999999997</v>
      </c>
      <c r="NE19">
        <f>IF(COUNTIF('Buyer Groups'!DG19:DS19,0)+COUNTIF('Buyer Groups'!DU19:EN19,0)&gt;0,0,1)</f>
        <v>1</v>
      </c>
      <c r="NF19" t="b">
        <f>IF($CB$19="",FALSE,SUMPRODUCT(('Final Calculation Sheet'!$N$4:$N$40=$CB$19)*($NE$6:$NE$42=1))&gt;0)</f>
        <v>1</v>
      </c>
      <c r="NG19">
        <f>$NG$18+--($NF19)</f>
        <v>16</v>
      </c>
      <c r="NH19">
        <f t="shared" si="120"/>
        <v>38.542500000000004</v>
      </c>
      <c r="NI19">
        <f>IF(COUNTIF('Buyer Groups'!DG19:DT19,0)+COUNTIF('Buyer Groups'!DV19:EN19,0)&gt;0,0,1)</f>
        <v>1</v>
      </c>
      <c r="NJ19" t="b">
        <f>IF($CG$19="",FALSE,SUMPRODUCT(('Final Calculation Sheet'!$O$4:$O$40=$CG$19)*($NI$6:$NI$42=1))&gt;0)</f>
        <v>1</v>
      </c>
      <c r="NK19">
        <f>$NK$18+--($NJ19)</f>
        <v>16</v>
      </c>
      <c r="NL19">
        <f t="shared" si="121"/>
        <v>2235.4649999999997</v>
      </c>
      <c r="NM19">
        <f>IF(COUNTIF('Buyer Groups'!DG19:DU19,0)+COUNTIF('Buyer Groups'!DW19:EN19,0)&gt;0,0,1)</f>
        <v>1</v>
      </c>
      <c r="NN19" t="b">
        <f>IF($CL$19="",FALSE,SUMPRODUCT(('Final Calculation Sheet'!$P$4:$P$40=$CL$19)*($NM$6:$NM$42=1))&gt;0)</f>
        <v>1</v>
      </c>
      <c r="NO19">
        <f>$NO$18+--($NN19)</f>
        <v>16</v>
      </c>
      <c r="NP19">
        <f t="shared" si="122"/>
        <v>2321</v>
      </c>
      <c r="NQ19">
        <f>IF(COUNTIF('Buyer Groups'!DG19:DV19,0)+COUNTIF('Buyer Groups'!DX19:EN19,0)&gt;0,0,1)</f>
        <v>1</v>
      </c>
      <c r="NR19" t="b">
        <f>IF($CQ$19="",FALSE,SUMPRODUCT(('Final Calculation Sheet'!$Q$4:$Q$40=$CQ$19)*($NQ$6:$NQ$42=1))&gt;0)</f>
        <v>0</v>
      </c>
      <c r="NS19">
        <f>$NS$18+--($NR19)</f>
        <v>2</v>
      </c>
      <c r="NT19" t="str">
        <f t="shared" si="123"/>
        <v/>
      </c>
      <c r="NU19">
        <f>IF(COUNTIF('Buyer Groups'!DG19:DW19,0)+COUNTIF('Buyer Groups'!DY19:EN19,0)&gt;0,0,1)</f>
        <v>1</v>
      </c>
      <c r="NV19" t="b">
        <f>IF($CV$19="",FALSE,SUMPRODUCT(('Final Calculation Sheet'!$R$4:$R$40=$CV$19)*($NU$6:$NU$42=1))&gt;0)</f>
        <v>0</v>
      </c>
      <c r="NW19">
        <f>$NW$18+--($NV19)</f>
        <v>5</v>
      </c>
      <c r="NX19" t="str">
        <f t="shared" si="124"/>
        <v/>
      </c>
      <c r="NY19">
        <f>IF(COUNTIF('Buyer Groups'!DG19:DX19,0)+COUNTIF('Buyer Groups'!DZ19:EN19,0)&gt;0,0,1)</f>
        <v>1</v>
      </c>
      <c r="NZ19" t="b">
        <f>IF($DA$19="",FALSE,SUMPRODUCT(('Final Calculation Sheet'!$S$4:$S$40=$DA$19)*($NY$6:$NY$42=1))&gt;0)</f>
        <v>1</v>
      </c>
      <c r="OA19">
        <f>$OA$18+--($NZ19)</f>
        <v>16</v>
      </c>
      <c r="OB19">
        <f t="shared" si="125"/>
        <v>100767</v>
      </c>
      <c r="OC19">
        <f>IF(COUNTIF('Buyer Groups'!DG19:DY19,0)+COUNTIF('Buyer Groups'!EA19:EN19,0)&gt;0,0,1)</f>
        <v>1</v>
      </c>
      <c r="OD19" t="b">
        <f>IF($DF$19="",FALSE,SUMPRODUCT(('Final Calculation Sheet'!$T$4:$T$40=$DF$19)*($OC$6:$OC$42=1))&gt;0)</f>
        <v>1</v>
      </c>
      <c r="OE19">
        <f>$OE$18+--($OD19)</f>
        <v>16</v>
      </c>
      <c r="OF19">
        <f t="shared" si="126"/>
        <v>21413</v>
      </c>
      <c r="OG19">
        <f>IF(COUNTIF('Buyer Groups'!DG19:DZ19,0)+COUNTIF('Buyer Groups'!EB19:EN19,0)&gt;0,0,1)</f>
        <v>1</v>
      </c>
      <c r="OH19" t="b">
        <f>IF($DK$19="",FALSE,SUMPRODUCT(('Final Calculation Sheet'!$U$4:$U$40=$DK$19)*($OG$6:$OG$42=1))&gt;0)</f>
        <v>1</v>
      </c>
      <c r="OI19">
        <f>$OI$18+--($OH19)</f>
        <v>16</v>
      </c>
      <c r="OJ19">
        <f t="shared" si="127"/>
        <v>21413</v>
      </c>
      <c r="OK19">
        <f>IF(COUNTIF('Buyer Groups'!DG19:EA19,0)+COUNTIF('Buyer Groups'!EC19:EN19,0)&gt;0,0,1)</f>
        <v>1</v>
      </c>
      <c r="OL19" t="b">
        <f>IF($DP$19="",FALSE,SUMPRODUCT(('Final Calculation Sheet'!$V$4:$V$40=$DP$19)*($OK$6:$OK$42=1))&gt;0)</f>
        <v>0</v>
      </c>
      <c r="OM19">
        <f>$OM$18+--($OL19)</f>
        <v>6</v>
      </c>
      <c r="ON19" t="str">
        <f t="shared" si="128"/>
        <v/>
      </c>
      <c r="OO19">
        <f>IF(COUNTIF('Buyer Groups'!DG19:EB19,0)+COUNTIF('Buyer Groups'!ED19:EN19,0)&gt;0,0,1)</f>
        <v>1</v>
      </c>
      <c r="OP19" t="b">
        <f>IF($DU$19="",FALSE,SUMPRODUCT(('Final Calculation Sheet'!$W$4:$W$40=$DU$19)*($OO$6:$OO$42=1))&gt;0)</f>
        <v>1</v>
      </c>
      <c r="OQ19">
        <f>$OQ$18+--($OP19)</f>
        <v>16</v>
      </c>
      <c r="OR19">
        <f t="shared" si="129"/>
        <v>79355</v>
      </c>
      <c r="OS19">
        <f>IF(COUNTIF('Buyer Groups'!DG19:EC19,0)+COUNTIF('Buyer Groups'!EE19:EN19,0)&gt;0,0,1)</f>
        <v>1</v>
      </c>
      <c r="OT19" t="e">
        <f>IF($DZ$19="",FALSE,SUMPRODUCT(('Final Calculation Sheet'!$X$4:$X$40=$DZ$19)*($OS$6:$OS$42=1))&gt;0)</f>
        <v>#N/A</v>
      </c>
      <c r="OU19" t="e">
        <f>$OU$18+--($OT19)</f>
        <v>#N/A</v>
      </c>
      <c r="OV19" t="e">
        <f t="shared" si="130"/>
        <v>#N/A</v>
      </c>
      <c r="OW19">
        <f>IF(COUNTIF('Buyer Groups'!DG19:ED19,0)+COUNTIF('Buyer Groups'!EF19:EN19,0)&gt;0,0,1)</f>
        <v>1</v>
      </c>
      <c r="OX19" t="e">
        <f>IF($EE$19="",FALSE,SUMPRODUCT(('Final Calculation Sheet'!$Y$4:$Y$40=$EE$19)*($OW$6:$OW$42=1))&gt;0)</f>
        <v>#N/A</v>
      </c>
      <c r="OY19" t="e">
        <f>$OY$18+--($OX19)</f>
        <v>#N/A</v>
      </c>
      <c r="OZ19" t="e">
        <f t="shared" si="131"/>
        <v>#N/A</v>
      </c>
      <c r="PA19">
        <f>IF(COUNTIF('Buyer Groups'!DG19:EE19,0)+COUNTIF('Buyer Groups'!EG19:EN19,0)&gt;0,0,1)</f>
        <v>1</v>
      </c>
      <c r="PB19" t="b">
        <f ca="1">IF($EJ$19="",FALSE,SUMPRODUCT(('Final Calculation Sheet'!$Z$4:$Z$40=$EJ$19)*($PA$6:$PA$42=1))&gt;0)</f>
        <v>1</v>
      </c>
      <c r="PC19">
        <f ca="1">$PC$18+--($PB19)</f>
        <v>16</v>
      </c>
      <c r="PD19">
        <f t="shared" ca="1" si="132"/>
        <v>2832.2123999999999</v>
      </c>
      <c r="PE19">
        <f>IF(COUNTIF('Buyer Groups'!DG19:EF19,0)+COUNTIF('Buyer Groups'!EH19:EN19,0)&gt;0,0,1)</f>
        <v>1</v>
      </c>
      <c r="PF19" t="e">
        <f>IF($EO$19="",FALSE,SUMPRODUCT(('Final Calculation Sheet'!$AA$4:$AA$40=$EO$19)*($PE$6:$PE$42=1))&gt;0)</f>
        <v>#N/A</v>
      </c>
      <c r="PG19" t="e">
        <f>$PG$18+--($PF19)</f>
        <v>#N/A</v>
      </c>
      <c r="PH19" t="e">
        <f t="shared" si="133"/>
        <v>#N/A</v>
      </c>
      <c r="PI19">
        <f>IF(COUNTIF('Buyer Groups'!DG19:EG19,0)+COUNTIF('Buyer Groups'!EI19:EN19,0)&gt;0,0,1)</f>
        <v>1</v>
      </c>
      <c r="PJ19" t="e">
        <f>IF($ET$19="",FALSE,SUMPRODUCT(('Final Calculation Sheet'!$AB$4:$AB$40=$ET$19)*($PI$6:$PI$42=1))&gt;0)</f>
        <v>#N/A</v>
      </c>
      <c r="PK19" t="e">
        <f>$PK$18+--($PJ19)</f>
        <v>#N/A</v>
      </c>
      <c r="PL19" t="e">
        <f t="shared" si="134"/>
        <v>#N/A</v>
      </c>
      <c r="PM19">
        <f>IF(COUNTIF('Buyer Groups'!DG19:EH19,0)+COUNTIF('Buyer Groups'!EJ19:EN19,0)&gt;0,0,1)</f>
        <v>1</v>
      </c>
      <c r="PN19" t="b">
        <f>IF($EY$19="",FALSE,SUMPRODUCT(('Final Calculation Sheet'!$AC$4:$AC$40=$EY$19)*($PM$6:$PM$42=1))&gt;0)</f>
        <v>1</v>
      </c>
      <c r="PO19">
        <f>$PO$18+--($PN19)</f>
        <v>16</v>
      </c>
      <c r="PP19">
        <f t="shared" si="135"/>
        <v>88242</v>
      </c>
      <c r="PQ19">
        <f>IF(COUNTIF('Buyer Groups'!DG19:EI19,0)+COUNTIF('Buyer Groups'!EK19:EN19,0)&gt;0,0,1)</f>
        <v>1</v>
      </c>
      <c r="PR19" t="b">
        <f>IF($FD$19="",FALSE,SUMPRODUCT(('Final Calculation Sheet'!$AD$4:$AD$40=$FD$19)*($PQ$6:$PQ$42=1))&gt;0)</f>
        <v>0</v>
      </c>
      <c r="PS19">
        <f>$PS$18+--($PR19)</f>
        <v>11</v>
      </c>
      <c r="PT19" t="str">
        <f t="shared" si="136"/>
        <v/>
      </c>
      <c r="PU19">
        <f>IF(COUNTIF('Buyer Groups'!DG19:EJ19,0)+COUNTIF('Buyer Groups'!EL19:EN19,0)&gt;0,0,1)</f>
        <v>1</v>
      </c>
      <c r="PV19" t="b">
        <f>IF($FX$19="",FALSE,SUMPRODUCT((IF('Final Calculation Sheet'!$AD$4:$AD$40&lt;=5,"SETTLED","OUTSTANDING")=$FX$19)*($PU$6:$PU$42=1))&gt;0)</f>
        <v>0</v>
      </c>
      <c r="PW19">
        <f>$PW$18+--($PV19)</f>
        <v>1</v>
      </c>
      <c r="PX19" t="str">
        <f t="shared" si="137"/>
        <v/>
      </c>
      <c r="PY19">
        <f>IF(COUNTIF('Buyer Groups'!DG19:EK19,0)+COUNTIF('Buyer Groups'!EM19:EN19,0)&gt;0,0,1)</f>
        <v>1</v>
      </c>
      <c r="PZ19" t="e">
        <f>IF($FI$19="",FALSE,SUMPRODUCT(('Final Calculation Sheet'!$AF$4:$AF$40=$FI$19)*($PY$6:$PY$42=1))&gt;0)</f>
        <v>#N/A</v>
      </c>
      <c r="QA19" t="e">
        <f>$QA$18+--($PZ19)</f>
        <v>#N/A</v>
      </c>
      <c r="QB19" t="e">
        <f t="shared" si="138"/>
        <v>#N/A</v>
      </c>
      <c r="QC19">
        <f>IF(COUNTIF('Buyer Groups'!DG19:EL19,0)+COUNTIF('Buyer Groups'!EN19:EN19,0)&gt;0,0,1)</f>
        <v>1</v>
      </c>
      <c r="QD19" t="e">
        <f>IF($FN$19="",FALSE,SUMPRODUCT(('Final Calculation Sheet'!$AG$4:$AG$40=$FN$19)*($QC$6:$QC$42=1))&gt;0)</f>
        <v>#N/A</v>
      </c>
      <c r="QE19" t="e">
        <f>$QE$18+--($QD19)</f>
        <v>#N/A</v>
      </c>
      <c r="QF19" t="e">
        <f t="shared" si="139"/>
        <v>#N/A</v>
      </c>
      <c r="QG19">
        <f>IF(COUNTIF('Buyer Groups'!DG19:EM19,0)&gt;0,0,1)</f>
        <v>1</v>
      </c>
      <c r="QH19" t="e">
        <f>IF($FS$19="",FALSE,SUMPRODUCT(('Final Calculation Sheet'!$AH$4:$AH$40=$FS$19)*($QG$6:$QG$42=1))&gt;0)</f>
        <v>#N/A</v>
      </c>
      <c r="QI19" t="e">
        <f>$QI$18+--($QH19)</f>
        <v>#N/A</v>
      </c>
      <c r="QJ19" t="e">
        <f t="shared" si="140"/>
        <v>#N/A</v>
      </c>
      <c r="QK19" t="str">
        <f>IF('Final Calculation Sheet'!$AH$19="","",'Final Calculation Sheet'!$AH$19)</f>
        <v>27.08.2026</v>
      </c>
      <c r="QL19">
        <f>IF(QK19="","",COUNTIFS(QK$4:QK$40,"&lt;"&amp;QK19,QK$4:QK$40,"&lt;&gt;"&amp;"")+COUNTIF(QK$4:QK19,QK19))</f>
        <v>27</v>
      </c>
      <c r="QM19" t="str">
        <f t="shared" si="141"/>
        <v>20.08.2026</v>
      </c>
      <c r="QN19" t="e">
        <f ca="1">QN18+F(AND(QM19&lt;&gt;"",COUNTIF(QM$4:QM19,QM19)=1),1,0)</f>
        <v>#N/A</v>
      </c>
      <c r="QO19" t="e">
        <f t="shared" si="142"/>
        <v>#N/A</v>
      </c>
      <c r="QP19">
        <f>IF(COUNTIF('Final Calculation Sheet'!$AM19:$BS19,0)&gt;0,0,1)</f>
        <v>1</v>
      </c>
      <c r="QQ19" t="b">
        <f>IF($AI$19="",FALSE,SUMPRODUCT(('Final Calculation Sheet'!$A$4:$A$40=$AI$19)*($QP$4:$QP$40=1))&gt;0)</f>
        <v>1</v>
      </c>
      <c r="QR19">
        <f t="shared" si="177"/>
        <v>16</v>
      </c>
      <c r="QS19">
        <f t="shared" si="143"/>
        <v>270</v>
      </c>
      <c r="QT19">
        <f>IF(COUNTIF('Final Calculation Sheet'!$AL19:$AL19,0)+COUNTIF('Final Calculation Sheet'!$AN19:$BS19,0)&gt;0,0,1)</f>
        <v>1</v>
      </c>
      <c r="QU19" t="b">
        <f>IF($Y$19="",FALSE,SUMPRODUCT(('Final Calculation Sheet'!$B$4:$B$40=$Y$19)*($QT$4:$QT$40=1))&gt;0)</f>
        <v>1</v>
      </c>
      <c r="QV19">
        <f t="shared" si="178"/>
        <v>16</v>
      </c>
      <c r="QW19" t="str">
        <f t="shared" si="144"/>
        <v>Scrap of 66 kv TBC C &amp; R Panel</v>
      </c>
      <c r="QX19">
        <f>IF(COUNTIF('Final Calculation Sheet'!$AL19:$AM19,0)+COUNTIF('Final Calculation Sheet'!$AO19:$BS19,0)&gt;0,0,1)</f>
        <v>1</v>
      </c>
      <c r="QY19" t="b">
        <f>IF($AS$19="",FALSE,SUMPRODUCT(('Final Calculation Sheet'!$C$4:$C$40=$AS$19)*($QX$4:$QX$40=1))&gt;0)</f>
        <v>1</v>
      </c>
      <c r="QZ19">
        <f t="shared" si="179"/>
        <v>16</v>
      </c>
      <c r="RA19">
        <f t="shared" si="145"/>
        <v>15006</v>
      </c>
      <c r="RB19">
        <f>IF(COUNTIF('Final Calculation Sheet'!$AL19:$AN19,0)+COUNTIF('Final Calculation Sheet'!$AP19:$BS19,0)&gt;0,0,1)</f>
        <v>1</v>
      </c>
      <c r="RC19" t="b">
        <f>IF($AD$19="",FALSE,SUMPRODUCT(('Final Calculation Sheet'!$D$4:$D$40=$AD$19)*($RB$4:$RB$40=1))&gt;0)</f>
        <v>0</v>
      </c>
      <c r="RD19">
        <f t="shared" si="180"/>
        <v>4</v>
      </c>
      <c r="RE19" t="str">
        <f t="shared" si="146"/>
        <v/>
      </c>
      <c r="RF19">
        <f>IF(COUNTIF('Final Calculation Sheet'!$AL19:$AO19,0)+COUNTIF('Final Calculation Sheet'!$AQ19:$BS19,0)&gt;0,0,1)</f>
        <v>1</v>
      </c>
      <c r="RG19" t="b">
        <f>IF($AN$19="",FALSE,SUMPRODUCT(('Final Calculation Sheet'!$E$4:$E$40=$AN$19)*($RF$4:$RF$40=1))&gt;0)</f>
        <v>0</v>
      </c>
      <c r="RH19">
        <f t="shared" si="181"/>
        <v>3</v>
      </c>
      <c r="RI19" t="str">
        <f t="shared" si="147"/>
        <v/>
      </c>
      <c r="RJ19">
        <f>IF(COUNTIF('Final Calculation Sheet'!$AL19:$AP19,0)+COUNTIF('Final Calculation Sheet'!$AR19:$BS19,0)&gt;0,0,1)</f>
        <v>1</v>
      </c>
      <c r="RK19" t="b">
        <f>IF($O$19="",FALSE,SUMPRODUCT(('Final Calculation Sheet'!$F$4:$F$40=$O$19)*($RJ$4:$RJ$40=1))&gt;0)</f>
        <v>1</v>
      </c>
      <c r="RL19">
        <f t="shared" si="182"/>
        <v>16</v>
      </c>
      <c r="RM19">
        <f t="shared" si="148"/>
        <v>2019</v>
      </c>
      <c r="RN19">
        <f>IF(COUNTIF('Final Calculation Sheet'!$AL19:$AQ19,0)+COUNTIF('Final Calculation Sheet'!$AS19:$BS19,0)&gt;0,0,1)</f>
        <v>1</v>
      </c>
      <c r="RO19" t="b">
        <f>IF($T$19="",FALSE,SUMPRODUCT(('Final Calculation Sheet'!$G$4:$G$40=$T$19)*($RN$4:$RN$40=1))&gt;0)</f>
        <v>0</v>
      </c>
      <c r="RP19">
        <f t="shared" si="183"/>
        <v>13</v>
      </c>
      <c r="RQ19" t="str">
        <f t="shared" si="149"/>
        <v/>
      </c>
      <c r="RR19">
        <f>IF(COUNTIF('Final Calculation Sheet'!$AL19:$AR19,0)+COUNTIF('Final Calculation Sheet'!$AT19:$BS19,0)&gt;0,0,1)</f>
        <v>1</v>
      </c>
      <c r="RS19" t="b">
        <f>IF($AX$19="",FALSE,SUMPRODUCT(('Final Calculation Sheet'!$H$4:$H$40=$AX$19)*($RR$4:$RR$40=1))&gt;0)</f>
        <v>1</v>
      </c>
      <c r="RT19">
        <f t="shared" si="184"/>
        <v>16</v>
      </c>
      <c r="RU19">
        <f t="shared" si="150"/>
        <v>85650</v>
      </c>
      <c r="RV19">
        <f>IF(COUNTIF('Final Calculation Sheet'!$AL19:$AS19,0)+COUNTIF('Final Calculation Sheet'!$AU19:$BS19,0)&gt;0,0,1)</f>
        <v>1</v>
      </c>
      <c r="RW19" t="b">
        <f>IF($BC$19="",FALSE,SUMPRODUCT(('Final Calculation Sheet'!$I$4:$I$40=$BC$19)*($RV$4:$RV$40=1))&gt;0)</f>
        <v>1</v>
      </c>
      <c r="RX19">
        <f t="shared" si="185"/>
        <v>16</v>
      </c>
      <c r="RY19">
        <f t="shared" si="151"/>
        <v>15417</v>
      </c>
      <c r="RZ19">
        <f>IF(COUNTIF('Final Calculation Sheet'!$AL19:$AT19,0)+COUNTIF('Final Calculation Sheet'!$AV19:$BS19,0)&gt;0,0,1)</f>
        <v>1</v>
      </c>
      <c r="SA19" t="b">
        <f>IF($BH$19="",FALSE,SUMPRODUCT(('Final Calculation Sheet'!$J$4:$J$40=$BH$19)*($RZ$4:$RZ$40=1))&gt;0)</f>
        <v>1</v>
      </c>
      <c r="SB19">
        <f t="shared" si="186"/>
        <v>16</v>
      </c>
      <c r="SC19">
        <f t="shared" si="152"/>
        <v>101067</v>
      </c>
      <c r="SD19">
        <f>IF(COUNTIF('Final Calculation Sheet'!$AL19:$AU19,0)+COUNTIF('Final Calculation Sheet'!$AW19:$BS19,0)&gt;0,0,1)</f>
        <v>1</v>
      </c>
      <c r="SE19" t="b">
        <f>IF($BM$19="",FALSE,SUMPRODUCT(('Final Calculation Sheet'!$K$4:$K$40=$BM$19)*($SD$4:$SD$40=1))&gt;0)</f>
        <v>1</v>
      </c>
      <c r="SF19">
        <f t="shared" si="187"/>
        <v>16</v>
      </c>
      <c r="SG19">
        <f t="shared" si="153"/>
        <v>2021</v>
      </c>
      <c r="SH19">
        <f>IF(COUNTIF('Final Calculation Sheet'!$AL19:$AV19,0)+COUNTIF('Final Calculation Sheet'!$AX19:$BS19,0)&gt;0,0,1)</f>
        <v>1</v>
      </c>
      <c r="SI19" t="b">
        <f>IF($BR$19="",FALSE,SUMPRODUCT(('Final Calculation Sheet'!$L$4:$L$40=$BR$19)*($SH$4:$SH$40=1))&gt;0)</f>
        <v>1</v>
      </c>
      <c r="SJ19">
        <f t="shared" si="188"/>
        <v>16</v>
      </c>
      <c r="SK19">
        <f t="shared" si="154"/>
        <v>85.65</v>
      </c>
      <c r="SL19">
        <f>IF(COUNTIF('Final Calculation Sheet'!$AL19:$AW19,0)+COUNTIF('Final Calculation Sheet'!$AY19:$BS19,0)&gt;0,0,1)</f>
        <v>1</v>
      </c>
      <c r="SM19" t="b">
        <f>IF($BW$19="",FALSE,SUMPRODUCT(('Final Calculation Sheet'!$M$4:$M$40=$BW$19)*($SL$4:$SL$40=1))&gt;0)</f>
        <v>1</v>
      </c>
      <c r="SN19">
        <f t="shared" si="189"/>
        <v>16</v>
      </c>
      <c r="SO19">
        <f t="shared" si="155"/>
        <v>2274.0074999999997</v>
      </c>
      <c r="SP19">
        <f>IF(COUNTIF('Final Calculation Sheet'!$AL19:$AX19,0)+COUNTIF('Final Calculation Sheet'!$AZ19:$BS19,0)&gt;0,0,1)</f>
        <v>1</v>
      </c>
      <c r="SQ19" t="b">
        <f>IF($CB$19="",FALSE,SUMPRODUCT(('Final Calculation Sheet'!$N$4:$N$40=$CB$19)*($SP$4:$SP$40=1))&gt;0)</f>
        <v>1</v>
      </c>
      <c r="SR19">
        <f t="shared" si="190"/>
        <v>16</v>
      </c>
      <c r="SS19">
        <f t="shared" si="156"/>
        <v>38.542500000000004</v>
      </c>
      <c r="ST19">
        <f>IF(COUNTIF('Final Calculation Sheet'!$AL19:$AY19,0)+COUNTIF('Final Calculation Sheet'!$BA19:$BS19,0)&gt;0,0,1)</f>
        <v>1</v>
      </c>
      <c r="SU19" t="b">
        <f>IF($CG$19="",FALSE,SUMPRODUCT(('Final Calculation Sheet'!$O$4:$O$40=$CG$19)*($ST$4:$ST$40=1))&gt;0)</f>
        <v>1</v>
      </c>
      <c r="SV19">
        <f t="shared" si="191"/>
        <v>16</v>
      </c>
      <c r="SW19">
        <f t="shared" si="157"/>
        <v>2235.4649999999997</v>
      </c>
      <c r="SX19">
        <f>IF(COUNTIF('Final Calculation Sheet'!$AL19:$AZ19,0)+COUNTIF('Final Calculation Sheet'!$BB19:$BS19,0)&gt;0,0,1)</f>
        <v>1</v>
      </c>
      <c r="SY19" t="b">
        <f>IF($CL$19="",FALSE,SUMPRODUCT(('Final Calculation Sheet'!$P$4:$P$40=$CL$19)*($SX$4:$SX$40=1))&gt;0)</f>
        <v>1</v>
      </c>
      <c r="SZ19">
        <f t="shared" si="192"/>
        <v>16</v>
      </c>
      <c r="TA19">
        <f t="shared" si="158"/>
        <v>2321</v>
      </c>
      <c r="TB19">
        <f>IF(COUNTIF('Final Calculation Sheet'!$AL19:$BA19,0)+COUNTIF('Final Calculation Sheet'!$BC19:$BS19,0)&gt;0,0,1)</f>
        <v>1</v>
      </c>
      <c r="TC19" t="b">
        <f>IF($CQ$19="",FALSE,SUMPRODUCT(('Final Calculation Sheet'!$Q$4:$Q$40=$CQ$19)*($TB$4:$TB$40=1))&gt;0)</f>
        <v>0</v>
      </c>
      <c r="TD19">
        <f t="shared" si="193"/>
        <v>2</v>
      </c>
      <c r="TE19" t="str">
        <f t="shared" si="159"/>
        <v/>
      </c>
      <c r="TF19">
        <f>IF(COUNTIF('Final Calculation Sheet'!$AL19:$BB19,0)+COUNTIF('Final Calculation Sheet'!$BD19:$BS19,0)&gt;0,0,1)</f>
        <v>1</v>
      </c>
      <c r="TG19" t="b">
        <f>IF($CV$19="",FALSE,SUMPRODUCT(('Final Calculation Sheet'!$R$4:$R$40=$CV$19)*($TF$4:$TF$40=1))&gt;0)</f>
        <v>0</v>
      </c>
      <c r="TH19">
        <f t="shared" si="194"/>
        <v>5</v>
      </c>
      <c r="TI19" t="str">
        <f t="shared" si="160"/>
        <v/>
      </c>
      <c r="TJ19">
        <f>IF(COUNTIF('Final Calculation Sheet'!$AL19:$BC19,0)+COUNTIF('Final Calculation Sheet'!$BE19:$BS19,0)&gt;0,0,1)</f>
        <v>1</v>
      </c>
      <c r="TK19" t="b">
        <f>IF($DA$19="",FALSE,SUMPRODUCT(('Final Calculation Sheet'!$S$4:$S$40=$DA$19)*($TJ$4:$TJ$40=1))&gt;0)</f>
        <v>1</v>
      </c>
      <c r="TL19">
        <f t="shared" si="195"/>
        <v>16</v>
      </c>
      <c r="TM19">
        <f t="shared" si="161"/>
        <v>100767</v>
      </c>
      <c r="TN19">
        <f>IF(COUNTIF('Final Calculation Sheet'!$AL19:$BD19,0)+COUNTIF('Final Calculation Sheet'!$BF19:$BS19,0)&gt;0,0,1)</f>
        <v>1</v>
      </c>
      <c r="TO19" t="b">
        <f>IF($DF$19="",FALSE,SUMPRODUCT(('Final Calculation Sheet'!$T$4:$T$40=$DF$19)*($TN$4:$TN$40=1))&gt;0)</f>
        <v>1</v>
      </c>
      <c r="TP19">
        <f t="shared" si="196"/>
        <v>16</v>
      </c>
      <c r="TQ19">
        <f t="shared" si="162"/>
        <v>21413</v>
      </c>
      <c r="TR19">
        <f>IF(COUNTIF('Final Calculation Sheet'!$AL19:$BE19,0)+COUNTIF('Final Calculation Sheet'!$BG19:$BS19,0)&gt;0,0,1)</f>
        <v>1</v>
      </c>
      <c r="TS19" t="b">
        <f>IF($DK$19="",FALSE,SUMPRODUCT(('Final Calculation Sheet'!$U$4:$U$40=$DK$19)*($TR$4:$TR$40=1))&gt;0)</f>
        <v>1</v>
      </c>
      <c r="TT19">
        <f t="shared" si="197"/>
        <v>16</v>
      </c>
      <c r="TU19">
        <f t="shared" si="163"/>
        <v>21413</v>
      </c>
      <c r="TV19">
        <f>IF(COUNTIF('Final Calculation Sheet'!$AL19:$BF19,0)+COUNTIF('Final Calculation Sheet'!$BH19:$BS19,0)&gt;0,0,1)</f>
        <v>1</v>
      </c>
      <c r="TW19" t="b">
        <f>IF($DP$19="",FALSE,SUMPRODUCT(('Final Calculation Sheet'!$V$4:$V$40=$DP$19)*($TV$4:$TV$40=1))&gt;0)</f>
        <v>0</v>
      </c>
      <c r="TX19">
        <f t="shared" si="198"/>
        <v>6</v>
      </c>
      <c r="TY19" t="str">
        <f t="shared" si="164"/>
        <v/>
      </c>
      <c r="TZ19">
        <f>IF(COUNTIF('Final Calculation Sheet'!$AL19:$BG19,0)+COUNTIF('Final Calculation Sheet'!$BI19:$BS19,0)&gt;0,0,1)</f>
        <v>1</v>
      </c>
      <c r="UA19" t="b">
        <f>IF($DU$19="",FALSE,SUMPRODUCT(('Final Calculation Sheet'!$W$4:$W$40=$DU$19)*($TZ$4:$TZ$40=1))&gt;0)</f>
        <v>1</v>
      </c>
      <c r="UB19">
        <f t="shared" si="199"/>
        <v>16</v>
      </c>
      <c r="UC19">
        <f t="shared" si="165"/>
        <v>79355</v>
      </c>
      <c r="UD19">
        <f>IF(COUNTIF('Final Calculation Sheet'!$AL19:$BH19,0)+COUNTIF('Final Calculation Sheet'!$BJ19:$BS19,0)&gt;0,0,1)</f>
        <v>1</v>
      </c>
      <c r="UE19" t="e">
        <f>IF($DZ$19="",FALSE,SUMPRODUCT(('Final Calculation Sheet'!$X$4:$X$40=$DZ$19)*($UD$4:$UD$40=1))&gt;0)</f>
        <v>#N/A</v>
      </c>
      <c r="UF19" t="e">
        <f t="shared" si="200"/>
        <v>#N/A</v>
      </c>
      <c r="UG19" t="e">
        <f t="shared" si="166"/>
        <v>#N/A</v>
      </c>
      <c r="UH19">
        <f>IF(COUNTIF('Final Calculation Sheet'!$AL19:$BI19,0)+COUNTIF('Final Calculation Sheet'!$BK19:$BS19,0)&gt;0,0,1)</f>
        <v>1</v>
      </c>
      <c r="UI19" t="e">
        <f>IF($EE$19="",FALSE,SUMPRODUCT(('Final Calculation Sheet'!$Y$4:$Y$40=$EE$19)*($UH$4:$UH$40=1))&gt;0)</f>
        <v>#N/A</v>
      </c>
      <c r="UJ19" t="e">
        <f t="shared" si="201"/>
        <v>#N/A</v>
      </c>
      <c r="UK19" t="e">
        <f t="shared" si="167"/>
        <v>#N/A</v>
      </c>
      <c r="UL19">
        <f>IF(COUNTIF('Final Calculation Sheet'!$AL19:$BJ19,0)+COUNTIF('Final Calculation Sheet'!$BL19:$BS19,0)&gt;0,0,1)</f>
        <v>1</v>
      </c>
      <c r="UM19" t="b">
        <f ca="1">IF($EJ$19="",FALSE,SUMPRODUCT(('Final Calculation Sheet'!$Z$4:$Z$40=$EJ$19)*($UL$4:$UL$40=1))&gt;0)</f>
        <v>1</v>
      </c>
      <c r="UN19">
        <f t="shared" ca="1" si="202"/>
        <v>16</v>
      </c>
      <c r="UO19">
        <f t="shared" ca="1" si="168"/>
        <v>2832.2123999999999</v>
      </c>
      <c r="UP19">
        <f>IF(COUNTIF('Final Calculation Sheet'!$AL19:$BK19,0)+COUNTIF('Final Calculation Sheet'!$BM19:$BS19,0)&gt;0,0,1)</f>
        <v>1</v>
      </c>
      <c r="UQ19" t="e">
        <f>IF($EO$19="",FALSE,SUMPRODUCT(('Final Calculation Sheet'!$AA$4:$AA$40=$EO$19)*($UP$4:$UP$40=1))&gt;0)</f>
        <v>#N/A</v>
      </c>
      <c r="UR19" t="e">
        <f t="shared" si="203"/>
        <v>#N/A</v>
      </c>
      <c r="US19" t="e">
        <f t="shared" si="169"/>
        <v>#N/A</v>
      </c>
      <c r="UT19">
        <f>IF(COUNTIF('Final Calculation Sheet'!$AL19:$BL19,0)+COUNTIF('Final Calculation Sheet'!$BN19:$BS19,0)&gt;0,0,1)</f>
        <v>1</v>
      </c>
      <c r="UU19" t="e">
        <f>IF($ET$19="",FALSE,SUMPRODUCT(('Final Calculation Sheet'!$AB$4:$AB$40=$ET$19)*($UT$4:$UT$40=1))&gt;0)</f>
        <v>#N/A</v>
      </c>
      <c r="UV19" t="e">
        <f t="shared" si="204"/>
        <v>#N/A</v>
      </c>
      <c r="UW19" t="e">
        <f t="shared" si="170"/>
        <v>#N/A</v>
      </c>
      <c r="UX19">
        <f>IF(COUNTIF('Final Calculation Sheet'!$AL19:$BM19,0)+COUNTIF('Final Calculation Sheet'!$BO19:$BS19,0)&gt;0,0,1)</f>
        <v>1</v>
      </c>
      <c r="UY19" t="b">
        <f>IF($EY$19="",FALSE,SUMPRODUCT(('Final Calculation Sheet'!$AC$4:$AC$40=$EY$19)*($UX$4:$UX$40=1))&gt;0)</f>
        <v>1</v>
      </c>
      <c r="UZ19">
        <f t="shared" si="205"/>
        <v>16</v>
      </c>
      <c r="VA19">
        <f t="shared" si="171"/>
        <v>88242</v>
      </c>
      <c r="VB19">
        <f>IF(COUNTIF('Final Calculation Sheet'!$AL19:$BN19,0)+COUNTIF('Final Calculation Sheet'!$BP19:$BS19,0)&gt;0,0,1)</f>
        <v>1</v>
      </c>
      <c r="VC19" t="b">
        <f>IF($FD$19="",FALSE,SUMPRODUCT(('Final Calculation Sheet'!$AD$4:$AD$40=$FD$19)*($VB$4:$VB$40=1))&gt;0)</f>
        <v>0</v>
      </c>
      <c r="VD19">
        <f t="shared" si="206"/>
        <v>11</v>
      </c>
      <c r="VE19" t="str">
        <f t="shared" si="172"/>
        <v/>
      </c>
      <c r="VF19">
        <f>IF(COUNTIF('Final Calculation Sheet'!$AL19:$BO19,0)+COUNTIF('Final Calculation Sheet'!$BQ19:$BS19,0)&gt;0,0,1)</f>
        <v>1</v>
      </c>
      <c r="VG19" t="e">
        <f>IF($FI$19="",FALSE,SUMPRODUCT(('Final Calculation Sheet'!$AE$4:$AE$40=$FI$19)*($VF$4:$VF$40=1))&gt;0)</f>
        <v>#N/A</v>
      </c>
      <c r="VH19" t="e">
        <f t="shared" si="207"/>
        <v>#N/A</v>
      </c>
      <c r="VI19" t="e">
        <f t="shared" si="173"/>
        <v>#N/A</v>
      </c>
      <c r="VJ19">
        <f>IF(COUNTIF('Final Calculation Sheet'!$AL19:$BP19,0)+COUNTIF('Final Calculation Sheet'!$BR19:$BS19,0)&gt;0,0,1)</f>
        <v>1</v>
      </c>
      <c r="VK19" t="e">
        <f>IF($FN$19="",FALSE,SUMPRODUCT(('Final Calculation Sheet'!$AF$4:$AF$40=$FN$19)*($VJ$4:$VJ$40=1))&gt;0)</f>
        <v>#N/A</v>
      </c>
      <c r="VL19" t="e">
        <f t="shared" si="208"/>
        <v>#N/A</v>
      </c>
      <c r="VM19" t="e">
        <f t="shared" si="174"/>
        <v>#N/A</v>
      </c>
      <c r="VN19">
        <f>IF(COUNTIF('Final Calculation Sheet'!$AL19:$BQ19,0)+COUNTIF('Final Calculation Sheet'!$BS19:$BS19,0)&gt;0,0,1)</f>
        <v>1</v>
      </c>
      <c r="VO19" t="e">
        <f>IF($FS$19="",FALSE,SUMPRODUCT(('Final Calculation Sheet'!$AG$4:$AG$40=$FS$19)*($VN$4:$VN$40=1))&gt;0)</f>
        <v>#N/A</v>
      </c>
      <c r="VP19" t="e">
        <f t="shared" si="209"/>
        <v>#N/A</v>
      </c>
      <c r="VQ19" t="e">
        <f t="shared" si="175"/>
        <v>#N/A</v>
      </c>
      <c r="VR19">
        <f>IF(COUNTIF('Final Calculation Sheet'!$AL19:$BR19,0)&gt;0,0,1)</f>
        <v>1</v>
      </c>
      <c r="VS19" t="e">
        <f>IF($QO$19="",FALSE,SUMPRODUCT(('Final Calculation Sheet'!$AH$4:$AH$40=$QO$19)*($VR$4:$VR$40=1))&gt;0)</f>
        <v>#N/A</v>
      </c>
      <c r="VT19" t="e">
        <f t="shared" si="210"/>
        <v>#N/A</v>
      </c>
      <c r="VU19" t="e">
        <f t="shared" si="176"/>
        <v>#N/A</v>
      </c>
    </row>
    <row r="20" spans="1:593" x14ac:dyDescent="0.3">
      <c r="A20">
        <f>IF('Final Calculation Sheet'!$F$20="","",'Final Calculation Sheet'!$F$20)</f>
        <v>2020</v>
      </c>
      <c r="B20">
        <f>IF(A20="","",COUNTIFS(A$4:A$114,"&lt;"&amp;A20,A$4:A$114,"&lt;&gt;"&amp;"")+COUNTIF(A$4:A20,A20))</f>
        <v>17</v>
      </c>
      <c r="C20">
        <f t="shared" si="0"/>
        <v>2020</v>
      </c>
      <c r="D20">
        <f>D19+IF(AND(C20&lt;&gt;"",COUNTIF(C$4:C20,C20)=1),1,0)</f>
        <v>17</v>
      </c>
      <c r="E20" t="e">
        <f t="shared" si="1"/>
        <v>#N/A</v>
      </c>
      <c r="F20">
        <f t="shared" si="2"/>
        <v>17</v>
      </c>
      <c r="G20">
        <f>IF(F20="","",COUNTIFS(F$4:F$40,"&lt;"&amp;F20,F$4:F$40,"&lt;&gt;"&amp;"")+COUNTIF(F$4:F20,F20))</f>
        <v>17</v>
      </c>
      <c r="H20">
        <f t="shared" si="3"/>
        <v>17</v>
      </c>
      <c r="I20">
        <f>I19+IF(AND(H20&lt;&gt;"",COUNTIF(H$4:H20,H20)=1),1,0)</f>
        <v>17</v>
      </c>
      <c r="J20">
        <f t="shared" si="4"/>
        <v>17</v>
      </c>
      <c r="K20">
        <f>IF('Final Calculation Sheet'!$F$20="","",'Final Calculation Sheet'!$F$20)</f>
        <v>2020</v>
      </c>
      <c r="L20">
        <f>IF(K20="","",COUNTIFS(K$4:K$40,"&lt;"&amp;K20,K$4:K$40,"&lt;&gt;"&amp;"")+COUNTIF(K$4:K20,K20))</f>
        <v>17</v>
      </c>
      <c r="M20">
        <f t="shared" si="5"/>
        <v>2020</v>
      </c>
      <c r="N20">
        <f>N19+IF(AND(M20&lt;&gt;"",COUNTIF(M$4:M20,M20)=1),1,0)</f>
        <v>17</v>
      </c>
      <c r="O20">
        <f t="shared" si="6"/>
        <v>2020</v>
      </c>
      <c r="P20" t="str">
        <f>IF('Final Calculation Sheet'!$G$20="","",'Final Calculation Sheet'!$G$20)</f>
        <v>OMKAR STEELS</v>
      </c>
      <c r="Q20">
        <f>IF(P20="","",COUNTIFS(P$4:P$40,"&lt;"&amp;P20,P$4:P$40,"&lt;&gt;"&amp;"")+COUNTIF(P$4:P20,P20))</f>
        <v>22</v>
      </c>
      <c r="R20" t="str">
        <f t="shared" si="7"/>
        <v>NATIONAL ENTERPRISES</v>
      </c>
      <c r="S20">
        <f>S19+IF(AND(R20&lt;&gt;"",COUNTIF(R$4:R20,R20)=1),1,0)</f>
        <v>6</v>
      </c>
      <c r="T20" t="str">
        <f t="shared" si="8"/>
        <v/>
      </c>
      <c r="U20" t="str">
        <f>IF('Final Calculation Sheet'!$B$20="","",'Final Calculation Sheet'!$B$20)</f>
        <v>SCRAP 80MM² AAAC EARTHWIRE</v>
      </c>
      <c r="V20">
        <f>IF(U20="","",COUNTIFS(U$4:U$40,"&lt;"&amp;U20,U$4:U$40,"&lt;&gt;"&amp;"")+COUNTIF(U$4:U20,U20))</f>
        <v>2</v>
      </c>
      <c r="W20" t="str">
        <f t="shared" si="9"/>
        <v>Scrap of 220 KV CT</v>
      </c>
      <c r="X20">
        <f>X19+IF(AND(W20&lt;&gt;"",COUNTIF(W$4:W20,W20)=1),1,0)</f>
        <v>10</v>
      </c>
      <c r="Y20" t="str">
        <f t="shared" si="10"/>
        <v>Scrap of AAAC Earth wire</v>
      </c>
      <c r="Z20">
        <f>IF('Final Calculation Sheet'!$D$20="","",'Final Calculation Sheet'!$D$20)</f>
        <v>21978</v>
      </c>
      <c r="AA20">
        <f>IF(Z20="","",COUNTIFS(Z$4:Z$40,"&lt;"&amp;Z20,Z$4:Z$40,"&lt;&gt;"&amp;"")+COUNTIF(Z$4:Z20,Z20))</f>
        <v>15</v>
      </c>
      <c r="AB20">
        <f t="shared" si="11"/>
        <v>21978</v>
      </c>
      <c r="AC20">
        <f>AC19+IF(AND(AB20&lt;&gt;"",COUNTIF(AB$4:AB20,AB20)=1),1,0)</f>
        <v>2</v>
      </c>
      <c r="AD20" t="str">
        <f t="shared" si="12"/>
        <v/>
      </c>
      <c r="AE20">
        <f>IF('Final Calculation Sheet'!$A$20="","",'Final Calculation Sheet'!$A$20)</f>
        <v>3500</v>
      </c>
      <c r="AF20">
        <f>IF(AE20="","",COUNTIFS(AE$4:AE$40,"&lt;"&amp;AE20,AE$4:AE$40,"&lt;&gt;"&amp;"")+COUNTIF(AE$4:AE20,AE20))</f>
        <v>36</v>
      </c>
      <c r="AG20">
        <f t="shared" si="13"/>
        <v>3</v>
      </c>
      <c r="AH20">
        <f>AH19+IF(AND(AG20&lt;&gt;"",COUNTIF(AG$4:AG20,AG20)=1),1,0)</f>
        <v>3</v>
      </c>
      <c r="AI20">
        <f t="shared" si="14"/>
        <v>669</v>
      </c>
      <c r="AJ20" t="str">
        <f>IF('Final Calculation Sheet'!$E$20="","",'Final Calculation Sheet'!$E$20)</f>
        <v>KG</v>
      </c>
      <c r="AK20">
        <f>IF(AJ20="","",COUNTIFS(AJ$4:AJ$40,"&lt;"&amp;AJ20,AJ$4:AJ$40,"&lt;&gt;"&amp;"")+COUNTIF(AJ$4:AJ20,AJ20))</f>
        <v>5</v>
      </c>
      <c r="AL20" t="str">
        <f t="shared" si="15"/>
        <v>NO</v>
      </c>
      <c r="AM20">
        <f>AM19+IF(AND(AL20&lt;&gt;"",COUNTIF(AL$4:AL20,AL20)=1),1,0)</f>
        <v>3</v>
      </c>
      <c r="AN20" t="str">
        <f t="shared" si="16"/>
        <v/>
      </c>
      <c r="AO20" s="50">
        <f>IF('Final Calculation Sheet'!$C$20="","",'Final Calculation Sheet'!$C$20)</f>
        <v>333</v>
      </c>
      <c r="AP20">
        <f>IF(AO20="","",COUNTIFS(AO$4:AO$40,"&lt;"&amp;AO20,AO$4:AO$40,"&lt;&gt;"&amp;"")+COUNTIF(AO$4:AO20,AO20))</f>
        <v>4</v>
      </c>
      <c r="AQ20" s="50">
        <f t="shared" si="17"/>
        <v>14001</v>
      </c>
      <c r="AR20">
        <f>AR19+IF(AND(AQ20&lt;&gt;"",COUNTIF(AQ$4:AQ20,AQ20)=1),1,0)</f>
        <v>15</v>
      </c>
      <c r="AS20" s="50">
        <f t="shared" si="18"/>
        <v>25001</v>
      </c>
      <c r="AT20" s="50">
        <f>IF('Final Calculation Sheet'!$H$20="","",'Final Calculation Sheet'!$H$20)</f>
        <v>1165500</v>
      </c>
      <c r="AU20">
        <f>IF(AT20="","",COUNTIFS(AT$4:AT$40,"&lt;"&amp;AT20,AT$4:AT$40,"&lt;&gt;"&amp;"")+COUNTIF(AT$4:AT20,AT20))</f>
        <v>34</v>
      </c>
      <c r="AV20" s="50">
        <f t="shared" si="19"/>
        <v>120009</v>
      </c>
      <c r="AW20">
        <f>AW19+IF(AND(AV20&lt;&gt;"",COUNTIF(AV$4:AV20,AV20)=1),1,0)</f>
        <v>17</v>
      </c>
      <c r="AX20" s="50">
        <f t="shared" si="20"/>
        <v>120009</v>
      </c>
      <c r="AY20" s="50">
        <f>IF('Final Calculation Sheet'!$I$20="","",'Final Calculation Sheet'!$I$20)</f>
        <v>209790</v>
      </c>
      <c r="AZ20">
        <f>IF(AY20="","",COUNTIFS(AY$4:AY$40,"&lt;"&amp;AY20,AY$4:AY$40,"&lt;&gt;"&amp;"")+COUNTIF(AY$4:AY20,AY20))</f>
        <v>34</v>
      </c>
      <c r="BA20" s="50">
        <f t="shared" si="21"/>
        <v>21602</v>
      </c>
      <c r="BB20">
        <f>BB19+IF(AND(BA20&lt;&gt;"",COUNTIF(BA$4:BA20,BA20)=1),1,0)</f>
        <v>17</v>
      </c>
      <c r="BC20" s="50">
        <f t="shared" si="22"/>
        <v>21602</v>
      </c>
      <c r="BD20" s="50">
        <f>IF('Final Calculation Sheet'!$J$20="","",'Final Calculation Sheet'!$J$20)</f>
        <v>1375290</v>
      </c>
      <c r="BE20">
        <f>IF(BD20="","",COUNTIFS(BD$4:BD$40,"&lt;"&amp;BD20,BD$4:BD$40,"&lt;&gt;"&amp;"")+COUNTIF(BD$4:BD20,BD20))</f>
        <v>34</v>
      </c>
      <c r="BF20" s="50">
        <f t="shared" si="23"/>
        <v>141611</v>
      </c>
      <c r="BG20">
        <f>BG19+IF(AND(BF20&lt;&gt;"",COUNTIF(BF$4:BF20,BF20)=1),1,0)</f>
        <v>17</v>
      </c>
      <c r="BH20" s="50">
        <f t="shared" si="24"/>
        <v>141611</v>
      </c>
      <c r="BI20" s="50">
        <f>IF('Final Calculation Sheet'!$K$20="","",'Final Calculation Sheet'!$K$20)</f>
        <v>27506</v>
      </c>
      <c r="BJ20">
        <f>IF(BI20="","",COUNTIFS(BI$4:BI$40,"&lt;"&amp;BI20,BI$4:BI$40,"&lt;&gt;"&amp;"")+COUNTIF(BI$4:BI20,BI20))</f>
        <v>34</v>
      </c>
      <c r="BK20" s="50">
        <f t="shared" si="25"/>
        <v>2832</v>
      </c>
      <c r="BL20">
        <f>BL19+IF(AND(BK20&lt;&gt;"",COUNTIF(BK$4:BK20,BK20)=1),1,0)</f>
        <v>17</v>
      </c>
      <c r="BM20" s="50">
        <f t="shared" si="26"/>
        <v>2832</v>
      </c>
      <c r="BN20" s="50">
        <f>IF('Final Calculation Sheet'!$L$20="","",'Final Calculation Sheet'!$L$20)</f>
        <v>1165.5</v>
      </c>
      <c r="BO20">
        <f>IF(BN20="","",COUNTIFS(BN$4:BN$40,"&lt;"&amp;BN20,BN$4:BN$40,"&lt;&gt;"&amp;"")+COUNTIF(BN$4:BN20,BN20))</f>
        <v>34</v>
      </c>
      <c r="BP20" s="50">
        <f t="shared" si="27"/>
        <v>120.009</v>
      </c>
      <c r="BQ20">
        <f>BQ19+IF(AND(BP20&lt;&gt;"",COUNTIF(BP$4:BP20,BP20)=1),1,0)</f>
        <v>17</v>
      </c>
      <c r="BR20" s="50">
        <f t="shared" si="28"/>
        <v>120.009</v>
      </c>
      <c r="BS20" s="50">
        <f>IF('Final Calculation Sheet'!$M$20="","",'Final Calculation Sheet'!$M$20)</f>
        <v>30944.024999999998</v>
      </c>
      <c r="BT20">
        <f>IF(BS20="","",COUNTIFS(BS$4:BS$40,"&lt;"&amp;BS20,BS$4:BS$40,"&lt;&gt;"&amp;"")+COUNTIF(BS$4:BS20,BS20))</f>
        <v>34</v>
      </c>
      <c r="BU20" s="50">
        <f t="shared" si="29"/>
        <v>3186.2389499999995</v>
      </c>
      <c r="BV20">
        <f>BV19+IF(AND(BU20&lt;&gt;"",COUNTIF(BU$4:BU20,BU20)=1),1,0)</f>
        <v>17</v>
      </c>
      <c r="BW20" s="50">
        <f t="shared" si="30"/>
        <v>3186.2389499999995</v>
      </c>
      <c r="BX20" s="126">
        <f>IF('Final Calculation Sheet'!$N$20="","",'Final Calculation Sheet'!$N$20)</f>
        <v>524.47500000000002</v>
      </c>
      <c r="BY20">
        <f>IF(BX20="","",COUNTIFS(BX$4:BX$40,"&lt;"&amp;BX20,BX$4:BX$40,"&lt;&gt;"&amp;"")+COUNTIF(BX$4:BX20,BX20))</f>
        <v>34</v>
      </c>
      <c r="BZ20" s="126">
        <f t="shared" si="31"/>
        <v>54.004049999999999</v>
      </c>
      <c r="CA20">
        <f>CA19+IF(AND(BZ20&lt;&gt;"",COUNTIF(BZ$4:BZ20,BZ20)=1),1,0)</f>
        <v>17</v>
      </c>
      <c r="CB20" s="126">
        <f t="shared" si="32"/>
        <v>54.004049999999999</v>
      </c>
      <c r="CC20" s="50">
        <f>IF('Final Calculation Sheet'!$O$20="","",'Final Calculation Sheet'!$O$20)</f>
        <v>30419.55</v>
      </c>
      <c r="CD20">
        <f>IF(CC20="","",COUNTIFS(CC$4:CC$40,"&lt;"&amp;CC20,CC$4:CC$40,"&lt;&gt;"&amp;"")+COUNTIF(CC$4:CC20,CC20))</f>
        <v>34</v>
      </c>
      <c r="CE20" s="50">
        <f t="shared" si="33"/>
        <v>3132.2348999999995</v>
      </c>
      <c r="CF20">
        <f>CF19+IF(AND(CE20&lt;&gt;"",COUNTIF(CE$4:CE20,CE20)=1),1,0)</f>
        <v>17</v>
      </c>
      <c r="CG20" s="50">
        <f t="shared" si="34"/>
        <v>3132.2348999999995</v>
      </c>
      <c r="CH20" s="50">
        <f>IF('Final Calculation Sheet'!$P$20="","",'Final Calculation Sheet'!$P$20)</f>
        <v>31585</v>
      </c>
      <c r="CI20">
        <f>IF(CH20="","",COUNTIFS(CH$4:CH$40,"&lt;"&amp;CH20,CH$4:CH$40,"&lt;&gt;"&amp;"")+COUNTIF(CH$4:CH20,CH20))</f>
        <v>34</v>
      </c>
      <c r="CJ20" s="50">
        <f t="shared" si="35"/>
        <v>3252</v>
      </c>
      <c r="CK20">
        <f>CK19+IF(AND(CJ20&lt;&gt;"",COUNTIF(CJ$4:CJ20,CJ20)=1),1,0)</f>
        <v>17</v>
      </c>
      <c r="CL20" s="50">
        <f t="shared" si="36"/>
        <v>3252</v>
      </c>
      <c r="CM20" s="127">
        <f>IF('Final Calculation Sheet'!$Q$20="","",'Final Calculation Sheet'!$Q$20)</f>
        <v>0.02</v>
      </c>
      <c r="CN20">
        <f>IF(CM20="","",COUNTIFS(CM$4:CM$40,"&lt;"&amp;CM20,CM$4:CM$40,"&lt;&gt;"&amp;"")+COUNTIF(CM$4:CM20,CM20))</f>
        <v>36</v>
      </c>
      <c r="CO20" s="127">
        <f t="shared" si="37"/>
        <v>0</v>
      </c>
      <c r="CP20">
        <f>CP19+IF(AND(CO20&lt;&gt;"",COUNTIF(CO$4:CO20,CO20)=1),1,0)</f>
        <v>1</v>
      </c>
      <c r="CQ20" t="str">
        <f t="shared" si="38"/>
        <v/>
      </c>
      <c r="CR20" s="50">
        <f>IF('Final Calculation Sheet'!$R$20="","",'Final Calculation Sheet'!$R$20)</f>
        <v>23310</v>
      </c>
      <c r="CS20">
        <f>IF(CR20="","",COUNTIFS(CR$4:CR$40,"&lt;"&amp;CR20,CR$4:CR$40,"&lt;&gt;"&amp;"")+COUNTIF(CR$4:CR20,CR20))</f>
        <v>36</v>
      </c>
      <c r="CT20" s="50">
        <f t="shared" si="39"/>
        <v>0</v>
      </c>
      <c r="CU20">
        <f>CU19+IF(AND(CT20&lt;&gt;"",COUNTIF(CT$4:CT20,CT20)=1),1,0)</f>
        <v>1</v>
      </c>
      <c r="CV20" t="str">
        <f t="shared" si="40"/>
        <v/>
      </c>
      <c r="CW20" s="50">
        <f>IF('Final Calculation Sheet'!$S$20="","",'Final Calculation Sheet'!$S$20)</f>
        <v>1347901</v>
      </c>
      <c r="CX20">
        <f>IF(CW20="","",COUNTIFS(CW$4:CW$40,"&lt;"&amp;CW20,CW$4:CW$40,"&lt;&gt;"&amp;"")+COUNTIF(CW$4:CW20,CW20))</f>
        <v>34</v>
      </c>
      <c r="CY20" s="50">
        <f t="shared" si="41"/>
        <v>141191</v>
      </c>
      <c r="CZ20">
        <f>CZ19+IF(AND(CY20&lt;&gt;"",COUNTIF(CY$4:CY20,CY20)=1),1,0)</f>
        <v>17</v>
      </c>
      <c r="DA20" s="50">
        <f t="shared" si="42"/>
        <v>141191</v>
      </c>
      <c r="DB20" s="50">
        <f>IF('Final Calculation Sheet'!$T$20="","",'Final Calculation Sheet'!$T$20)</f>
        <v>291375</v>
      </c>
      <c r="DC20">
        <f>IF(DB20="","",COUNTIFS(DB$4:DB$40,"&lt;"&amp;DB20,DB$4:DB$40,"&lt;&gt;"&amp;"")+COUNTIF(DB$4:DB20,DB20))</f>
        <v>34</v>
      </c>
      <c r="DD20" s="50">
        <f t="shared" si="43"/>
        <v>30002</v>
      </c>
      <c r="DE20">
        <f>DE19+IF(AND(DD20&lt;&gt;"",COUNTIF(DD$4:DD20,DD20)=1),1,0)</f>
        <v>17</v>
      </c>
      <c r="DF20" s="50">
        <f t="shared" si="44"/>
        <v>30002</v>
      </c>
      <c r="DG20" s="128">
        <f>IF('Final Calculation Sheet'!$U$20="","",'Final Calculation Sheet'!$U$20)</f>
        <v>291375</v>
      </c>
      <c r="DH20">
        <f>IF(DG20="","",COUNTIFS(DG$4:DG$40,"&lt;"&amp;DG20,DG$4:DG$40,"&lt;&gt;"&amp;"")+COUNTIF(DG$4:DG20,DG20))</f>
        <v>34</v>
      </c>
      <c r="DI20" s="128">
        <f t="shared" si="45"/>
        <v>30002</v>
      </c>
      <c r="DJ20">
        <f>DJ19+IF(AND(DI20&lt;&gt;"",COUNTIF(DI$4:DI20,DI20)=1),1,0)</f>
        <v>17</v>
      </c>
      <c r="DK20" s="128">
        <f t="shared" si="46"/>
        <v>30002</v>
      </c>
      <c r="DL20" t="str">
        <f>IF('Final Calculation Sheet'!$V$20="","",'Final Calculation Sheet'!$V$20)</f>
        <v>10.08.2026</v>
      </c>
      <c r="DM20">
        <f>IF(DL20="","",COUNTIFS(DL$4:DL$40,"&lt;"&amp;DL20,DL$4:DL$40,"&lt;&gt;"&amp;"")+COUNTIF(DL$4:DL20,DL20))</f>
        <v>1</v>
      </c>
      <c r="DN20" t="str">
        <f t="shared" si="47"/>
        <v>13.08.2026</v>
      </c>
      <c r="DO20">
        <f>DO19+IF(AND(DN20&lt;&gt;"",COUNTIF(DN$4:DN20,DN20)=1),1,0)</f>
        <v>3</v>
      </c>
      <c r="DP20" t="str">
        <f t="shared" si="48"/>
        <v/>
      </c>
      <c r="DQ20" s="50">
        <f>IF('Final Calculation Sheet'!$W$20="","",'Final Calculation Sheet'!$W$20)</f>
        <v>1056526</v>
      </c>
      <c r="DR20">
        <f>IF(DQ20="","",COUNTIFS(DQ$4:DQ$40,"&lt;"&amp;DQ20,DQ$4:DQ$40,"&lt;&gt;"&amp;"")+COUNTIF(DQ$4:DQ20,DQ20))</f>
        <v>34</v>
      </c>
      <c r="DS20" s="50">
        <f t="shared" si="49"/>
        <v>111188</v>
      </c>
      <c r="DT20">
        <f>DT19+IF(AND(DS20&lt;&gt;"",COUNTIF(DS$4:DS20,DS20)=1),1,0)</f>
        <v>17</v>
      </c>
      <c r="DU20" s="50">
        <f t="shared" si="50"/>
        <v>111188</v>
      </c>
      <c r="DV20" s="50">
        <f>IF('Final Calculation Sheet'!$X$20="","",'Final Calculation Sheet'!$X$20)</f>
        <v>1056525</v>
      </c>
      <c r="DW20">
        <f>IF(DV20="","",COUNTIFS(DV$4:DV$40,"&lt;"&amp;DV20,DV$4:DV$40,"&lt;&gt;"&amp;"")+COUNTIF(DV$4:DV20,DV20))</f>
        <v>31</v>
      </c>
      <c r="DX20" s="50">
        <f t="shared" si="51"/>
        <v>125772</v>
      </c>
      <c r="DY20">
        <f>DY19+IF(AND(DX20&lt;&gt;"",COUNTIF(DX$4:DX20,DX20)=1),1,0)</f>
        <v>17</v>
      </c>
      <c r="DZ20" t="e">
        <f t="shared" si="52"/>
        <v>#N/A</v>
      </c>
      <c r="EA20" t="str">
        <f>IF('Final Calculation Sheet'!$Y$20="","",'Final Calculation Sheet'!$Y$20)</f>
        <v>10.08.2026</v>
      </c>
      <c r="EB20">
        <f>IF(EA20="","",COUNTIFS(EA$4:EA$40,"&lt;"&amp;EA20,EA$4:EA$40,"&lt;&gt;"&amp;"")+COUNTIF(EA$4:EA20,EA20))</f>
        <v>3</v>
      </c>
      <c r="EC20" t="str">
        <f t="shared" si="53"/>
        <v>21.08.2026</v>
      </c>
      <c r="ED20">
        <f>ED19+IF(AND(EC20&lt;&gt;"",COUNTIF(EC$4:EC20,EC20)=1),1,0)</f>
        <v>8</v>
      </c>
      <c r="EE20" t="e">
        <f t="shared" si="54"/>
        <v>#N/A</v>
      </c>
      <c r="EF20" s="50">
        <f ca="1">IF('Final Calculation Sheet'!$Z$20="","",'Final Calculation Sheet'!$Z$20)</f>
        <v>41258.699999999997</v>
      </c>
      <c r="EG20">
        <f ca="1">IF(EF20="","",COUNTIFS(EF$4:EF$40,"&lt;"&amp;EF20,EF$4:EF$40,"&lt;&gt;"&amp;"")+COUNTIF(EF$4:EF20,EF20))</f>
        <v>34</v>
      </c>
      <c r="EH20" s="50">
        <f t="shared" ca="1" si="55"/>
        <v>3032.0099999999998</v>
      </c>
      <c r="EI20">
        <f ca="1">EI19+IF(AND(EH20&lt;&gt;"",COUNTIF(EH$4:EH20,EH20)=1),1,0)</f>
        <v>17</v>
      </c>
      <c r="EJ20">
        <f t="shared" ca="1" si="56"/>
        <v>3032.0099999999998</v>
      </c>
      <c r="EK20" t="str">
        <f>IF('Final Calculation Sheet'!$AA$20="","",'Final Calculation Sheet'!$AA$20)</f>
        <v/>
      </c>
      <c r="EL20" t="str">
        <f>IF(EK20="","",COUNTIFS(EK$4:EK$40,"&lt;"&amp;EK20,EK$4:EK$40,"&lt;&gt;"&amp;"")+COUNTIF(EK$4:EK20,EK20))</f>
        <v/>
      </c>
      <c r="EM20" t="e">
        <f t="shared" si="57"/>
        <v>#N/A</v>
      </c>
      <c r="EN20" t="e">
        <f>EN19+IF(AND(EM20&lt;&gt;"",COUNTIF(EM$4:EM20,EM20)=1),1,0)</f>
        <v>#N/A</v>
      </c>
      <c r="EO20" t="e">
        <f t="shared" si="58"/>
        <v>#N/A</v>
      </c>
      <c r="EP20" t="str">
        <f>IF('Final Calculation Sheet'!$AB$20="","",'Final Calculation Sheet'!$AB$20)</f>
        <v/>
      </c>
      <c r="EQ20" t="str">
        <f>IF(EP20="","",COUNTIFS(EP$4:EP$40,"&lt;"&amp;EP20,EP$4:EP$40,"&lt;&gt;"&amp;"")+COUNTIF(EP$4:EP20,EP20))</f>
        <v/>
      </c>
      <c r="ER20" t="e">
        <f t="shared" si="59"/>
        <v>#N/A</v>
      </c>
      <c r="ES20" t="e">
        <f>ES19+IF(AND(ER20&lt;&gt;"",COUNTIF(ER$4:ER20,ER20)=1),1,0)</f>
        <v>#N/A</v>
      </c>
      <c r="ET20" t="e">
        <f t="shared" si="60"/>
        <v>#N/A</v>
      </c>
      <c r="EU20" s="50">
        <f>IF('Final Calculation Sheet'!$AC$20="","",'Final Calculation Sheet'!$AC$20)</f>
        <v>1347900</v>
      </c>
      <c r="EV20">
        <f>IF(EU20="","",COUNTIFS(EU$4:EU$40,"&lt;"&amp;EU20,EU$4:EU$40,"&lt;&gt;"&amp;"")+COUNTIF(EU$4:EU20,EU20))</f>
        <v>34</v>
      </c>
      <c r="EW20" s="50">
        <f t="shared" si="61"/>
        <v>100767</v>
      </c>
      <c r="EX20">
        <f>EX19+IF(AND(EW20&lt;&gt;"",COUNTIF(EW$4:EW20,EW20)=1),1,0)</f>
        <v>17</v>
      </c>
      <c r="EY20" s="50">
        <f t="shared" si="62"/>
        <v>100767</v>
      </c>
      <c r="EZ20" s="50">
        <f>IF('Final Calculation Sheet'!$AD$20="","",'Final Calculation Sheet'!$AD$20)</f>
        <v>1</v>
      </c>
      <c r="FA20">
        <f>IF(EZ20="","",COUNTIFS(EZ$4:EZ$40,"&lt;"&amp;EZ20,EZ$4:EZ$40,"&lt;&gt;"&amp;"")+COUNTIF(EZ$4:EZ20,EZ20))</f>
        <v>32</v>
      </c>
      <c r="FB20" s="50">
        <f t="shared" si="63"/>
        <v>0</v>
      </c>
      <c r="FC20">
        <f>FC19+IF(AND(FB20&lt;&gt;"",COUNTIF(FB$4:FB20,FB20)=1),1,0)</f>
        <v>7</v>
      </c>
      <c r="FD20" t="str">
        <f t="shared" si="64"/>
        <v/>
      </c>
      <c r="FE20" t="str">
        <f>IF('Final Calculation Sheet'!$AF$20="","",'Final Calculation Sheet'!$AF$20)</f>
        <v>DR2640100017</v>
      </c>
      <c r="FF20">
        <f>IF(FE20="","",COUNTIFS(FE$4:FE$40,"&lt;"&amp;FE20,FE$4:FE$40,"&lt;&gt;"&amp;"")+COUNTIF(FE$4:FE20,FE20))</f>
        <v>6</v>
      </c>
      <c r="FG20" t="str">
        <f t="shared" si="65"/>
        <v>DR2640100028</v>
      </c>
      <c r="FH20" t="e">
        <f>FH19+IF(AND(FG20&lt;&gt;"",COUNTIF(FG$4:FG20,FG20)=1),1,0)</f>
        <v>#N/A</v>
      </c>
      <c r="FI20" t="e">
        <f t="shared" si="66"/>
        <v>#N/A</v>
      </c>
      <c r="FJ20" s="129">
        <f>IF('Final Calculation Sheet'!$AG$20="","",'Final Calculation Sheet'!$AG$20)</f>
        <v>1800003065</v>
      </c>
      <c r="FK20">
        <f>IF(FJ20="","",COUNTIFS(FJ$4:FJ$40,"&lt;"&amp;FJ20,FJ$4:FJ$40,"&lt;&gt;"&amp;"")+COUNTIF(FJ$4:FJ20,FJ20))</f>
        <v>1</v>
      </c>
      <c r="FL20" s="129">
        <f t="shared" si="67"/>
        <v>1800003305</v>
      </c>
      <c r="FM20">
        <f>FM19+IF(AND(FL20&lt;&gt;"",COUNTIF(FL$4:FL20,FL20)=1),1,0)</f>
        <v>17</v>
      </c>
      <c r="FN20" t="e">
        <f t="shared" si="68"/>
        <v>#N/A</v>
      </c>
      <c r="FO20" t="str">
        <f>IF('Final Calculation Sheet'!$AH$20="","",'Final Calculation Sheet'!$AH$20)</f>
        <v>12.08.2026</v>
      </c>
      <c r="FP20">
        <f>IF(FO20="","",COUNTIFS(FO$4:FO$40,"&lt;"&amp;FO20,FO$4:FO$40,"&lt;&gt;"&amp;"")+COUNTIF(FO$4:FO20,FO20))</f>
        <v>6</v>
      </c>
      <c r="FQ20" t="str">
        <f t="shared" si="69"/>
        <v>24.08.2026</v>
      </c>
      <c r="FR20" t="e">
        <f>FR19+IF(AND(FQ20&lt;&gt;"",COUNTIF(FQ$4:FQ20,FQ20)=1),1,0)</f>
        <v>#N/A</v>
      </c>
      <c r="FS20" t="e">
        <f t="shared" si="70"/>
        <v>#N/A</v>
      </c>
      <c r="FU20" t="str">
        <f>IF(FT20="","",COUNTIFS(FT$4:FT$40,"&lt;"&amp;FT20,FT$4:FT$40,"&lt;&gt;"&amp;"")+COUNTIF(FT$4:FT20,FT20))</f>
        <v/>
      </c>
      <c r="FV20" t="str">
        <f t="shared" si="71"/>
        <v/>
      </c>
      <c r="FW20">
        <f>FW19+IF(AND(FV20&lt;&gt;"",COUNTIF(FV$4:FV20,FV20)=1),1,0)</f>
        <v>2</v>
      </c>
      <c r="FX20" t="str">
        <f t="shared" si="72"/>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0" t="b">
        <f>IF($Y$20="",FALSE,SUMPRODUCT(('Final Calculation Sheet'!$B$4:$B$40=$Y$20)*($FY$6:$FY$42=1))&gt;0)</f>
        <v>1</v>
      </c>
      <c r="GA20">
        <f>$GA$19+--($FZ$20)</f>
        <v>17</v>
      </c>
      <c r="GB20" t="str">
        <f t="shared" si="73"/>
        <v>Scrap of AAAC Earth wire</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D20" t="b">
        <f>IF($O$20="",FALSE,SUMPRODUCT(('Final Calculation Sheet'!$F$4:$F$40=$O$20)*($GC$6:$GC$42=1))&gt;0)</f>
        <v>1</v>
      </c>
      <c r="GE20">
        <f>$GE$19+--($GD20)</f>
        <v>17</v>
      </c>
      <c r="GF20">
        <f t="shared" si="74"/>
        <v>2020</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H20" t="b">
        <f>IF($T$20="",FALSE,SUMPRODUCT(('Final Calculation Sheet'!$G$4:$G$40=$T$20)*($GG$6:$GG$42=1))&gt;0)</f>
        <v>0</v>
      </c>
      <c r="GI20">
        <f>$GI$19+--($GH20)</f>
        <v>13</v>
      </c>
      <c r="GJ20" t="str">
        <f t="shared" si="75"/>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L20" t="b">
        <f>IF($AD$20="",FALSE,SUMPRODUCT(('Final Calculation Sheet'!$D$4:$D$40=$AD$20)*($GK$6:$GK$42=1))&gt;0)</f>
        <v>0</v>
      </c>
      <c r="GM20">
        <f>$GM$19+--($GL20)</f>
        <v>4</v>
      </c>
      <c r="GN20" t="str">
        <f t="shared" si="76"/>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P20" t="b">
        <f>IF($AI$20="",FALSE,SUMPRODUCT(('Final Calculation Sheet'!$A$4:$A$40=$AI$20)*($GO$6:$GO$42=1))&gt;0)</f>
        <v>1</v>
      </c>
      <c r="GQ20">
        <f>$GQ$19+--($GP20)</f>
        <v>17</v>
      </c>
      <c r="GR20">
        <f t="shared" si="77"/>
        <v>669</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T20" t="b">
        <f>IF($AN$20="",FALSE,SUMPRODUCT(('Final Calculation Sheet'!$E$4:$E$40=$AN$20)*($GS$6:$GS$42=1))&gt;0)</f>
        <v>0</v>
      </c>
      <c r="GU20">
        <f>$GU$19+--($GT20)</f>
        <v>3</v>
      </c>
      <c r="GV20" t="str">
        <f t="shared" si="78"/>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GX20" t="b">
        <f>IF($AS$20="",FALSE,SUMPRODUCT(('Final Calculation Sheet'!$C$4:$C$40=$AS$20)*($GW$6:$GW$42=1))&gt;0)</f>
        <v>1</v>
      </c>
      <c r="GY20">
        <f>$GY$19+--($GX20)</f>
        <v>17</v>
      </c>
      <c r="GZ20">
        <f t="shared" si="79"/>
        <v>25001</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B20" t="b">
        <f>IF($AX$20="",FALSE,SUMPRODUCT(('Final Calculation Sheet'!$H$4:$H$40=$AX$20)*($HA$6:$HA$42=1))&gt;0)</f>
        <v>1</v>
      </c>
      <c r="HC20">
        <f>$HC$19+--($HB20)</f>
        <v>17</v>
      </c>
      <c r="HD20">
        <f t="shared" si="80"/>
        <v>120009</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F20" t="b">
        <f>IF($BC$20="",FALSE,SUMPRODUCT(('Final Calculation Sheet'!$I$4:$I$40=$BC$20)*($HE$6:$HE$42=1))&gt;0)</f>
        <v>1</v>
      </c>
      <c r="HG20">
        <f>$HG$19+--($HF20)</f>
        <v>17</v>
      </c>
      <c r="HH20">
        <f t="shared" si="81"/>
        <v>21602</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J20" t="b">
        <f>IF($BH$20="",FALSE,SUMPRODUCT(('Final Calculation Sheet'!$J$4:$J$40=$BH$20)*($HI$6:$HI$42=1))&gt;0)</f>
        <v>1</v>
      </c>
      <c r="HK20">
        <f>$HK$19+--($HJ20)</f>
        <v>17</v>
      </c>
      <c r="HL20">
        <f t="shared" si="82"/>
        <v>141611</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N20" t="b">
        <f>IF($BM$20="",FALSE,SUMPRODUCT(('Final Calculation Sheet'!$K$4:$K$40=$BM$20)*($HM$6:$HM$42=1))&gt;0)</f>
        <v>1</v>
      </c>
      <c r="HO20">
        <f>$HO$19+--($HN20)</f>
        <v>17</v>
      </c>
      <c r="HP20">
        <f t="shared" si="83"/>
        <v>2832</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R20" t="b">
        <f>IF($BR$20="",FALSE,SUMPRODUCT(('Final Calculation Sheet'!$L$4:$L$40=$BR$20)*($HQ$6:$HQ$42=1))&gt;0)</f>
        <v>1</v>
      </c>
      <c r="HS20">
        <f>$HS$19+--($HR20)</f>
        <v>17</v>
      </c>
      <c r="HT20">
        <f t="shared" si="84"/>
        <v>120.009</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V20" t="b">
        <f>IF($BW$20="",FALSE,SUMPRODUCT(('Final Calculation Sheet'!$M$4:$M$40=$BW$20)*($HU$6:$HU$42=1))&gt;0)</f>
        <v>1</v>
      </c>
      <c r="HW20">
        <f>$HW$19+--($HV20)</f>
        <v>17</v>
      </c>
      <c r="HX20">
        <f t="shared" si="85"/>
        <v>3186.2389499999995</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HZ20" t="b">
        <f>IF($CB$20="",FALSE,SUMPRODUCT(('Final Calculation Sheet'!$N$4:$N$40=$CB$20)*($HY$6:$HY$42=1))&gt;0)</f>
        <v>1</v>
      </c>
      <c r="IA20">
        <f>$IA$19+--($HZ20)</f>
        <v>17</v>
      </c>
      <c r="IB20">
        <f t="shared" si="86"/>
        <v>54.004049999999999</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D20" t="b">
        <f>IF($CG$20="",FALSE,SUMPRODUCT(('Final Calculation Sheet'!$O$4:$O$40=$CG$20)*($IC$6:$IC$42=1))&gt;0)</f>
        <v>1</v>
      </c>
      <c r="IE20">
        <f>$IE$19+--($ID20)</f>
        <v>17</v>
      </c>
      <c r="IF20">
        <f t="shared" si="87"/>
        <v>3132.2348999999995</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H20" t="b">
        <f>IF($CL$20="",FALSE,SUMPRODUCT(('Final Calculation Sheet'!$P$4:$P$40=$CL$20)*($IG$6:$IG$42=1))&gt;0)</f>
        <v>1</v>
      </c>
      <c r="II20">
        <f>$II$19+--($IH20)</f>
        <v>17</v>
      </c>
      <c r="IJ20">
        <f t="shared" si="88"/>
        <v>3252</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L20" t="b">
        <f>IF($CQ$20="",FALSE,SUMPRODUCT(('Final Calculation Sheet'!$Q$4:$Q$40=$CQ$20)*($IK$6:$IK$42=1))&gt;0)</f>
        <v>0</v>
      </c>
      <c r="IM20">
        <f>$IM$19+--($IL20)</f>
        <v>2</v>
      </c>
      <c r="IN20" t="str">
        <f t="shared" si="89"/>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P20" t="b">
        <f>IF($CV$20="",FALSE,SUMPRODUCT(('Final Calculation Sheet'!$R$4:$R$40=$CV$20)*($IO$6:$IO$42=1))&gt;0)</f>
        <v>0</v>
      </c>
      <c r="IQ20">
        <f>$IQ$19+--($IP20)</f>
        <v>5</v>
      </c>
      <c r="IR20" t="str">
        <f t="shared" si="90"/>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T20" t="b">
        <f>IF($DA$20="",FALSE,SUMPRODUCT(('Final Calculation Sheet'!$S$4:$S$40=$DA$20)*($IS$6:$IS$42=1))&gt;0)</f>
        <v>1</v>
      </c>
      <c r="IU20">
        <f>$IU$19+--($IT20)</f>
        <v>17</v>
      </c>
      <c r="IV20">
        <f t="shared" si="91"/>
        <v>141191</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IX20" t="b">
        <f>IF($DF$20="",FALSE,SUMPRODUCT(('Final Calculation Sheet'!$T$4:$T$40=$DF$20)*($IW$6:$IW$42=1))&gt;0)</f>
        <v>1</v>
      </c>
      <c r="IY20">
        <f>$IY$19+--($IX20)</f>
        <v>17</v>
      </c>
      <c r="IZ20">
        <f t="shared" si="92"/>
        <v>30002</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B20" t="b">
        <f>IF($DK$20="",FALSE,SUMPRODUCT(('Final Calculation Sheet'!$U$4:$U$40=$DK$20)*($JA$6:$JA$42=1))&gt;0)</f>
        <v>1</v>
      </c>
      <c r="JC20">
        <f>$JC$19+--($JB20)</f>
        <v>17</v>
      </c>
      <c r="JD20">
        <f t="shared" si="93"/>
        <v>30002</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F20" t="b">
        <f>IF($DP$20="",FALSE,SUMPRODUCT(('Final Calculation Sheet'!$V$4:$V$40=$DP$20)*($JE$6:$JE$42=1))&gt;0)</f>
        <v>0</v>
      </c>
      <c r="JG20">
        <f>$JG$19+--($JF20)</f>
        <v>6</v>
      </c>
      <c r="JH20" t="str">
        <f t="shared" si="94"/>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J20" t="b">
        <f>IF($DU$20="",FALSE,SUMPRODUCT(('Final Calculation Sheet'!$W$4:$W$40=$DU$20)*($JI$6:$JI$42=1))&gt;0)</f>
        <v>1</v>
      </c>
      <c r="JK20">
        <f>$JK$19+--($JJ20)</f>
        <v>17</v>
      </c>
      <c r="JL20">
        <f t="shared" si="95"/>
        <v>111188</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N20" t="e">
        <f>IF($DZ$20="",FALSE,SUMPRODUCT(('Final Calculation Sheet'!$X$4:$X$40=$DZ$20)*($JM$6:$JM$42=1))&gt;0)</f>
        <v>#N/A</v>
      </c>
      <c r="JO20" t="e">
        <f>$JO$19+--($JN20)</f>
        <v>#N/A</v>
      </c>
      <c r="JP20" t="e">
        <f t="shared" si="96"/>
        <v>#N/A</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R20" t="e">
        <f>IF($EE$20="",FALSE,SUMPRODUCT(('Final Calculation Sheet'!$Y$4:$Y$40=$EE$20)*($JQ$6:$JQ$42=1))&gt;0)</f>
        <v>#N/A</v>
      </c>
      <c r="JS20" t="e">
        <f>$JS$19+--($JR20)</f>
        <v>#N/A</v>
      </c>
      <c r="JT20" t="e">
        <f t="shared" si="97"/>
        <v>#N/A</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V20" t="b">
        <f ca="1">IF($EJ$20="",FALSE,SUMPRODUCT(('Final Calculation Sheet'!$Z$4:$Z$40=$EJ$20)*($JU$6:$JU$42=1))&gt;0)</f>
        <v>1</v>
      </c>
      <c r="JW20">
        <f ca="1">$JW$19+--($JV20)</f>
        <v>17</v>
      </c>
      <c r="JX20">
        <f t="shared" ca="1" si="98"/>
        <v>3032.0099999999998</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JZ20" t="e">
        <f>IF($EO$20="",FALSE,SUMPRODUCT(('Final Calculation Sheet'!$AA$4:$AA$40=$EO$20)*($JY$6:$JY$42=1))&gt;0)</f>
        <v>#N/A</v>
      </c>
      <c r="KA20" t="e">
        <f>$KA$19+--($JZ20)</f>
        <v>#N/A</v>
      </c>
      <c r="KB20" t="e">
        <f t="shared" si="99"/>
        <v>#N/A</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D20" t="e">
        <f>IF($ET$20="",FALSE,SUMPRODUCT(('Final Calculation Sheet'!$AB$4:$AB$40=$ET$20)*($KC$6:$KC$42=1))&gt;0)</f>
        <v>#N/A</v>
      </c>
      <c r="KE20" t="e">
        <f>$KE$19+--($KD20)</f>
        <v>#N/A</v>
      </c>
      <c r="KF20" t="e">
        <f t="shared" si="100"/>
        <v>#N/A</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H20" t="b">
        <f>IF($EY$20="",FALSE,SUMPRODUCT(('Final Calculation Sheet'!$AC$4:$AC$40=$EY$20)*($KG$6:$KG$42=1))&gt;0)</f>
        <v>1</v>
      </c>
      <c r="KI20">
        <f>$KI$19+--($KH20)</f>
        <v>17</v>
      </c>
      <c r="KJ20">
        <f t="shared" si="101"/>
        <v>100767</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L20" t="b">
        <f>IF($FD$20="",FALSE,SUMPRODUCT(('Final Calculation Sheet'!$AD$4:$AD$40=$FD$20)*($KK$6:$KK$42=1))&gt;0)</f>
        <v>0</v>
      </c>
      <c r="KM20">
        <f>$KM$19+--($KL20)</f>
        <v>11</v>
      </c>
      <c r="KN20" t="str">
        <f t="shared" si="102"/>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P20" t="b">
        <f>IF($FX$20="",FALSE,SUMPRODUCT((IF('Final Calculation Sheet'!$AD$4:$AD$40&lt;=5,"SETTLED","OUTSTANDING")=$FX$20)*($KO$6:$KO$42=1))&gt;0)</f>
        <v>0</v>
      </c>
      <c r="KQ20">
        <f>$KQ$19+--($KP20)</f>
        <v>1</v>
      </c>
      <c r="KR20" t="str">
        <f t="shared" si="103"/>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T20" t="e">
        <f>IF($FI$20="",FALSE,SUMPRODUCT(('Final Calculation Sheet'!$AF$4:$AF$40=$FI$20)*($KS$6:$KS$42=1))&gt;0)</f>
        <v>#N/A</v>
      </c>
      <c r="KU20" t="e">
        <f>$KU$19+--($KT20)</f>
        <v>#N/A</v>
      </c>
      <c r="KV20" t="e">
        <f t="shared" si="104"/>
        <v>#N/A</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KX20" t="e">
        <f>IF($FN$20="",FALSE,SUMPRODUCT(('Final Calculation Sheet'!$AG$4:$AG$40=$FN$20)*($KW$6:$KW$42=1))&gt;0)</f>
        <v>#N/A</v>
      </c>
      <c r="KY20" t="e">
        <f>$KY$19+--($KX20)</f>
        <v>#N/A</v>
      </c>
      <c r="KZ20" t="e">
        <f t="shared" si="105"/>
        <v>#N/A</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LB20" t="e">
        <f>IF($FS$20="",FALSE,SUMPRODUCT(('Final Calculation Sheet'!$AH$4:$AH$40=$FS$20)*($LA$6:$LA$42=1))&gt;0)</f>
        <v>#N/A</v>
      </c>
      <c r="LC20" t="e">
        <f>$LC$19+--($LB20)</f>
        <v>#N/A</v>
      </c>
      <c r="LD20" t="e">
        <f t="shared" si="106"/>
        <v>#N/A</v>
      </c>
      <c r="LE20">
        <f>IF(COUNTIF('Buyer Groups'!DH20:EN20,0)&gt;0,0,1)</f>
        <v>1</v>
      </c>
      <c r="LF20" t="b">
        <f>IF($O$20="",FALSE,SUMPRODUCT(('Final Calculation Sheet'!$F$4:$F$40=$O$20)*($LE$6:$LE$42=1))&gt;0)</f>
        <v>1</v>
      </c>
      <c r="LG20">
        <f>$LG$19+--($LF20)</f>
        <v>17</v>
      </c>
      <c r="LH20">
        <f t="shared" si="107"/>
        <v>2020</v>
      </c>
      <c r="LI20">
        <f>IF(COUNTIF('Buyer Groups'!DG20:DG20,0)+COUNTIF('Buyer Groups'!DI20:EN20,0)&gt;0,0,1)</f>
        <v>1</v>
      </c>
      <c r="LJ20" t="b">
        <f>IF($T$20="",FALSE,SUMPRODUCT(('Final Calculation Sheet'!$G$4:$G$40=$T$20)*($LI$6:$LI$42=1))&gt;0)</f>
        <v>0</v>
      </c>
      <c r="LK20">
        <f>$LK$19+--($LJ20)</f>
        <v>13</v>
      </c>
      <c r="LL20" t="str">
        <f t="shared" si="108"/>
        <v/>
      </c>
      <c r="LM20">
        <f>IF(COUNTIF('Buyer Groups'!DG20:DH20,0)+COUNTIF('Buyer Groups'!DJ20:EN20,0)&gt;0,0,1)</f>
        <v>1</v>
      </c>
      <c r="LN20" t="b">
        <f>IF($Y$20="",FALSE,SUMPRODUCT(('Final Calculation Sheet'!$B$4:$B$40=$Y$20)*($LM$6:$LM$42=1))&gt;0)</f>
        <v>1</v>
      </c>
      <c r="LO20">
        <f>$LO$19+--($LN20)</f>
        <v>17</v>
      </c>
      <c r="LP20" t="str">
        <f t="shared" si="109"/>
        <v>Scrap of AAAC Earth wire</v>
      </c>
      <c r="LQ20">
        <f>IF(COUNTIF('Buyer Groups'!DG20:DI20,0)+COUNTIF('Buyer Groups'!DK20:EN20,0)&gt;0,0,1)</f>
        <v>1</v>
      </c>
      <c r="LR20" t="b">
        <f>IF($AD$20="",FALSE,SUMPRODUCT(('Final Calculation Sheet'!$D$4:$D$40=$AD$20)*($LQ$6:$LQ$42=1))&gt;0)</f>
        <v>0</v>
      </c>
      <c r="LS20">
        <f>$LS$19+--($LR20)</f>
        <v>4</v>
      </c>
      <c r="LT20" t="str">
        <f t="shared" si="110"/>
        <v/>
      </c>
      <c r="LU20">
        <f>IF(COUNTIF('Buyer Groups'!DG20:DJ20,0)+COUNTIF('Buyer Groups'!DL20:EN20,0)&gt;0,0,1)</f>
        <v>1</v>
      </c>
      <c r="LV20" t="b">
        <f>IF($AI$20="",FALSE,SUMPRODUCT(('Final Calculation Sheet'!$A$4:$A$40=$AI$20)*($LU$6:$LU$42=1))&gt;0)</f>
        <v>1</v>
      </c>
      <c r="LW20">
        <f>$LW$19+--($LV20)</f>
        <v>17</v>
      </c>
      <c r="LX20">
        <f t="shared" si="111"/>
        <v>669</v>
      </c>
      <c r="LY20">
        <f>IF(COUNTIF('Buyer Groups'!DG20:DK20,0)+COUNTIF('Buyer Groups'!DM20:EN20,0)&gt;0,0,1)</f>
        <v>1</v>
      </c>
      <c r="LZ20" t="b">
        <f>IF($AN$20="",FALSE,SUMPRODUCT(('Final Calculation Sheet'!$E$4:$E$40=$AN$20)*($LY$6:$LY$42=1))&gt;0)</f>
        <v>0</v>
      </c>
      <c r="MA20">
        <f>$MA$19+--($LZ20)</f>
        <v>3</v>
      </c>
      <c r="MB20" t="str">
        <f t="shared" si="112"/>
        <v/>
      </c>
      <c r="MC20">
        <f>IF(COUNTIF('Buyer Groups'!DG20:DL20,0)+COUNTIF('Buyer Groups'!DN20:EN20,0)&gt;0,0,1)</f>
        <v>1</v>
      </c>
      <c r="MD20" t="b">
        <f>IF($AS$20="",FALSE,SUMPRODUCT(('Final Calculation Sheet'!$C$4:$C$40=$AS$20)*($MC$6:$MC$42=1))&gt;0)</f>
        <v>1</v>
      </c>
      <c r="ME20">
        <f>$ME$19+--($MD20)</f>
        <v>17</v>
      </c>
      <c r="MF20">
        <f t="shared" si="113"/>
        <v>25001</v>
      </c>
      <c r="MG20">
        <f>IF(COUNTIF('Buyer Groups'!DG20:DM20,0)+COUNTIF('Buyer Groups'!DO20:EN20,0)&gt;0,0,1)</f>
        <v>1</v>
      </c>
      <c r="MH20" t="b">
        <f>IF($AX$20="",FALSE,SUMPRODUCT(('Final Calculation Sheet'!$H$4:$H$40=$AX$20)*($MG$6:$MG$42=1))&gt;0)</f>
        <v>1</v>
      </c>
      <c r="MI20">
        <f>$MI$19+--($MH20)</f>
        <v>17</v>
      </c>
      <c r="MJ20">
        <f t="shared" si="114"/>
        <v>120009</v>
      </c>
      <c r="MK20">
        <f>IF(COUNTIF('Buyer Groups'!DG20:DN20,0)+COUNTIF('Buyer Groups'!DP20:EN20,0)&gt;0,0,1)</f>
        <v>1</v>
      </c>
      <c r="ML20" t="b">
        <f>IF($BC$20="",FALSE,SUMPRODUCT(('Final Calculation Sheet'!$I$4:$I$40=$BC$20)*($MK$6:$MK$42=1))&gt;0)</f>
        <v>1</v>
      </c>
      <c r="MM20">
        <f>$MM$19+--($ML20)</f>
        <v>17</v>
      </c>
      <c r="MN20">
        <f t="shared" si="115"/>
        <v>21602</v>
      </c>
      <c r="MO20">
        <f>IF(COUNTIF('Buyer Groups'!DG20:DO20,0)+COUNTIF('Buyer Groups'!DQ20:EN20,0)&gt;0,0,1)</f>
        <v>1</v>
      </c>
      <c r="MP20" t="b">
        <f>IF($BH$20="",FALSE,SUMPRODUCT(('Final Calculation Sheet'!$J$4:$J$40=$BH$20)*($MO$6:$MO$42=1))&gt;0)</f>
        <v>1</v>
      </c>
      <c r="MQ20">
        <f>$MQ$19+--($MP20)</f>
        <v>17</v>
      </c>
      <c r="MR20">
        <f t="shared" si="116"/>
        <v>141611</v>
      </c>
      <c r="MS20">
        <f>IF(COUNTIF('Buyer Groups'!DG20:DP20,0)+COUNTIF('Buyer Groups'!DR20:EN20,0)&gt;0,0,1)</f>
        <v>1</v>
      </c>
      <c r="MT20" t="b">
        <f>IF($BM$20="",FALSE,SUMPRODUCT(('Final Calculation Sheet'!$K$4:$K$40=$BM$20)*($MS$6:$MS$42=1))&gt;0)</f>
        <v>1</v>
      </c>
      <c r="MU20">
        <f>$MU$19+--($MT20)</f>
        <v>17</v>
      </c>
      <c r="MV20">
        <f t="shared" si="117"/>
        <v>2832</v>
      </c>
      <c r="MW20">
        <f>IF(COUNTIF('Buyer Groups'!DG20:DQ20,0)+COUNTIF('Buyer Groups'!DS20:EN20,0)&gt;0,0,1)</f>
        <v>1</v>
      </c>
      <c r="MX20" t="b">
        <f>IF($BR$20="",FALSE,SUMPRODUCT(('Final Calculation Sheet'!$L$4:$L$40=$BR$20)*($MW$6:$MW$42=1))&gt;0)</f>
        <v>1</v>
      </c>
      <c r="MY20">
        <f>$MY$19+--($MX20)</f>
        <v>17</v>
      </c>
      <c r="MZ20">
        <f t="shared" si="118"/>
        <v>120.009</v>
      </c>
      <c r="NA20">
        <f>IF(COUNTIF('Buyer Groups'!DG20:DR20,0)+COUNTIF('Buyer Groups'!DT20:EN20,0)&gt;0,0,1)</f>
        <v>1</v>
      </c>
      <c r="NB20" t="b">
        <f>IF($BW$20="",FALSE,SUMPRODUCT(('Final Calculation Sheet'!$M$4:$M$40=$BW$20)*($NA$6:$NA$42=1))&gt;0)</f>
        <v>1</v>
      </c>
      <c r="NC20">
        <f>$NC$19+--($NB20)</f>
        <v>17</v>
      </c>
      <c r="ND20">
        <f t="shared" si="119"/>
        <v>3186.2389499999995</v>
      </c>
      <c r="NE20">
        <f>IF(COUNTIF('Buyer Groups'!DG20:DS20,0)+COUNTIF('Buyer Groups'!DU20:EN20,0)&gt;0,0,1)</f>
        <v>1</v>
      </c>
      <c r="NF20" t="b">
        <f>IF($CB$20="",FALSE,SUMPRODUCT(('Final Calculation Sheet'!$N$4:$N$40=$CB$20)*($NE$6:$NE$42=1))&gt;0)</f>
        <v>1</v>
      </c>
      <c r="NG20">
        <f>$NG$19+--($NF20)</f>
        <v>17</v>
      </c>
      <c r="NH20">
        <f t="shared" si="120"/>
        <v>54.004049999999999</v>
      </c>
      <c r="NI20">
        <f>IF(COUNTIF('Buyer Groups'!DG20:DT20,0)+COUNTIF('Buyer Groups'!DV20:EN20,0)&gt;0,0,1)</f>
        <v>1</v>
      </c>
      <c r="NJ20" t="b">
        <f>IF($CG$20="",FALSE,SUMPRODUCT(('Final Calculation Sheet'!$O$4:$O$40=$CG$20)*($NI$6:$NI$42=1))&gt;0)</f>
        <v>1</v>
      </c>
      <c r="NK20">
        <f>$NK$19+--($NJ20)</f>
        <v>17</v>
      </c>
      <c r="NL20">
        <f t="shared" si="121"/>
        <v>3132.2348999999995</v>
      </c>
      <c r="NM20">
        <f>IF(COUNTIF('Buyer Groups'!DG20:DU20,0)+COUNTIF('Buyer Groups'!DW20:EN20,0)&gt;0,0,1)</f>
        <v>1</v>
      </c>
      <c r="NN20" t="b">
        <f>IF($CL$20="",FALSE,SUMPRODUCT(('Final Calculation Sheet'!$P$4:$P$40=$CL$20)*($NM$6:$NM$42=1))&gt;0)</f>
        <v>1</v>
      </c>
      <c r="NO20">
        <f>$NO$19+--($NN20)</f>
        <v>17</v>
      </c>
      <c r="NP20">
        <f t="shared" si="122"/>
        <v>3252</v>
      </c>
      <c r="NQ20">
        <f>IF(COUNTIF('Buyer Groups'!DG20:DV20,0)+COUNTIF('Buyer Groups'!DX20:EN20,0)&gt;0,0,1)</f>
        <v>1</v>
      </c>
      <c r="NR20" t="b">
        <f>IF($CQ$20="",FALSE,SUMPRODUCT(('Final Calculation Sheet'!$Q$4:$Q$40=$CQ$20)*($NQ$6:$NQ$42=1))&gt;0)</f>
        <v>0</v>
      </c>
      <c r="NS20">
        <f>$NS$19+--($NR20)</f>
        <v>2</v>
      </c>
      <c r="NT20" t="str">
        <f t="shared" si="123"/>
        <v/>
      </c>
      <c r="NU20">
        <f>IF(COUNTIF('Buyer Groups'!DG20:DW20,0)+COUNTIF('Buyer Groups'!DY20:EN20,0)&gt;0,0,1)</f>
        <v>1</v>
      </c>
      <c r="NV20" t="b">
        <f>IF($CV$20="",FALSE,SUMPRODUCT(('Final Calculation Sheet'!$R$4:$R$40=$CV$20)*($NU$6:$NU$42=1))&gt;0)</f>
        <v>0</v>
      </c>
      <c r="NW20">
        <f>$NW$19+--($NV20)</f>
        <v>5</v>
      </c>
      <c r="NX20" t="str">
        <f t="shared" si="124"/>
        <v/>
      </c>
      <c r="NY20">
        <f>IF(COUNTIF('Buyer Groups'!DG20:DX20,0)+COUNTIF('Buyer Groups'!DZ20:EN20,0)&gt;0,0,1)</f>
        <v>1</v>
      </c>
      <c r="NZ20" t="b">
        <f>IF($DA$20="",FALSE,SUMPRODUCT(('Final Calculation Sheet'!$S$4:$S$40=$DA$20)*($NY$6:$NY$42=1))&gt;0)</f>
        <v>1</v>
      </c>
      <c r="OA20">
        <f>$OA$19+--($NZ20)</f>
        <v>17</v>
      </c>
      <c r="OB20">
        <f t="shared" si="125"/>
        <v>141191</v>
      </c>
      <c r="OC20">
        <f>IF(COUNTIF('Buyer Groups'!DG20:DY20,0)+COUNTIF('Buyer Groups'!EA20:EN20,0)&gt;0,0,1)</f>
        <v>1</v>
      </c>
      <c r="OD20" t="b">
        <f>IF($DF$20="",FALSE,SUMPRODUCT(('Final Calculation Sheet'!$T$4:$T$40=$DF$20)*($OC$6:$OC$42=1))&gt;0)</f>
        <v>1</v>
      </c>
      <c r="OE20">
        <f>$OE$19+--($OD20)</f>
        <v>17</v>
      </c>
      <c r="OF20">
        <f t="shared" si="126"/>
        <v>30002</v>
      </c>
      <c r="OG20">
        <f>IF(COUNTIF('Buyer Groups'!DG20:DZ20,0)+COUNTIF('Buyer Groups'!EB20:EN20,0)&gt;0,0,1)</f>
        <v>1</v>
      </c>
      <c r="OH20" t="b">
        <f>IF($DK$20="",FALSE,SUMPRODUCT(('Final Calculation Sheet'!$U$4:$U$40=$DK$20)*($OG$6:$OG$42=1))&gt;0)</f>
        <v>1</v>
      </c>
      <c r="OI20">
        <f>$OI$19+--($OH20)</f>
        <v>17</v>
      </c>
      <c r="OJ20">
        <f t="shared" si="127"/>
        <v>30002</v>
      </c>
      <c r="OK20">
        <f>IF(COUNTIF('Buyer Groups'!DG20:EA20,0)+COUNTIF('Buyer Groups'!EC20:EN20,0)&gt;0,0,1)</f>
        <v>1</v>
      </c>
      <c r="OL20" t="b">
        <f>IF($DP$20="",FALSE,SUMPRODUCT(('Final Calculation Sheet'!$V$4:$V$40=$DP$20)*($OK$6:$OK$42=1))&gt;0)</f>
        <v>0</v>
      </c>
      <c r="OM20">
        <f>$OM$19+--($OL20)</f>
        <v>6</v>
      </c>
      <c r="ON20" t="str">
        <f t="shared" si="128"/>
        <v/>
      </c>
      <c r="OO20">
        <f>IF(COUNTIF('Buyer Groups'!DG20:EB20,0)+COUNTIF('Buyer Groups'!ED20:EN20,0)&gt;0,0,1)</f>
        <v>1</v>
      </c>
      <c r="OP20" t="b">
        <f>IF($DU$20="",FALSE,SUMPRODUCT(('Final Calculation Sheet'!$W$4:$W$40=$DU$20)*($OO$6:$OO$42=1))&gt;0)</f>
        <v>1</v>
      </c>
      <c r="OQ20">
        <f>$OQ$19+--($OP20)</f>
        <v>17</v>
      </c>
      <c r="OR20">
        <f t="shared" si="129"/>
        <v>111188</v>
      </c>
      <c r="OS20">
        <f>IF(COUNTIF('Buyer Groups'!DG20:EC20,0)+COUNTIF('Buyer Groups'!EE20:EN20,0)&gt;0,0,1)</f>
        <v>1</v>
      </c>
      <c r="OT20" t="e">
        <f>IF($DZ$20="",FALSE,SUMPRODUCT(('Final Calculation Sheet'!$X$4:$X$40=$DZ$20)*($OS$6:$OS$42=1))&gt;0)</f>
        <v>#N/A</v>
      </c>
      <c r="OU20" t="e">
        <f>$OU$19+--($OT20)</f>
        <v>#N/A</v>
      </c>
      <c r="OV20" t="e">
        <f t="shared" si="130"/>
        <v>#N/A</v>
      </c>
      <c r="OW20">
        <f>IF(COUNTIF('Buyer Groups'!DG20:ED20,0)+COUNTIF('Buyer Groups'!EF20:EN20,0)&gt;0,0,1)</f>
        <v>1</v>
      </c>
      <c r="OX20" t="e">
        <f>IF($EE$20="",FALSE,SUMPRODUCT(('Final Calculation Sheet'!$Y$4:$Y$40=$EE$20)*($OW$6:$OW$42=1))&gt;0)</f>
        <v>#N/A</v>
      </c>
      <c r="OY20" t="e">
        <f>$OY$19+--($OX20)</f>
        <v>#N/A</v>
      </c>
      <c r="OZ20" t="e">
        <f t="shared" si="131"/>
        <v>#N/A</v>
      </c>
      <c r="PA20">
        <f>IF(COUNTIF('Buyer Groups'!DG20:EE20,0)+COUNTIF('Buyer Groups'!EG20:EN20,0)&gt;0,0,1)</f>
        <v>1</v>
      </c>
      <c r="PB20" t="b">
        <f ca="1">IF($EJ$20="",FALSE,SUMPRODUCT(('Final Calculation Sheet'!$Z$4:$Z$40=$EJ$20)*($PA$6:$PA$42=1))&gt;0)</f>
        <v>1</v>
      </c>
      <c r="PC20">
        <f ca="1">$PC$19+--($PB20)</f>
        <v>17</v>
      </c>
      <c r="PD20">
        <f t="shared" ca="1" si="132"/>
        <v>3032.0099999999998</v>
      </c>
      <c r="PE20">
        <f>IF(COUNTIF('Buyer Groups'!DG20:EF20,0)+COUNTIF('Buyer Groups'!EH20:EN20,0)&gt;0,0,1)</f>
        <v>1</v>
      </c>
      <c r="PF20" t="e">
        <f>IF($EO$20="",FALSE,SUMPRODUCT(('Final Calculation Sheet'!$AA$4:$AA$40=$EO$20)*($PE$6:$PE$42=1))&gt;0)</f>
        <v>#N/A</v>
      </c>
      <c r="PG20" t="e">
        <f>$PG$19+--($PF20)</f>
        <v>#N/A</v>
      </c>
      <c r="PH20" t="e">
        <f t="shared" si="133"/>
        <v>#N/A</v>
      </c>
      <c r="PI20">
        <f>IF(COUNTIF('Buyer Groups'!DG20:EG20,0)+COUNTIF('Buyer Groups'!EI20:EN20,0)&gt;0,0,1)</f>
        <v>1</v>
      </c>
      <c r="PJ20" t="e">
        <f>IF($ET$20="",FALSE,SUMPRODUCT(('Final Calculation Sheet'!$AB$4:$AB$40=$ET$20)*($PI$6:$PI$42=1))&gt;0)</f>
        <v>#N/A</v>
      </c>
      <c r="PK20" t="e">
        <f>$PK$19+--($PJ20)</f>
        <v>#N/A</v>
      </c>
      <c r="PL20" t="e">
        <f t="shared" si="134"/>
        <v>#N/A</v>
      </c>
      <c r="PM20">
        <f>IF(COUNTIF('Buyer Groups'!DG20:EH20,0)+COUNTIF('Buyer Groups'!EJ20:EN20,0)&gt;0,0,1)</f>
        <v>1</v>
      </c>
      <c r="PN20" t="b">
        <f>IF($EY$20="",FALSE,SUMPRODUCT(('Final Calculation Sheet'!$AC$4:$AC$40=$EY$20)*($PM$6:$PM$42=1))&gt;0)</f>
        <v>1</v>
      </c>
      <c r="PO20">
        <f>$PO$19+--($PN20)</f>
        <v>17</v>
      </c>
      <c r="PP20">
        <f t="shared" si="135"/>
        <v>100767</v>
      </c>
      <c r="PQ20">
        <f>IF(COUNTIF('Buyer Groups'!DG20:EI20,0)+COUNTIF('Buyer Groups'!EK20:EN20,0)&gt;0,0,1)</f>
        <v>1</v>
      </c>
      <c r="PR20" t="b">
        <f>IF($FD$20="",FALSE,SUMPRODUCT(('Final Calculation Sheet'!$AD$4:$AD$40=$FD$20)*($PQ$6:$PQ$42=1))&gt;0)</f>
        <v>0</v>
      </c>
      <c r="PS20">
        <f>$PS$19+--($PR20)</f>
        <v>11</v>
      </c>
      <c r="PT20" t="str">
        <f t="shared" si="136"/>
        <v/>
      </c>
      <c r="PU20">
        <f>IF(COUNTIF('Buyer Groups'!DG20:EJ20,0)+COUNTIF('Buyer Groups'!EL20:EN20,0)&gt;0,0,1)</f>
        <v>1</v>
      </c>
      <c r="PV20" t="b">
        <f>IF($FX$20="",FALSE,SUMPRODUCT((IF('Final Calculation Sheet'!$AD$4:$AD$40&lt;=5,"SETTLED","OUTSTANDING")=$FX$20)*($PU$6:$PU$42=1))&gt;0)</f>
        <v>0</v>
      </c>
      <c r="PW20">
        <f>$PW$19+--($PV20)</f>
        <v>1</v>
      </c>
      <c r="PX20" t="str">
        <f t="shared" si="137"/>
        <v/>
      </c>
      <c r="PY20">
        <f>IF(COUNTIF('Buyer Groups'!DG20:EK20,0)+COUNTIF('Buyer Groups'!EM20:EN20,0)&gt;0,0,1)</f>
        <v>1</v>
      </c>
      <c r="PZ20" t="e">
        <f>IF($FI$20="",FALSE,SUMPRODUCT(('Final Calculation Sheet'!$AF$4:$AF$40=$FI$20)*($PY$6:$PY$42=1))&gt;0)</f>
        <v>#N/A</v>
      </c>
      <c r="QA20" t="e">
        <f>$QA$19+--($PZ20)</f>
        <v>#N/A</v>
      </c>
      <c r="QB20" t="e">
        <f t="shared" si="138"/>
        <v>#N/A</v>
      </c>
      <c r="QC20">
        <f>IF(COUNTIF('Buyer Groups'!DG20:EL20,0)+COUNTIF('Buyer Groups'!EN20:EN20,0)&gt;0,0,1)</f>
        <v>1</v>
      </c>
      <c r="QD20" t="e">
        <f>IF($FN$20="",FALSE,SUMPRODUCT(('Final Calculation Sheet'!$AG$4:$AG$40=$FN$20)*($QC$6:$QC$42=1))&gt;0)</f>
        <v>#N/A</v>
      </c>
      <c r="QE20" t="e">
        <f>$QE$19+--($QD20)</f>
        <v>#N/A</v>
      </c>
      <c r="QF20" t="e">
        <f t="shared" si="139"/>
        <v>#N/A</v>
      </c>
      <c r="QG20">
        <f>IF(COUNTIF('Buyer Groups'!DG20:EM20,0)&gt;0,0,1)</f>
        <v>1</v>
      </c>
      <c r="QH20" t="e">
        <f>IF($FS$20="",FALSE,SUMPRODUCT(('Final Calculation Sheet'!$AH$4:$AH$40=$FS$20)*($QG$6:$QG$42=1))&gt;0)</f>
        <v>#N/A</v>
      </c>
      <c r="QI20" t="e">
        <f>$QI$19+--($QH20)</f>
        <v>#N/A</v>
      </c>
      <c r="QJ20" t="e">
        <f t="shared" si="140"/>
        <v>#N/A</v>
      </c>
      <c r="QK20" t="str">
        <f>IF('Final Calculation Sheet'!$AH$20="","",'Final Calculation Sheet'!$AH$20)</f>
        <v>12.08.2026</v>
      </c>
      <c r="QL20">
        <f>IF(QK20="","",COUNTIFS(QK$4:QK$40,"&lt;"&amp;QK20,QK$4:QK$40,"&lt;&gt;"&amp;"")+COUNTIF(QK$4:QK20,QK20))</f>
        <v>6</v>
      </c>
      <c r="QM20" t="str">
        <f t="shared" si="141"/>
        <v>24.08.2026</v>
      </c>
      <c r="QN20" t="e">
        <f ca="1">QN19+F(AND(QM20&lt;&gt;"",COUNTIF(QM$4:QM20,QM20)=1),1,0)</f>
        <v>#N/A</v>
      </c>
      <c r="QO20" t="e">
        <f t="shared" si="142"/>
        <v>#N/A</v>
      </c>
      <c r="QP20">
        <f>IF(COUNTIF('Final Calculation Sheet'!$AM20:$BS20,0)&gt;0,0,1)</f>
        <v>1</v>
      </c>
      <c r="QQ20" t="b">
        <f>IF($AI$20="",FALSE,SUMPRODUCT(('Final Calculation Sheet'!$A$4:$A$40=$AI$20)*($QP$4:$QP$40=1))&gt;0)</f>
        <v>1</v>
      </c>
      <c r="QR20">
        <f t="shared" si="177"/>
        <v>17</v>
      </c>
      <c r="QS20">
        <f t="shared" si="143"/>
        <v>669</v>
      </c>
      <c r="QT20">
        <f>IF(COUNTIF('Final Calculation Sheet'!$AL20:$AL20,0)+COUNTIF('Final Calculation Sheet'!$AN20:$BS20,0)&gt;0,0,1)</f>
        <v>1</v>
      </c>
      <c r="QU20" t="b">
        <f>IF($Y$20="",FALSE,SUMPRODUCT(('Final Calculation Sheet'!$B$4:$B$40=$Y$20)*($QT$4:$QT$40=1))&gt;0)</f>
        <v>1</v>
      </c>
      <c r="QV20">
        <f t="shared" si="178"/>
        <v>17</v>
      </c>
      <c r="QW20" t="str">
        <f t="shared" si="144"/>
        <v>Scrap of AAAC Earth wire</v>
      </c>
      <c r="QX20">
        <f>IF(COUNTIF('Final Calculation Sheet'!$AL20:$AM20,0)+COUNTIF('Final Calculation Sheet'!$AO20:$BS20,0)&gt;0,0,1)</f>
        <v>1</v>
      </c>
      <c r="QY20" t="b">
        <f>IF($AS$20="",FALSE,SUMPRODUCT(('Final Calculation Sheet'!$C$4:$C$40=$AS$20)*($QX$4:$QX$40=1))&gt;0)</f>
        <v>1</v>
      </c>
      <c r="QZ20">
        <f t="shared" si="179"/>
        <v>17</v>
      </c>
      <c r="RA20">
        <f t="shared" si="145"/>
        <v>25001</v>
      </c>
      <c r="RB20">
        <f>IF(COUNTIF('Final Calculation Sheet'!$AL20:$AN20,0)+COUNTIF('Final Calculation Sheet'!$AP20:$BS20,0)&gt;0,0,1)</f>
        <v>1</v>
      </c>
      <c r="RC20" t="b">
        <f>IF($AD$20="",FALSE,SUMPRODUCT(('Final Calculation Sheet'!$D$4:$D$40=$AD$20)*($RB$4:$RB$40=1))&gt;0)</f>
        <v>0</v>
      </c>
      <c r="RD20">
        <f t="shared" si="180"/>
        <v>4</v>
      </c>
      <c r="RE20" t="str">
        <f t="shared" si="146"/>
        <v/>
      </c>
      <c r="RF20">
        <f>IF(COUNTIF('Final Calculation Sheet'!$AL20:$AO20,0)+COUNTIF('Final Calculation Sheet'!$AQ20:$BS20,0)&gt;0,0,1)</f>
        <v>1</v>
      </c>
      <c r="RG20" t="b">
        <f>IF($AN$20="",FALSE,SUMPRODUCT(('Final Calculation Sheet'!$E$4:$E$40=$AN$20)*($RF$4:$RF$40=1))&gt;0)</f>
        <v>0</v>
      </c>
      <c r="RH20">
        <f t="shared" si="181"/>
        <v>3</v>
      </c>
      <c r="RI20" t="str">
        <f t="shared" si="147"/>
        <v/>
      </c>
      <c r="RJ20">
        <f>IF(COUNTIF('Final Calculation Sheet'!$AL20:$AP20,0)+COUNTIF('Final Calculation Sheet'!$AR20:$BS20,0)&gt;0,0,1)</f>
        <v>1</v>
      </c>
      <c r="RK20" t="b">
        <f>IF($O$20="",FALSE,SUMPRODUCT(('Final Calculation Sheet'!$F$4:$F$40=$O$20)*($RJ$4:$RJ$40=1))&gt;0)</f>
        <v>1</v>
      </c>
      <c r="RL20">
        <f t="shared" si="182"/>
        <v>17</v>
      </c>
      <c r="RM20">
        <f t="shared" si="148"/>
        <v>2020</v>
      </c>
      <c r="RN20">
        <f>IF(COUNTIF('Final Calculation Sheet'!$AL20:$AQ20,0)+COUNTIF('Final Calculation Sheet'!$AS20:$BS20,0)&gt;0,0,1)</f>
        <v>1</v>
      </c>
      <c r="RO20" t="b">
        <f>IF($T$20="",FALSE,SUMPRODUCT(('Final Calculation Sheet'!$G$4:$G$40=$T$20)*($RN$4:$RN$40=1))&gt;0)</f>
        <v>0</v>
      </c>
      <c r="RP20">
        <f t="shared" si="183"/>
        <v>13</v>
      </c>
      <c r="RQ20" t="str">
        <f t="shared" si="149"/>
        <v/>
      </c>
      <c r="RR20">
        <f>IF(COUNTIF('Final Calculation Sheet'!$AL20:$AR20,0)+COUNTIF('Final Calculation Sheet'!$AT20:$BS20,0)&gt;0,0,1)</f>
        <v>1</v>
      </c>
      <c r="RS20" t="b">
        <f>IF($AX$20="",FALSE,SUMPRODUCT(('Final Calculation Sheet'!$H$4:$H$40=$AX$20)*($RR$4:$RR$40=1))&gt;0)</f>
        <v>1</v>
      </c>
      <c r="RT20">
        <f t="shared" si="184"/>
        <v>17</v>
      </c>
      <c r="RU20">
        <f t="shared" si="150"/>
        <v>120009</v>
      </c>
      <c r="RV20">
        <f>IF(COUNTIF('Final Calculation Sheet'!$AL20:$AS20,0)+COUNTIF('Final Calculation Sheet'!$AU20:$BS20,0)&gt;0,0,1)</f>
        <v>1</v>
      </c>
      <c r="RW20" t="b">
        <f>IF($BC$20="",FALSE,SUMPRODUCT(('Final Calculation Sheet'!$I$4:$I$40=$BC$20)*($RV$4:$RV$40=1))&gt;0)</f>
        <v>1</v>
      </c>
      <c r="RX20">
        <f t="shared" si="185"/>
        <v>17</v>
      </c>
      <c r="RY20">
        <f t="shared" si="151"/>
        <v>21602</v>
      </c>
      <c r="RZ20">
        <f>IF(COUNTIF('Final Calculation Sheet'!$AL20:$AT20,0)+COUNTIF('Final Calculation Sheet'!$AV20:$BS20,0)&gt;0,0,1)</f>
        <v>1</v>
      </c>
      <c r="SA20" t="b">
        <f>IF($BH$20="",FALSE,SUMPRODUCT(('Final Calculation Sheet'!$J$4:$J$40=$BH$20)*($RZ$4:$RZ$40=1))&gt;0)</f>
        <v>1</v>
      </c>
      <c r="SB20">
        <f t="shared" si="186"/>
        <v>17</v>
      </c>
      <c r="SC20">
        <f t="shared" si="152"/>
        <v>141611</v>
      </c>
      <c r="SD20">
        <f>IF(COUNTIF('Final Calculation Sheet'!$AL20:$AU20,0)+COUNTIF('Final Calculation Sheet'!$AW20:$BS20,0)&gt;0,0,1)</f>
        <v>1</v>
      </c>
      <c r="SE20" t="b">
        <f>IF($BM$20="",FALSE,SUMPRODUCT(('Final Calculation Sheet'!$K$4:$K$40=$BM$20)*($SD$4:$SD$40=1))&gt;0)</f>
        <v>1</v>
      </c>
      <c r="SF20">
        <f t="shared" si="187"/>
        <v>17</v>
      </c>
      <c r="SG20">
        <f t="shared" si="153"/>
        <v>2832</v>
      </c>
      <c r="SH20">
        <f>IF(COUNTIF('Final Calculation Sheet'!$AL20:$AV20,0)+COUNTIF('Final Calculation Sheet'!$AX20:$BS20,0)&gt;0,0,1)</f>
        <v>1</v>
      </c>
      <c r="SI20" t="b">
        <f>IF($BR$20="",FALSE,SUMPRODUCT(('Final Calculation Sheet'!$L$4:$L$40=$BR$20)*($SH$4:$SH$40=1))&gt;0)</f>
        <v>1</v>
      </c>
      <c r="SJ20">
        <f t="shared" si="188"/>
        <v>17</v>
      </c>
      <c r="SK20">
        <f t="shared" si="154"/>
        <v>120.009</v>
      </c>
      <c r="SL20">
        <f>IF(COUNTIF('Final Calculation Sheet'!$AL20:$AW20,0)+COUNTIF('Final Calculation Sheet'!$AY20:$BS20,0)&gt;0,0,1)</f>
        <v>1</v>
      </c>
      <c r="SM20" t="b">
        <f>IF($BW$20="",FALSE,SUMPRODUCT(('Final Calculation Sheet'!$M$4:$M$40=$BW$20)*($SL$4:$SL$40=1))&gt;0)</f>
        <v>1</v>
      </c>
      <c r="SN20">
        <f t="shared" si="189"/>
        <v>17</v>
      </c>
      <c r="SO20">
        <f t="shared" si="155"/>
        <v>3186.2389499999995</v>
      </c>
      <c r="SP20">
        <f>IF(COUNTIF('Final Calculation Sheet'!$AL20:$AX20,0)+COUNTIF('Final Calculation Sheet'!$AZ20:$BS20,0)&gt;0,0,1)</f>
        <v>1</v>
      </c>
      <c r="SQ20" t="b">
        <f>IF($CB$20="",FALSE,SUMPRODUCT(('Final Calculation Sheet'!$N$4:$N$40=$CB$20)*($SP$4:$SP$40=1))&gt;0)</f>
        <v>1</v>
      </c>
      <c r="SR20">
        <f t="shared" si="190"/>
        <v>17</v>
      </c>
      <c r="SS20">
        <f t="shared" si="156"/>
        <v>54.004049999999999</v>
      </c>
      <c r="ST20">
        <f>IF(COUNTIF('Final Calculation Sheet'!$AL20:$AY20,0)+COUNTIF('Final Calculation Sheet'!$BA20:$BS20,0)&gt;0,0,1)</f>
        <v>1</v>
      </c>
      <c r="SU20" t="b">
        <f>IF($CG$20="",FALSE,SUMPRODUCT(('Final Calculation Sheet'!$O$4:$O$40=$CG$20)*($ST$4:$ST$40=1))&gt;0)</f>
        <v>1</v>
      </c>
      <c r="SV20">
        <f t="shared" si="191"/>
        <v>17</v>
      </c>
      <c r="SW20">
        <f t="shared" si="157"/>
        <v>3132.2348999999995</v>
      </c>
      <c r="SX20">
        <f>IF(COUNTIF('Final Calculation Sheet'!$AL20:$AZ20,0)+COUNTIF('Final Calculation Sheet'!$BB20:$BS20,0)&gt;0,0,1)</f>
        <v>1</v>
      </c>
      <c r="SY20" t="b">
        <f>IF($CL$20="",FALSE,SUMPRODUCT(('Final Calculation Sheet'!$P$4:$P$40=$CL$20)*($SX$4:$SX$40=1))&gt;0)</f>
        <v>1</v>
      </c>
      <c r="SZ20">
        <f t="shared" si="192"/>
        <v>17</v>
      </c>
      <c r="TA20">
        <f t="shared" si="158"/>
        <v>3252</v>
      </c>
      <c r="TB20">
        <f>IF(COUNTIF('Final Calculation Sheet'!$AL20:$BA20,0)+COUNTIF('Final Calculation Sheet'!$BC20:$BS20,0)&gt;0,0,1)</f>
        <v>1</v>
      </c>
      <c r="TC20" t="b">
        <f>IF($CQ$20="",FALSE,SUMPRODUCT(('Final Calculation Sheet'!$Q$4:$Q$40=$CQ$20)*($TB$4:$TB$40=1))&gt;0)</f>
        <v>0</v>
      </c>
      <c r="TD20">
        <f t="shared" si="193"/>
        <v>2</v>
      </c>
      <c r="TE20" t="str">
        <f t="shared" si="159"/>
        <v/>
      </c>
      <c r="TF20">
        <f>IF(COUNTIF('Final Calculation Sheet'!$AL20:$BB20,0)+COUNTIF('Final Calculation Sheet'!$BD20:$BS20,0)&gt;0,0,1)</f>
        <v>1</v>
      </c>
      <c r="TG20" t="b">
        <f>IF($CV$20="",FALSE,SUMPRODUCT(('Final Calculation Sheet'!$R$4:$R$40=$CV$20)*($TF$4:$TF$40=1))&gt;0)</f>
        <v>0</v>
      </c>
      <c r="TH20">
        <f t="shared" si="194"/>
        <v>5</v>
      </c>
      <c r="TI20" t="str">
        <f t="shared" si="160"/>
        <v/>
      </c>
      <c r="TJ20">
        <f>IF(COUNTIF('Final Calculation Sheet'!$AL20:$BC20,0)+COUNTIF('Final Calculation Sheet'!$BE20:$BS20,0)&gt;0,0,1)</f>
        <v>1</v>
      </c>
      <c r="TK20" t="b">
        <f>IF($DA$20="",FALSE,SUMPRODUCT(('Final Calculation Sheet'!$S$4:$S$40=$DA$20)*($TJ$4:$TJ$40=1))&gt;0)</f>
        <v>1</v>
      </c>
      <c r="TL20">
        <f t="shared" si="195"/>
        <v>17</v>
      </c>
      <c r="TM20">
        <f t="shared" si="161"/>
        <v>141191</v>
      </c>
      <c r="TN20">
        <f>IF(COUNTIF('Final Calculation Sheet'!$AL20:$BD20,0)+COUNTIF('Final Calculation Sheet'!$BF20:$BS20,0)&gt;0,0,1)</f>
        <v>1</v>
      </c>
      <c r="TO20" t="b">
        <f>IF($DF$20="",FALSE,SUMPRODUCT(('Final Calculation Sheet'!$T$4:$T$40=$DF$20)*($TN$4:$TN$40=1))&gt;0)</f>
        <v>1</v>
      </c>
      <c r="TP20">
        <f t="shared" si="196"/>
        <v>17</v>
      </c>
      <c r="TQ20">
        <f t="shared" si="162"/>
        <v>30002</v>
      </c>
      <c r="TR20">
        <f>IF(COUNTIF('Final Calculation Sheet'!$AL20:$BE20,0)+COUNTIF('Final Calculation Sheet'!$BG20:$BS20,0)&gt;0,0,1)</f>
        <v>1</v>
      </c>
      <c r="TS20" t="b">
        <f>IF($DK$20="",FALSE,SUMPRODUCT(('Final Calculation Sheet'!$U$4:$U$40=$DK$20)*($TR$4:$TR$40=1))&gt;0)</f>
        <v>1</v>
      </c>
      <c r="TT20">
        <f t="shared" si="197"/>
        <v>17</v>
      </c>
      <c r="TU20">
        <f t="shared" si="163"/>
        <v>30002</v>
      </c>
      <c r="TV20">
        <f>IF(COUNTIF('Final Calculation Sheet'!$AL20:$BF20,0)+COUNTIF('Final Calculation Sheet'!$BH20:$BS20,0)&gt;0,0,1)</f>
        <v>1</v>
      </c>
      <c r="TW20" t="b">
        <f>IF($DP$20="",FALSE,SUMPRODUCT(('Final Calculation Sheet'!$V$4:$V$40=$DP$20)*($TV$4:$TV$40=1))&gt;0)</f>
        <v>0</v>
      </c>
      <c r="TX20">
        <f t="shared" si="198"/>
        <v>6</v>
      </c>
      <c r="TY20" t="str">
        <f t="shared" si="164"/>
        <v/>
      </c>
      <c r="TZ20">
        <f>IF(COUNTIF('Final Calculation Sheet'!$AL20:$BG20,0)+COUNTIF('Final Calculation Sheet'!$BI20:$BS20,0)&gt;0,0,1)</f>
        <v>1</v>
      </c>
      <c r="UA20" t="b">
        <f>IF($DU$20="",FALSE,SUMPRODUCT(('Final Calculation Sheet'!$W$4:$W$40=$DU$20)*($TZ$4:$TZ$40=1))&gt;0)</f>
        <v>1</v>
      </c>
      <c r="UB20">
        <f t="shared" si="199"/>
        <v>17</v>
      </c>
      <c r="UC20">
        <f t="shared" si="165"/>
        <v>111188</v>
      </c>
      <c r="UD20">
        <f>IF(COUNTIF('Final Calculation Sheet'!$AL20:$BH20,0)+COUNTIF('Final Calculation Sheet'!$BJ20:$BS20,0)&gt;0,0,1)</f>
        <v>1</v>
      </c>
      <c r="UE20" t="e">
        <f>IF($DZ$20="",FALSE,SUMPRODUCT(('Final Calculation Sheet'!$X$4:$X$40=$DZ$20)*($UD$4:$UD$40=1))&gt;0)</f>
        <v>#N/A</v>
      </c>
      <c r="UF20" t="e">
        <f t="shared" si="200"/>
        <v>#N/A</v>
      </c>
      <c r="UG20" t="e">
        <f t="shared" si="166"/>
        <v>#N/A</v>
      </c>
      <c r="UH20">
        <f>IF(COUNTIF('Final Calculation Sheet'!$AL20:$BI20,0)+COUNTIF('Final Calculation Sheet'!$BK20:$BS20,0)&gt;0,0,1)</f>
        <v>1</v>
      </c>
      <c r="UI20" t="e">
        <f>IF($EE$20="",FALSE,SUMPRODUCT(('Final Calculation Sheet'!$Y$4:$Y$40=$EE$20)*($UH$4:$UH$40=1))&gt;0)</f>
        <v>#N/A</v>
      </c>
      <c r="UJ20" t="e">
        <f t="shared" si="201"/>
        <v>#N/A</v>
      </c>
      <c r="UK20" t="e">
        <f t="shared" si="167"/>
        <v>#N/A</v>
      </c>
      <c r="UL20">
        <f>IF(COUNTIF('Final Calculation Sheet'!$AL20:$BJ20,0)+COUNTIF('Final Calculation Sheet'!$BL20:$BS20,0)&gt;0,0,1)</f>
        <v>1</v>
      </c>
      <c r="UM20" t="b">
        <f ca="1">IF($EJ$20="",FALSE,SUMPRODUCT(('Final Calculation Sheet'!$Z$4:$Z$40=$EJ$20)*($UL$4:$UL$40=1))&gt;0)</f>
        <v>1</v>
      </c>
      <c r="UN20">
        <f t="shared" ca="1" si="202"/>
        <v>17</v>
      </c>
      <c r="UO20">
        <f t="shared" ca="1" si="168"/>
        <v>3032.0099999999998</v>
      </c>
      <c r="UP20">
        <f>IF(COUNTIF('Final Calculation Sheet'!$AL20:$BK20,0)+COUNTIF('Final Calculation Sheet'!$BM20:$BS20,0)&gt;0,0,1)</f>
        <v>1</v>
      </c>
      <c r="UQ20" t="e">
        <f>IF($EO$20="",FALSE,SUMPRODUCT(('Final Calculation Sheet'!$AA$4:$AA$40=$EO$20)*($UP$4:$UP$40=1))&gt;0)</f>
        <v>#N/A</v>
      </c>
      <c r="UR20" t="e">
        <f t="shared" si="203"/>
        <v>#N/A</v>
      </c>
      <c r="US20" t="e">
        <f t="shared" si="169"/>
        <v>#N/A</v>
      </c>
      <c r="UT20">
        <f>IF(COUNTIF('Final Calculation Sheet'!$AL20:$BL20,0)+COUNTIF('Final Calculation Sheet'!$BN20:$BS20,0)&gt;0,0,1)</f>
        <v>1</v>
      </c>
      <c r="UU20" t="e">
        <f>IF($ET$20="",FALSE,SUMPRODUCT(('Final Calculation Sheet'!$AB$4:$AB$40=$ET$20)*($UT$4:$UT$40=1))&gt;0)</f>
        <v>#N/A</v>
      </c>
      <c r="UV20" t="e">
        <f t="shared" si="204"/>
        <v>#N/A</v>
      </c>
      <c r="UW20" t="e">
        <f t="shared" si="170"/>
        <v>#N/A</v>
      </c>
      <c r="UX20">
        <f>IF(COUNTIF('Final Calculation Sheet'!$AL20:$BM20,0)+COUNTIF('Final Calculation Sheet'!$BO20:$BS20,0)&gt;0,0,1)</f>
        <v>1</v>
      </c>
      <c r="UY20" t="b">
        <f>IF($EY$20="",FALSE,SUMPRODUCT(('Final Calculation Sheet'!$AC$4:$AC$40=$EY$20)*($UX$4:$UX$40=1))&gt;0)</f>
        <v>1</v>
      </c>
      <c r="UZ20">
        <f t="shared" si="205"/>
        <v>17</v>
      </c>
      <c r="VA20">
        <f t="shared" si="171"/>
        <v>100767</v>
      </c>
      <c r="VB20">
        <f>IF(COUNTIF('Final Calculation Sheet'!$AL20:$BN20,0)+COUNTIF('Final Calculation Sheet'!$BP20:$BS20,0)&gt;0,0,1)</f>
        <v>1</v>
      </c>
      <c r="VC20" t="b">
        <f>IF($FD$20="",FALSE,SUMPRODUCT(('Final Calculation Sheet'!$AD$4:$AD$40=$FD$20)*($VB$4:$VB$40=1))&gt;0)</f>
        <v>0</v>
      </c>
      <c r="VD20">
        <f t="shared" si="206"/>
        <v>11</v>
      </c>
      <c r="VE20" t="str">
        <f t="shared" si="172"/>
        <v/>
      </c>
      <c r="VF20">
        <f>IF(COUNTIF('Final Calculation Sheet'!$AL20:$BO20,0)+COUNTIF('Final Calculation Sheet'!$BQ20:$BS20,0)&gt;0,0,1)</f>
        <v>1</v>
      </c>
      <c r="VG20" t="e">
        <f>IF($FI$20="",FALSE,SUMPRODUCT(('Final Calculation Sheet'!$AE$4:$AE$40=$FI$20)*($VF$4:$VF$40=1))&gt;0)</f>
        <v>#N/A</v>
      </c>
      <c r="VH20" t="e">
        <f t="shared" si="207"/>
        <v>#N/A</v>
      </c>
      <c r="VI20" t="e">
        <f t="shared" si="173"/>
        <v>#N/A</v>
      </c>
      <c r="VJ20">
        <f>IF(COUNTIF('Final Calculation Sheet'!$AL20:$BP20,0)+COUNTIF('Final Calculation Sheet'!$BR20:$BS20,0)&gt;0,0,1)</f>
        <v>1</v>
      </c>
      <c r="VK20" t="e">
        <f>IF($FN$20="",FALSE,SUMPRODUCT(('Final Calculation Sheet'!$AF$4:$AF$40=$FN$20)*($VJ$4:$VJ$40=1))&gt;0)</f>
        <v>#N/A</v>
      </c>
      <c r="VL20" t="e">
        <f t="shared" si="208"/>
        <v>#N/A</v>
      </c>
      <c r="VM20" t="e">
        <f t="shared" si="174"/>
        <v>#N/A</v>
      </c>
      <c r="VN20">
        <f>IF(COUNTIF('Final Calculation Sheet'!$AL20:$BQ20,0)+COUNTIF('Final Calculation Sheet'!$BS20:$BS20,0)&gt;0,0,1)</f>
        <v>1</v>
      </c>
      <c r="VO20" t="e">
        <f>IF($FS$20="",FALSE,SUMPRODUCT(('Final Calculation Sheet'!$AG$4:$AG$40=$FS$20)*($VN$4:$VN$40=1))&gt;0)</f>
        <v>#N/A</v>
      </c>
      <c r="VP20" t="e">
        <f t="shared" si="209"/>
        <v>#N/A</v>
      </c>
      <c r="VQ20" t="e">
        <f t="shared" si="175"/>
        <v>#N/A</v>
      </c>
      <c r="VR20">
        <f>IF(COUNTIF('Final Calculation Sheet'!$AL20:$BR20,0)&gt;0,0,1)</f>
        <v>1</v>
      </c>
      <c r="VS20" t="e">
        <f>IF($QO$20="",FALSE,SUMPRODUCT(('Final Calculation Sheet'!$AH$4:$AH$40=$QO$20)*($VR$4:$VR$40=1))&gt;0)</f>
        <v>#N/A</v>
      </c>
      <c r="VT20" t="e">
        <f t="shared" si="210"/>
        <v>#N/A</v>
      </c>
      <c r="VU20" t="e">
        <f t="shared" si="176"/>
        <v>#N/A</v>
      </c>
    </row>
    <row r="21" spans="1:593" x14ac:dyDescent="0.3">
      <c r="A21">
        <f>IF('Final Calculation Sheet'!$F$21="","",'Final Calculation Sheet'!$F$21)</f>
        <v>2022</v>
      </c>
      <c r="B21">
        <f>IF(A21="","",COUNTIFS(A$4:A$114,"&lt;"&amp;A21,A$4:A$114,"&lt;&gt;"&amp;"")+COUNTIF(A$4:A21,A21))</f>
        <v>18</v>
      </c>
      <c r="C21">
        <f t="shared" si="0"/>
        <v>2022</v>
      </c>
      <c r="D21">
        <f>D20+IF(AND(C21&lt;&gt;"",COUNTIF(C$4:C21,C21)=1),1,0)</f>
        <v>18</v>
      </c>
      <c r="E21" t="e">
        <f t="shared" si="1"/>
        <v>#N/A</v>
      </c>
      <c r="F21">
        <f t="shared" si="2"/>
        <v>18</v>
      </c>
      <c r="G21">
        <f>IF(F21="","",COUNTIFS(F$4:F$40,"&lt;"&amp;F21,F$4:F$40,"&lt;&gt;"&amp;"")+COUNTIF(F$4:F21,F21))</f>
        <v>18</v>
      </c>
      <c r="H21">
        <f t="shared" si="3"/>
        <v>18</v>
      </c>
      <c r="I21">
        <f>I20+IF(AND(H21&lt;&gt;"",COUNTIF(H$4:H21,H21)=1),1,0)</f>
        <v>18</v>
      </c>
      <c r="J21">
        <f t="shared" si="4"/>
        <v>18</v>
      </c>
      <c r="K21">
        <f>IF('Final Calculation Sheet'!$F$21="","",'Final Calculation Sheet'!$F$21)</f>
        <v>2022</v>
      </c>
      <c r="L21">
        <f>IF(K21="","",COUNTIFS(K$4:K$40,"&lt;"&amp;K21,K$4:K$40,"&lt;&gt;"&amp;"")+COUNTIF(K$4:K21,K21))</f>
        <v>18</v>
      </c>
      <c r="M21">
        <f t="shared" si="5"/>
        <v>2022</v>
      </c>
      <c r="N21">
        <f>N20+IF(AND(M21&lt;&gt;"",COUNTIF(M$4:M21,M21)=1),1,0)</f>
        <v>18</v>
      </c>
      <c r="O21">
        <f t="shared" si="6"/>
        <v>2022</v>
      </c>
      <c r="P21" t="str">
        <f>IF('Final Calculation Sheet'!$G$21="","",'Final Calculation Sheet'!$G$21)</f>
        <v>NATIONAL SCRAP AND BUILDING MATERIAL SUPPLIER</v>
      </c>
      <c r="Q21">
        <f>IF(P21="","",COUNTIFS(P$4:P$40,"&lt;"&amp;P21,P$4:P$40,"&lt;&gt;"&amp;"")+COUNTIF(P$4:P21,P21))</f>
        <v>20</v>
      </c>
      <c r="R21" t="str">
        <f t="shared" si="7"/>
        <v>NATIONAL ENTERPRISES</v>
      </c>
      <c r="S21">
        <f>S20+IF(AND(R21&lt;&gt;"",COUNTIF(R$4:R21,R21)=1),1,0)</f>
        <v>6</v>
      </c>
      <c r="T21" t="str">
        <f t="shared" si="8"/>
        <v/>
      </c>
      <c r="U21" t="str">
        <f>IF('Final Calculation Sheet'!$B$21="","",'Final Calculation Sheet'!$B$21)</f>
        <v>Scrap of 132 KV CT</v>
      </c>
      <c r="V21">
        <f>IF(U21="","",COUNTIFS(U$4:U$40,"&lt;"&amp;U21,U$4:U$40,"&lt;&gt;"&amp;"")+COUNTIF(U$4:U21,U21))</f>
        <v>7</v>
      </c>
      <c r="W21" t="str">
        <f t="shared" si="9"/>
        <v>Scrap of 220KV CT</v>
      </c>
      <c r="X21">
        <f>X20+IF(AND(W21&lt;&gt;"",COUNTIF(W$4:W21,W21)=1),1,0)</f>
        <v>11</v>
      </c>
      <c r="Y21" t="str">
        <f t="shared" si="10"/>
        <v>Scrap of Copper of faulty AC compressor</v>
      </c>
      <c r="Z21">
        <f>IF('Final Calculation Sheet'!$D$21="","",'Final Calculation Sheet'!$D$21)</f>
        <v>21978</v>
      </c>
      <c r="AA21">
        <f>IF(Z21="","",COUNTIFS(Z$4:Z$40,"&lt;"&amp;Z21,Z$4:Z$40,"&lt;&gt;"&amp;"")+COUNTIF(Z$4:Z21,Z21))</f>
        <v>16</v>
      </c>
      <c r="AB21">
        <f t="shared" si="11"/>
        <v>21978</v>
      </c>
      <c r="AC21">
        <f>AC20+IF(AND(AB21&lt;&gt;"",COUNTIF(AB$4:AB21,AB21)=1),1,0)</f>
        <v>2</v>
      </c>
      <c r="AD21" t="str">
        <f t="shared" si="12"/>
        <v/>
      </c>
      <c r="AE21">
        <f>IF('Final Calculation Sheet'!$A$21="","",'Final Calculation Sheet'!$A$21)</f>
        <v>3</v>
      </c>
      <c r="AF21">
        <f>IF(AE21="","",COUNTIFS(AE$4:AE$40,"&lt;"&amp;AE21,AE$4:AE$40,"&lt;&gt;"&amp;"")+COUNTIF(AE$4:AE21,AE21))</f>
        <v>13</v>
      </c>
      <c r="AG21">
        <f t="shared" si="13"/>
        <v>3</v>
      </c>
      <c r="AH21">
        <f>AH20+IF(AND(AG21&lt;&gt;"",COUNTIF(AG$4:AG21,AG21)=1),1,0)</f>
        <v>3</v>
      </c>
      <c r="AI21">
        <f t="shared" si="14"/>
        <v>670</v>
      </c>
      <c r="AJ21" t="str">
        <f>IF('Final Calculation Sheet'!$E$21="","",'Final Calculation Sheet'!$E$21)</f>
        <v>NO</v>
      </c>
      <c r="AK21">
        <f>IF(AJ21="","",COUNTIFS(AJ$4:AJ$40,"&lt;"&amp;AJ21,AJ$4:AJ$40,"&lt;&gt;"&amp;"")+COUNTIF(AJ$4:AJ21,AJ21))</f>
        <v>20</v>
      </c>
      <c r="AL21" t="str">
        <f t="shared" si="15"/>
        <v>NO</v>
      </c>
      <c r="AM21">
        <f>AM20+IF(AND(AL21&lt;&gt;"",COUNTIF(AL$4:AL21,AL21)=1),1,0)</f>
        <v>3</v>
      </c>
      <c r="AN21" t="str">
        <f t="shared" si="16"/>
        <v/>
      </c>
      <c r="AO21" s="50">
        <f>IF('Final Calculation Sheet'!$C$21="","",'Final Calculation Sheet'!$C$21)</f>
        <v>110200</v>
      </c>
      <c r="AP21">
        <f>IF(AO21="","",COUNTIFS(AO$4:AO$40,"&lt;"&amp;AO21,AO$4:AO$40,"&lt;&gt;"&amp;"")+COUNTIF(AO$4:AO21,AO21))</f>
        <v>33</v>
      </c>
      <c r="AQ21" s="50">
        <f t="shared" si="17"/>
        <v>15006</v>
      </c>
      <c r="AR21">
        <f>AR20+IF(AND(AQ21&lt;&gt;"",COUNTIF(AQ$4:AQ21,AQ21)=1),1,0)</f>
        <v>16</v>
      </c>
      <c r="AS21" s="50">
        <f t="shared" si="18"/>
        <v>29502</v>
      </c>
      <c r="AT21" s="50">
        <f>IF('Final Calculation Sheet'!$H$21="","",'Final Calculation Sheet'!$H$21)</f>
        <v>330600</v>
      </c>
      <c r="AU21">
        <f>IF(AT21="","",COUNTIFS(AT$4:AT$40,"&lt;"&amp;AT21,AT$4:AT$40,"&lt;&gt;"&amp;"")+COUNTIF(AT$4:AT21,AT21))</f>
        <v>29</v>
      </c>
      <c r="AV21" s="50">
        <f t="shared" si="19"/>
        <v>135750</v>
      </c>
      <c r="AW21">
        <f>AW20+IF(AND(AV21&lt;&gt;"",COUNTIF(AV$4:AV21,AV21)=1),1,0)</f>
        <v>18</v>
      </c>
      <c r="AX21" s="50">
        <f t="shared" si="20"/>
        <v>135750</v>
      </c>
      <c r="AY21" s="50">
        <f>IF('Final Calculation Sheet'!$I$21="","",'Final Calculation Sheet'!$I$21)</f>
        <v>59508</v>
      </c>
      <c r="AZ21">
        <f>IF(AY21="","",COUNTIFS(AY$4:AY$40,"&lt;"&amp;AY21,AY$4:AY$40,"&lt;&gt;"&amp;"")+COUNTIF(AY$4:AY21,AY21))</f>
        <v>29</v>
      </c>
      <c r="BA21" s="50">
        <f t="shared" si="21"/>
        <v>24435</v>
      </c>
      <c r="BB21">
        <f>BB20+IF(AND(BA21&lt;&gt;"",COUNTIF(BA$4:BA21,BA21)=1),1,0)</f>
        <v>18</v>
      </c>
      <c r="BC21" s="50">
        <f t="shared" si="22"/>
        <v>24435</v>
      </c>
      <c r="BD21" s="50">
        <f>IF('Final Calculation Sheet'!$J$21="","",'Final Calculation Sheet'!$J$21)</f>
        <v>390108</v>
      </c>
      <c r="BE21">
        <f>IF(BD21="","",COUNTIFS(BD$4:BD$40,"&lt;"&amp;BD21,BD$4:BD$40,"&lt;&gt;"&amp;"")+COUNTIF(BD$4:BD21,BD21))</f>
        <v>29</v>
      </c>
      <c r="BF21" s="50">
        <f t="shared" si="23"/>
        <v>160185</v>
      </c>
      <c r="BG21">
        <f>BG20+IF(AND(BF21&lt;&gt;"",COUNTIF(BF$4:BF21,BF21)=1),1,0)</f>
        <v>18</v>
      </c>
      <c r="BH21" s="50">
        <f t="shared" si="24"/>
        <v>160185</v>
      </c>
      <c r="BI21" s="50">
        <f>IF('Final Calculation Sheet'!$K$21="","",'Final Calculation Sheet'!$K$21)</f>
        <v>7802</v>
      </c>
      <c r="BJ21">
        <f>IF(BI21="","",COUNTIFS(BI$4:BI$40,"&lt;"&amp;BI21,BI$4:BI$40,"&lt;&gt;"&amp;"")+COUNTIF(BI$4:BI21,BI21))</f>
        <v>29</v>
      </c>
      <c r="BK21" s="50">
        <f t="shared" si="25"/>
        <v>3204</v>
      </c>
      <c r="BL21">
        <f>BL20+IF(AND(BK21&lt;&gt;"",COUNTIF(BK$4:BK21,BK21)=1),1,0)</f>
        <v>18</v>
      </c>
      <c r="BM21" s="50">
        <f t="shared" si="26"/>
        <v>3204</v>
      </c>
      <c r="BN21" s="50">
        <f>IF('Final Calculation Sheet'!$L$21="","",'Final Calculation Sheet'!$L$21)</f>
        <v>330.6</v>
      </c>
      <c r="BO21">
        <f>IF(BN21="","",COUNTIFS(BN$4:BN$40,"&lt;"&amp;BN21,BN$4:BN$40,"&lt;&gt;"&amp;"")+COUNTIF(BN$4:BN21,BN21))</f>
        <v>29</v>
      </c>
      <c r="BP21" s="50">
        <f t="shared" si="27"/>
        <v>135.75</v>
      </c>
      <c r="BQ21">
        <f>BQ20+IF(AND(BP21&lt;&gt;"",COUNTIF(BP$4:BP21,BP21)=1),1,0)</f>
        <v>18</v>
      </c>
      <c r="BR21" s="50">
        <f t="shared" si="28"/>
        <v>135.75</v>
      </c>
      <c r="BS21" s="50">
        <f>IF('Final Calculation Sheet'!$M$21="","",'Final Calculation Sheet'!$M$21)</f>
        <v>8777.43</v>
      </c>
      <c r="BT21">
        <f>IF(BS21="","",COUNTIFS(BS$4:BS$40,"&lt;"&amp;BS21,BS$4:BS$40,"&lt;&gt;"&amp;"")+COUNTIF(BS$4:BS21,BS21))</f>
        <v>29</v>
      </c>
      <c r="BU21" s="50">
        <f t="shared" si="29"/>
        <v>3604.1624999999999</v>
      </c>
      <c r="BV21">
        <f>BV20+IF(AND(BU21&lt;&gt;"",COUNTIF(BU$4:BU21,BU21)=1),1,0)</f>
        <v>18</v>
      </c>
      <c r="BW21" s="50">
        <f t="shared" si="30"/>
        <v>3604.1624999999999</v>
      </c>
      <c r="BX21" s="126">
        <f>IF('Final Calculation Sheet'!$N$21="","",'Final Calculation Sheet'!$N$21)</f>
        <v>148.77000000000001</v>
      </c>
      <c r="BY21">
        <f>IF(BX21="","",COUNTIFS(BX$4:BX$40,"&lt;"&amp;BX21,BX$4:BX$40,"&lt;&gt;"&amp;"")+COUNTIF(BX$4:BX21,BX21))</f>
        <v>29</v>
      </c>
      <c r="BZ21" s="126">
        <f t="shared" si="31"/>
        <v>61.087499999999999</v>
      </c>
      <c r="CA21">
        <f>CA20+IF(AND(BZ21&lt;&gt;"",COUNTIF(BZ$4:BZ21,BZ21)=1),1,0)</f>
        <v>18</v>
      </c>
      <c r="CB21" s="126">
        <f t="shared" si="32"/>
        <v>61.087499999999999</v>
      </c>
      <c r="CC21" s="50">
        <f>IF('Final Calculation Sheet'!$O$21="","",'Final Calculation Sheet'!$O$21)</f>
        <v>8628.66</v>
      </c>
      <c r="CD21">
        <f>IF(CC21="","",COUNTIFS(CC$4:CC$40,"&lt;"&amp;CC21,CC$4:CC$40,"&lt;&gt;"&amp;"")+COUNTIF(CC$4:CC21,CC21))</f>
        <v>29</v>
      </c>
      <c r="CE21" s="50">
        <f t="shared" si="33"/>
        <v>3543.0749999999998</v>
      </c>
      <c r="CF21">
        <f>CF20+IF(AND(CE21&lt;&gt;"",COUNTIF(CE$4:CE21,CE21)=1),1,0)</f>
        <v>18</v>
      </c>
      <c r="CG21" s="50">
        <f t="shared" si="34"/>
        <v>3543.0749999999998</v>
      </c>
      <c r="CH21" s="50">
        <f>IF('Final Calculation Sheet'!$P$21="","",'Final Calculation Sheet'!$P$21)</f>
        <v>8959</v>
      </c>
      <c r="CI21">
        <f>IF(CH21="","",COUNTIFS(CH$4:CH$40,"&lt;"&amp;CH21,CH$4:CH$40,"&lt;&gt;"&amp;"")+COUNTIF(CH$4:CH21,CH21))</f>
        <v>29</v>
      </c>
      <c r="CJ21" s="50">
        <f t="shared" si="35"/>
        <v>3679</v>
      </c>
      <c r="CK21">
        <f>CK20+IF(AND(CJ21&lt;&gt;"",COUNTIF(CJ$4:CJ21,CJ21)=1),1,0)</f>
        <v>18</v>
      </c>
      <c r="CL21" s="50">
        <f t="shared" si="36"/>
        <v>3679</v>
      </c>
      <c r="CM21" s="127">
        <f>IF('Final Calculation Sheet'!$Q$21="","",'Final Calculation Sheet'!$Q$21)</f>
        <v>0</v>
      </c>
      <c r="CN21">
        <f>IF(CM21="","",COUNTIFS(CM$4:CM$40,"&lt;"&amp;CM21,CM$4:CM$40,"&lt;&gt;"&amp;"")+COUNTIF(CM$4:CM21,CM21))</f>
        <v>15</v>
      </c>
      <c r="CO21" s="127">
        <f t="shared" si="37"/>
        <v>0</v>
      </c>
      <c r="CP21">
        <f>CP20+IF(AND(CO21&lt;&gt;"",COUNTIF(CO$4:CO21,CO21)=1),1,0)</f>
        <v>1</v>
      </c>
      <c r="CQ21" t="str">
        <f t="shared" si="38"/>
        <v/>
      </c>
      <c r="CR21" s="50">
        <f>IF('Final Calculation Sheet'!$R$21="","",'Final Calculation Sheet'!$R$21)</f>
        <v>0</v>
      </c>
      <c r="CS21">
        <f>IF(CR21="","",COUNTIFS(CR$4:CR$40,"&lt;"&amp;CR21,CR$4:CR$40,"&lt;&gt;"&amp;"")+COUNTIF(CR$4:CR21,CR21))</f>
        <v>15</v>
      </c>
      <c r="CT21" s="50">
        <f t="shared" si="39"/>
        <v>0</v>
      </c>
      <c r="CU21">
        <f>CU20+IF(AND(CT21&lt;&gt;"",COUNTIF(CT$4:CT21,CT21)=1),1,0)</f>
        <v>1</v>
      </c>
      <c r="CV21" t="str">
        <f t="shared" si="40"/>
        <v/>
      </c>
      <c r="CW21" s="50">
        <f>IF('Final Calculation Sheet'!$S$21="","",'Final Calculation Sheet'!$S$21)</f>
        <v>388951</v>
      </c>
      <c r="CX21">
        <f>IF(CW21="","",COUNTIFS(CW$4:CW$40,"&lt;"&amp;CW21,CW$4:CW$40,"&lt;&gt;"&amp;"")+COUNTIF(CW$4:CW21,CW21))</f>
        <v>29</v>
      </c>
      <c r="CY21" s="50">
        <f t="shared" si="41"/>
        <v>159710</v>
      </c>
      <c r="CZ21">
        <f>CZ20+IF(AND(CY21&lt;&gt;"",COUNTIF(CY$4:CY21,CY21)=1),1,0)</f>
        <v>18</v>
      </c>
      <c r="DA21" s="50">
        <f t="shared" si="42"/>
        <v>159710</v>
      </c>
      <c r="DB21" s="50">
        <f>IF('Final Calculation Sheet'!$T$21="","",'Final Calculation Sheet'!$T$21)</f>
        <v>82650</v>
      </c>
      <c r="DC21">
        <f>IF(DB21="","",COUNTIFS(DB$4:DB$40,"&lt;"&amp;DB21,DB$4:DB$40,"&lt;&gt;"&amp;"")+COUNTIF(DB$4:DB21,DB21))</f>
        <v>29</v>
      </c>
      <c r="DD21" s="50">
        <f t="shared" si="43"/>
        <v>33938</v>
      </c>
      <c r="DE21">
        <f>DE20+IF(AND(DD21&lt;&gt;"",COUNTIF(DD$4:DD21,DD21)=1),1,0)</f>
        <v>18</v>
      </c>
      <c r="DF21" s="50">
        <f t="shared" si="44"/>
        <v>33938</v>
      </c>
      <c r="DG21" s="128">
        <f>IF('Final Calculation Sheet'!$U$21="","",'Final Calculation Sheet'!$U$21)</f>
        <v>82650</v>
      </c>
      <c r="DH21">
        <f>IF(DG21="","",COUNTIFS(DG$4:DG$40,"&lt;"&amp;DG21,DG$4:DG$40,"&lt;&gt;"&amp;"")+COUNTIF(DG$4:DG21,DG21))</f>
        <v>29</v>
      </c>
      <c r="DI21" s="128">
        <f t="shared" si="45"/>
        <v>33938</v>
      </c>
      <c r="DJ21">
        <f>DJ20+IF(AND(DI21&lt;&gt;"",COUNTIF(DI$4:DI21,DI21)=1),1,0)</f>
        <v>18</v>
      </c>
      <c r="DK21" s="128">
        <f t="shared" si="46"/>
        <v>33938</v>
      </c>
      <c r="DL21" t="str">
        <f>IF('Final Calculation Sheet'!$V$21="","",'Final Calculation Sheet'!$V$21)</f>
        <v>14.08.2026</v>
      </c>
      <c r="DM21">
        <f>IF(DL21="","",COUNTIFS(DL$4:DL$40,"&lt;"&amp;DL21,DL$4:DL$40,"&lt;&gt;"&amp;"")+COUNTIF(DL$4:DL21,DL21))</f>
        <v>29</v>
      </c>
      <c r="DN21" t="str">
        <f t="shared" si="47"/>
        <v>13.08.2026</v>
      </c>
      <c r="DO21">
        <f>DO20+IF(AND(DN21&lt;&gt;"",COUNTIF(DN$4:DN21,DN21)=1),1,0)</f>
        <v>3</v>
      </c>
      <c r="DP21" t="str">
        <f t="shared" si="48"/>
        <v/>
      </c>
      <c r="DQ21" s="50">
        <f>IF('Final Calculation Sheet'!$W$21="","",'Final Calculation Sheet'!$W$21)</f>
        <v>306301</v>
      </c>
      <c r="DR21">
        <f>IF(DQ21="","",COUNTIFS(DQ$4:DQ$40,"&lt;"&amp;DQ21,DQ$4:DQ$40,"&lt;&gt;"&amp;"")+COUNTIF(DQ$4:DQ21,DQ21))</f>
        <v>29</v>
      </c>
      <c r="DS21" s="50">
        <f t="shared" si="49"/>
        <v>125772</v>
      </c>
      <c r="DT21">
        <f>DT20+IF(AND(DS21&lt;&gt;"",COUNTIF(DS$4:DS21,DS21)=1),1,0)</f>
        <v>18</v>
      </c>
      <c r="DU21" s="50">
        <f t="shared" si="50"/>
        <v>125772</v>
      </c>
      <c r="DV21" s="50">
        <f>IF('Final Calculation Sheet'!$X$21="","",'Final Calculation Sheet'!$X$21)</f>
        <v>306301</v>
      </c>
      <c r="DW21">
        <f>IF(DV21="","",COUNTIFS(DV$4:DV$40,"&lt;"&amp;DV21,DV$4:DV$40,"&lt;&gt;"&amp;"")+COUNTIF(DV$4:DV21,DV21))</f>
        <v>27</v>
      </c>
      <c r="DX21" s="50">
        <f t="shared" si="51"/>
        <v>145090</v>
      </c>
      <c r="DY21">
        <f>DY20+IF(AND(DX21&lt;&gt;"",COUNTIF(DX$4:DX21,DX21)=1),1,0)</f>
        <v>18</v>
      </c>
      <c r="DZ21" t="e">
        <f t="shared" si="52"/>
        <v>#N/A</v>
      </c>
      <c r="EA21" t="str">
        <f>IF('Final Calculation Sheet'!$Y$21="","",'Final Calculation Sheet'!$Y$21)</f>
        <v>21.08.2026</v>
      </c>
      <c r="EB21">
        <f>IF(EA21="","",COUNTIFS(EA$4:EA$40,"&lt;"&amp;EA21,EA$4:EA$40,"&lt;&gt;"&amp;"")+COUNTIF(EA$4:EA21,EA21))</f>
        <v>17</v>
      </c>
      <c r="EC21" t="str">
        <f t="shared" si="53"/>
        <v>21.08.2026</v>
      </c>
      <c r="ED21">
        <f>ED20+IF(AND(EC21&lt;&gt;"",COUNTIF(EC$4:EC21,EC21)=1),1,0)</f>
        <v>8</v>
      </c>
      <c r="EE21" t="e">
        <f t="shared" si="54"/>
        <v>#N/A</v>
      </c>
      <c r="EF21" s="50">
        <f ca="1">IF('Final Calculation Sheet'!$Z$21="","",'Final Calculation Sheet'!$Z$21)</f>
        <v>11703.24</v>
      </c>
      <c r="EG21">
        <f ca="1">IF(EF21="","",COUNTIFS(EF$4:EF$40,"&lt;"&amp;EF21,EF$4:EF$40,"&lt;&gt;"&amp;"")+COUNTIF(EF$4:EF21,EF21))</f>
        <v>29</v>
      </c>
      <c r="EH21" s="50">
        <f t="shared" ca="1" si="55"/>
        <v>4805.5499999999993</v>
      </c>
      <c r="EI21">
        <f ca="1">EI20+IF(AND(EH21&lt;&gt;"",COUNTIF(EH$4:EH21,EH21)=1),1,0)</f>
        <v>18</v>
      </c>
      <c r="EJ21">
        <f t="shared" ca="1" si="56"/>
        <v>4805.5499999999993</v>
      </c>
      <c r="EK21" t="str">
        <f>IF('Final Calculation Sheet'!$AA$21="","",'Final Calculation Sheet'!$AA$21)</f>
        <v/>
      </c>
      <c r="EL21" t="str">
        <f>IF(EK21="","",COUNTIFS(EK$4:EK$40,"&lt;"&amp;EK21,EK$4:EK$40,"&lt;&gt;"&amp;"")+COUNTIF(EK$4:EK21,EK21))</f>
        <v/>
      </c>
      <c r="EM21" t="e">
        <f t="shared" si="57"/>
        <v>#N/A</v>
      </c>
      <c r="EN21" t="e">
        <f>EN20+IF(AND(EM21&lt;&gt;"",COUNTIF(EM$4:EM21,EM21)=1),1,0)</f>
        <v>#N/A</v>
      </c>
      <c r="EO21" t="e">
        <f t="shared" si="58"/>
        <v>#N/A</v>
      </c>
      <c r="EP21" t="str">
        <f>IF('Final Calculation Sheet'!$AB$21="","",'Final Calculation Sheet'!$AB$21)</f>
        <v/>
      </c>
      <c r="EQ21" t="str">
        <f>IF(EP21="","",COUNTIFS(EP$4:EP$40,"&lt;"&amp;EP21,EP$4:EP$40,"&lt;&gt;"&amp;"")+COUNTIF(EP$4:EP21,EP21))</f>
        <v/>
      </c>
      <c r="ER21" t="e">
        <f t="shared" si="59"/>
        <v>#N/A</v>
      </c>
      <c r="ES21" t="e">
        <f>ES20+IF(AND(ER21&lt;&gt;"",COUNTIF(ER$4:ER21,ER21)=1),1,0)</f>
        <v>#N/A</v>
      </c>
      <c r="ET21" t="e">
        <f t="shared" si="60"/>
        <v>#N/A</v>
      </c>
      <c r="EU21" s="50">
        <f>IF('Final Calculation Sheet'!$AC$21="","",'Final Calculation Sheet'!$AC$21)</f>
        <v>388951</v>
      </c>
      <c r="EV21">
        <f>IF(EU21="","",COUNTIFS(EU$4:EU$40,"&lt;"&amp;EU21,EU$4:EU$40,"&lt;&gt;"&amp;"")+COUNTIF(EU$4:EU21,EU21))</f>
        <v>30</v>
      </c>
      <c r="EW21" s="50">
        <f t="shared" si="61"/>
        <v>137350</v>
      </c>
      <c r="EX21">
        <f>EX20+IF(AND(EW21&lt;&gt;"",COUNTIF(EW$4:EW21,EW21)=1),1,0)</f>
        <v>18</v>
      </c>
      <c r="EY21" s="50">
        <f t="shared" si="62"/>
        <v>137350</v>
      </c>
      <c r="EZ21" s="50">
        <f>IF('Final Calculation Sheet'!$AD$21="","",'Final Calculation Sheet'!$AD$21)</f>
        <v>0</v>
      </c>
      <c r="FA21">
        <f>IF(EZ21="","",COUNTIFS(EZ$4:EZ$40,"&lt;"&amp;EZ21,EZ$4:EZ$40,"&lt;&gt;"&amp;"")+COUNTIF(EZ$4:EZ21,EZ21))</f>
        <v>18</v>
      </c>
      <c r="FB21" s="50">
        <f t="shared" si="63"/>
        <v>0</v>
      </c>
      <c r="FC21">
        <f>FC20+IF(AND(FB21&lt;&gt;"",COUNTIF(FB$4:FB21,FB21)=1),1,0)</f>
        <v>7</v>
      </c>
      <c r="FD21" t="str">
        <f t="shared" si="64"/>
        <v/>
      </c>
      <c r="FE21" t="str">
        <f>IF('Final Calculation Sheet'!$AF$21="","",'Final Calculation Sheet'!$AF$21)</f>
        <v>DR2640100028</v>
      </c>
      <c r="FF21">
        <f>IF(FE21="","",COUNTIFS(FE$4:FE$40,"&lt;"&amp;FE21,FE$4:FE$40,"&lt;&gt;"&amp;"")+COUNTIF(FE$4:FE21,FE21))</f>
        <v>17</v>
      </c>
      <c r="FG21" t="str">
        <f t="shared" si="65"/>
        <v>DR2640100029</v>
      </c>
      <c r="FH21" t="e">
        <f>FH20+IF(AND(FG21&lt;&gt;"",COUNTIF(FG$4:FG21,FG21)=1),1,0)</f>
        <v>#N/A</v>
      </c>
      <c r="FI21" t="e">
        <f t="shared" si="66"/>
        <v>#N/A</v>
      </c>
      <c r="FJ21" s="129">
        <f>IF('Final Calculation Sheet'!$AG$21="","",'Final Calculation Sheet'!$AG$21)</f>
        <v>1800003269</v>
      </c>
      <c r="FK21">
        <f>IF(FJ21="","",COUNTIFS(FJ$4:FJ$40,"&lt;"&amp;FJ21,FJ$4:FJ$40,"&lt;&gt;"&amp;"")+COUNTIF(FJ$4:FJ21,FJ21))</f>
        <v>12</v>
      </c>
      <c r="FL21" s="129">
        <f t="shared" si="67"/>
        <v>1800003306</v>
      </c>
      <c r="FM21">
        <f>FM20+IF(AND(FL21&lt;&gt;"",COUNTIF(FL$4:FL21,FL21)=1),1,0)</f>
        <v>18</v>
      </c>
      <c r="FN21" t="e">
        <f t="shared" si="68"/>
        <v>#N/A</v>
      </c>
      <c r="FO21" t="str">
        <f>IF('Final Calculation Sheet'!$AH$21="","",'Final Calculation Sheet'!$AH$21)</f>
        <v>24.08.2026</v>
      </c>
      <c r="FP21">
        <f>IF(FO21="","",COUNTIFS(FO$4:FO$40,"&lt;"&amp;FO21,FO$4:FO$40,"&lt;&gt;"&amp;"")+COUNTIF(FO$4:FO21,FO21))</f>
        <v>18</v>
      </c>
      <c r="FQ21" t="str">
        <f t="shared" si="69"/>
        <v>24.08.2026</v>
      </c>
      <c r="FR21" t="e">
        <f>FR20+IF(AND(FQ21&lt;&gt;"",COUNTIF(FQ$4:FQ21,FQ21)=1),1,0)</f>
        <v>#N/A</v>
      </c>
      <c r="FS21" t="e">
        <f t="shared" si="70"/>
        <v>#N/A</v>
      </c>
      <c r="FU21" t="str">
        <f>IF(FT21="","",COUNTIFS(FT$4:FT$40,"&lt;"&amp;FT21,FT$4:FT$40,"&lt;&gt;"&amp;"")+COUNTIF(FT$4:FT21,FT21))</f>
        <v/>
      </c>
      <c r="FV21" t="str">
        <f t="shared" si="71"/>
        <v/>
      </c>
      <c r="FW21">
        <f>FW20+IF(AND(FV21&lt;&gt;"",COUNTIF(FV$4:FV21,FV21)=1),1,0)</f>
        <v>2</v>
      </c>
      <c r="FX21" t="str">
        <f t="shared" si="72"/>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1" t="b">
        <f>IF($Y$21="",FALSE,SUMPRODUCT(('Final Calculation Sheet'!$B$4:$B$40=$Y$21)*($FY$6:$FY$42=1))&gt;0)</f>
        <v>1</v>
      </c>
      <c r="GA21">
        <f>$GA$20+--($FZ$21)</f>
        <v>18</v>
      </c>
      <c r="GB21" t="str">
        <f t="shared" si="73"/>
        <v>Scrap of Copper of faulty AC compressor</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D21" t="b">
        <f>IF($O$21="",FALSE,SUMPRODUCT(('Final Calculation Sheet'!$F$4:$F$40=$O$21)*($GC$6:$GC$42=1))&gt;0)</f>
        <v>1</v>
      </c>
      <c r="GE21">
        <f>$GE$20+--($GD21)</f>
        <v>18</v>
      </c>
      <c r="GF21">
        <f t="shared" si="74"/>
        <v>2022</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H21" t="b">
        <f>IF($T$21="",FALSE,SUMPRODUCT(('Final Calculation Sheet'!$G$4:$G$40=$T$21)*($GG$6:$GG$42=1))&gt;0)</f>
        <v>0</v>
      </c>
      <c r="GI21">
        <f>$GI$20+--($GH21)</f>
        <v>13</v>
      </c>
      <c r="GJ21" t="str">
        <f t="shared" si="75"/>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L21" t="b">
        <f>IF($AD$21="",FALSE,SUMPRODUCT(('Final Calculation Sheet'!$D$4:$D$40=$AD$21)*($GK$6:$GK$42=1))&gt;0)</f>
        <v>0</v>
      </c>
      <c r="GM21">
        <f>$GM$20+--($GL21)</f>
        <v>4</v>
      </c>
      <c r="GN21" t="str">
        <f t="shared" si="76"/>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P21" t="b">
        <f>IF($AI$21="",FALSE,SUMPRODUCT(('Final Calculation Sheet'!$A$4:$A$40=$AI$21)*($GO$6:$GO$42=1))&gt;0)</f>
        <v>1</v>
      </c>
      <c r="GQ21">
        <f>$GQ$20+--($GP21)</f>
        <v>18</v>
      </c>
      <c r="GR21">
        <f t="shared" si="77"/>
        <v>670</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T21" t="b">
        <f>IF($AN$21="",FALSE,SUMPRODUCT(('Final Calculation Sheet'!$E$4:$E$40=$AN$21)*($GS$6:$GS$42=1))&gt;0)</f>
        <v>0</v>
      </c>
      <c r="GU21">
        <f>$GU$20+--($GT21)</f>
        <v>3</v>
      </c>
      <c r="GV21" t="str">
        <f t="shared" si="78"/>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GX21" t="b">
        <f>IF($AS$21="",FALSE,SUMPRODUCT(('Final Calculation Sheet'!$C$4:$C$40=$AS$21)*($GW$6:$GW$42=1))&gt;0)</f>
        <v>1</v>
      </c>
      <c r="GY21">
        <f>$GY$20+--($GX21)</f>
        <v>18</v>
      </c>
      <c r="GZ21">
        <f t="shared" si="79"/>
        <v>29502</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B21" t="b">
        <f>IF($AX$21="",FALSE,SUMPRODUCT(('Final Calculation Sheet'!$H$4:$H$40=$AX$21)*($HA$6:$HA$42=1))&gt;0)</f>
        <v>1</v>
      </c>
      <c r="HC21">
        <f>$HC$20+--($HB21)</f>
        <v>18</v>
      </c>
      <c r="HD21">
        <f t="shared" si="80"/>
        <v>135750</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F21" t="b">
        <f>IF($BC$21="",FALSE,SUMPRODUCT(('Final Calculation Sheet'!$I$4:$I$40=$BC$21)*($HE$6:$HE$42=1))&gt;0)</f>
        <v>1</v>
      </c>
      <c r="HG21">
        <f>$HG$20+--($HF21)</f>
        <v>18</v>
      </c>
      <c r="HH21">
        <f t="shared" si="81"/>
        <v>24435</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J21" t="b">
        <f>IF($BH$21="",FALSE,SUMPRODUCT(('Final Calculation Sheet'!$J$4:$J$40=$BH$21)*($HI$6:$HI$42=1))&gt;0)</f>
        <v>1</v>
      </c>
      <c r="HK21">
        <f>$HK$20+--($HJ21)</f>
        <v>18</v>
      </c>
      <c r="HL21">
        <f t="shared" si="82"/>
        <v>160185</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N21" t="b">
        <f>IF($BM$21="",FALSE,SUMPRODUCT(('Final Calculation Sheet'!$K$4:$K$40=$BM$21)*($HM$6:$HM$42=1))&gt;0)</f>
        <v>1</v>
      </c>
      <c r="HO21">
        <f>$HO$20+--($HN21)</f>
        <v>18</v>
      </c>
      <c r="HP21">
        <f t="shared" si="83"/>
        <v>3204</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R21" t="b">
        <f>IF($BR$21="",FALSE,SUMPRODUCT(('Final Calculation Sheet'!$L$4:$L$40=$BR$21)*($HQ$6:$HQ$42=1))&gt;0)</f>
        <v>1</v>
      </c>
      <c r="HS21">
        <f>$HS$20+--($HR21)</f>
        <v>18</v>
      </c>
      <c r="HT21">
        <f t="shared" si="84"/>
        <v>135.75</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V21" t="b">
        <f>IF($BW$21="",FALSE,SUMPRODUCT(('Final Calculation Sheet'!$M$4:$M$40=$BW$21)*($HU$6:$HU$42=1))&gt;0)</f>
        <v>1</v>
      </c>
      <c r="HW21">
        <f>$HW$20+--($HV21)</f>
        <v>18</v>
      </c>
      <c r="HX21">
        <f t="shared" si="85"/>
        <v>3604.1624999999999</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HZ21" t="b">
        <f>IF($CB$21="",FALSE,SUMPRODUCT(('Final Calculation Sheet'!$N$4:$N$40=$CB$21)*($HY$6:$HY$42=1))&gt;0)</f>
        <v>1</v>
      </c>
      <c r="IA21">
        <f>$IA$20+--($HZ21)</f>
        <v>18</v>
      </c>
      <c r="IB21">
        <f t="shared" si="86"/>
        <v>61.087499999999999</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D21" t="b">
        <f>IF($CG$21="",FALSE,SUMPRODUCT(('Final Calculation Sheet'!$O$4:$O$40=$CG$21)*($IC$6:$IC$42=1))&gt;0)</f>
        <v>1</v>
      </c>
      <c r="IE21">
        <f>$IE$20+--($ID21)</f>
        <v>18</v>
      </c>
      <c r="IF21">
        <f t="shared" si="87"/>
        <v>3543.0749999999998</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H21" t="b">
        <f>IF($CL$21="",FALSE,SUMPRODUCT(('Final Calculation Sheet'!$P$4:$P$40=$CL$21)*($IG$6:$IG$42=1))&gt;0)</f>
        <v>1</v>
      </c>
      <c r="II21">
        <f>$II$20+--($IH21)</f>
        <v>18</v>
      </c>
      <c r="IJ21">
        <f t="shared" si="88"/>
        <v>3679</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L21" t="b">
        <f>IF($CQ$21="",FALSE,SUMPRODUCT(('Final Calculation Sheet'!$Q$4:$Q$40=$CQ$21)*($IK$6:$IK$42=1))&gt;0)</f>
        <v>0</v>
      </c>
      <c r="IM21">
        <f>$IM$20+--($IL21)</f>
        <v>2</v>
      </c>
      <c r="IN21" t="str">
        <f t="shared" si="89"/>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P21" t="b">
        <f>IF($CV$21="",FALSE,SUMPRODUCT(('Final Calculation Sheet'!$R$4:$R$40=$CV$21)*($IO$6:$IO$42=1))&gt;0)</f>
        <v>0</v>
      </c>
      <c r="IQ21">
        <f>$IQ$20+--($IP21)</f>
        <v>5</v>
      </c>
      <c r="IR21" t="str">
        <f t="shared" si="90"/>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T21" t="b">
        <f>IF($DA$21="",FALSE,SUMPRODUCT(('Final Calculation Sheet'!$S$4:$S$40=$DA$21)*($IS$6:$IS$42=1))&gt;0)</f>
        <v>1</v>
      </c>
      <c r="IU21">
        <f>$IU$20+--($IT21)</f>
        <v>18</v>
      </c>
      <c r="IV21">
        <f t="shared" si="91"/>
        <v>159710</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IX21" t="b">
        <f>IF($DF$21="",FALSE,SUMPRODUCT(('Final Calculation Sheet'!$T$4:$T$40=$DF$21)*($IW$6:$IW$42=1))&gt;0)</f>
        <v>1</v>
      </c>
      <c r="IY21">
        <f>$IY$20+--($IX21)</f>
        <v>18</v>
      </c>
      <c r="IZ21">
        <f t="shared" si="92"/>
        <v>33938</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B21" t="b">
        <f>IF($DK$21="",FALSE,SUMPRODUCT(('Final Calculation Sheet'!$U$4:$U$40=$DK$21)*($JA$6:$JA$42=1))&gt;0)</f>
        <v>1</v>
      </c>
      <c r="JC21">
        <f>$JC$20+--($JB21)</f>
        <v>18</v>
      </c>
      <c r="JD21">
        <f t="shared" si="93"/>
        <v>33938</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F21" t="b">
        <f>IF($DP$21="",FALSE,SUMPRODUCT(('Final Calculation Sheet'!$V$4:$V$40=$DP$21)*($JE$6:$JE$42=1))&gt;0)</f>
        <v>0</v>
      </c>
      <c r="JG21">
        <f>$JG$20+--($JF21)</f>
        <v>6</v>
      </c>
      <c r="JH21" t="str">
        <f t="shared" si="94"/>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J21" t="b">
        <f>IF($DU$21="",FALSE,SUMPRODUCT(('Final Calculation Sheet'!$W$4:$W$40=$DU$21)*($JI$6:$JI$42=1))&gt;0)</f>
        <v>1</v>
      </c>
      <c r="JK21">
        <f>$JK$20+--($JJ21)</f>
        <v>18</v>
      </c>
      <c r="JL21">
        <f t="shared" si="95"/>
        <v>125772</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N21" t="e">
        <f>IF($DZ$21="",FALSE,SUMPRODUCT(('Final Calculation Sheet'!$X$4:$X$40=$DZ$21)*($JM$6:$JM$42=1))&gt;0)</f>
        <v>#N/A</v>
      </c>
      <c r="JO21" t="e">
        <f>$JO$20+--($JN21)</f>
        <v>#N/A</v>
      </c>
      <c r="JP21" t="e">
        <f t="shared" si="96"/>
        <v>#N/A</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R21" t="e">
        <f>IF($EE$21="",FALSE,SUMPRODUCT(('Final Calculation Sheet'!$Y$4:$Y$40=$EE$21)*($JQ$6:$JQ$42=1))&gt;0)</f>
        <v>#N/A</v>
      </c>
      <c r="JS21" t="e">
        <f>$JS$20+--($JR21)</f>
        <v>#N/A</v>
      </c>
      <c r="JT21" t="e">
        <f t="shared" si="97"/>
        <v>#N/A</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V21" t="b">
        <f ca="1">IF($EJ$21="",FALSE,SUMPRODUCT(('Final Calculation Sheet'!$Z$4:$Z$40=$EJ$21)*($JU$6:$JU$42=1))&gt;0)</f>
        <v>1</v>
      </c>
      <c r="JW21">
        <f ca="1">$JW$20+--($JV21)</f>
        <v>18</v>
      </c>
      <c r="JX21">
        <f t="shared" ca="1" si="98"/>
        <v>4805.5499999999993</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JZ21" t="e">
        <f>IF($EO$21="",FALSE,SUMPRODUCT(('Final Calculation Sheet'!$AA$4:$AA$40=$EO$21)*($JY$6:$JY$42=1))&gt;0)</f>
        <v>#N/A</v>
      </c>
      <c r="KA21" t="e">
        <f>$KA$20+--($JZ21)</f>
        <v>#N/A</v>
      </c>
      <c r="KB21" t="e">
        <f t="shared" si="99"/>
        <v>#N/A</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D21" t="e">
        <f>IF($ET$21="",FALSE,SUMPRODUCT(('Final Calculation Sheet'!$AB$4:$AB$40=$ET$21)*($KC$6:$KC$42=1))&gt;0)</f>
        <v>#N/A</v>
      </c>
      <c r="KE21" t="e">
        <f>$KE$20+--($KD21)</f>
        <v>#N/A</v>
      </c>
      <c r="KF21" t="e">
        <f t="shared" si="100"/>
        <v>#N/A</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H21" t="b">
        <f>IF($EY$21="",FALSE,SUMPRODUCT(('Final Calculation Sheet'!$AC$4:$AC$40=$EY$21)*($KG$6:$KG$42=1))&gt;0)</f>
        <v>1</v>
      </c>
      <c r="KI21">
        <f>$KI$20+--($KH21)</f>
        <v>18</v>
      </c>
      <c r="KJ21">
        <f t="shared" si="101"/>
        <v>137350</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L21" t="b">
        <f>IF($FD$21="",FALSE,SUMPRODUCT(('Final Calculation Sheet'!$AD$4:$AD$40=$FD$21)*($KK$6:$KK$42=1))&gt;0)</f>
        <v>0</v>
      </c>
      <c r="KM21">
        <f>$KM$20+--($KL21)</f>
        <v>11</v>
      </c>
      <c r="KN21" t="str">
        <f t="shared" si="102"/>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P21" t="b">
        <f>IF($FX$21="",FALSE,SUMPRODUCT((IF('Final Calculation Sheet'!$AD$4:$AD$40&lt;=5,"SETTLED","OUTSTANDING")=$FX$21)*($KO$6:$KO$42=1))&gt;0)</f>
        <v>0</v>
      </c>
      <c r="KQ21">
        <f>$KQ$20+--($KP21)</f>
        <v>1</v>
      </c>
      <c r="KR21" t="str">
        <f t="shared" si="103"/>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T21" t="e">
        <f>IF($FI$21="",FALSE,SUMPRODUCT(('Final Calculation Sheet'!$AF$4:$AF$40=$FI$21)*($KS$6:$KS$42=1))&gt;0)</f>
        <v>#N/A</v>
      </c>
      <c r="KU21" t="e">
        <f>$KU$20+--($KT21)</f>
        <v>#N/A</v>
      </c>
      <c r="KV21" t="e">
        <f t="shared" si="104"/>
        <v>#N/A</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KX21" t="e">
        <f>IF($FN$21="",FALSE,SUMPRODUCT(('Final Calculation Sheet'!$AG$4:$AG$40=$FN$21)*($KW$6:$KW$42=1))&gt;0)</f>
        <v>#N/A</v>
      </c>
      <c r="KY21" t="e">
        <f>$KY$20+--($KX21)</f>
        <v>#N/A</v>
      </c>
      <c r="KZ21" t="e">
        <f t="shared" si="105"/>
        <v>#N/A</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LB21" t="e">
        <f>IF($FS$21="",FALSE,SUMPRODUCT(('Final Calculation Sheet'!$AH$4:$AH$40=$FS$21)*($LA$6:$LA$42=1))&gt;0)</f>
        <v>#N/A</v>
      </c>
      <c r="LC21" t="e">
        <f>$LC$20+--($LB21)</f>
        <v>#N/A</v>
      </c>
      <c r="LD21" t="e">
        <f t="shared" si="106"/>
        <v>#N/A</v>
      </c>
      <c r="LE21">
        <f>IF(COUNTIF('Buyer Groups'!DH21:EN21,0)&gt;0,0,1)</f>
        <v>1</v>
      </c>
      <c r="LF21" t="b">
        <f>IF($O$21="",FALSE,SUMPRODUCT(('Final Calculation Sheet'!$F$4:$F$40=$O$21)*($LE$6:$LE$42=1))&gt;0)</f>
        <v>1</v>
      </c>
      <c r="LG21">
        <f>$LG$20+--($LF21)</f>
        <v>18</v>
      </c>
      <c r="LH21">
        <f t="shared" si="107"/>
        <v>2022</v>
      </c>
      <c r="LI21">
        <f>IF(COUNTIF('Buyer Groups'!DG21:DG21,0)+COUNTIF('Buyer Groups'!DI21:EN21,0)&gt;0,0,1)</f>
        <v>1</v>
      </c>
      <c r="LJ21" t="b">
        <f>IF($T$21="",FALSE,SUMPRODUCT(('Final Calculation Sheet'!$G$4:$G$40=$T$21)*($LI$6:$LI$42=1))&gt;0)</f>
        <v>0</v>
      </c>
      <c r="LK21">
        <f>$LK$20+--($LJ21)</f>
        <v>13</v>
      </c>
      <c r="LL21" t="str">
        <f t="shared" si="108"/>
        <v/>
      </c>
      <c r="LM21">
        <f>IF(COUNTIF('Buyer Groups'!DG21:DH21,0)+COUNTIF('Buyer Groups'!DJ21:EN21,0)&gt;0,0,1)</f>
        <v>1</v>
      </c>
      <c r="LN21" t="b">
        <f>IF($Y$21="",FALSE,SUMPRODUCT(('Final Calculation Sheet'!$B$4:$B$40=$Y$21)*($LM$6:$LM$42=1))&gt;0)</f>
        <v>1</v>
      </c>
      <c r="LO21">
        <f>$LO$20+--($LN21)</f>
        <v>18</v>
      </c>
      <c r="LP21" t="str">
        <f t="shared" si="109"/>
        <v>Scrap of Copper of faulty AC compressor</v>
      </c>
      <c r="LQ21">
        <f>IF(COUNTIF('Buyer Groups'!DG21:DI21,0)+COUNTIF('Buyer Groups'!DK21:EN21,0)&gt;0,0,1)</f>
        <v>1</v>
      </c>
      <c r="LR21" t="b">
        <f>IF($AD$21="",FALSE,SUMPRODUCT(('Final Calculation Sheet'!$D$4:$D$40=$AD$21)*($LQ$6:$LQ$42=1))&gt;0)</f>
        <v>0</v>
      </c>
      <c r="LS21">
        <f>$LS$20+--($LR21)</f>
        <v>4</v>
      </c>
      <c r="LT21" t="str">
        <f t="shared" si="110"/>
        <v/>
      </c>
      <c r="LU21">
        <f>IF(COUNTIF('Buyer Groups'!DG21:DJ21,0)+COUNTIF('Buyer Groups'!DL21:EN21,0)&gt;0,0,1)</f>
        <v>1</v>
      </c>
      <c r="LV21" t="b">
        <f>IF($AI$21="",FALSE,SUMPRODUCT(('Final Calculation Sheet'!$A$4:$A$40=$AI$21)*($LU$6:$LU$42=1))&gt;0)</f>
        <v>1</v>
      </c>
      <c r="LW21">
        <f>$LW$20+--($LV21)</f>
        <v>18</v>
      </c>
      <c r="LX21">
        <f t="shared" si="111"/>
        <v>670</v>
      </c>
      <c r="LY21">
        <f>IF(COUNTIF('Buyer Groups'!DG21:DK21,0)+COUNTIF('Buyer Groups'!DM21:EN21,0)&gt;0,0,1)</f>
        <v>1</v>
      </c>
      <c r="LZ21" t="b">
        <f>IF($AN$21="",FALSE,SUMPRODUCT(('Final Calculation Sheet'!$E$4:$E$40=$AN$21)*($LY$6:$LY$42=1))&gt;0)</f>
        <v>0</v>
      </c>
      <c r="MA21">
        <f>$MA$20+--($LZ21)</f>
        <v>3</v>
      </c>
      <c r="MB21" t="str">
        <f t="shared" si="112"/>
        <v/>
      </c>
      <c r="MC21">
        <f>IF(COUNTIF('Buyer Groups'!DG21:DL21,0)+COUNTIF('Buyer Groups'!DN21:EN21,0)&gt;0,0,1)</f>
        <v>1</v>
      </c>
      <c r="MD21" t="b">
        <f>IF($AS$21="",FALSE,SUMPRODUCT(('Final Calculation Sheet'!$C$4:$C$40=$AS$21)*($MC$6:$MC$42=1))&gt;0)</f>
        <v>1</v>
      </c>
      <c r="ME21">
        <f>$ME$20+--($MD21)</f>
        <v>18</v>
      </c>
      <c r="MF21">
        <f t="shared" si="113"/>
        <v>29502</v>
      </c>
      <c r="MG21">
        <f>IF(COUNTIF('Buyer Groups'!DG21:DM21,0)+COUNTIF('Buyer Groups'!DO21:EN21,0)&gt;0,0,1)</f>
        <v>1</v>
      </c>
      <c r="MH21" t="b">
        <f>IF($AX$21="",FALSE,SUMPRODUCT(('Final Calculation Sheet'!$H$4:$H$40=$AX$21)*($MG$6:$MG$42=1))&gt;0)</f>
        <v>1</v>
      </c>
      <c r="MI21">
        <f>$MI$20+--($MH21)</f>
        <v>18</v>
      </c>
      <c r="MJ21">
        <f t="shared" si="114"/>
        <v>135750</v>
      </c>
      <c r="MK21">
        <f>IF(COUNTIF('Buyer Groups'!DG21:DN21,0)+COUNTIF('Buyer Groups'!DP21:EN21,0)&gt;0,0,1)</f>
        <v>1</v>
      </c>
      <c r="ML21" t="b">
        <f>IF($BC$21="",FALSE,SUMPRODUCT(('Final Calculation Sheet'!$I$4:$I$40=$BC$21)*($MK$6:$MK$42=1))&gt;0)</f>
        <v>1</v>
      </c>
      <c r="MM21">
        <f>$MM$20+--($ML21)</f>
        <v>18</v>
      </c>
      <c r="MN21">
        <f t="shared" si="115"/>
        <v>24435</v>
      </c>
      <c r="MO21">
        <f>IF(COUNTIF('Buyer Groups'!DG21:DO21,0)+COUNTIF('Buyer Groups'!DQ21:EN21,0)&gt;0,0,1)</f>
        <v>1</v>
      </c>
      <c r="MP21" t="b">
        <f>IF($BH$21="",FALSE,SUMPRODUCT(('Final Calculation Sheet'!$J$4:$J$40=$BH$21)*($MO$6:$MO$42=1))&gt;0)</f>
        <v>1</v>
      </c>
      <c r="MQ21">
        <f>$MQ$20+--($MP21)</f>
        <v>18</v>
      </c>
      <c r="MR21">
        <f t="shared" si="116"/>
        <v>160185</v>
      </c>
      <c r="MS21">
        <f>IF(COUNTIF('Buyer Groups'!DG21:DP21,0)+COUNTIF('Buyer Groups'!DR21:EN21,0)&gt;0,0,1)</f>
        <v>1</v>
      </c>
      <c r="MT21" t="b">
        <f>IF($BM$21="",FALSE,SUMPRODUCT(('Final Calculation Sheet'!$K$4:$K$40=$BM$21)*($MS$6:$MS$42=1))&gt;0)</f>
        <v>1</v>
      </c>
      <c r="MU21">
        <f>$MU$20+--($MT21)</f>
        <v>18</v>
      </c>
      <c r="MV21">
        <f t="shared" si="117"/>
        <v>3204</v>
      </c>
      <c r="MW21">
        <f>IF(COUNTIF('Buyer Groups'!DG21:DQ21,0)+COUNTIF('Buyer Groups'!DS21:EN21,0)&gt;0,0,1)</f>
        <v>1</v>
      </c>
      <c r="MX21" t="b">
        <f>IF($BR$21="",FALSE,SUMPRODUCT(('Final Calculation Sheet'!$L$4:$L$40=$BR$21)*($MW$6:$MW$42=1))&gt;0)</f>
        <v>1</v>
      </c>
      <c r="MY21">
        <f>$MY$20+--($MX21)</f>
        <v>18</v>
      </c>
      <c r="MZ21">
        <f t="shared" si="118"/>
        <v>135.75</v>
      </c>
      <c r="NA21">
        <f>IF(COUNTIF('Buyer Groups'!DG21:DR21,0)+COUNTIF('Buyer Groups'!DT21:EN21,0)&gt;0,0,1)</f>
        <v>1</v>
      </c>
      <c r="NB21" t="b">
        <f>IF($BW$21="",FALSE,SUMPRODUCT(('Final Calculation Sheet'!$M$4:$M$40=$BW$21)*($NA$6:$NA$42=1))&gt;0)</f>
        <v>1</v>
      </c>
      <c r="NC21">
        <f>$NC$20+--($NB21)</f>
        <v>18</v>
      </c>
      <c r="ND21">
        <f t="shared" si="119"/>
        <v>3604.1624999999999</v>
      </c>
      <c r="NE21">
        <f>IF(COUNTIF('Buyer Groups'!DG21:DS21,0)+COUNTIF('Buyer Groups'!DU21:EN21,0)&gt;0,0,1)</f>
        <v>1</v>
      </c>
      <c r="NF21" t="b">
        <f>IF($CB$21="",FALSE,SUMPRODUCT(('Final Calculation Sheet'!$N$4:$N$40=$CB$21)*($NE$6:$NE$42=1))&gt;0)</f>
        <v>1</v>
      </c>
      <c r="NG21">
        <f>$NG$20+--($NF21)</f>
        <v>18</v>
      </c>
      <c r="NH21">
        <f t="shared" si="120"/>
        <v>61.087499999999999</v>
      </c>
      <c r="NI21">
        <f>IF(COUNTIF('Buyer Groups'!DG21:DT21,0)+COUNTIF('Buyer Groups'!DV21:EN21,0)&gt;0,0,1)</f>
        <v>1</v>
      </c>
      <c r="NJ21" t="b">
        <f>IF($CG$21="",FALSE,SUMPRODUCT(('Final Calculation Sheet'!$O$4:$O$40=$CG$21)*($NI$6:$NI$42=1))&gt;0)</f>
        <v>1</v>
      </c>
      <c r="NK21">
        <f>$NK$20+--($NJ21)</f>
        <v>18</v>
      </c>
      <c r="NL21">
        <f t="shared" si="121"/>
        <v>3543.0749999999998</v>
      </c>
      <c r="NM21">
        <f>IF(COUNTIF('Buyer Groups'!DG21:DU21,0)+COUNTIF('Buyer Groups'!DW21:EN21,0)&gt;0,0,1)</f>
        <v>1</v>
      </c>
      <c r="NN21" t="b">
        <f>IF($CL$21="",FALSE,SUMPRODUCT(('Final Calculation Sheet'!$P$4:$P$40=$CL$21)*($NM$6:$NM$42=1))&gt;0)</f>
        <v>1</v>
      </c>
      <c r="NO21">
        <f>$NO$20+--($NN21)</f>
        <v>18</v>
      </c>
      <c r="NP21">
        <f t="shared" si="122"/>
        <v>3679</v>
      </c>
      <c r="NQ21">
        <f>IF(COUNTIF('Buyer Groups'!DG21:DV21,0)+COUNTIF('Buyer Groups'!DX21:EN21,0)&gt;0,0,1)</f>
        <v>1</v>
      </c>
      <c r="NR21" t="b">
        <f>IF($CQ$21="",FALSE,SUMPRODUCT(('Final Calculation Sheet'!$Q$4:$Q$40=$CQ$21)*($NQ$6:$NQ$42=1))&gt;0)</f>
        <v>0</v>
      </c>
      <c r="NS21">
        <f>$NS$20+--($NR21)</f>
        <v>2</v>
      </c>
      <c r="NT21" t="str">
        <f t="shared" si="123"/>
        <v/>
      </c>
      <c r="NU21">
        <f>IF(COUNTIF('Buyer Groups'!DG21:DW21,0)+COUNTIF('Buyer Groups'!DY21:EN21,0)&gt;0,0,1)</f>
        <v>1</v>
      </c>
      <c r="NV21" t="b">
        <f>IF($CV$21="",FALSE,SUMPRODUCT(('Final Calculation Sheet'!$R$4:$R$40=$CV$21)*($NU$6:$NU$42=1))&gt;0)</f>
        <v>0</v>
      </c>
      <c r="NW21">
        <f>$NW$20+--($NV21)</f>
        <v>5</v>
      </c>
      <c r="NX21" t="str">
        <f t="shared" si="124"/>
        <v/>
      </c>
      <c r="NY21">
        <f>IF(COUNTIF('Buyer Groups'!DG21:DX21,0)+COUNTIF('Buyer Groups'!DZ21:EN21,0)&gt;0,0,1)</f>
        <v>1</v>
      </c>
      <c r="NZ21" t="b">
        <f>IF($DA$21="",FALSE,SUMPRODUCT(('Final Calculation Sheet'!$S$4:$S$40=$DA$21)*($NY$6:$NY$42=1))&gt;0)</f>
        <v>1</v>
      </c>
      <c r="OA21">
        <f>$OA$20+--($NZ21)</f>
        <v>18</v>
      </c>
      <c r="OB21">
        <f t="shared" si="125"/>
        <v>159710</v>
      </c>
      <c r="OC21">
        <f>IF(COUNTIF('Buyer Groups'!DG21:DY21,0)+COUNTIF('Buyer Groups'!EA21:EN21,0)&gt;0,0,1)</f>
        <v>1</v>
      </c>
      <c r="OD21" t="b">
        <f>IF($DF$21="",FALSE,SUMPRODUCT(('Final Calculation Sheet'!$T$4:$T$40=$DF$21)*($OC$6:$OC$42=1))&gt;0)</f>
        <v>1</v>
      </c>
      <c r="OE21">
        <f>$OE$20+--($OD21)</f>
        <v>18</v>
      </c>
      <c r="OF21">
        <f t="shared" si="126"/>
        <v>33938</v>
      </c>
      <c r="OG21">
        <f>IF(COUNTIF('Buyer Groups'!DG21:DZ21,0)+COUNTIF('Buyer Groups'!EB21:EN21,0)&gt;0,0,1)</f>
        <v>1</v>
      </c>
      <c r="OH21" t="b">
        <f>IF($DK$21="",FALSE,SUMPRODUCT(('Final Calculation Sheet'!$U$4:$U$40=$DK$21)*($OG$6:$OG$42=1))&gt;0)</f>
        <v>1</v>
      </c>
      <c r="OI21">
        <f>$OI$20+--($OH21)</f>
        <v>18</v>
      </c>
      <c r="OJ21">
        <f t="shared" si="127"/>
        <v>33938</v>
      </c>
      <c r="OK21">
        <f>IF(COUNTIF('Buyer Groups'!DG21:EA21,0)+COUNTIF('Buyer Groups'!EC21:EN21,0)&gt;0,0,1)</f>
        <v>1</v>
      </c>
      <c r="OL21" t="b">
        <f>IF($DP$21="",FALSE,SUMPRODUCT(('Final Calculation Sheet'!$V$4:$V$40=$DP$21)*($OK$6:$OK$42=1))&gt;0)</f>
        <v>0</v>
      </c>
      <c r="OM21">
        <f>$OM$20+--($OL21)</f>
        <v>6</v>
      </c>
      <c r="ON21" t="str">
        <f t="shared" si="128"/>
        <v/>
      </c>
      <c r="OO21">
        <f>IF(COUNTIF('Buyer Groups'!DG21:EB21,0)+COUNTIF('Buyer Groups'!ED21:EN21,0)&gt;0,0,1)</f>
        <v>1</v>
      </c>
      <c r="OP21" t="b">
        <f>IF($DU$21="",FALSE,SUMPRODUCT(('Final Calculation Sheet'!$W$4:$W$40=$DU$21)*($OO$6:$OO$42=1))&gt;0)</f>
        <v>1</v>
      </c>
      <c r="OQ21">
        <f>$OQ$20+--($OP21)</f>
        <v>18</v>
      </c>
      <c r="OR21">
        <f t="shared" si="129"/>
        <v>125772</v>
      </c>
      <c r="OS21">
        <f>IF(COUNTIF('Buyer Groups'!DG21:EC21,0)+COUNTIF('Buyer Groups'!EE21:EN21,0)&gt;0,0,1)</f>
        <v>1</v>
      </c>
      <c r="OT21" t="e">
        <f>IF($DZ$21="",FALSE,SUMPRODUCT(('Final Calculation Sheet'!$X$4:$X$40=$DZ$21)*($OS$6:$OS$42=1))&gt;0)</f>
        <v>#N/A</v>
      </c>
      <c r="OU21" t="e">
        <f>$OU$20+--($OT21)</f>
        <v>#N/A</v>
      </c>
      <c r="OV21" t="e">
        <f t="shared" si="130"/>
        <v>#N/A</v>
      </c>
      <c r="OW21">
        <f>IF(COUNTIF('Buyer Groups'!DG21:ED21,0)+COUNTIF('Buyer Groups'!EF21:EN21,0)&gt;0,0,1)</f>
        <v>1</v>
      </c>
      <c r="OX21" t="e">
        <f>IF($EE$21="",FALSE,SUMPRODUCT(('Final Calculation Sheet'!$Y$4:$Y$40=$EE$21)*($OW$6:$OW$42=1))&gt;0)</f>
        <v>#N/A</v>
      </c>
      <c r="OY21" t="e">
        <f>$OY$20+--($OX21)</f>
        <v>#N/A</v>
      </c>
      <c r="OZ21" t="e">
        <f t="shared" si="131"/>
        <v>#N/A</v>
      </c>
      <c r="PA21">
        <f>IF(COUNTIF('Buyer Groups'!DG21:EE21,0)+COUNTIF('Buyer Groups'!EG21:EN21,0)&gt;0,0,1)</f>
        <v>1</v>
      </c>
      <c r="PB21" t="b">
        <f ca="1">IF($EJ$21="",FALSE,SUMPRODUCT(('Final Calculation Sheet'!$Z$4:$Z$40=$EJ$21)*($PA$6:$PA$42=1))&gt;0)</f>
        <v>1</v>
      </c>
      <c r="PC21">
        <f ca="1">$PC$20+--($PB21)</f>
        <v>18</v>
      </c>
      <c r="PD21">
        <f t="shared" ca="1" si="132"/>
        <v>4805.5499999999993</v>
      </c>
      <c r="PE21">
        <f>IF(COUNTIF('Buyer Groups'!DG21:EF21,0)+COUNTIF('Buyer Groups'!EH21:EN21,0)&gt;0,0,1)</f>
        <v>1</v>
      </c>
      <c r="PF21" t="e">
        <f>IF($EO$21="",FALSE,SUMPRODUCT(('Final Calculation Sheet'!$AA$4:$AA$40=$EO$21)*($PE$6:$PE$42=1))&gt;0)</f>
        <v>#N/A</v>
      </c>
      <c r="PG21" t="e">
        <f>$PG$20+--($PF21)</f>
        <v>#N/A</v>
      </c>
      <c r="PH21" t="e">
        <f t="shared" si="133"/>
        <v>#N/A</v>
      </c>
      <c r="PI21">
        <f>IF(COUNTIF('Buyer Groups'!DG21:EG21,0)+COUNTIF('Buyer Groups'!EI21:EN21,0)&gt;0,0,1)</f>
        <v>1</v>
      </c>
      <c r="PJ21" t="e">
        <f>IF($ET$21="",FALSE,SUMPRODUCT(('Final Calculation Sheet'!$AB$4:$AB$40=$ET$21)*($PI$6:$PI$42=1))&gt;0)</f>
        <v>#N/A</v>
      </c>
      <c r="PK21" t="e">
        <f>$PK$20+--($PJ21)</f>
        <v>#N/A</v>
      </c>
      <c r="PL21" t="e">
        <f t="shared" si="134"/>
        <v>#N/A</v>
      </c>
      <c r="PM21">
        <f>IF(COUNTIF('Buyer Groups'!DG21:EH21,0)+COUNTIF('Buyer Groups'!EJ21:EN21,0)&gt;0,0,1)</f>
        <v>1</v>
      </c>
      <c r="PN21" t="b">
        <f>IF($EY$21="",FALSE,SUMPRODUCT(('Final Calculation Sheet'!$AC$4:$AC$40=$EY$21)*($PM$6:$PM$42=1))&gt;0)</f>
        <v>1</v>
      </c>
      <c r="PO21">
        <f>$PO$20+--($PN21)</f>
        <v>18</v>
      </c>
      <c r="PP21">
        <f t="shared" si="135"/>
        <v>137350</v>
      </c>
      <c r="PQ21">
        <f>IF(COUNTIF('Buyer Groups'!DG21:EI21,0)+COUNTIF('Buyer Groups'!EK21:EN21,0)&gt;0,0,1)</f>
        <v>1</v>
      </c>
      <c r="PR21" t="b">
        <f>IF($FD$21="",FALSE,SUMPRODUCT(('Final Calculation Sheet'!$AD$4:$AD$40=$FD$21)*($PQ$6:$PQ$42=1))&gt;0)</f>
        <v>0</v>
      </c>
      <c r="PS21">
        <f>$PS$20+--($PR21)</f>
        <v>11</v>
      </c>
      <c r="PT21" t="str">
        <f t="shared" si="136"/>
        <v/>
      </c>
      <c r="PU21">
        <f>IF(COUNTIF('Buyer Groups'!DG21:EJ21,0)+COUNTIF('Buyer Groups'!EL21:EN21,0)&gt;0,0,1)</f>
        <v>1</v>
      </c>
      <c r="PV21" t="b">
        <f>IF($FX$21="",FALSE,SUMPRODUCT((IF('Final Calculation Sheet'!$AD$4:$AD$40&lt;=5,"SETTLED","OUTSTANDING")=$FX$21)*($PU$6:$PU$42=1))&gt;0)</f>
        <v>0</v>
      </c>
      <c r="PW21">
        <f>$PW$20+--($PV21)</f>
        <v>1</v>
      </c>
      <c r="PX21" t="str">
        <f t="shared" si="137"/>
        <v/>
      </c>
      <c r="PY21">
        <f>IF(COUNTIF('Buyer Groups'!DG21:EK21,0)+COUNTIF('Buyer Groups'!EM21:EN21,0)&gt;0,0,1)</f>
        <v>1</v>
      </c>
      <c r="PZ21" t="e">
        <f>IF($FI$21="",FALSE,SUMPRODUCT(('Final Calculation Sheet'!$AF$4:$AF$40=$FI$21)*($PY$6:$PY$42=1))&gt;0)</f>
        <v>#N/A</v>
      </c>
      <c r="QA21" t="e">
        <f>$QA$20+--($PZ21)</f>
        <v>#N/A</v>
      </c>
      <c r="QB21" t="e">
        <f t="shared" si="138"/>
        <v>#N/A</v>
      </c>
      <c r="QC21">
        <f>IF(COUNTIF('Buyer Groups'!DG21:EL21,0)+COUNTIF('Buyer Groups'!EN21:EN21,0)&gt;0,0,1)</f>
        <v>1</v>
      </c>
      <c r="QD21" t="e">
        <f>IF($FN$21="",FALSE,SUMPRODUCT(('Final Calculation Sheet'!$AG$4:$AG$40=$FN$21)*($QC$6:$QC$42=1))&gt;0)</f>
        <v>#N/A</v>
      </c>
      <c r="QE21" t="e">
        <f>$QE$20+--($QD21)</f>
        <v>#N/A</v>
      </c>
      <c r="QF21" t="e">
        <f t="shared" si="139"/>
        <v>#N/A</v>
      </c>
      <c r="QG21">
        <f>IF(COUNTIF('Buyer Groups'!DG21:EM21,0)&gt;0,0,1)</f>
        <v>1</v>
      </c>
      <c r="QH21" t="e">
        <f>IF($FS$21="",FALSE,SUMPRODUCT(('Final Calculation Sheet'!$AH$4:$AH$40=$FS$21)*($QG$6:$QG$42=1))&gt;0)</f>
        <v>#N/A</v>
      </c>
      <c r="QI21" t="e">
        <f>$QI$20+--($QH21)</f>
        <v>#N/A</v>
      </c>
      <c r="QJ21" t="e">
        <f t="shared" si="140"/>
        <v>#N/A</v>
      </c>
      <c r="QK21" t="str">
        <f>IF('Final Calculation Sheet'!$AH$21="","",'Final Calculation Sheet'!$AH$21)</f>
        <v>24.08.2026</v>
      </c>
      <c r="QL21">
        <f>IF(QK21="","",COUNTIFS(QK$4:QK$40,"&lt;"&amp;QK21,QK$4:QK$40,"&lt;&gt;"&amp;"")+COUNTIF(QK$4:QK21,QK21))</f>
        <v>18</v>
      </c>
      <c r="QM21" t="str">
        <f t="shared" si="141"/>
        <v>24.08.2026</v>
      </c>
      <c r="QN21" t="e">
        <f ca="1">QN20+F(AND(QM21&lt;&gt;"",COUNTIF(QM$4:QM21,QM21)=1),1,0)</f>
        <v>#N/A</v>
      </c>
      <c r="QO21" t="e">
        <f t="shared" si="142"/>
        <v>#N/A</v>
      </c>
      <c r="QP21">
        <f>IF(COUNTIF('Final Calculation Sheet'!$AM21:$BS21,0)&gt;0,0,1)</f>
        <v>1</v>
      </c>
      <c r="QQ21" t="b">
        <f>IF($AI$21="",FALSE,SUMPRODUCT(('Final Calculation Sheet'!$A$4:$A$40=$AI$21)*($QP$4:$QP$40=1))&gt;0)</f>
        <v>1</v>
      </c>
      <c r="QR21">
        <f t="shared" si="177"/>
        <v>18</v>
      </c>
      <c r="QS21">
        <f t="shared" si="143"/>
        <v>670</v>
      </c>
      <c r="QT21">
        <f>IF(COUNTIF('Final Calculation Sheet'!$AL21:$AL21,0)+COUNTIF('Final Calculation Sheet'!$AN21:$BS21,0)&gt;0,0,1)</f>
        <v>1</v>
      </c>
      <c r="QU21" t="b">
        <f>IF($Y$21="",FALSE,SUMPRODUCT(('Final Calculation Sheet'!$B$4:$B$40=$Y$21)*($QT$4:$QT$40=1))&gt;0)</f>
        <v>1</v>
      </c>
      <c r="QV21">
        <f t="shared" si="178"/>
        <v>18</v>
      </c>
      <c r="QW21" t="str">
        <f t="shared" si="144"/>
        <v>Scrap of Copper of faulty AC compressor</v>
      </c>
      <c r="QX21">
        <f>IF(COUNTIF('Final Calculation Sheet'!$AL21:$AM21,0)+COUNTIF('Final Calculation Sheet'!$AO21:$BS21,0)&gt;0,0,1)</f>
        <v>1</v>
      </c>
      <c r="QY21" t="b">
        <f>IF($AS$21="",FALSE,SUMPRODUCT(('Final Calculation Sheet'!$C$4:$C$40=$AS$21)*($QX$4:$QX$40=1))&gt;0)</f>
        <v>1</v>
      </c>
      <c r="QZ21">
        <f t="shared" si="179"/>
        <v>18</v>
      </c>
      <c r="RA21">
        <f t="shared" si="145"/>
        <v>29502</v>
      </c>
      <c r="RB21">
        <f>IF(COUNTIF('Final Calculation Sheet'!$AL21:$AN21,0)+COUNTIF('Final Calculation Sheet'!$AP21:$BS21,0)&gt;0,0,1)</f>
        <v>1</v>
      </c>
      <c r="RC21" t="b">
        <f>IF($AD$21="",FALSE,SUMPRODUCT(('Final Calculation Sheet'!$D$4:$D$40=$AD$21)*($RB$4:$RB$40=1))&gt;0)</f>
        <v>0</v>
      </c>
      <c r="RD21">
        <f t="shared" si="180"/>
        <v>4</v>
      </c>
      <c r="RE21" t="str">
        <f t="shared" si="146"/>
        <v/>
      </c>
      <c r="RF21">
        <f>IF(COUNTIF('Final Calculation Sheet'!$AL21:$AO21,0)+COUNTIF('Final Calculation Sheet'!$AQ21:$BS21,0)&gt;0,0,1)</f>
        <v>1</v>
      </c>
      <c r="RG21" t="b">
        <f>IF($AN$21="",FALSE,SUMPRODUCT(('Final Calculation Sheet'!$E$4:$E$40=$AN$21)*($RF$4:$RF$40=1))&gt;0)</f>
        <v>0</v>
      </c>
      <c r="RH21">
        <f t="shared" si="181"/>
        <v>3</v>
      </c>
      <c r="RI21" t="str">
        <f t="shared" si="147"/>
        <v/>
      </c>
      <c r="RJ21">
        <f>IF(COUNTIF('Final Calculation Sheet'!$AL21:$AP21,0)+COUNTIF('Final Calculation Sheet'!$AR21:$BS21,0)&gt;0,0,1)</f>
        <v>1</v>
      </c>
      <c r="RK21" t="b">
        <f>IF($O$21="",FALSE,SUMPRODUCT(('Final Calculation Sheet'!$F$4:$F$40=$O$21)*($RJ$4:$RJ$40=1))&gt;0)</f>
        <v>1</v>
      </c>
      <c r="RL21">
        <f t="shared" si="182"/>
        <v>18</v>
      </c>
      <c r="RM21">
        <f t="shared" si="148"/>
        <v>2022</v>
      </c>
      <c r="RN21">
        <f>IF(COUNTIF('Final Calculation Sheet'!$AL21:$AQ21,0)+COUNTIF('Final Calculation Sheet'!$AS21:$BS21,0)&gt;0,0,1)</f>
        <v>1</v>
      </c>
      <c r="RO21" t="b">
        <f>IF($T$21="",FALSE,SUMPRODUCT(('Final Calculation Sheet'!$G$4:$G$40=$T$21)*($RN$4:$RN$40=1))&gt;0)</f>
        <v>0</v>
      </c>
      <c r="RP21">
        <f t="shared" si="183"/>
        <v>13</v>
      </c>
      <c r="RQ21" t="str">
        <f t="shared" si="149"/>
        <v/>
      </c>
      <c r="RR21">
        <f>IF(COUNTIF('Final Calculation Sheet'!$AL21:$AR21,0)+COUNTIF('Final Calculation Sheet'!$AT21:$BS21,0)&gt;0,0,1)</f>
        <v>1</v>
      </c>
      <c r="RS21" t="b">
        <f>IF($AX$21="",FALSE,SUMPRODUCT(('Final Calculation Sheet'!$H$4:$H$40=$AX$21)*($RR$4:$RR$40=1))&gt;0)</f>
        <v>1</v>
      </c>
      <c r="RT21">
        <f t="shared" si="184"/>
        <v>18</v>
      </c>
      <c r="RU21">
        <f t="shared" si="150"/>
        <v>135750</v>
      </c>
      <c r="RV21">
        <f>IF(COUNTIF('Final Calculation Sheet'!$AL21:$AS21,0)+COUNTIF('Final Calculation Sheet'!$AU21:$BS21,0)&gt;0,0,1)</f>
        <v>1</v>
      </c>
      <c r="RW21" t="b">
        <f>IF($BC$21="",FALSE,SUMPRODUCT(('Final Calculation Sheet'!$I$4:$I$40=$BC$21)*($RV$4:$RV$40=1))&gt;0)</f>
        <v>1</v>
      </c>
      <c r="RX21">
        <f t="shared" si="185"/>
        <v>18</v>
      </c>
      <c r="RY21">
        <f t="shared" si="151"/>
        <v>24435</v>
      </c>
      <c r="RZ21">
        <f>IF(COUNTIF('Final Calculation Sheet'!$AL21:$AT21,0)+COUNTIF('Final Calculation Sheet'!$AV21:$BS21,0)&gt;0,0,1)</f>
        <v>1</v>
      </c>
      <c r="SA21" t="b">
        <f>IF($BH$21="",FALSE,SUMPRODUCT(('Final Calculation Sheet'!$J$4:$J$40=$BH$21)*($RZ$4:$RZ$40=1))&gt;0)</f>
        <v>1</v>
      </c>
      <c r="SB21">
        <f t="shared" si="186"/>
        <v>18</v>
      </c>
      <c r="SC21">
        <f t="shared" si="152"/>
        <v>160185</v>
      </c>
      <c r="SD21">
        <f>IF(COUNTIF('Final Calculation Sheet'!$AL21:$AU21,0)+COUNTIF('Final Calculation Sheet'!$AW21:$BS21,0)&gt;0,0,1)</f>
        <v>1</v>
      </c>
      <c r="SE21" t="b">
        <f>IF($BM$21="",FALSE,SUMPRODUCT(('Final Calculation Sheet'!$K$4:$K$40=$BM$21)*($SD$4:$SD$40=1))&gt;0)</f>
        <v>1</v>
      </c>
      <c r="SF21">
        <f t="shared" si="187"/>
        <v>18</v>
      </c>
      <c r="SG21">
        <f t="shared" si="153"/>
        <v>3204</v>
      </c>
      <c r="SH21">
        <f>IF(COUNTIF('Final Calculation Sheet'!$AL21:$AV21,0)+COUNTIF('Final Calculation Sheet'!$AX21:$BS21,0)&gt;0,0,1)</f>
        <v>1</v>
      </c>
      <c r="SI21" t="b">
        <f>IF($BR$21="",FALSE,SUMPRODUCT(('Final Calculation Sheet'!$L$4:$L$40=$BR$21)*($SH$4:$SH$40=1))&gt;0)</f>
        <v>1</v>
      </c>
      <c r="SJ21">
        <f t="shared" si="188"/>
        <v>18</v>
      </c>
      <c r="SK21">
        <f t="shared" si="154"/>
        <v>135.75</v>
      </c>
      <c r="SL21">
        <f>IF(COUNTIF('Final Calculation Sheet'!$AL21:$AW21,0)+COUNTIF('Final Calculation Sheet'!$AY21:$BS21,0)&gt;0,0,1)</f>
        <v>1</v>
      </c>
      <c r="SM21" t="b">
        <f>IF($BW$21="",FALSE,SUMPRODUCT(('Final Calculation Sheet'!$M$4:$M$40=$BW$21)*($SL$4:$SL$40=1))&gt;0)</f>
        <v>1</v>
      </c>
      <c r="SN21">
        <f t="shared" si="189"/>
        <v>18</v>
      </c>
      <c r="SO21">
        <f t="shared" si="155"/>
        <v>3604.1624999999999</v>
      </c>
      <c r="SP21">
        <f>IF(COUNTIF('Final Calculation Sheet'!$AL21:$AX21,0)+COUNTIF('Final Calculation Sheet'!$AZ21:$BS21,0)&gt;0,0,1)</f>
        <v>1</v>
      </c>
      <c r="SQ21" t="b">
        <f>IF($CB$21="",FALSE,SUMPRODUCT(('Final Calculation Sheet'!$N$4:$N$40=$CB$21)*($SP$4:$SP$40=1))&gt;0)</f>
        <v>1</v>
      </c>
      <c r="SR21">
        <f t="shared" si="190"/>
        <v>18</v>
      </c>
      <c r="SS21">
        <f t="shared" si="156"/>
        <v>61.087499999999999</v>
      </c>
      <c r="ST21">
        <f>IF(COUNTIF('Final Calculation Sheet'!$AL21:$AY21,0)+COUNTIF('Final Calculation Sheet'!$BA21:$BS21,0)&gt;0,0,1)</f>
        <v>1</v>
      </c>
      <c r="SU21" t="b">
        <f>IF($CG$21="",FALSE,SUMPRODUCT(('Final Calculation Sheet'!$O$4:$O$40=$CG$21)*($ST$4:$ST$40=1))&gt;0)</f>
        <v>1</v>
      </c>
      <c r="SV21">
        <f t="shared" si="191"/>
        <v>18</v>
      </c>
      <c r="SW21">
        <f t="shared" si="157"/>
        <v>3543.0749999999998</v>
      </c>
      <c r="SX21">
        <f>IF(COUNTIF('Final Calculation Sheet'!$AL21:$AZ21,0)+COUNTIF('Final Calculation Sheet'!$BB21:$BS21,0)&gt;0,0,1)</f>
        <v>1</v>
      </c>
      <c r="SY21" t="b">
        <f>IF($CL$21="",FALSE,SUMPRODUCT(('Final Calculation Sheet'!$P$4:$P$40=$CL$21)*($SX$4:$SX$40=1))&gt;0)</f>
        <v>1</v>
      </c>
      <c r="SZ21">
        <f t="shared" si="192"/>
        <v>18</v>
      </c>
      <c r="TA21">
        <f t="shared" si="158"/>
        <v>3679</v>
      </c>
      <c r="TB21">
        <f>IF(COUNTIF('Final Calculation Sheet'!$AL21:$BA21,0)+COUNTIF('Final Calculation Sheet'!$BC21:$BS21,0)&gt;0,0,1)</f>
        <v>1</v>
      </c>
      <c r="TC21" t="b">
        <f>IF($CQ$21="",FALSE,SUMPRODUCT(('Final Calculation Sheet'!$Q$4:$Q$40=$CQ$21)*($TB$4:$TB$40=1))&gt;0)</f>
        <v>0</v>
      </c>
      <c r="TD21">
        <f t="shared" si="193"/>
        <v>2</v>
      </c>
      <c r="TE21" t="str">
        <f t="shared" si="159"/>
        <v/>
      </c>
      <c r="TF21">
        <f>IF(COUNTIF('Final Calculation Sheet'!$AL21:$BB21,0)+COUNTIF('Final Calculation Sheet'!$BD21:$BS21,0)&gt;0,0,1)</f>
        <v>1</v>
      </c>
      <c r="TG21" t="b">
        <f>IF($CV$21="",FALSE,SUMPRODUCT(('Final Calculation Sheet'!$R$4:$R$40=$CV$21)*($TF$4:$TF$40=1))&gt;0)</f>
        <v>0</v>
      </c>
      <c r="TH21">
        <f t="shared" si="194"/>
        <v>5</v>
      </c>
      <c r="TI21" t="str">
        <f t="shared" si="160"/>
        <v/>
      </c>
      <c r="TJ21">
        <f>IF(COUNTIF('Final Calculation Sheet'!$AL21:$BC21,0)+COUNTIF('Final Calculation Sheet'!$BE21:$BS21,0)&gt;0,0,1)</f>
        <v>1</v>
      </c>
      <c r="TK21" t="b">
        <f>IF($DA$21="",FALSE,SUMPRODUCT(('Final Calculation Sheet'!$S$4:$S$40=$DA$21)*($TJ$4:$TJ$40=1))&gt;0)</f>
        <v>1</v>
      </c>
      <c r="TL21">
        <f t="shared" si="195"/>
        <v>18</v>
      </c>
      <c r="TM21">
        <f t="shared" si="161"/>
        <v>159710</v>
      </c>
      <c r="TN21">
        <f>IF(COUNTIF('Final Calculation Sheet'!$AL21:$BD21,0)+COUNTIF('Final Calculation Sheet'!$BF21:$BS21,0)&gt;0,0,1)</f>
        <v>1</v>
      </c>
      <c r="TO21" t="b">
        <f>IF($DF$21="",FALSE,SUMPRODUCT(('Final Calculation Sheet'!$T$4:$T$40=$DF$21)*($TN$4:$TN$40=1))&gt;0)</f>
        <v>1</v>
      </c>
      <c r="TP21">
        <f t="shared" si="196"/>
        <v>18</v>
      </c>
      <c r="TQ21">
        <f t="shared" si="162"/>
        <v>33938</v>
      </c>
      <c r="TR21">
        <f>IF(COUNTIF('Final Calculation Sheet'!$AL21:$BE21,0)+COUNTIF('Final Calculation Sheet'!$BG21:$BS21,0)&gt;0,0,1)</f>
        <v>1</v>
      </c>
      <c r="TS21" t="b">
        <f>IF($DK$21="",FALSE,SUMPRODUCT(('Final Calculation Sheet'!$U$4:$U$40=$DK$21)*($TR$4:$TR$40=1))&gt;0)</f>
        <v>1</v>
      </c>
      <c r="TT21">
        <f t="shared" si="197"/>
        <v>18</v>
      </c>
      <c r="TU21">
        <f t="shared" si="163"/>
        <v>33938</v>
      </c>
      <c r="TV21">
        <f>IF(COUNTIF('Final Calculation Sheet'!$AL21:$BF21,0)+COUNTIF('Final Calculation Sheet'!$BH21:$BS21,0)&gt;0,0,1)</f>
        <v>1</v>
      </c>
      <c r="TW21" t="b">
        <f>IF($DP$21="",FALSE,SUMPRODUCT(('Final Calculation Sheet'!$V$4:$V$40=$DP$21)*($TV$4:$TV$40=1))&gt;0)</f>
        <v>0</v>
      </c>
      <c r="TX21">
        <f t="shared" si="198"/>
        <v>6</v>
      </c>
      <c r="TY21" t="str">
        <f t="shared" si="164"/>
        <v/>
      </c>
      <c r="TZ21">
        <f>IF(COUNTIF('Final Calculation Sheet'!$AL21:$BG21,0)+COUNTIF('Final Calculation Sheet'!$BI21:$BS21,0)&gt;0,0,1)</f>
        <v>1</v>
      </c>
      <c r="UA21" t="b">
        <f>IF($DU$21="",FALSE,SUMPRODUCT(('Final Calculation Sheet'!$W$4:$W$40=$DU$21)*($TZ$4:$TZ$40=1))&gt;0)</f>
        <v>1</v>
      </c>
      <c r="UB21">
        <f t="shared" si="199"/>
        <v>18</v>
      </c>
      <c r="UC21">
        <f t="shared" si="165"/>
        <v>125772</v>
      </c>
      <c r="UD21">
        <f>IF(COUNTIF('Final Calculation Sheet'!$AL21:$BH21,0)+COUNTIF('Final Calculation Sheet'!$BJ21:$BS21,0)&gt;0,0,1)</f>
        <v>1</v>
      </c>
      <c r="UE21" t="e">
        <f>IF($DZ$21="",FALSE,SUMPRODUCT(('Final Calculation Sheet'!$X$4:$X$40=$DZ$21)*($UD$4:$UD$40=1))&gt;0)</f>
        <v>#N/A</v>
      </c>
      <c r="UF21" t="e">
        <f t="shared" si="200"/>
        <v>#N/A</v>
      </c>
      <c r="UG21" t="e">
        <f t="shared" si="166"/>
        <v>#N/A</v>
      </c>
      <c r="UH21">
        <f>IF(COUNTIF('Final Calculation Sheet'!$AL21:$BI21,0)+COUNTIF('Final Calculation Sheet'!$BK21:$BS21,0)&gt;0,0,1)</f>
        <v>1</v>
      </c>
      <c r="UI21" t="e">
        <f>IF($EE$21="",FALSE,SUMPRODUCT(('Final Calculation Sheet'!$Y$4:$Y$40=$EE$21)*($UH$4:$UH$40=1))&gt;0)</f>
        <v>#N/A</v>
      </c>
      <c r="UJ21" t="e">
        <f t="shared" si="201"/>
        <v>#N/A</v>
      </c>
      <c r="UK21" t="e">
        <f t="shared" si="167"/>
        <v>#N/A</v>
      </c>
      <c r="UL21">
        <f>IF(COUNTIF('Final Calculation Sheet'!$AL21:$BJ21,0)+COUNTIF('Final Calculation Sheet'!$BL21:$BS21,0)&gt;0,0,1)</f>
        <v>1</v>
      </c>
      <c r="UM21" t="b">
        <f ca="1">IF($EJ$21="",FALSE,SUMPRODUCT(('Final Calculation Sheet'!$Z$4:$Z$40=$EJ$21)*($UL$4:$UL$40=1))&gt;0)</f>
        <v>1</v>
      </c>
      <c r="UN21">
        <f t="shared" ca="1" si="202"/>
        <v>18</v>
      </c>
      <c r="UO21">
        <f t="shared" ca="1" si="168"/>
        <v>4805.5499999999993</v>
      </c>
      <c r="UP21">
        <f>IF(COUNTIF('Final Calculation Sheet'!$AL21:$BK21,0)+COUNTIF('Final Calculation Sheet'!$BM21:$BS21,0)&gt;0,0,1)</f>
        <v>1</v>
      </c>
      <c r="UQ21" t="e">
        <f>IF($EO$21="",FALSE,SUMPRODUCT(('Final Calculation Sheet'!$AA$4:$AA$40=$EO$21)*($UP$4:$UP$40=1))&gt;0)</f>
        <v>#N/A</v>
      </c>
      <c r="UR21" t="e">
        <f t="shared" si="203"/>
        <v>#N/A</v>
      </c>
      <c r="US21" t="e">
        <f t="shared" si="169"/>
        <v>#N/A</v>
      </c>
      <c r="UT21">
        <f>IF(COUNTIF('Final Calculation Sheet'!$AL21:$BL21,0)+COUNTIF('Final Calculation Sheet'!$BN21:$BS21,0)&gt;0,0,1)</f>
        <v>1</v>
      </c>
      <c r="UU21" t="e">
        <f>IF($ET$21="",FALSE,SUMPRODUCT(('Final Calculation Sheet'!$AB$4:$AB$40=$ET$21)*($UT$4:$UT$40=1))&gt;0)</f>
        <v>#N/A</v>
      </c>
      <c r="UV21" t="e">
        <f t="shared" si="204"/>
        <v>#N/A</v>
      </c>
      <c r="UW21" t="e">
        <f t="shared" si="170"/>
        <v>#N/A</v>
      </c>
      <c r="UX21">
        <f>IF(COUNTIF('Final Calculation Sheet'!$AL21:$BM21,0)+COUNTIF('Final Calculation Sheet'!$BO21:$BS21,0)&gt;0,0,1)</f>
        <v>1</v>
      </c>
      <c r="UY21" t="b">
        <f>IF($EY$21="",FALSE,SUMPRODUCT(('Final Calculation Sheet'!$AC$4:$AC$40=$EY$21)*($UX$4:$UX$40=1))&gt;0)</f>
        <v>1</v>
      </c>
      <c r="UZ21">
        <f t="shared" si="205"/>
        <v>18</v>
      </c>
      <c r="VA21">
        <f t="shared" si="171"/>
        <v>137350</v>
      </c>
      <c r="VB21">
        <f>IF(COUNTIF('Final Calculation Sheet'!$AL21:$BN21,0)+COUNTIF('Final Calculation Sheet'!$BP21:$BS21,0)&gt;0,0,1)</f>
        <v>1</v>
      </c>
      <c r="VC21" t="b">
        <f>IF($FD$21="",FALSE,SUMPRODUCT(('Final Calculation Sheet'!$AD$4:$AD$40=$FD$21)*($VB$4:$VB$40=1))&gt;0)</f>
        <v>0</v>
      </c>
      <c r="VD21">
        <f t="shared" si="206"/>
        <v>11</v>
      </c>
      <c r="VE21" t="str">
        <f t="shared" si="172"/>
        <v/>
      </c>
      <c r="VF21">
        <f>IF(COUNTIF('Final Calculation Sheet'!$AL21:$BO21,0)+COUNTIF('Final Calculation Sheet'!$BQ21:$BS21,0)&gt;0,0,1)</f>
        <v>1</v>
      </c>
      <c r="VG21" t="e">
        <f>IF($FI$21="",FALSE,SUMPRODUCT(('Final Calculation Sheet'!$AE$4:$AE$40=$FI$21)*($VF$4:$VF$40=1))&gt;0)</f>
        <v>#N/A</v>
      </c>
      <c r="VH21" t="e">
        <f t="shared" si="207"/>
        <v>#N/A</v>
      </c>
      <c r="VI21" t="e">
        <f t="shared" si="173"/>
        <v>#N/A</v>
      </c>
      <c r="VJ21">
        <f>IF(COUNTIF('Final Calculation Sheet'!$AL21:$BP21,0)+COUNTIF('Final Calculation Sheet'!$BR21:$BS21,0)&gt;0,0,1)</f>
        <v>1</v>
      </c>
      <c r="VK21" t="e">
        <f>IF($FN$21="",FALSE,SUMPRODUCT(('Final Calculation Sheet'!$AF$4:$AF$40=$FN$21)*($VJ$4:$VJ$40=1))&gt;0)</f>
        <v>#N/A</v>
      </c>
      <c r="VL21" t="e">
        <f t="shared" si="208"/>
        <v>#N/A</v>
      </c>
      <c r="VM21" t="e">
        <f t="shared" si="174"/>
        <v>#N/A</v>
      </c>
      <c r="VN21">
        <f>IF(COUNTIF('Final Calculation Sheet'!$AL21:$BQ21,0)+COUNTIF('Final Calculation Sheet'!$BS21:$BS21,0)&gt;0,0,1)</f>
        <v>1</v>
      </c>
      <c r="VO21" t="e">
        <f>IF($FS$21="",FALSE,SUMPRODUCT(('Final Calculation Sheet'!$AG$4:$AG$40=$FS$21)*($VN$4:$VN$40=1))&gt;0)</f>
        <v>#N/A</v>
      </c>
      <c r="VP21" t="e">
        <f t="shared" si="209"/>
        <v>#N/A</v>
      </c>
      <c r="VQ21" t="e">
        <f t="shared" si="175"/>
        <v>#N/A</v>
      </c>
      <c r="VR21">
        <f>IF(COUNTIF('Final Calculation Sheet'!$AL21:$BR21,0)&gt;0,0,1)</f>
        <v>1</v>
      </c>
      <c r="VS21" t="e">
        <f>IF($QO$21="",FALSE,SUMPRODUCT(('Final Calculation Sheet'!$AH$4:$AH$40=$QO$21)*($VR$4:$VR$40=1))&gt;0)</f>
        <v>#N/A</v>
      </c>
      <c r="VT21" t="e">
        <f t="shared" si="210"/>
        <v>#N/A</v>
      </c>
      <c r="VU21" t="e">
        <f t="shared" si="176"/>
        <v>#N/A</v>
      </c>
    </row>
    <row r="22" spans="1:593" x14ac:dyDescent="0.3">
      <c r="A22">
        <f>IF('Final Calculation Sheet'!$F$22="","",'Final Calculation Sheet'!$F$22)</f>
        <v>2023</v>
      </c>
      <c r="B22">
        <f>IF(A22="","",COUNTIFS(A$4:A$114,"&lt;"&amp;A22,A$4:A$114,"&lt;&gt;"&amp;"")+COUNTIF(A$4:A22,A22))</f>
        <v>19</v>
      </c>
      <c r="C22">
        <f t="shared" si="0"/>
        <v>2023</v>
      </c>
      <c r="D22">
        <f>D21+IF(AND(C22&lt;&gt;"",COUNTIF(C$4:C22,C22)=1),1,0)</f>
        <v>19</v>
      </c>
      <c r="E22" t="e">
        <f t="shared" si="1"/>
        <v>#N/A</v>
      </c>
      <c r="F22">
        <f t="shared" si="2"/>
        <v>19</v>
      </c>
      <c r="G22">
        <f>IF(F22="","",COUNTIFS(F$4:F$40,"&lt;"&amp;F22,F$4:F$40,"&lt;&gt;"&amp;"")+COUNTIF(F$4:F22,F22))</f>
        <v>19</v>
      </c>
      <c r="H22">
        <f t="shared" si="3"/>
        <v>19</v>
      </c>
      <c r="I22">
        <f>I21+IF(AND(H22&lt;&gt;"",COUNTIF(H$4:H22,H22)=1),1,0)</f>
        <v>19</v>
      </c>
      <c r="J22">
        <f t="shared" si="4"/>
        <v>19</v>
      </c>
      <c r="K22">
        <f>IF('Final Calculation Sheet'!$F$22="","",'Final Calculation Sheet'!$F$22)</f>
        <v>2023</v>
      </c>
      <c r="L22">
        <f>IF(K22="","",COUNTIFS(K$4:K$40,"&lt;"&amp;K22,K$4:K$40,"&lt;&gt;"&amp;"")+COUNTIF(K$4:K22,K22))</f>
        <v>19</v>
      </c>
      <c r="M22">
        <f t="shared" si="5"/>
        <v>2023</v>
      </c>
      <c r="N22">
        <f>N21+IF(AND(M22&lt;&gt;"",COUNTIF(M$4:M22,M22)=1),1,0)</f>
        <v>19</v>
      </c>
      <c r="O22">
        <f t="shared" si="6"/>
        <v>2023</v>
      </c>
      <c r="P22" t="str">
        <f>IF('Final Calculation Sheet'!$G$22="","",'Final Calculation Sheet'!$G$22)</f>
        <v>NATIONAL ENTERPRISES</v>
      </c>
      <c r="Q22">
        <f>IF(P22="","",COUNTIFS(P$4:P$40,"&lt;"&amp;P22,P$4:P$40,"&lt;&gt;"&amp;"")+COUNTIF(P$4:P22,P22))</f>
        <v>13</v>
      </c>
      <c r="R22" t="str">
        <f t="shared" si="7"/>
        <v>NATIONAL ENTERPRISES</v>
      </c>
      <c r="S22">
        <f>S21+IF(AND(R22&lt;&gt;"",COUNTIF(R$4:R22,R22)=1),1,0)</f>
        <v>6</v>
      </c>
      <c r="T22" t="str">
        <f t="shared" si="8"/>
        <v/>
      </c>
      <c r="U22" t="str">
        <f>IF('Final Calculation Sheet'!$B$22="","",'Final Calculation Sheet'!$B$22)</f>
        <v>Scrap of 132 KV CT</v>
      </c>
      <c r="V22">
        <f>IF(U22="","",COUNTIFS(U$4:U$40,"&lt;"&amp;U22,U$4:U$40,"&lt;&gt;"&amp;"")+COUNTIF(U$4:U22,U22))</f>
        <v>8</v>
      </c>
      <c r="W22" t="str">
        <f t="shared" si="9"/>
        <v>Scrap of 33 KV CB</v>
      </c>
      <c r="X22">
        <f>X21+IF(AND(W22&lt;&gt;"",COUNTIF(W$4:W22,W22)=1),1,0)</f>
        <v>12</v>
      </c>
      <c r="Y22" t="str">
        <f t="shared" si="10"/>
        <v>Scrap of empty oil Barrel</v>
      </c>
      <c r="Z22">
        <f>IF('Final Calculation Sheet'!$D$22="","",'Final Calculation Sheet'!$D$22)</f>
        <v>21978</v>
      </c>
      <c r="AA22">
        <f>IF(Z22="","",COUNTIFS(Z$4:Z$40,"&lt;"&amp;Z22,Z$4:Z$40,"&lt;&gt;"&amp;"")+COUNTIF(Z$4:Z22,Z22))</f>
        <v>17</v>
      </c>
      <c r="AB22">
        <f t="shared" si="11"/>
        <v>21978</v>
      </c>
      <c r="AC22">
        <f>AC21+IF(AND(AB22&lt;&gt;"",COUNTIF(AB$4:AB22,AB22)=1),1,0)</f>
        <v>2</v>
      </c>
      <c r="AD22" t="str">
        <f t="shared" si="12"/>
        <v/>
      </c>
      <c r="AE22">
        <f>IF('Final Calculation Sheet'!$A$22="","",'Final Calculation Sheet'!$A$22)</f>
        <v>3</v>
      </c>
      <c r="AF22">
        <f>IF(AE22="","",COUNTIFS(AE$4:AE$40,"&lt;"&amp;AE22,AE$4:AE$40,"&lt;&gt;"&amp;"")+COUNTIF(AE$4:AE22,AE22))</f>
        <v>14</v>
      </c>
      <c r="AG22">
        <f t="shared" si="13"/>
        <v>4</v>
      </c>
      <c r="AH22">
        <f>AH21+IF(AND(AG22&lt;&gt;"",COUNTIF(AG$4:AG22,AG22)=1),1,0)</f>
        <v>4</v>
      </c>
      <c r="AI22">
        <f t="shared" si="14"/>
        <v>1000</v>
      </c>
      <c r="AJ22" t="str">
        <f>IF('Final Calculation Sheet'!$E$22="","",'Final Calculation Sheet'!$E$22)</f>
        <v>NO</v>
      </c>
      <c r="AK22">
        <f>IF(AJ22="","",COUNTIFS(AJ$4:AJ$40,"&lt;"&amp;AJ22,AJ$4:AJ$40,"&lt;&gt;"&amp;"")+COUNTIF(AJ$4:AJ22,AJ22))</f>
        <v>21</v>
      </c>
      <c r="AL22" t="str">
        <f t="shared" si="15"/>
        <v>NO</v>
      </c>
      <c r="AM22">
        <f>AM21+IF(AND(AL22&lt;&gt;"",COUNTIF(AL$4:AL22,AL22)=1),1,0)</f>
        <v>3</v>
      </c>
      <c r="AN22" t="str">
        <f t="shared" si="16"/>
        <v/>
      </c>
      <c r="AO22" s="50">
        <f>IF('Final Calculation Sheet'!$C$22="","",'Final Calculation Sheet'!$C$22)</f>
        <v>83743</v>
      </c>
      <c r="AP22">
        <f>IF(AO22="","",COUNTIFS(AO$4:AO$40,"&lt;"&amp;AO22,AO$4:AO$40,"&lt;&gt;"&amp;"")+COUNTIF(AO$4:AO22,AO22))</f>
        <v>31</v>
      </c>
      <c r="AQ22" s="50">
        <f t="shared" si="17"/>
        <v>25001</v>
      </c>
      <c r="AR22">
        <f>AR21+IF(AND(AQ22&lt;&gt;"",COUNTIF(AQ$4:AQ22,AQ22)=1),1,0)</f>
        <v>17</v>
      </c>
      <c r="AS22" s="50">
        <f t="shared" si="18"/>
        <v>40003</v>
      </c>
      <c r="AT22" s="50">
        <f>IF('Final Calculation Sheet'!$H$22="","",'Final Calculation Sheet'!$H$22)</f>
        <v>251229</v>
      </c>
      <c r="AU22">
        <f>IF(AT22="","",COUNTIFS(AT$4:AT$40,"&lt;"&amp;AT22,AT$4:AT$40,"&lt;&gt;"&amp;"")+COUNTIF(AT$4:AT22,AT22))</f>
        <v>27</v>
      </c>
      <c r="AV22" s="50">
        <f t="shared" si="19"/>
        <v>156600</v>
      </c>
      <c r="AW22">
        <f>AW21+IF(AND(AV22&lt;&gt;"",COUNTIF(AV$4:AV22,AV22)=1),1,0)</f>
        <v>19</v>
      </c>
      <c r="AX22" s="50">
        <f t="shared" si="20"/>
        <v>156600</v>
      </c>
      <c r="AY22" s="50">
        <f>IF('Final Calculation Sheet'!$I$22="","",'Final Calculation Sheet'!$I$22)</f>
        <v>45221</v>
      </c>
      <c r="AZ22">
        <f>IF(AY22="","",COUNTIFS(AY$4:AY$40,"&lt;"&amp;AY22,AY$4:AY$40,"&lt;&gt;"&amp;"")+COUNTIF(AY$4:AY22,AY22))</f>
        <v>27</v>
      </c>
      <c r="BA22" s="50">
        <f t="shared" si="21"/>
        <v>28188</v>
      </c>
      <c r="BB22">
        <f>BB21+IF(AND(BA22&lt;&gt;"",COUNTIF(BA$4:BA22,BA22)=1),1,0)</f>
        <v>19</v>
      </c>
      <c r="BC22" s="50">
        <f t="shared" si="22"/>
        <v>28188</v>
      </c>
      <c r="BD22" s="50">
        <f>IF('Final Calculation Sheet'!$J$22="","",'Final Calculation Sheet'!$J$22)</f>
        <v>296450</v>
      </c>
      <c r="BE22">
        <f>IF(BD22="","",COUNTIFS(BD$4:BD$40,"&lt;"&amp;BD22,BD$4:BD$40,"&lt;&gt;"&amp;"")+COUNTIF(BD$4:BD22,BD22))</f>
        <v>27</v>
      </c>
      <c r="BF22" s="50">
        <f t="shared" si="23"/>
        <v>184788</v>
      </c>
      <c r="BG22">
        <f>BG21+IF(AND(BF22&lt;&gt;"",COUNTIF(BF$4:BF22,BF22)=1),1,0)</f>
        <v>19</v>
      </c>
      <c r="BH22" s="50">
        <f t="shared" si="24"/>
        <v>184788</v>
      </c>
      <c r="BI22" s="50">
        <f>IF('Final Calculation Sheet'!$K$22="","",'Final Calculation Sheet'!$K$22)</f>
        <v>5929</v>
      </c>
      <c r="BJ22">
        <f>IF(BI22="","",COUNTIFS(BI$4:BI$40,"&lt;"&amp;BI22,BI$4:BI$40,"&lt;&gt;"&amp;"")+COUNTIF(BI$4:BI22,BI22))</f>
        <v>27</v>
      </c>
      <c r="BK22" s="50">
        <f t="shared" si="25"/>
        <v>3696</v>
      </c>
      <c r="BL22">
        <f>BL21+IF(AND(BK22&lt;&gt;"",COUNTIF(BK$4:BK22,BK22)=1),1,0)</f>
        <v>19</v>
      </c>
      <c r="BM22" s="50">
        <f t="shared" si="26"/>
        <v>3696</v>
      </c>
      <c r="BN22" s="50">
        <f>IF('Final Calculation Sheet'!$L$22="","",'Final Calculation Sheet'!$L$22)</f>
        <v>251.22900000000001</v>
      </c>
      <c r="BO22">
        <f>IF(BN22="","",COUNTIFS(BN$4:BN$40,"&lt;"&amp;BN22,BN$4:BN$40,"&lt;&gt;"&amp;"")+COUNTIF(BN$4:BN22,BN22))</f>
        <v>27</v>
      </c>
      <c r="BP22" s="50">
        <f t="shared" si="27"/>
        <v>156.6</v>
      </c>
      <c r="BQ22">
        <f>BQ21+IF(AND(BP22&lt;&gt;"",COUNTIF(BP$4:BP22,BP22)=1),1,0)</f>
        <v>19</v>
      </c>
      <c r="BR22" s="50">
        <f t="shared" si="28"/>
        <v>156.6</v>
      </c>
      <c r="BS22" s="50">
        <f>IF('Final Calculation Sheet'!$M$22="","",'Final Calculation Sheet'!$M$22)</f>
        <v>6670.1299499999996</v>
      </c>
      <c r="BT22">
        <f>IF(BS22="","",COUNTIFS(BS$4:BS$40,"&lt;"&amp;BS22,BS$4:BS$40,"&lt;&gt;"&amp;"")+COUNTIF(BS$4:BS22,BS22))</f>
        <v>27</v>
      </c>
      <c r="BU22" s="50">
        <f t="shared" si="29"/>
        <v>4157.7299999999996</v>
      </c>
      <c r="BV22">
        <f>BV21+IF(AND(BU22&lt;&gt;"",COUNTIF(BU$4:BU22,BU22)=1),1,0)</f>
        <v>19</v>
      </c>
      <c r="BW22" s="50">
        <f t="shared" si="30"/>
        <v>4157.7299999999996</v>
      </c>
      <c r="BX22" s="126">
        <f>IF('Final Calculation Sheet'!$N$22="","",'Final Calculation Sheet'!$N$22)</f>
        <v>113.05305</v>
      </c>
      <c r="BY22">
        <f>IF(BX22="","",COUNTIFS(BX$4:BX$40,"&lt;"&amp;BX22,BX$4:BX$40,"&lt;&gt;"&amp;"")+COUNTIF(BX$4:BX22,BX22))</f>
        <v>27</v>
      </c>
      <c r="BZ22" s="126">
        <f t="shared" si="31"/>
        <v>70.47</v>
      </c>
      <c r="CA22">
        <f>CA21+IF(AND(BZ22&lt;&gt;"",COUNTIF(BZ$4:BZ22,BZ22)=1),1,0)</f>
        <v>19</v>
      </c>
      <c r="CB22" s="126">
        <f t="shared" si="32"/>
        <v>70.47</v>
      </c>
      <c r="CC22" s="50">
        <f>IF('Final Calculation Sheet'!$O$22="","",'Final Calculation Sheet'!$O$22)</f>
        <v>6557.0768999999991</v>
      </c>
      <c r="CD22">
        <f>IF(CC22="","",COUNTIFS(CC$4:CC$40,"&lt;"&amp;CC22,CC$4:CC$40,"&lt;&gt;"&amp;"")+COUNTIF(CC$4:CC22,CC22))</f>
        <v>27</v>
      </c>
      <c r="CE22" s="50">
        <f t="shared" si="33"/>
        <v>4087.2599999999998</v>
      </c>
      <c r="CF22">
        <f>CF21+IF(AND(CE22&lt;&gt;"",COUNTIF(CE$4:CE22,CE22)=1),1,0)</f>
        <v>19</v>
      </c>
      <c r="CG22" s="50">
        <f t="shared" si="34"/>
        <v>4087.2599999999998</v>
      </c>
      <c r="CH22" s="50">
        <f>IF('Final Calculation Sheet'!$P$22="","",'Final Calculation Sheet'!$P$22)</f>
        <v>6808</v>
      </c>
      <c r="CI22">
        <f>IF(CH22="","",COUNTIFS(CH$4:CH$40,"&lt;"&amp;CH22,CH$4:CH$40,"&lt;&gt;"&amp;"")+COUNTIF(CH$4:CH22,CH22))</f>
        <v>27</v>
      </c>
      <c r="CJ22" s="50">
        <f t="shared" si="35"/>
        <v>4244</v>
      </c>
      <c r="CK22">
        <f>CK21+IF(AND(CJ22&lt;&gt;"",COUNTIF(CJ$4:CJ22,CJ22)=1),1,0)</f>
        <v>19</v>
      </c>
      <c r="CL22" s="50">
        <f t="shared" si="36"/>
        <v>4244</v>
      </c>
      <c r="CM22" s="127">
        <f>IF('Final Calculation Sheet'!$Q$22="","",'Final Calculation Sheet'!$Q$22)</f>
        <v>0</v>
      </c>
      <c r="CN22">
        <f>IF(CM22="","",COUNTIFS(CM$4:CM$40,"&lt;"&amp;CM22,CM$4:CM$40,"&lt;&gt;"&amp;"")+COUNTIF(CM$4:CM22,CM22))</f>
        <v>16</v>
      </c>
      <c r="CO22" s="127">
        <f t="shared" si="37"/>
        <v>0</v>
      </c>
      <c r="CP22">
        <f>CP21+IF(AND(CO22&lt;&gt;"",COUNTIF(CO$4:CO22,CO22)=1),1,0)</f>
        <v>1</v>
      </c>
      <c r="CQ22" t="str">
        <f t="shared" si="38"/>
        <v/>
      </c>
      <c r="CR22" s="50">
        <f>IF('Final Calculation Sheet'!$R$22="","",'Final Calculation Sheet'!$R$22)</f>
        <v>0</v>
      </c>
      <c r="CS22">
        <f>IF(CR22="","",COUNTIFS(CR$4:CR$40,"&lt;"&amp;CR22,CR$4:CR$40,"&lt;&gt;"&amp;"")+COUNTIF(CR$4:CR22,CR22))</f>
        <v>16</v>
      </c>
      <c r="CT22" s="50">
        <f t="shared" si="39"/>
        <v>0</v>
      </c>
      <c r="CU22">
        <f>CU21+IF(AND(CT22&lt;&gt;"",COUNTIF(CT$4:CT22,CT22)=1),1,0)</f>
        <v>1</v>
      </c>
      <c r="CV22" t="str">
        <f t="shared" si="40"/>
        <v/>
      </c>
      <c r="CW22" s="50">
        <f>IF('Final Calculation Sheet'!$S$22="","",'Final Calculation Sheet'!$S$22)</f>
        <v>295571</v>
      </c>
      <c r="CX22">
        <f>IF(CW22="","",COUNTIFS(CW$4:CW$40,"&lt;"&amp;CW22,CW$4:CW$40,"&lt;&gt;"&amp;"")+COUNTIF(CW$4:CW22,CW22))</f>
        <v>27</v>
      </c>
      <c r="CY22" s="50">
        <f t="shared" si="41"/>
        <v>184240</v>
      </c>
      <c r="CZ22">
        <f>CZ21+IF(AND(CY22&lt;&gt;"",COUNTIF(CY$4:CY22,CY22)=1),1,0)</f>
        <v>19</v>
      </c>
      <c r="DA22" s="50">
        <f t="shared" si="42"/>
        <v>184240</v>
      </c>
      <c r="DB22" s="50">
        <f>IF('Final Calculation Sheet'!$T$22="","",'Final Calculation Sheet'!$T$22)</f>
        <v>62807</v>
      </c>
      <c r="DC22">
        <f>IF(DB22="","",COUNTIFS(DB$4:DB$40,"&lt;"&amp;DB22,DB$4:DB$40,"&lt;&gt;"&amp;"")+COUNTIF(DB$4:DB22,DB22))</f>
        <v>27</v>
      </c>
      <c r="DD22" s="50">
        <f t="shared" si="43"/>
        <v>39150</v>
      </c>
      <c r="DE22">
        <f>DE21+IF(AND(DD22&lt;&gt;"",COUNTIF(DD$4:DD22,DD22)=1),1,0)</f>
        <v>19</v>
      </c>
      <c r="DF22" s="50">
        <f t="shared" si="44"/>
        <v>39150</v>
      </c>
      <c r="DG22" s="128">
        <f>IF('Final Calculation Sheet'!$U$22="","",'Final Calculation Sheet'!$U$22)</f>
        <v>62807</v>
      </c>
      <c r="DH22">
        <f>IF(DG22="","",COUNTIFS(DG$4:DG$40,"&lt;"&amp;DG22,DG$4:DG$40,"&lt;&gt;"&amp;"")+COUNTIF(DG$4:DG22,DG22))</f>
        <v>27</v>
      </c>
      <c r="DI22" s="128">
        <f t="shared" si="45"/>
        <v>39150</v>
      </c>
      <c r="DJ22">
        <f>DJ21+IF(AND(DI22&lt;&gt;"",COUNTIF(DI$4:DI22,DI22)=1),1,0)</f>
        <v>19</v>
      </c>
      <c r="DK22" s="128">
        <f t="shared" si="46"/>
        <v>39150</v>
      </c>
      <c r="DL22" t="str">
        <f>IF('Final Calculation Sheet'!$V$22="","",'Final Calculation Sheet'!$V$22)</f>
        <v>13.08.2026</v>
      </c>
      <c r="DM22">
        <f>IF(DL22="","",COUNTIFS(DL$4:DL$40,"&lt;"&amp;DL22,DL$4:DL$40,"&lt;&gt;"&amp;"")+COUNTIF(DL$4:DL22,DL22))</f>
        <v>20</v>
      </c>
      <c r="DN22" t="str">
        <f t="shared" si="47"/>
        <v>13.08.2026</v>
      </c>
      <c r="DO22">
        <f>DO21+IF(AND(DN22&lt;&gt;"",COUNTIF(DN$4:DN22,DN22)=1),1,0)</f>
        <v>3</v>
      </c>
      <c r="DP22" t="str">
        <f t="shared" si="48"/>
        <v/>
      </c>
      <c r="DQ22" s="50">
        <f>IF('Final Calculation Sheet'!$W$22="","",'Final Calculation Sheet'!$W$22)</f>
        <v>232764</v>
      </c>
      <c r="DR22">
        <f>IF(DQ22="","",COUNTIFS(DQ$4:DQ$40,"&lt;"&amp;DQ22,DQ$4:DQ$40,"&lt;&gt;"&amp;"")+COUNTIF(DQ$4:DQ22,DQ22))</f>
        <v>27</v>
      </c>
      <c r="DS22" s="50">
        <f t="shared" si="49"/>
        <v>145090</v>
      </c>
      <c r="DT22">
        <f>DT21+IF(AND(DS22&lt;&gt;"",COUNTIF(DS$4:DS22,DS22)=1),1,0)</f>
        <v>19</v>
      </c>
      <c r="DU22" s="50">
        <f t="shared" si="50"/>
        <v>145090</v>
      </c>
      <c r="DV22" s="50">
        <f>IF('Final Calculation Sheet'!$X$22="","",'Final Calculation Sheet'!$X$22)</f>
        <v>232764</v>
      </c>
      <c r="DW22">
        <f>IF(DV22="","",COUNTIFS(DV$4:DV$40,"&lt;"&amp;DV22,DV$4:DV$40,"&lt;&gt;"&amp;"")+COUNTIF(DV$4:DV22,DV22))</f>
        <v>26</v>
      </c>
      <c r="DX22" s="50">
        <f t="shared" si="51"/>
        <v>148251</v>
      </c>
      <c r="DY22">
        <f>DY21+IF(AND(DX22&lt;&gt;"",COUNTIF(DX$4:DX22,DX22)=1),1,0)</f>
        <v>19</v>
      </c>
      <c r="DZ22" t="e">
        <f t="shared" si="52"/>
        <v>#N/A</v>
      </c>
      <c r="EA22" t="str">
        <f>IF('Final Calculation Sheet'!$Y$22="","",'Final Calculation Sheet'!$Y$22)</f>
        <v>24.08.2026</v>
      </c>
      <c r="EB22">
        <f>IF(EA22="","",COUNTIFS(EA$4:EA$40,"&lt;"&amp;EA22,EA$4:EA$40,"&lt;&gt;"&amp;"")+COUNTIF(EA$4:EA22,EA22))</f>
        <v>28</v>
      </c>
      <c r="EC22" t="str">
        <f t="shared" si="53"/>
        <v>21.08.2026</v>
      </c>
      <c r="ED22">
        <f>ED21+IF(AND(EC22&lt;&gt;"",COUNTIF(EC$4:EC22,EC22)=1),1,0)</f>
        <v>8</v>
      </c>
      <c r="EE22" t="e">
        <f t="shared" si="54"/>
        <v>#N/A</v>
      </c>
      <c r="EF22" s="50">
        <f ca="1">IF('Final Calculation Sheet'!$Z$22="","",'Final Calculation Sheet'!$Z$22)</f>
        <v>8893.5066000000006</v>
      </c>
      <c r="EG22">
        <f ca="1">IF(EF22="","",COUNTIFS(EF$4:EF$40,"&lt;"&amp;EF22,EF$4:EF$40,"&lt;&gt;"&amp;"")+COUNTIF(EF$4:EF22,EF22))</f>
        <v>27</v>
      </c>
      <c r="EH22" s="50">
        <f t="shared" ca="1" si="55"/>
        <v>5543.6399999999994</v>
      </c>
      <c r="EI22">
        <f ca="1">EI21+IF(AND(EH22&lt;&gt;"",COUNTIF(EH$4:EH22,EH22)=1),1,0)</f>
        <v>19</v>
      </c>
      <c r="EJ22">
        <f t="shared" ca="1" si="56"/>
        <v>5543.6399999999994</v>
      </c>
      <c r="EK22" t="str">
        <f>IF('Final Calculation Sheet'!$AA$22="","",'Final Calculation Sheet'!$AA$22)</f>
        <v/>
      </c>
      <c r="EL22" t="str">
        <f>IF(EK22="","",COUNTIFS(EK$4:EK$40,"&lt;"&amp;EK22,EK$4:EK$40,"&lt;&gt;"&amp;"")+COUNTIF(EK$4:EK22,EK22))</f>
        <v/>
      </c>
      <c r="EM22" t="e">
        <f t="shared" si="57"/>
        <v>#N/A</v>
      </c>
      <c r="EN22" t="e">
        <f>EN21+IF(AND(EM22&lt;&gt;"",COUNTIF(EM$4:EM22,EM22)=1),1,0)</f>
        <v>#N/A</v>
      </c>
      <c r="EO22" t="e">
        <f t="shared" si="58"/>
        <v>#N/A</v>
      </c>
      <c r="EP22" t="str">
        <f>IF('Final Calculation Sheet'!$AB$22="","",'Final Calculation Sheet'!$AB$22)</f>
        <v/>
      </c>
      <c r="EQ22" t="str">
        <f>IF(EP22="","",COUNTIFS(EP$4:EP$40,"&lt;"&amp;EP22,EP$4:EP$40,"&lt;&gt;"&amp;"")+COUNTIF(EP$4:EP22,EP22))</f>
        <v/>
      </c>
      <c r="ER22" t="e">
        <f t="shared" si="59"/>
        <v>#N/A</v>
      </c>
      <c r="ES22" t="e">
        <f>ES21+IF(AND(ER22&lt;&gt;"",COUNTIF(ER$4:ER22,ER22)=1),1,0)</f>
        <v>#N/A</v>
      </c>
      <c r="ET22" t="e">
        <f t="shared" si="60"/>
        <v>#N/A</v>
      </c>
      <c r="EU22" s="50">
        <f>IF('Final Calculation Sheet'!$AC$22="","",'Final Calculation Sheet'!$AC$22)</f>
        <v>295571</v>
      </c>
      <c r="EV22">
        <f>IF(EU22="","",COUNTIFS(EU$4:EU$40,"&lt;"&amp;EU22,EU$4:EU$40,"&lt;&gt;"&amp;"")+COUNTIF(EU$4:EU22,EU22))</f>
        <v>29</v>
      </c>
      <c r="EW22" s="50">
        <f t="shared" si="61"/>
        <v>144023</v>
      </c>
      <c r="EX22">
        <f>EX21+IF(AND(EW22&lt;&gt;"",COUNTIF(EW$4:EW22,EW22)=1),1,0)</f>
        <v>19</v>
      </c>
      <c r="EY22" s="50">
        <f t="shared" si="62"/>
        <v>144023</v>
      </c>
      <c r="EZ22" s="50">
        <f>IF('Final Calculation Sheet'!$AD$22="","",'Final Calculation Sheet'!$AD$22)</f>
        <v>0</v>
      </c>
      <c r="FA22">
        <f>IF(EZ22="","",COUNTIFS(EZ$4:EZ$40,"&lt;"&amp;EZ22,EZ$4:EZ$40,"&lt;&gt;"&amp;"")+COUNTIF(EZ$4:EZ22,EZ22))</f>
        <v>19</v>
      </c>
      <c r="FB22" s="50">
        <f t="shared" si="63"/>
        <v>0</v>
      </c>
      <c r="FC22">
        <f>FC21+IF(AND(FB22&lt;&gt;"",COUNTIF(FB$4:FB22,FB22)=1),1,0)</f>
        <v>7</v>
      </c>
      <c r="FD22" t="str">
        <f t="shared" si="64"/>
        <v/>
      </c>
      <c r="FE22" t="str">
        <f>IF('Final Calculation Sheet'!$AF$22="","",'Final Calculation Sheet'!$AF$22)</f>
        <v>DR2640100044</v>
      </c>
      <c r="FF22">
        <f>IF(FE22="","",COUNTIFS(FE$4:FE$40,"&lt;"&amp;FE22,FE$4:FE$40,"&lt;&gt;"&amp;"")+COUNTIF(FE$4:FE22,FE22))</f>
        <v>33</v>
      </c>
      <c r="FG22" t="str">
        <f t="shared" si="65"/>
        <v>DR2640100030</v>
      </c>
      <c r="FH22" t="e">
        <f>FH21+IF(AND(FG22&lt;&gt;"",COUNTIF(FG$4:FG22,FG22)=1),1,0)</f>
        <v>#N/A</v>
      </c>
      <c r="FI22" t="e">
        <f t="shared" si="66"/>
        <v>#N/A</v>
      </c>
      <c r="FJ22" s="129">
        <f>IF('Final Calculation Sheet'!$AG$22="","",'Final Calculation Sheet'!$AG$22)</f>
        <v>1800003308</v>
      </c>
      <c r="FK22">
        <f>IF(FJ22="","",COUNTIFS(FJ$4:FJ$40,"&lt;"&amp;FJ22,FJ$4:FJ$40,"&lt;&gt;"&amp;"")+COUNTIF(FJ$4:FJ22,FJ22))</f>
        <v>20</v>
      </c>
      <c r="FL22" s="129">
        <f t="shared" si="67"/>
        <v>1800003307</v>
      </c>
      <c r="FM22">
        <f>FM21+IF(AND(FL22&lt;&gt;"",COUNTIF(FL$4:FL22,FL22)=1),1,0)</f>
        <v>19</v>
      </c>
      <c r="FN22" t="e">
        <f t="shared" si="68"/>
        <v>#N/A</v>
      </c>
      <c r="FO22" t="str">
        <f>IF('Final Calculation Sheet'!$AH$22="","",'Final Calculation Sheet'!$AH$22)</f>
        <v>27.08.2026</v>
      </c>
      <c r="FP22">
        <f>IF(FO22="","",COUNTIFS(FO$4:FO$40,"&lt;"&amp;FO22,FO$4:FO$40,"&lt;&gt;"&amp;"")+COUNTIF(FO$4:FO22,FO22))</f>
        <v>28</v>
      </c>
      <c r="FQ22" t="str">
        <f t="shared" si="69"/>
        <v>27.08.2026</v>
      </c>
      <c r="FR22" t="e">
        <f>FR21+IF(AND(FQ22&lt;&gt;"",COUNTIF(FQ$4:FQ22,FQ22)=1),1,0)</f>
        <v>#N/A</v>
      </c>
      <c r="FS22" t="e">
        <f t="shared" si="70"/>
        <v>#N/A</v>
      </c>
      <c r="FU22" t="str">
        <f>IF(FT22="","",COUNTIFS(FT$4:FT$40,"&lt;"&amp;FT22,FT$4:FT$40,"&lt;&gt;"&amp;"")+COUNTIF(FT$4:FT22,FT22))</f>
        <v/>
      </c>
      <c r="FV22" t="str">
        <f t="shared" si="71"/>
        <v/>
      </c>
      <c r="FW22">
        <f>FW21+IF(AND(FV22&lt;&gt;"",COUNTIF(FV$4:FV22,FV22)=1),1,0)</f>
        <v>2</v>
      </c>
      <c r="FX22" t="str">
        <f t="shared" si="72"/>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2" t="b">
        <f>IF($Y$22="",FALSE,SUMPRODUCT(('Final Calculation Sheet'!$B$4:$B$40=$Y$22)*($FY$6:$FY$42=1))&gt;0)</f>
        <v>1</v>
      </c>
      <c r="GA22">
        <f>$GA$21+--($FZ$22)</f>
        <v>19</v>
      </c>
      <c r="GB22" t="str">
        <f t="shared" si="73"/>
        <v>Scrap of empty oil Barrel</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D22" t="b">
        <f>IF($O$22="",FALSE,SUMPRODUCT(('Final Calculation Sheet'!$F$4:$F$40=$O$22)*($GC$6:$GC$42=1))&gt;0)</f>
        <v>1</v>
      </c>
      <c r="GE22">
        <f>$GE$21+--($GD22)</f>
        <v>19</v>
      </c>
      <c r="GF22">
        <f t="shared" si="74"/>
        <v>2023</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H22" t="b">
        <f>IF($T$22="",FALSE,SUMPRODUCT(('Final Calculation Sheet'!$G$4:$G$40=$T$22)*($GG$6:$GG$42=1))&gt;0)</f>
        <v>0</v>
      </c>
      <c r="GI22">
        <f>$GI$21+--($GH22)</f>
        <v>13</v>
      </c>
      <c r="GJ22" t="str">
        <f t="shared" si="75"/>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L22" t="b">
        <f>IF($AD$22="",FALSE,SUMPRODUCT(('Final Calculation Sheet'!$D$4:$D$40=$AD$22)*($GK$6:$GK$42=1))&gt;0)</f>
        <v>0</v>
      </c>
      <c r="GM22">
        <f>$GM$21+--($GL22)</f>
        <v>4</v>
      </c>
      <c r="GN22" t="str">
        <f t="shared" si="76"/>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P22" t="b">
        <f>IF($AI$22="",FALSE,SUMPRODUCT(('Final Calculation Sheet'!$A$4:$A$40=$AI$22)*($GO$6:$GO$42=1))&gt;0)</f>
        <v>1</v>
      </c>
      <c r="GQ22">
        <f>$GQ$21+--($GP22)</f>
        <v>19</v>
      </c>
      <c r="GR22">
        <f t="shared" si="77"/>
        <v>1000</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T22" t="b">
        <f>IF($AN$22="",FALSE,SUMPRODUCT(('Final Calculation Sheet'!$E$4:$E$40=$AN$22)*($GS$6:$GS$42=1))&gt;0)</f>
        <v>0</v>
      </c>
      <c r="GU22">
        <f>$GU$21+--($GT22)</f>
        <v>3</v>
      </c>
      <c r="GV22" t="str">
        <f t="shared" si="78"/>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GX22" t="b">
        <f>IF($AS$22="",FALSE,SUMPRODUCT(('Final Calculation Sheet'!$C$4:$C$40=$AS$22)*($GW$6:$GW$42=1))&gt;0)</f>
        <v>1</v>
      </c>
      <c r="GY22">
        <f>$GY$21+--($GX22)</f>
        <v>19</v>
      </c>
      <c r="GZ22">
        <f t="shared" si="79"/>
        <v>40003</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B22" t="b">
        <f>IF($AX$22="",FALSE,SUMPRODUCT(('Final Calculation Sheet'!$H$4:$H$40=$AX$22)*($HA$6:$HA$42=1))&gt;0)</f>
        <v>1</v>
      </c>
      <c r="HC22">
        <f>$HC$21+--($HB22)</f>
        <v>19</v>
      </c>
      <c r="HD22">
        <f t="shared" si="80"/>
        <v>156600</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F22" t="b">
        <f>IF($BC$22="",FALSE,SUMPRODUCT(('Final Calculation Sheet'!$I$4:$I$40=$BC$22)*($HE$6:$HE$42=1))&gt;0)</f>
        <v>1</v>
      </c>
      <c r="HG22">
        <f>$HG$21+--($HF22)</f>
        <v>19</v>
      </c>
      <c r="HH22">
        <f t="shared" si="81"/>
        <v>28188</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J22" t="b">
        <f>IF($BH$22="",FALSE,SUMPRODUCT(('Final Calculation Sheet'!$J$4:$J$40=$BH$22)*($HI$6:$HI$42=1))&gt;0)</f>
        <v>1</v>
      </c>
      <c r="HK22">
        <f>$HK$21+--($HJ22)</f>
        <v>19</v>
      </c>
      <c r="HL22">
        <f t="shared" si="82"/>
        <v>184788</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N22" t="b">
        <f>IF($BM$22="",FALSE,SUMPRODUCT(('Final Calculation Sheet'!$K$4:$K$40=$BM$22)*($HM$6:$HM$42=1))&gt;0)</f>
        <v>1</v>
      </c>
      <c r="HO22">
        <f>$HO$21+--($HN22)</f>
        <v>19</v>
      </c>
      <c r="HP22">
        <f t="shared" si="83"/>
        <v>3696</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R22" t="b">
        <f>IF($BR$22="",FALSE,SUMPRODUCT(('Final Calculation Sheet'!$L$4:$L$40=$BR$22)*($HQ$6:$HQ$42=1))&gt;0)</f>
        <v>1</v>
      </c>
      <c r="HS22">
        <f>$HS$21+--($HR22)</f>
        <v>19</v>
      </c>
      <c r="HT22">
        <f t="shared" si="84"/>
        <v>156.6</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V22" t="b">
        <f>IF($BW$22="",FALSE,SUMPRODUCT(('Final Calculation Sheet'!$M$4:$M$40=$BW$22)*($HU$6:$HU$42=1))&gt;0)</f>
        <v>1</v>
      </c>
      <c r="HW22">
        <f>$HW$21+--($HV22)</f>
        <v>19</v>
      </c>
      <c r="HX22">
        <f t="shared" si="85"/>
        <v>4157.7299999999996</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HZ22" t="b">
        <f>IF($CB$22="",FALSE,SUMPRODUCT(('Final Calculation Sheet'!$N$4:$N$40=$CB$22)*($HY$6:$HY$42=1))&gt;0)</f>
        <v>1</v>
      </c>
      <c r="IA22">
        <f>$IA$21+--($HZ22)</f>
        <v>19</v>
      </c>
      <c r="IB22">
        <f t="shared" si="86"/>
        <v>70.47</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D22" t="b">
        <f>IF($CG$22="",FALSE,SUMPRODUCT(('Final Calculation Sheet'!$O$4:$O$40=$CG$22)*($IC$6:$IC$42=1))&gt;0)</f>
        <v>1</v>
      </c>
      <c r="IE22">
        <f>$IE$21+--($ID22)</f>
        <v>19</v>
      </c>
      <c r="IF22">
        <f t="shared" si="87"/>
        <v>4087.2599999999998</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H22" t="b">
        <f>IF($CL$22="",FALSE,SUMPRODUCT(('Final Calculation Sheet'!$P$4:$P$40=$CL$22)*($IG$6:$IG$42=1))&gt;0)</f>
        <v>1</v>
      </c>
      <c r="II22">
        <f>$II$21+--($IH22)</f>
        <v>19</v>
      </c>
      <c r="IJ22">
        <f t="shared" si="88"/>
        <v>4244</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L22" t="b">
        <f>IF($CQ$22="",FALSE,SUMPRODUCT(('Final Calculation Sheet'!$Q$4:$Q$40=$CQ$22)*($IK$6:$IK$42=1))&gt;0)</f>
        <v>0</v>
      </c>
      <c r="IM22">
        <f>$IM$21+--($IL22)</f>
        <v>2</v>
      </c>
      <c r="IN22" t="str">
        <f t="shared" si="89"/>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P22" t="b">
        <f>IF($CV$22="",FALSE,SUMPRODUCT(('Final Calculation Sheet'!$R$4:$R$40=$CV$22)*($IO$6:$IO$42=1))&gt;0)</f>
        <v>0</v>
      </c>
      <c r="IQ22">
        <f>$IQ$21+--($IP22)</f>
        <v>5</v>
      </c>
      <c r="IR22" t="str">
        <f t="shared" si="90"/>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T22" t="b">
        <f>IF($DA$22="",FALSE,SUMPRODUCT(('Final Calculation Sheet'!$S$4:$S$40=$DA$22)*($IS$6:$IS$42=1))&gt;0)</f>
        <v>1</v>
      </c>
      <c r="IU22">
        <f>$IU$21+--($IT22)</f>
        <v>19</v>
      </c>
      <c r="IV22">
        <f t="shared" si="91"/>
        <v>184240</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IX22" t="b">
        <f>IF($DF$22="",FALSE,SUMPRODUCT(('Final Calculation Sheet'!$T$4:$T$40=$DF$22)*($IW$6:$IW$42=1))&gt;0)</f>
        <v>1</v>
      </c>
      <c r="IY22">
        <f>$IY$21+--($IX22)</f>
        <v>19</v>
      </c>
      <c r="IZ22">
        <f t="shared" si="92"/>
        <v>39150</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B22" t="b">
        <f>IF($DK$22="",FALSE,SUMPRODUCT(('Final Calculation Sheet'!$U$4:$U$40=$DK$22)*($JA$6:$JA$42=1))&gt;0)</f>
        <v>1</v>
      </c>
      <c r="JC22">
        <f>$JC$21+--($JB22)</f>
        <v>19</v>
      </c>
      <c r="JD22">
        <f t="shared" si="93"/>
        <v>39150</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F22" t="b">
        <f>IF($DP$22="",FALSE,SUMPRODUCT(('Final Calculation Sheet'!$V$4:$V$40=$DP$22)*($JE$6:$JE$42=1))&gt;0)</f>
        <v>0</v>
      </c>
      <c r="JG22">
        <f>$JG$21+--($JF22)</f>
        <v>6</v>
      </c>
      <c r="JH22" t="str">
        <f t="shared" si="94"/>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J22" t="b">
        <f>IF($DU$22="",FALSE,SUMPRODUCT(('Final Calculation Sheet'!$W$4:$W$40=$DU$22)*($JI$6:$JI$42=1))&gt;0)</f>
        <v>1</v>
      </c>
      <c r="JK22">
        <f>$JK$21+--($JJ22)</f>
        <v>19</v>
      </c>
      <c r="JL22">
        <f t="shared" si="95"/>
        <v>145090</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N22" t="e">
        <f>IF($DZ$22="",FALSE,SUMPRODUCT(('Final Calculation Sheet'!$X$4:$X$40=$DZ$22)*($JM$6:$JM$42=1))&gt;0)</f>
        <v>#N/A</v>
      </c>
      <c r="JO22" t="e">
        <f>$JO$21+--($JN22)</f>
        <v>#N/A</v>
      </c>
      <c r="JP22" t="e">
        <f t="shared" si="96"/>
        <v>#N/A</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R22" t="e">
        <f>IF($EE$22="",FALSE,SUMPRODUCT(('Final Calculation Sheet'!$Y$4:$Y$40=$EE$22)*($JQ$6:$JQ$42=1))&gt;0)</f>
        <v>#N/A</v>
      </c>
      <c r="JS22" t="e">
        <f>$JS$21+--($JR22)</f>
        <v>#N/A</v>
      </c>
      <c r="JT22" t="e">
        <f t="shared" si="97"/>
        <v>#N/A</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V22" t="b">
        <f ca="1">IF($EJ$22="",FALSE,SUMPRODUCT(('Final Calculation Sheet'!$Z$4:$Z$40=$EJ$22)*($JU$6:$JU$42=1))&gt;0)</f>
        <v>1</v>
      </c>
      <c r="JW22">
        <f ca="1">$JW$21+--($JV22)</f>
        <v>19</v>
      </c>
      <c r="JX22">
        <f t="shared" ca="1" si="98"/>
        <v>5543.6399999999994</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JZ22" t="e">
        <f>IF($EO$22="",FALSE,SUMPRODUCT(('Final Calculation Sheet'!$AA$4:$AA$40=$EO$22)*($JY$6:$JY$42=1))&gt;0)</f>
        <v>#N/A</v>
      </c>
      <c r="KA22" t="e">
        <f>$KA$21+--($JZ22)</f>
        <v>#N/A</v>
      </c>
      <c r="KB22" t="e">
        <f t="shared" si="99"/>
        <v>#N/A</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D22" t="e">
        <f>IF($ET$22="",FALSE,SUMPRODUCT(('Final Calculation Sheet'!$AB$4:$AB$40=$ET$22)*($KC$6:$KC$42=1))&gt;0)</f>
        <v>#N/A</v>
      </c>
      <c r="KE22" t="e">
        <f>$KE$21+--($KD22)</f>
        <v>#N/A</v>
      </c>
      <c r="KF22" t="e">
        <f t="shared" si="100"/>
        <v>#N/A</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H22" t="b">
        <f>IF($EY$22="",FALSE,SUMPRODUCT(('Final Calculation Sheet'!$AC$4:$AC$40=$EY$22)*($KG$6:$KG$42=1))&gt;0)</f>
        <v>1</v>
      </c>
      <c r="KI22">
        <f>$KI$21+--($KH22)</f>
        <v>19</v>
      </c>
      <c r="KJ22">
        <f t="shared" si="101"/>
        <v>144023</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L22" t="b">
        <f>IF($FD$22="",FALSE,SUMPRODUCT(('Final Calculation Sheet'!$AD$4:$AD$40=$FD$22)*($KK$6:$KK$42=1))&gt;0)</f>
        <v>0</v>
      </c>
      <c r="KM22">
        <f>$KM$21+--($KL22)</f>
        <v>11</v>
      </c>
      <c r="KN22" t="str">
        <f t="shared" si="102"/>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P22" t="b">
        <f>IF($FX$22="",FALSE,SUMPRODUCT((IF('Final Calculation Sheet'!$AD$4:$AD$40&lt;=5,"SETTLED","OUTSTANDING")=$FX$22)*($KO$6:$KO$42=1))&gt;0)</f>
        <v>0</v>
      </c>
      <c r="KQ22">
        <f>$KQ$21+--($KP22)</f>
        <v>1</v>
      </c>
      <c r="KR22" t="str">
        <f t="shared" si="103"/>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T22" t="e">
        <f>IF($FI$22="",FALSE,SUMPRODUCT(('Final Calculation Sheet'!$AF$4:$AF$40=$FI$22)*($KS$6:$KS$42=1))&gt;0)</f>
        <v>#N/A</v>
      </c>
      <c r="KU22" t="e">
        <f>$KU$21+--($KT22)</f>
        <v>#N/A</v>
      </c>
      <c r="KV22" t="e">
        <f t="shared" si="104"/>
        <v>#N/A</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KX22" t="e">
        <f>IF($FN$22="",FALSE,SUMPRODUCT(('Final Calculation Sheet'!$AG$4:$AG$40=$FN$22)*($KW$6:$KW$42=1))&gt;0)</f>
        <v>#N/A</v>
      </c>
      <c r="KY22" t="e">
        <f>$KY$21+--($KX22)</f>
        <v>#N/A</v>
      </c>
      <c r="KZ22" t="e">
        <f t="shared" si="105"/>
        <v>#N/A</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LB22" t="e">
        <f>IF($FS$22="",FALSE,SUMPRODUCT(('Final Calculation Sheet'!$AH$4:$AH$40=$FS$22)*($LA$6:$LA$42=1))&gt;0)</f>
        <v>#N/A</v>
      </c>
      <c r="LC22" t="e">
        <f>$LC$21+--($LB22)</f>
        <v>#N/A</v>
      </c>
      <c r="LD22" t="e">
        <f t="shared" si="106"/>
        <v>#N/A</v>
      </c>
      <c r="LE22">
        <f>IF(COUNTIF('Buyer Groups'!DH22:EN22,0)&gt;0,0,1)</f>
        <v>1</v>
      </c>
      <c r="LF22" t="b">
        <f>IF($O$22="",FALSE,SUMPRODUCT(('Final Calculation Sheet'!$F$4:$F$40=$O$22)*($LE$6:$LE$42=1))&gt;0)</f>
        <v>1</v>
      </c>
      <c r="LG22">
        <f>$LG$21+--($LF22)</f>
        <v>19</v>
      </c>
      <c r="LH22">
        <f t="shared" si="107"/>
        <v>2023</v>
      </c>
      <c r="LI22">
        <f>IF(COUNTIF('Buyer Groups'!DG22:DG22,0)+COUNTIF('Buyer Groups'!DI22:EN22,0)&gt;0,0,1)</f>
        <v>1</v>
      </c>
      <c r="LJ22" t="b">
        <f>IF($T$22="",FALSE,SUMPRODUCT(('Final Calculation Sheet'!$G$4:$G$40=$T$22)*($LI$6:$LI$42=1))&gt;0)</f>
        <v>0</v>
      </c>
      <c r="LK22">
        <f>$LK$21+--($LJ22)</f>
        <v>13</v>
      </c>
      <c r="LL22" t="str">
        <f t="shared" si="108"/>
        <v/>
      </c>
      <c r="LM22">
        <f>IF(COUNTIF('Buyer Groups'!DG22:DH22,0)+COUNTIF('Buyer Groups'!DJ22:EN22,0)&gt;0,0,1)</f>
        <v>1</v>
      </c>
      <c r="LN22" t="b">
        <f>IF($Y$22="",FALSE,SUMPRODUCT(('Final Calculation Sheet'!$B$4:$B$40=$Y$22)*($LM$6:$LM$42=1))&gt;0)</f>
        <v>1</v>
      </c>
      <c r="LO22">
        <f>$LO$21+--($LN22)</f>
        <v>19</v>
      </c>
      <c r="LP22" t="str">
        <f t="shared" si="109"/>
        <v>Scrap of empty oil Barrel</v>
      </c>
      <c r="LQ22">
        <f>IF(COUNTIF('Buyer Groups'!DG22:DI22,0)+COUNTIF('Buyer Groups'!DK22:EN22,0)&gt;0,0,1)</f>
        <v>1</v>
      </c>
      <c r="LR22" t="b">
        <f>IF($AD$22="",FALSE,SUMPRODUCT(('Final Calculation Sheet'!$D$4:$D$40=$AD$22)*($LQ$6:$LQ$42=1))&gt;0)</f>
        <v>0</v>
      </c>
      <c r="LS22">
        <f>$LS$21+--($LR22)</f>
        <v>4</v>
      </c>
      <c r="LT22" t="str">
        <f t="shared" si="110"/>
        <v/>
      </c>
      <c r="LU22">
        <f>IF(COUNTIF('Buyer Groups'!DG22:DJ22,0)+COUNTIF('Buyer Groups'!DL22:EN22,0)&gt;0,0,1)</f>
        <v>1</v>
      </c>
      <c r="LV22" t="b">
        <f>IF($AI$22="",FALSE,SUMPRODUCT(('Final Calculation Sheet'!$A$4:$A$40=$AI$22)*($LU$6:$LU$42=1))&gt;0)</f>
        <v>1</v>
      </c>
      <c r="LW22">
        <f>$LW$21+--($LV22)</f>
        <v>19</v>
      </c>
      <c r="LX22">
        <f t="shared" si="111"/>
        <v>1000</v>
      </c>
      <c r="LY22">
        <f>IF(COUNTIF('Buyer Groups'!DG22:DK22,0)+COUNTIF('Buyer Groups'!DM22:EN22,0)&gt;0,0,1)</f>
        <v>1</v>
      </c>
      <c r="LZ22" t="b">
        <f>IF($AN$22="",FALSE,SUMPRODUCT(('Final Calculation Sheet'!$E$4:$E$40=$AN$22)*($LY$6:$LY$42=1))&gt;0)</f>
        <v>0</v>
      </c>
      <c r="MA22">
        <f>$MA$21+--($LZ22)</f>
        <v>3</v>
      </c>
      <c r="MB22" t="str">
        <f t="shared" si="112"/>
        <v/>
      </c>
      <c r="MC22">
        <f>IF(COUNTIF('Buyer Groups'!DG22:DL22,0)+COUNTIF('Buyer Groups'!DN22:EN22,0)&gt;0,0,1)</f>
        <v>1</v>
      </c>
      <c r="MD22" t="b">
        <f>IF($AS$22="",FALSE,SUMPRODUCT(('Final Calculation Sheet'!$C$4:$C$40=$AS$22)*($MC$6:$MC$42=1))&gt;0)</f>
        <v>1</v>
      </c>
      <c r="ME22">
        <f>$ME$21+--($MD22)</f>
        <v>19</v>
      </c>
      <c r="MF22">
        <f t="shared" si="113"/>
        <v>40003</v>
      </c>
      <c r="MG22">
        <f>IF(COUNTIF('Buyer Groups'!DG22:DM22,0)+COUNTIF('Buyer Groups'!DO22:EN22,0)&gt;0,0,1)</f>
        <v>1</v>
      </c>
      <c r="MH22" t="b">
        <f>IF($AX$22="",FALSE,SUMPRODUCT(('Final Calculation Sheet'!$H$4:$H$40=$AX$22)*($MG$6:$MG$42=1))&gt;0)</f>
        <v>1</v>
      </c>
      <c r="MI22">
        <f>$MI$21+--($MH22)</f>
        <v>19</v>
      </c>
      <c r="MJ22">
        <f t="shared" si="114"/>
        <v>156600</v>
      </c>
      <c r="MK22">
        <f>IF(COUNTIF('Buyer Groups'!DG22:DN22,0)+COUNTIF('Buyer Groups'!DP22:EN22,0)&gt;0,0,1)</f>
        <v>1</v>
      </c>
      <c r="ML22" t="b">
        <f>IF($BC$22="",FALSE,SUMPRODUCT(('Final Calculation Sheet'!$I$4:$I$40=$BC$22)*($MK$6:$MK$42=1))&gt;0)</f>
        <v>1</v>
      </c>
      <c r="MM22">
        <f>$MM$21+--($ML22)</f>
        <v>19</v>
      </c>
      <c r="MN22">
        <f t="shared" si="115"/>
        <v>28188</v>
      </c>
      <c r="MO22">
        <f>IF(COUNTIF('Buyer Groups'!DG22:DO22,0)+COUNTIF('Buyer Groups'!DQ22:EN22,0)&gt;0,0,1)</f>
        <v>1</v>
      </c>
      <c r="MP22" t="b">
        <f>IF($BH$22="",FALSE,SUMPRODUCT(('Final Calculation Sheet'!$J$4:$J$40=$BH$22)*($MO$6:$MO$42=1))&gt;0)</f>
        <v>1</v>
      </c>
      <c r="MQ22">
        <f>$MQ$21+--($MP22)</f>
        <v>19</v>
      </c>
      <c r="MR22">
        <f t="shared" si="116"/>
        <v>184788</v>
      </c>
      <c r="MS22">
        <f>IF(COUNTIF('Buyer Groups'!DG22:DP22,0)+COUNTIF('Buyer Groups'!DR22:EN22,0)&gt;0,0,1)</f>
        <v>1</v>
      </c>
      <c r="MT22" t="b">
        <f>IF($BM$22="",FALSE,SUMPRODUCT(('Final Calculation Sheet'!$K$4:$K$40=$BM$22)*($MS$6:$MS$42=1))&gt;0)</f>
        <v>1</v>
      </c>
      <c r="MU22">
        <f>$MU$21+--($MT22)</f>
        <v>19</v>
      </c>
      <c r="MV22">
        <f t="shared" si="117"/>
        <v>3696</v>
      </c>
      <c r="MW22">
        <f>IF(COUNTIF('Buyer Groups'!DG22:DQ22,0)+COUNTIF('Buyer Groups'!DS22:EN22,0)&gt;0,0,1)</f>
        <v>1</v>
      </c>
      <c r="MX22" t="b">
        <f>IF($BR$22="",FALSE,SUMPRODUCT(('Final Calculation Sheet'!$L$4:$L$40=$BR$22)*($MW$6:$MW$42=1))&gt;0)</f>
        <v>1</v>
      </c>
      <c r="MY22">
        <f>$MY$21+--($MX22)</f>
        <v>19</v>
      </c>
      <c r="MZ22">
        <f t="shared" si="118"/>
        <v>156.6</v>
      </c>
      <c r="NA22">
        <f>IF(COUNTIF('Buyer Groups'!DG22:DR22,0)+COUNTIF('Buyer Groups'!DT22:EN22,0)&gt;0,0,1)</f>
        <v>1</v>
      </c>
      <c r="NB22" t="b">
        <f>IF($BW$22="",FALSE,SUMPRODUCT(('Final Calculation Sheet'!$M$4:$M$40=$BW$22)*($NA$6:$NA$42=1))&gt;0)</f>
        <v>1</v>
      </c>
      <c r="NC22">
        <f>$NC$21+--($NB22)</f>
        <v>19</v>
      </c>
      <c r="ND22">
        <f t="shared" si="119"/>
        <v>4157.7299999999996</v>
      </c>
      <c r="NE22">
        <f>IF(COUNTIF('Buyer Groups'!DG22:DS22,0)+COUNTIF('Buyer Groups'!DU22:EN22,0)&gt;0,0,1)</f>
        <v>1</v>
      </c>
      <c r="NF22" t="b">
        <f>IF($CB$22="",FALSE,SUMPRODUCT(('Final Calculation Sheet'!$N$4:$N$40=$CB$22)*($NE$6:$NE$42=1))&gt;0)</f>
        <v>1</v>
      </c>
      <c r="NG22">
        <f>$NG$21+--($NF22)</f>
        <v>19</v>
      </c>
      <c r="NH22">
        <f t="shared" si="120"/>
        <v>70.47</v>
      </c>
      <c r="NI22">
        <f>IF(COUNTIF('Buyer Groups'!DG22:DT22,0)+COUNTIF('Buyer Groups'!DV22:EN22,0)&gt;0,0,1)</f>
        <v>1</v>
      </c>
      <c r="NJ22" t="b">
        <f>IF($CG$22="",FALSE,SUMPRODUCT(('Final Calculation Sheet'!$O$4:$O$40=$CG$22)*($NI$6:$NI$42=1))&gt;0)</f>
        <v>1</v>
      </c>
      <c r="NK22">
        <f>$NK$21+--($NJ22)</f>
        <v>19</v>
      </c>
      <c r="NL22">
        <f t="shared" si="121"/>
        <v>4087.2599999999998</v>
      </c>
      <c r="NM22">
        <f>IF(COUNTIF('Buyer Groups'!DG22:DU22,0)+COUNTIF('Buyer Groups'!DW22:EN22,0)&gt;0,0,1)</f>
        <v>1</v>
      </c>
      <c r="NN22" t="b">
        <f>IF($CL$22="",FALSE,SUMPRODUCT(('Final Calculation Sheet'!$P$4:$P$40=$CL$22)*($NM$6:$NM$42=1))&gt;0)</f>
        <v>1</v>
      </c>
      <c r="NO22">
        <f>$NO$21+--($NN22)</f>
        <v>19</v>
      </c>
      <c r="NP22">
        <f t="shared" si="122"/>
        <v>4244</v>
      </c>
      <c r="NQ22">
        <f>IF(COUNTIF('Buyer Groups'!DG22:DV22,0)+COUNTIF('Buyer Groups'!DX22:EN22,0)&gt;0,0,1)</f>
        <v>1</v>
      </c>
      <c r="NR22" t="b">
        <f>IF($CQ$22="",FALSE,SUMPRODUCT(('Final Calculation Sheet'!$Q$4:$Q$40=$CQ$22)*($NQ$6:$NQ$42=1))&gt;0)</f>
        <v>0</v>
      </c>
      <c r="NS22">
        <f>$NS$21+--($NR22)</f>
        <v>2</v>
      </c>
      <c r="NT22" t="str">
        <f t="shared" si="123"/>
        <v/>
      </c>
      <c r="NU22">
        <f>IF(COUNTIF('Buyer Groups'!DG22:DW22,0)+COUNTIF('Buyer Groups'!DY22:EN22,0)&gt;0,0,1)</f>
        <v>1</v>
      </c>
      <c r="NV22" t="b">
        <f>IF($CV$22="",FALSE,SUMPRODUCT(('Final Calculation Sheet'!$R$4:$R$40=$CV$22)*($NU$6:$NU$42=1))&gt;0)</f>
        <v>0</v>
      </c>
      <c r="NW22">
        <f>$NW$21+--($NV22)</f>
        <v>5</v>
      </c>
      <c r="NX22" t="str">
        <f t="shared" si="124"/>
        <v/>
      </c>
      <c r="NY22">
        <f>IF(COUNTIF('Buyer Groups'!DG22:DX22,0)+COUNTIF('Buyer Groups'!DZ22:EN22,0)&gt;0,0,1)</f>
        <v>1</v>
      </c>
      <c r="NZ22" t="b">
        <f>IF($DA$22="",FALSE,SUMPRODUCT(('Final Calculation Sheet'!$S$4:$S$40=$DA$22)*($NY$6:$NY$42=1))&gt;0)</f>
        <v>1</v>
      </c>
      <c r="OA22">
        <f>$OA$21+--($NZ22)</f>
        <v>19</v>
      </c>
      <c r="OB22">
        <f t="shared" si="125"/>
        <v>184240</v>
      </c>
      <c r="OC22">
        <f>IF(COUNTIF('Buyer Groups'!DG22:DY22,0)+COUNTIF('Buyer Groups'!EA22:EN22,0)&gt;0,0,1)</f>
        <v>1</v>
      </c>
      <c r="OD22" t="b">
        <f>IF($DF$22="",FALSE,SUMPRODUCT(('Final Calculation Sheet'!$T$4:$T$40=$DF$22)*($OC$6:$OC$42=1))&gt;0)</f>
        <v>1</v>
      </c>
      <c r="OE22">
        <f>$OE$21+--($OD22)</f>
        <v>19</v>
      </c>
      <c r="OF22">
        <f t="shared" si="126"/>
        <v>39150</v>
      </c>
      <c r="OG22">
        <f>IF(COUNTIF('Buyer Groups'!DG22:DZ22,0)+COUNTIF('Buyer Groups'!EB22:EN22,0)&gt;0,0,1)</f>
        <v>1</v>
      </c>
      <c r="OH22" t="b">
        <f>IF($DK$22="",FALSE,SUMPRODUCT(('Final Calculation Sheet'!$U$4:$U$40=$DK$22)*($OG$6:$OG$42=1))&gt;0)</f>
        <v>1</v>
      </c>
      <c r="OI22">
        <f>$OI$21+--($OH22)</f>
        <v>19</v>
      </c>
      <c r="OJ22">
        <f t="shared" si="127"/>
        <v>39150</v>
      </c>
      <c r="OK22">
        <f>IF(COUNTIF('Buyer Groups'!DG22:EA22,0)+COUNTIF('Buyer Groups'!EC22:EN22,0)&gt;0,0,1)</f>
        <v>1</v>
      </c>
      <c r="OL22" t="b">
        <f>IF($DP$22="",FALSE,SUMPRODUCT(('Final Calculation Sheet'!$V$4:$V$40=$DP$22)*($OK$6:$OK$42=1))&gt;0)</f>
        <v>0</v>
      </c>
      <c r="OM22">
        <f>$OM$21+--($OL22)</f>
        <v>6</v>
      </c>
      <c r="ON22" t="str">
        <f t="shared" si="128"/>
        <v/>
      </c>
      <c r="OO22">
        <f>IF(COUNTIF('Buyer Groups'!DG22:EB22,0)+COUNTIF('Buyer Groups'!ED22:EN22,0)&gt;0,0,1)</f>
        <v>1</v>
      </c>
      <c r="OP22" t="b">
        <f>IF($DU$22="",FALSE,SUMPRODUCT(('Final Calculation Sheet'!$W$4:$W$40=$DU$22)*($OO$6:$OO$42=1))&gt;0)</f>
        <v>1</v>
      </c>
      <c r="OQ22">
        <f>$OQ$21+--($OP22)</f>
        <v>19</v>
      </c>
      <c r="OR22">
        <f t="shared" si="129"/>
        <v>145090</v>
      </c>
      <c r="OS22">
        <f>IF(COUNTIF('Buyer Groups'!DG22:EC22,0)+COUNTIF('Buyer Groups'!EE22:EN22,0)&gt;0,0,1)</f>
        <v>1</v>
      </c>
      <c r="OT22" t="e">
        <f>IF($DZ$22="",FALSE,SUMPRODUCT(('Final Calculation Sheet'!$X$4:$X$40=$DZ$22)*($OS$6:$OS$42=1))&gt;0)</f>
        <v>#N/A</v>
      </c>
      <c r="OU22" t="e">
        <f>$OU$21+--($OT22)</f>
        <v>#N/A</v>
      </c>
      <c r="OV22" t="e">
        <f t="shared" si="130"/>
        <v>#N/A</v>
      </c>
      <c r="OW22">
        <f>IF(COUNTIF('Buyer Groups'!DG22:ED22,0)+COUNTIF('Buyer Groups'!EF22:EN22,0)&gt;0,0,1)</f>
        <v>1</v>
      </c>
      <c r="OX22" t="e">
        <f>IF($EE$22="",FALSE,SUMPRODUCT(('Final Calculation Sheet'!$Y$4:$Y$40=$EE$22)*($OW$6:$OW$42=1))&gt;0)</f>
        <v>#N/A</v>
      </c>
      <c r="OY22" t="e">
        <f>$OY$21+--($OX22)</f>
        <v>#N/A</v>
      </c>
      <c r="OZ22" t="e">
        <f t="shared" si="131"/>
        <v>#N/A</v>
      </c>
      <c r="PA22">
        <f>IF(COUNTIF('Buyer Groups'!DG22:EE22,0)+COUNTIF('Buyer Groups'!EG22:EN22,0)&gt;0,0,1)</f>
        <v>1</v>
      </c>
      <c r="PB22" t="b">
        <f ca="1">IF($EJ$22="",FALSE,SUMPRODUCT(('Final Calculation Sheet'!$Z$4:$Z$40=$EJ$22)*($PA$6:$PA$42=1))&gt;0)</f>
        <v>1</v>
      </c>
      <c r="PC22">
        <f ca="1">$PC$21+--($PB22)</f>
        <v>19</v>
      </c>
      <c r="PD22">
        <f t="shared" ca="1" si="132"/>
        <v>5543.6399999999994</v>
      </c>
      <c r="PE22">
        <f>IF(COUNTIF('Buyer Groups'!DG22:EF22,0)+COUNTIF('Buyer Groups'!EH22:EN22,0)&gt;0,0,1)</f>
        <v>1</v>
      </c>
      <c r="PF22" t="e">
        <f>IF($EO$22="",FALSE,SUMPRODUCT(('Final Calculation Sheet'!$AA$4:$AA$40=$EO$22)*($PE$6:$PE$42=1))&gt;0)</f>
        <v>#N/A</v>
      </c>
      <c r="PG22" t="e">
        <f>$PG$21+--($PF22)</f>
        <v>#N/A</v>
      </c>
      <c r="PH22" t="e">
        <f t="shared" si="133"/>
        <v>#N/A</v>
      </c>
      <c r="PI22">
        <f>IF(COUNTIF('Buyer Groups'!DG22:EG22,0)+COUNTIF('Buyer Groups'!EI22:EN22,0)&gt;0,0,1)</f>
        <v>1</v>
      </c>
      <c r="PJ22" t="e">
        <f>IF($ET$22="",FALSE,SUMPRODUCT(('Final Calculation Sheet'!$AB$4:$AB$40=$ET$22)*($PI$6:$PI$42=1))&gt;0)</f>
        <v>#N/A</v>
      </c>
      <c r="PK22" t="e">
        <f>$PK$21+--($PJ22)</f>
        <v>#N/A</v>
      </c>
      <c r="PL22" t="e">
        <f t="shared" si="134"/>
        <v>#N/A</v>
      </c>
      <c r="PM22">
        <f>IF(COUNTIF('Buyer Groups'!DG22:EH22,0)+COUNTIF('Buyer Groups'!EJ22:EN22,0)&gt;0,0,1)</f>
        <v>1</v>
      </c>
      <c r="PN22" t="b">
        <f>IF($EY$22="",FALSE,SUMPRODUCT(('Final Calculation Sheet'!$AC$4:$AC$40=$EY$22)*($PM$6:$PM$42=1))&gt;0)</f>
        <v>1</v>
      </c>
      <c r="PO22">
        <f>$PO$21+--($PN22)</f>
        <v>19</v>
      </c>
      <c r="PP22">
        <f t="shared" si="135"/>
        <v>144023</v>
      </c>
      <c r="PQ22">
        <f>IF(COUNTIF('Buyer Groups'!DG22:EI22,0)+COUNTIF('Buyer Groups'!EK22:EN22,0)&gt;0,0,1)</f>
        <v>1</v>
      </c>
      <c r="PR22" t="b">
        <f>IF($FD$22="",FALSE,SUMPRODUCT(('Final Calculation Sheet'!$AD$4:$AD$40=$FD$22)*($PQ$6:$PQ$42=1))&gt;0)</f>
        <v>0</v>
      </c>
      <c r="PS22">
        <f>$PS$21+--($PR22)</f>
        <v>11</v>
      </c>
      <c r="PT22" t="str">
        <f t="shared" si="136"/>
        <v/>
      </c>
      <c r="PU22">
        <f>IF(COUNTIF('Buyer Groups'!DG22:EJ22,0)+COUNTIF('Buyer Groups'!EL22:EN22,0)&gt;0,0,1)</f>
        <v>1</v>
      </c>
      <c r="PV22" t="b">
        <f>IF($FX$22="",FALSE,SUMPRODUCT((IF('Final Calculation Sheet'!$AD$4:$AD$40&lt;=5,"SETTLED","OUTSTANDING")=$FX$22)*($PU$6:$PU$42=1))&gt;0)</f>
        <v>0</v>
      </c>
      <c r="PW22">
        <f>$PW$21+--($PV22)</f>
        <v>1</v>
      </c>
      <c r="PX22" t="str">
        <f t="shared" si="137"/>
        <v/>
      </c>
      <c r="PY22">
        <f>IF(COUNTIF('Buyer Groups'!DG22:EK22,0)+COUNTIF('Buyer Groups'!EM22:EN22,0)&gt;0,0,1)</f>
        <v>1</v>
      </c>
      <c r="PZ22" t="e">
        <f>IF($FI$22="",FALSE,SUMPRODUCT(('Final Calculation Sheet'!$AF$4:$AF$40=$FI$22)*($PY$6:$PY$42=1))&gt;0)</f>
        <v>#N/A</v>
      </c>
      <c r="QA22" t="e">
        <f>$QA$21+--($PZ22)</f>
        <v>#N/A</v>
      </c>
      <c r="QB22" t="e">
        <f t="shared" si="138"/>
        <v>#N/A</v>
      </c>
      <c r="QC22">
        <f>IF(COUNTIF('Buyer Groups'!DG22:EL22,0)+COUNTIF('Buyer Groups'!EN22:EN22,0)&gt;0,0,1)</f>
        <v>1</v>
      </c>
      <c r="QD22" t="e">
        <f>IF($FN$22="",FALSE,SUMPRODUCT(('Final Calculation Sheet'!$AG$4:$AG$40=$FN$22)*($QC$6:$QC$42=1))&gt;0)</f>
        <v>#N/A</v>
      </c>
      <c r="QE22" t="e">
        <f>$QE$21+--($QD22)</f>
        <v>#N/A</v>
      </c>
      <c r="QF22" t="e">
        <f t="shared" si="139"/>
        <v>#N/A</v>
      </c>
      <c r="QG22">
        <f>IF(COUNTIF('Buyer Groups'!DG22:EM22,0)&gt;0,0,1)</f>
        <v>1</v>
      </c>
      <c r="QH22" t="e">
        <f>IF($FS$22="",FALSE,SUMPRODUCT(('Final Calculation Sheet'!$AH$4:$AH$40=$FS$22)*($QG$6:$QG$42=1))&gt;0)</f>
        <v>#N/A</v>
      </c>
      <c r="QI22" t="e">
        <f>$QI$21+--($QH22)</f>
        <v>#N/A</v>
      </c>
      <c r="QJ22" t="e">
        <f t="shared" si="140"/>
        <v>#N/A</v>
      </c>
      <c r="QK22" t="str">
        <f>IF('Final Calculation Sheet'!$AH$22="","",'Final Calculation Sheet'!$AH$22)</f>
        <v>27.08.2026</v>
      </c>
      <c r="QL22">
        <f>IF(QK22="","",COUNTIFS(QK$4:QK$40,"&lt;"&amp;QK22,QK$4:QK$40,"&lt;&gt;"&amp;"")+COUNTIF(QK$4:QK22,QK22))</f>
        <v>28</v>
      </c>
      <c r="QM22" t="str">
        <f t="shared" si="141"/>
        <v>27.08.2026</v>
      </c>
      <c r="QN22" t="e">
        <f ca="1">QN21+F(AND(QM22&lt;&gt;"",COUNTIF(QM$4:QM22,QM22)=1),1,0)</f>
        <v>#N/A</v>
      </c>
      <c r="QO22" t="e">
        <f t="shared" si="142"/>
        <v>#N/A</v>
      </c>
      <c r="QP22">
        <f>IF(COUNTIF('Final Calculation Sheet'!$AM22:$BS22,0)&gt;0,0,1)</f>
        <v>1</v>
      </c>
      <c r="QQ22" t="b">
        <f>IF($AI$22="",FALSE,SUMPRODUCT(('Final Calculation Sheet'!$A$4:$A$40=$AI$22)*($QP$4:$QP$40=1))&gt;0)</f>
        <v>1</v>
      </c>
      <c r="QR22">
        <f t="shared" si="177"/>
        <v>19</v>
      </c>
      <c r="QS22">
        <f t="shared" si="143"/>
        <v>1000</v>
      </c>
      <c r="QT22">
        <f>IF(COUNTIF('Final Calculation Sheet'!$AL22:$AL22,0)+COUNTIF('Final Calculation Sheet'!$AN22:$BS22,0)&gt;0,0,1)</f>
        <v>1</v>
      </c>
      <c r="QU22" t="b">
        <f>IF($Y$22="",FALSE,SUMPRODUCT(('Final Calculation Sheet'!$B$4:$B$40=$Y$22)*($QT$4:$QT$40=1))&gt;0)</f>
        <v>1</v>
      </c>
      <c r="QV22">
        <f t="shared" si="178"/>
        <v>19</v>
      </c>
      <c r="QW22" t="str">
        <f t="shared" si="144"/>
        <v>Scrap of empty oil Barrel</v>
      </c>
      <c r="QX22">
        <f>IF(COUNTIF('Final Calculation Sheet'!$AL22:$AM22,0)+COUNTIF('Final Calculation Sheet'!$AO22:$BS22,0)&gt;0,0,1)</f>
        <v>1</v>
      </c>
      <c r="QY22" t="b">
        <f>IF($AS$22="",FALSE,SUMPRODUCT(('Final Calculation Sheet'!$C$4:$C$40=$AS$22)*($QX$4:$QX$40=1))&gt;0)</f>
        <v>1</v>
      </c>
      <c r="QZ22">
        <f t="shared" si="179"/>
        <v>19</v>
      </c>
      <c r="RA22">
        <f t="shared" si="145"/>
        <v>40003</v>
      </c>
      <c r="RB22">
        <f>IF(COUNTIF('Final Calculation Sheet'!$AL22:$AN22,0)+COUNTIF('Final Calculation Sheet'!$AP22:$BS22,0)&gt;0,0,1)</f>
        <v>1</v>
      </c>
      <c r="RC22" t="b">
        <f>IF($AD$22="",FALSE,SUMPRODUCT(('Final Calculation Sheet'!$D$4:$D$40=$AD$22)*($RB$4:$RB$40=1))&gt;0)</f>
        <v>0</v>
      </c>
      <c r="RD22">
        <f t="shared" si="180"/>
        <v>4</v>
      </c>
      <c r="RE22" t="str">
        <f t="shared" si="146"/>
        <v/>
      </c>
      <c r="RF22">
        <f>IF(COUNTIF('Final Calculation Sheet'!$AL22:$AO22,0)+COUNTIF('Final Calculation Sheet'!$AQ22:$BS22,0)&gt;0,0,1)</f>
        <v>1</v>
      </c>
      <c r="RG22" t="b">
        <f>IF($AN$22="",FALSE,SUMPRODUCT(('Final Calculation Sheet'!$E$4:$E$40=$AN$22)*($RF$4:$RF$40=1))&gt;0)</f>
        <v>0</v>
      </c>
      <c r="RH22">
        <f t="shared" si="181"/>
        <v>3</v>
      </c>
      <c r="RI22" t="str">
        <f t="shared" si="147"/>
        <v/>
      </c>
      <c r="RJ22">
        <f>IF(COUNTIF('Final Calculation Sheet'!$AL22:$AP22,0)+COUNTIF('Final Calculation Sheet'!$AR22:$BS22,0)&gt;0,0,1)</f>
        <v>1</v>
      </c>
      <c r="RK22" t="b">
        <f>IF($O$22="",FALSE,SUMPRODUCT(('Final Calculation Sheet'!$F$4:$F$40=$O$22)*($RJ$4:$RJ$40=1))&gt;0)</f>
        <v>1</v>
      </c>
      <c r="RL22">
        <f t="shared" si="182"/>
        <v>19</v>
      </c>
      <c r="RM22">
        <f t="shared" si="148"/>
        <v>2023</v>
      </c>
      <c r="RN22">
        <f>IF(COUNTIF('Final Calculation Sheet'!$AL22:$AQ22,0)+COUNTIF('Final Calculation Sheet'!$AS22:$BS22,0)&gt;0,0,1)</f>
        <v>1</v>
      </c>
      <c r="RO22" t="b">
        <f>IF($T$22="",FALSE,SUMPRODUCT(('Final Calculation Sheet'!$G$4:$G$40=$T$22)*($RN$4:$RN$40=1))&gt;0)</f>
        <v>0</v>
      </c>
      <c r="RP22">
        <f t="shared" si="183"/>
        <v>13</v>
      </c>
      <c r="RQ22" t="str">
        <f t="shared" si="149"/>
        <v/>
      </c>
      <c r="RR22">
        <f>IF(COUNTIF('Final Calculation Sheet'!$AL22:$AR22,0)+COUNTIF('Final Calculation Sheet'!$AT22:$BS22,0)&gt;0,0,1)</f>
        <v>1</v>
      </c>
      <c r="RS22" t="b">
        <f>IF($AX$22="",FALSE,SUMPRODUCT(('Final Calculation Sheet'!$H$4:$H$40=$AX$22)*($RR$4:$RR$40=1))&gt;0)</f>
        <v>1</v>
      </c>
      <c r="RT22">
        <f t="shared" si="184"/>
        <v>19</v>
      </c>
      <c r="RU22">
        <f t="shared" si="150"/>
        <v>156600</v>
      </c>
      <c r="RV22">
        <f>IF(COUNTIF('Final Calculation Sheet'!$AL22:$AS22,0)+COUNTIF('Final Calculation Sheet'!$AU22:$BS22,0)&gt;0,0,1)</f>
        <v>1</v>
      </c>
      <c r="RW22" t="b">
        <f>IF($BC$22="",FALSE,SUMPRODUCT(('Final Calculation Sheet'!$I$4:$I$40=$BC$22)*($RV$4:$RV$40=1))&gt;0)</f>
        <v>1</v>
      </c>
      <c r="RX22">
        <f t="shared" si="185"/>
        <v>19</v>
      </c>
      <c r="RY22">
        <f t="shared" si="151"/>
        <v>28188</v>
      </c>
      <c r="RZ22">
        <f>IF(COUNTIF('Final Calculation Sheet'!$AL22:$AT22,0)+COUNTIF('Final Calculation Sheet'!$AV22:$BS22,0)&gt;0,0,1)</f>
        <v>1</v>
      </c>
      <c r="SA22" t="b">
        <f>IF($BH$22="",FALSE,SUMPRODUCT(('Final Calculation Sheet'!$J$4:$J$40=$BH$22)*($RZ$4:$RZ$40=1))&gt;0)</f>
        <v>1</v>
      </c>
      <c r="SB22">
        <f t="shared" si="186"/>
        <v>19</v>
      </c>
      <c r="SC22">
        <f t="shared" si="152"/>
        <v>184788</v>
      </c>
      <c r="SD22">
        <f>IF(COUNTIF('Final Calculation Sheet'!$AL22:$AU22,0)+COUNTIF('Final Calculation Sheet'!$AW22:$BS22,0)&gt;0,0,1)</f>
        <v>1</v>
      </c>
      <c r="SE22" t="b">
        <f>IF($BM$22="",FALSE,SUMPRODUCT(('Final Calculation Sheet'!$K$4:$K$40=$BM$22)*($SD$4:$SD$40=1))&gt;0)</f>
        <v>1</v>
      </c>
      <c r="SF22">
        <f t="shared" si="187"/>
        <v>19</v>
      </c>
      <c r="SG22">
        <f t="shared" si="153"/>
        <v>3696</v>
      </c>
      <c r="SH22">
        <f>IF(COUNTIF('Final Calculation Sheet'!$AL22:$AV22,0)+COUNTIF('Final Calculation Sheet'!$AX22:$BS22,0)&gt;0,0,1)</f>
        <v>1</v>
      </c>
      <c r="SI22" t="b">
        <f>IF($BR$22="",FALSE,SUMPRODUCT(('Final Calculation Sheet'!$L$4:$L$40=$BR$22)*($SH$4:$SH$40=1))&gt;0)</f>
        <v>1</v>
      </c>
      <c r="SJ22">
        <f t="shared" si="188"/>
        <v>19</v>
      </c>
      <c r="SK22">
        <f t="shared" si="154"/>
        <v>156.6</v>
      </c>
      <c r="SL22">
        <f>IF(COUNTIF('Final Calculation Sheet'!$AL22:$AW22,0)+COUNTIF('Final Calculation Sheet'!$AY22:$BS22,0)&gt;0,0,1)</f>
        <v>1</v>
      </c>
      <c r="SM22" t="b">
        <f>IF($BW$22="",FALSE,SUMPRODUCT(('Final Calculation Sheet'!$M$4:$M$40=$BW$22)*($SL$4:$SL$40=1))&gt;0)</f>
        <v>1</v>
      </c>
      <c r="SN22">
        <f t="shared" si="189"/>
        <v>19</v>
      </c>
      <c r="SO22">
        <f t="shared" si="155"/>
        <v>4157.7299999999996</v>
      </c>
      <c r="SP22">
        <f>IF(COUNTIF('Final Calculation Sheet'!$AL22:$AX22,0)+COUNTIF('Final Calculation Sheet'!$AZ22:$BS22,0)&gt;0,0,1)</f>
        <v>1</v>
      </c>
      <c r="SQ22" t="b">
        <f>IF($CB$22="",FALSE,SUMPRODUCT(('Final Calculation Sheet'!$N$4:$N$40=$CB$22)*($SP$4:$SP$40=1))&gt;0)</f>
        <v>1</v>
      </c>
      <c r="SR22">
        <f t="shared" si="190"/>
        <v>19</v>
      </c>
      <c r="SS22">
        <f t="shared" si="156"/>
        <v>70.47</v>
      </c>
      <c r="ST22">
        <f>IF(COUNTIF('Final Calculation Sheet'!$AL22:$AY22,0)+COUNTIF('Final Calculation Sheet'!$BA22:$BS22,0)&gt;0,0,1)</f>
        <v>1</v>
      </c>
      <c r="SU22" t="b">
        <f>IF($CG$22="",FALSE,SUMPRODUCT(('Final Calculation Sheet'!$O$4:$O$40=$CG$22)*($ST$4:$ST$40=1))&gt;0)</f>
        <v>1</v>
      </c>
      <c r="SV22">
        <f t="shared" si="191"/>
        <v>19</v>
      </c>
      <c r="SW22">
        <f t="shared" si="157"/>
        <v>4087.2599999999998</v>
      </c>
      <c r="SX22">
        <f>IF(COUNTIF('Final Calculation Sheet'!$AL22:$AZ22,0)+COUNTIF('Final Calculation Sheet'!$BB22:$BS22,0)&gt;0,0,1)</f>
        <v>1</v>
      </c>
      <c r="SY22" t="b">
        <f>IF($CL$22="",FALSE,SUMPRODUCT(('Final Calculation Sheet'!$P$4:$P$40=$CL$22)*($SX$4:$SX$40=1))&gt;0)</f>
        <v>1</v>
      </c>
      <c r="SZ22">
        <f t="shared" si="192"/>
        <v>19</v>
      </c>
      <c r="TA22">
        <f t="shared" si="158"/>
        <v>4244</v>
      </c>
      <c r="TB22">
        <f>IF(COUNTIF('Final Calculation Sheet'!$AL22:$BA22,0)+COUNTIF('Final Calculation Sheet'!$BC22:$BS22,0)&gt;0,0,1)</f>
        <v>1</v>
      </c>
      <c r="TC22" t="b">
        <f>IF($CQ$22="",FALSE,SUMPRODUCT(('Final Calculation Sheet'!$Q$4:$Q$40=$CQ$22)*($TB$4:$TB$40=1))&gt;0)</f>
        <v>0</v>
      </c>
      <c r="TD22">
        <f t="shared" si="193"/>
        <v>2</v>
      </c>
      <c r="TE22" t="str">
        <f t="shared" si="159"/>
        <v/>
      </c>
      <c r="TF22">
        <f>IF(COUNTIF('Final Calculation Sheet'!$AL22:$BB22,0)+COUNTIF('Final Calculation Sheet'!$BD22:$BS22,0)&gt;0,0,1)</f>
        <v>1</v>
      </c>
      <c r="TG22" t="b">
        <f>IF($CV$22="",FALSE,SUMPRODUCT(('Final Calculation Sheet'!$R$4:$R$40=$CV$22)*($TF$4:$TF$40=1))&gt;0)</f>
        <v>0</v>
      </c>
      <c r="TH22">
        <f t="shared" si="194"/>
        <v>5</v>
      </c>
      <c r="TI22" t="str">
        <f t="shared" si="160"/>
        <v/>
      </c>
      <c r="TJ22">
        <f>IF(COUNTIF('Final Calculation Sheet'!$AL22:$BC22,0)+COUNTIF('Final Calculation Sheet'!$BE22:$BS22,0)&gt;0,0,1)</f>
        <v>1</v>
      </c>
      <c r="TK22" t="b">
        <f>IF($DA$22="",FALSE,SUMPRODUCT(('Final Calculation Sheet'!$S$4:$S$40=$DA$22)*($TJ$4:$TJ$40=1))&gt;0)</f>
        <v>1</v>
      </c>
      <c r="TL22">
        <f t="shared" si="195"/>
        <v>19</v>
      </c>
      <c r="TM22">
        <f t="shared" si="161"/>
        <v>184240</v>
      </c>
      <c r="TN22">
        <f>IF(COUNTIF('Final Calculation Sheet'!$AL22:$BD22,0)+COUNTIF('Final Calculation Sheet'!$BF22:$BS22,0)&gt;0,0,1)</f>
        <v>1</v>
      </c>
      <c r="TO22" t="b">
        <f>IF($DF$22="",FALSE,SUMPRODUCT(('Final Calculation Sheet'!$T$4:$T$40=$DF$22)*($TN$4:$TN$40=1))&gt;0)</f>
        <v>1</v>
      </c>
      <c r="TP22">
        <f t="shared" si="196"/>
        <v>19</v>
      </c>
      <c r="TQ22">
        <f t="shared" si="162"/>
        <v>39150</v>
      </c>
      <c r="TR22">
        <f>IF(COUNTIF('Final Calculation Sheet'!$AL22:$BE22,0)+COUNTIF('Final Calculation Sheet'!$BG22:$BS22,0)&gt;0,0,1)</f>
        <v>1</v>
      </c>
      <c r="TS22" t="b">
        <f>IF($DK$22="",FALSE,SUMPRODUCT(('Final Calculation Sheet'!$U$4:$U$40=$DK$22)*($TR$4:$TR$40=1))&gt;0)</f>
        <v>1</v>
      </c>
      <c r="TT22">
        <f t="shared" si="197"/>
        <v>19</v>
      </c>
      <c r="TU22">
        <f t="shared" si="163"/>
        <v>39150</v>
      </c>
      <c r="TV22">
        <f>IF(COUNTIF('Final Calculation Sheet'!$AL22:$BF22,0)+COUNTIF('Final Calculation Sheet'!$BH22:$BS22,0)&gt;0,0,1)</f>
        <v>1</v>
      </c>
      <c r="TW22" t="b">
        <f>IF($DP$22="",FALSE,SUMPRODUCT(('Final Calculation Sheet'!$V$4:$V$40=$DP$22)*($TV$4:$TV$40=1))&gt;0)</f>
        <v>0</v>
      </c>
      <c r="TX22">
        <f t="shared" si="198"/>
        <v>6</v>
      </c>
      <c r="TY22" t="str">
        <f t="shared" si="164"/>
        <v/>
      </c>
      <c r="TZ22">
        <f>IF(COUNTIF('Final Calculation Sheet'!$AL22:$BG22,0)+COUNTIF('Final Calculation Sheet'!$BI22:$BS22,0)&gt;0,0,1)</f>
        <v>1</v>
      </c>
      <c r="UA22" t="b">
        <f>IF($DU$22="",FALSE,SUMPRODUCT(('Final Calculation Sheet'!$W$4:$W$40=$DU$22)*($TZ$4:$TZ$40=1))&gt;0)</f>
        <v>1</v>
      </c>
      <c r="UB22">
        <f t="shared" si="199"/>
        <v>19</v>
      </c>
      <c r="UC22">
        <f t="shared" si="165"/>
        <v>145090</v>
      </c>
      <c r="UD22">
        <f>IF(COUNTIF('Final Calculation Sheet'!$AL22:$BH22,0)+COUNTIF('Final Calculation Sheet'!$BJ22:$BS22,0)&gt;0,0,1)</f>
        <v>1</v>
      </c>
      <c r="UE22" t="e">
        <f>IF($DZ$22="",FALSE,SUMPRODUCT(('Final Calculation Sheet'!$X$4:$X$40=$DZ$22)*($UD$4:$UD$40=1))&gt;0)</f>
        <v>#N/A</v>
      </c>
      <c r="UF22" t="e">
        <f t="shared" si="200"/>
        <v>#N/A</v>
      </c>
      <c r="UG22" t="e">
        <f t="shared" si="166"/>
        <v>#N/A</v>
      </c>
      <c r="UH22">
        <f>IF(COUNTIF('Final Calculation Sheet'!$AL22:$BI22,0)+COUNTIF('Final Calculation Sheet'!$BK22:$BS22,0)&gt;0,0,1)</f>
        <v>1</v>
      </c>
      <c r="UI22" t="e">
        <f>IF($EE$22="",FALSE,SUMPRODUCT(('Final Calculation Sheet'!$Y$4:$Y$40=$EE$22)*($UH$4:$UH$40=1))&gt;0)</f>
        <v>#N/A</v>
      </c>
      <c r="UJ22" t="e">
        <f t="shared" si="201"/>
        <v>#N/A</v>
      </c>
      <c r="UK22" t="e">
        <f t="shared" si="167"/>
        <v>#N/A</v>
      </c>
      <c r="UL22">
        <f>IF(COUNTIF('Final Calculation Sheet'!$AL22:$BJ22,0)+COUNTIF('Final Calculation Sheet'!$BL22:$BS22,0)&gt;0,0,1)</f>
        <v>1</v>
      </c>
      <c r="UM22" t="b">
        <f ca="1">IF($EJ$22="",FALSE,SUMPRODUCT(('Final Calculation Sheet'!$Z$4:$Z$40=$EJ$22)*($UL$4:$UL$40=1))&gt;0)</f>
        <v>1</v>
      </c>
      <c r="UN22">
        <f t="shared" ca="1" si="202"/>
        <v>19</v>
      </c>
      <c r="UO22">
        <f t="shared" ca="1" si="168"/>
        <v>5543.6399999999994</v>
      </c>
      <c r="UP22">
        <f>IF(COUNTIF('Final Calculation Sheet'!$AL22:$BK22,0)+COUNTIF('Final Calculation Sheet'!$BM22:$BS22,0)&gt;0,0,1)</f>
        <v>1</v>
      </c>
      <c r="UQ22" t="e">
        <f>IF($EO$22="",FALSE,SUMPRODUCT(('Final Calculation Sheet'!$AA$4:$AA$40=$EO$22)*($UP$4:$UP$40=1))&gt;0)</f>
        <v>#N/A</v>
      </c>
      <c r="UR22" t="e">
        <f t="shared" si="203"/>
        <v>#N/A</v>
      </c>
      <c r="US22" t="e">
        <f t="shared" si="169"/>
        <v>#N/A</v>
      </c>
      <c r="UT22">
        <f>IF(COUNTIF('Final Calculation Sheet'!$AL22:$BL22,0)+COUNTIF('Final Calculation Sheet'!$BN22:$BS22,0)&gt;0,0,1)</f>
        <v>1</v>
      </c>
      <c r="UU22" t="e">
        <f>IF($ET$22="",FALSE,SUMPRODUCT(('Final Calculation Sheet'!$AB$4:$AB$40=$ET$22)*($UT$4:$UT$40=1))&gt;0)</f>
        <v>#N/A</v>
      </c>
      <c r="UV22" t="e">
        <f t="shared" si="204"/>
        <v>#N/A</v>
      </c>
      <c r="UW22" t="e">
        <f t="shared" si="170"/>
        <v>#N/A</v>
      </c>
      <c r="UX22">
        <f>IF(COUNTIF('Final Calculation Sheet'!$AL22:$BM22,0)+COUNTIF('Final Calculation Sheet'!$BO22:$BS22,0)&gt;0,0,1)</f>
        <v>1</v>
      </c>
      <c r="UY22" t="b">
        <f>IF($EY$22="",FALSE,SUMPRODUCT(('Final Calculation Sheet'!$AC$4:$AC$40=$EY$22)*($UX$4:$UX$40=1))&gt;0)</f>
        <v>1</v>
      </c>
      <c r="UZ22">
        <f t="shared" si="205"/>
        <v>19</v>
      </c>
      <c r="VA22">
        <f t="shared" si="171"/>
        <v>144023</v>
      </c>
      <c r="VB22">
        <f>IF(COUNTIF('Final Calculation Sheet'!$AL22:$BN22,0)+COUNTIF('Final Calculation Sheet'!$BP22:$BS22,0)&gt;0,0,1)</f>
        <v>1</v>
      </c>
      <c r="VC22" t="b">
        <f>IF($FD$22="",FALSE,SUMPRODUCT(('Final Calculation Sheet'!$AD$4:$AD$40=$FD$22)*($VB$4:$VB$40=1))&gt;0)</f>
        <v>0</v>
      </c>
      <c r="VD22">
        <f t="shared" si="206"/>
        <v>11</v>
      </c>
      <c r="VE22" t="str">
        <f t="shared" si="172"/>
        <v/>
      </c>
      <c r="VF22">
        <f>IF(COUNTIF('Final Calculation Sheet'!$AL22:$BO22,0)+COUNTIF('Final Calculation Sheet'!$BQ22:$BS22,0)&gt;0,0,1)</f>
        <v>1</v>
      </c>
      <c r="VG22" t="e">
        <f>IF($FI$22="",FALSE,SUMPRODUCT(('Final Calculation Sheet'!$AE$4:$AE$40=$FI$22)*($VF$4:$VF$40=1))&gt;0)</f>
        <v>#N/A</v>
      </c>
      <c r="VH22" t="e">
        <f t="shared" si="207"/>
        <v>#N/A</v>
      </c>
      <c r="VI22" t="e">
        <f t="shared" si="173"/>
        <v>#N/A</v>
      </c>
      <c r="VJ22">
        <f>IF(COUNTIF('Final Calculation Sheet'!$AL22:$BP22,0)+COUNTIF('Final Calculation Sheet'!$BR22:$BS22,0)&gt;0,0,1)</f>
        <v>1</v>
      </c>
      <c r="VK22" t="e">
        <f>IF($FN$22="",FALSE,SUMPRODUCT(('Final Calculation Sheet'!$AF$4:$AF$40=$FN$22)*($VJ$4:$VJ$40=1))&gt;0)</f>
        <v>#N/A</v>
      </c>
      <c r="VL22" t="e">
        <f t="shared" si="208"/>
        <v>#N/A</v>
      </c>
      <c r="VM22" t="e">
        <f t="shared" si="174"/>
        <v>#N/A</v>
      </c>
      <c r="VN22">
        <f>IF(COUNTIF('Final Calculation Sheet'!$AL22:$BQ22,0)+COUNTIF('Final Calculation Sheet'!$BS22:$BS22,0)&gt;0,0,1)</f>
        <v>1</v>
      </c>
      <c r="VO22" t="e">
        <f>IF($FS$22="",FALSE,SUMPRODUCT(('Final Calculation Sheet'!$AG$4:$AG$40=$FS$22)*($VN$4:$VN$40=1))&gt;0)</f>
        <v>#N/A</v>
      </c>
      <c r="VP22" t="e">
        <f t="shared" si="209"/>
        <v>#N/A</v>
      </c>
      <c r="VQ22" t="e">
        <f t="shared" si="175"/>
        <v>#N/A</v>
      </c>
      <c r="VR22">
        <f>IF(COUNTIF('Final Calculation Sheet'!$AL22:$BR22,0)&gt;0,0,1)</f>
        <v>1</v>
      </c>
      <c r="VS22" t="e">
        <f>IF($QO$22="",FALSE,SUMPRODUCT(('Final Calculation Sheet'!$AH$4:$AH$40=$QO$22)*($VR$4:$VR$40=1))&gt;0)</f>
        <v>#N/A</v>
      </c>
      <c r="VT22" t="e">
        <f t="shared" si="210"/>
        <v>#N/A</v>
      </c>
      <c r="VU22" t="e">
        <f t="shared" si="176"/>
        <v>#N/A</v>
      </c>
    </row>
    <row r="23" spans="1:593" x14ac:dyDescent="0.3">
      <c r="A23">
        <f>IF('Final Calculation Sheet'!$F$23="","",'Final Calculation Sheet'!$F$23)</f>
        <v>2025</v>
      </c>
      <c r="B23">
        <f>IF(A23="","",COUNTIFS(A$4:A$114,"&lt;"&amp;A23,A$4:A$114,"&lt;&gt;"&amp;"")+COUNTIF(A$4:A23,A23))</f>
        <v>20</v>
      </c>
      <c r="C23">
        <f t="shared" si="0"/>
        <v>2025</v>
      </c>
      <c r="D23">
        <f>D22+IF(AND(C23&lt;&gt;"",COUNTIF(C$4:C23,C23)=1),1,0)</f>
        <v>20</v>
      </c>
      <c r="E23" t="e">
        <f t="shared" si="1"/>
        <v>#N/A</v>
      </c>
      <c r="F23">
        <f t="shared" si="2"/>
        <v>20</v>
      </c>
      <c r="G23">
        <f>IF(F23="","",COUNTIFS(F$4:F$40,"&lt;"&amp;F23,F$4:F$40,"&lt;&gt;"&amp;"")+COUNTIF(F$4:F23,F23))</f>
        <v>20</v>
      </c>
      <c r="H23">
        <f t="shared" si="3"/>
        <v>20</v>
      </c>
      <c r="I23">
        <f>I22+IF(AND(H23&lt;&gt;"",COUNTIF(H$4:H23,H23)=1),1,0)</f>
        <v>20</v>
      </c>
      <c r="J23">
        <f t="shared" si="4"/>
        <v>20</v>
      </c>
      <c r="K23">
        <f>IF('Final Calculation Sheet'!$F$23="","",'Final Calculation Sheet'!$F$23)</f>
        <v>2025</v>
      </c>
      <c r="L23">
        <f>IF(K23="","",COUNTIFS(K$4:K$40,"&lt;"&amp;K23,K$4:K$40,"&lt;&gt;"&amp;"")+COUNTIF(K$4:K23,K23))</f>
        <v>20</v>
      </c>
      <c r="M23">
        <f t="shared" si="5"/>
        <v>2025</v>
      </c>
      <c r="N23">
        <f>N22+IF(AND(M23&lt;&gt;"",COUNTIF(M$4:M23,M23)=1),1,0)</f>
        <v>20</v>
      </c>
      <c r="O23">
        <f t="shared" si="6"/>
        <v>2025</v>
      </c>
      <c r="P23" t="str">
        <f>IF('Final Calculation Sheet'!$G$23="","",'Final Calculation Sheet'!$G$23)</f>
        <v>STERLING ENTERPRISES</v>
      </c>
      <c r="Q23">
        <f>IF(P23="","",COUNTIFS(P$4:P$40,"&lt;"&amp;P23,P$4:P$40,"&lt;&gt;"&amp;"")+COUNTIF(P$4:P23,P23))</f>
        <v>31</v>
      </c>
      <c r="R23" t="str">
        <f t="shared" si="7"/>
        <v>NATIONAL SCRAP AND BUILDING MATERIAL SUPPLIER</v>
      </c>
      <c r="S23">
        <f>S22+IF(AND(R23&lt;&gt;"",COUNTIF(R$4:R23,R23)=1),1,0)</f>
        <v>7</v>
      </c>
      <c r="T23" t="str">
        <f t="shared" si="8"/>
        <v/>
      </c>
      <c r="U23" t="str">
        <f>IF('Final Calculation Sheet'!$B$23="","",'Final Calculation Sheet'!$B$23)</f>
        <v>Scrap of empty oil Barrels</v>
      </c>
      <c r="V23">
        <f>IF(U23="","",COUNTIFS(U$4:U$40,"&lt;"&amp;U23,U$4:U$40,"&lt;&gt;"&amp;"")+COUNTIF(U$4:U23,U23))</f>
        <v>28</v>
      </c>
      <c r="W23" t="str">
        <f t="shared" si="9"/>
        <v>Scrap of 33 KV CT</v>
      </c>
      <c r="X23">
        <f>X22+IF(AND(W23&lt;&gt;"",COUNTIF(W$4:W23,W23)=1),1,0)</f>
        <v>13</v>
      </c>
      <c r="Y23" t="str">
        <f t="shared" si="10"/>
        <v>Scrap of empty oil Barrels</v>
      </c>
      <c r="Z23">
        <f>IF('Final Calculation Sheet'!$D$23="","",'Final Calculation Sheet'!$D$23)</f>
        <v>21978</v>
      </c>
      <c r="AA23">
        <f>IF(Z23="","",COUNTIFS(Z$4:Z$40,"&lt;"&amp;Z23,Z$4:Z$40,"&lt;&gt;"&amp;"")+COUNTIF(Z$4:Z23,Z23))</f>
        <v>18</v>
      </c>
      <c r="AB23">
        <f t="shared" si="11"/>
        <v>21978</v>
      </c>
      <c r="AC23">
        <f>AC22+IF(AND(AB23&lt;&gt;"",COUNTIF(AB$4:AB23,AB23)=1),1,0)</f>
        <v>2</v>
      </c>
      <c r="AD23" t="str">
        <f t="shared" si="12"/>
        <v/>
      </c>
      <c r="AE23">
        <f>IF('Final Calculation Sheet'!$A$23="","",'Final Calculation Sheet'!$A$23)</f>
        <v>90</v>
      </c>
      <c r="AF23">
        <f>IF(AE23="","",COUNTIFS(AE$4:AE$40,"&lt;"&amp;AE23,AE$4:AE$40,"&lt;&gt;"&amp;"")+COUNTIF(AE$4:AE23,AE23))</f>
        <v>27</v>
      </c>
      <c r="AG23">
        <f t="shared" si="13"/>
        <v>5</v>
      </c>
      <c r="AH23">
        <f>AH22+IF(AND(AG23&lt;&gt;"",COUNTIF(AG$4:AG23,AG23)=1),1,0)</f>
        <v>5</v>
      </c>
      <c r="AI23">
        <f t="shared" si="14"/>
        <v>3000</v>
      </c>
      <c r="AJ23" t="str">
        <f>IF('Final Calculation Sheet'!$E$23="","",'Final Calculation Sheet'!$E$23)</f>
        <v>NO</v>
      </c>
      <c r="AK23">
        <f>IF(AJ23="","",COUNTIFS(AJ$4:AJ$40,"&lt;"&amp;AJ23,AJ$4:AJ$40,"&lt;&gt;"&amp;"")+COUNTIF(AJ$4:AJ23,AJ23))</f>
        <v>22</v>
      </c>
      <c r="AL23" t="str">
        <f t="shared" si="15"/>
        <v>NO</v>
      </c>
      <c r="AM23">
        <f>AM22+IF(AND(AL23&lt;&gt;"",COUNTIF(AL$4:AL23,AL23)=1),1,0)</f>
        <v>3</v>
      </c>
      <c r="AN23" t="str">
        <f t="shared" si="16"/>
        <v/>
      </c>
      <c r="AO23" s="50">
        <f>IF('Final Calculation Sheet'!$C$23="","",'Final Calculation Sheet'!$C$23)</f>
        <v>700</v>
      </c>
      <c r="AP23">
        <f>IF(AO23="","",COUNTIFS(AO$4:AO$40,"&lt;"&amp;AO23,AO$4:AO$40,"&lt;&gt;"&amp;"")+COUNTIF(AO$4:AO23,AO23))</f>
        <v>12</v>
      </c>
      <c r="AQ23" s="50">
        <f t="shared" si="17"/>
        <v>29502</v>
      </c>
      <c r="AR23">
        <f>AR22+IF(AND(AQ23&lt;&gt;"",COUNTIF(AQ$4:AQ23,AQ23)=1),1,0)</f>
        <v>18</v>
      </c>
      <c r="AS23" s="50">
        <f t="shared" si="18"/>
        <v>50003</v>
      </c>
      <c r="AT23" s="50">
        <f>IF('Final Calculation Sheet'!$H$23="","",'Final Calculation Sheet'!$H$23)</f>
        <v>63000</v>
      </c>
      <c r="AU23">
        <f>IF(AT23="","",COUNTIFS(AT$4:AT$40,"&lt;"&amp;AT23,AT$4:AT$40,"&lt;&gt;"&amp;"")+COUNTIF(AT$4:AT23,AT23))</f>
        <v>11</v>
      </c>
      <c r="AV23" s="50">
        <f t="shared" si="19"/>
        <v>160012</v>
      </c>
      <c r="AW23">
        <f>AW22+IF(AND(AV23&lt;&gt;"",COUNTIF(AV$4:AV23,AV23)=1),1,0)</f>
        <v>20</v>
      </c>
      <c r="AX23" s="50">
        <f t="shared" si="20"/>
        <v>160012</v>
      </c>
      <c r="AY23" s="50">
        <f>IF('Final Calculation Sheet'!$I$23="","",'Final Calculation Sheet'!$I$23)</f>
        <v>11340</v>
      </c>
      <c r="AZ23">
        <f>IF(AY23="","",COUNTIFS(AY$4:AY$40,"&lt;"&amp;AY23,AY$4:AY$40,"&lt;&gt;"&amp;"")+COUNTIF(AY$4:AY23,AY23))</f>
        <v>11</v>
      </c>
      <c r="BA23" s="50">
        <f t="shared" si="21"/>
        <v>28802</v>
      </c>
      <c r="BB23">
        <f>BB22+IF(AND(BA23&lt;&gt;"",COUNTIF(BA$4:BA23,BA23)=1),1,0)</f>
        <v>20</v>
      </c>
      <c r="BC23" s="50">
        <f t="shared" si="22"/>
        <v>28802</v>
      </c>
      <c r="BD23" s="50">
        <f>IF('Final Calculation Sheet'!$J$23="","",'Final Calculation Sheet'!$J$23)</f>
        <v>74340</v>
      </c>
      <c r="BE23">
        <f>IF(BD23="","",COUNTIFS(BD$4:BD$40,"&lt;"&amp;BD23,BD$4:BD$40,"&lt;&gt;"&amp;"")+COUNTIF(BD$4:BD23,BD23))</f>
        <v>11</v>
      </c>
      <c r="BF23" s="50">
        <f t="shared" si="23"/>
        <v>188814</v>
      </c>
      <c r="BG23">
        <f>BG22+IF(AND(BF23&lt;&gt;"",COUNTIF(BF$4:BF23,BF23)=1),1,0)</f>
        <v>20</v>
      </c>
      <c r="BH23" s="50">
        <f t="shared" si="24"/>
        <v>188814</v>
      </c>
      <c r="BI23" s="50">
        <f>IF('Final Calculation Sheet'!$K$23="","",'Final Calculation Sheet'!$K$23)</f>
        <v>1487</v>
      </c>
      <c r="BJ23">
        <f>IF(BI23="","",COUNTIFS(BI$4:BI$40,"&lt;"&amp;BI23,BI$4:BI$40,"&lt;&gt;"&amp;"")+COUNTIF(BI$4:BI23,BI23))</f>
        <v>11</v>
      </c>
      <c r="BK23" s="50">
        <f t="shared" si="25"/>
        <v>3776</v>
      </c>
      <c r="BL23">
        <f>BL22+IF(AND(BK23&lt;&gt;"",COUNTIF(BK$4:BK23,BK23)=1),1,0)</f>
        <v>20</v>
      </c>
      <c r="BM23" s="50">
        <f t="shared" si="26"/>
        <v>3776</v>
      </c>
      <c r="BN23" s="50">
        <f>IF('Final Calculation Sheet'!$L$23="","",'Final Calculation Sheet'!$L$23)</f>
        <v>63</v>
      </c>
      <c r="BO23">
        <f>IF(BN23="","",COUNTIFS(BN$4:BN$40,"&lt;"&amp;BN23,BN$4:BN$40,"&lt;&gt;"&amp;"")+COUNTIF(BN$4:BN23,BN23))</f>
        <v>11</v>
      </c>
      <c r="BP23" s="50">
        <f t="shared" si="27"/>
        <v>160.012</v>
      </c>
      <c r="BQ23">
        <f>BQ22+IF(AND(BP23&lt;&gt;"",COUNTIF(BP$4:BP23,BP23)=1),1,0)</f>
        <v>20</v>
      </c>
      <c r="BR23" s="50">
        <f t="shared" si="28"/>
        <v>160.012</v>
      </c>
      <c r="BS23" s="50">
        <f>IF('Final Calculation Sheet'!$M$23="","",'Final Calculation Sheet'!$M$23)</f>
        <v>1672.6499999999999</v>
      </c>
      <c r="BT23">
        <f>IF(BS23="","",COUNTIFS(BS$4:BS$40,"&lt;"&amp;BS23,BS$4:BS$40,"&lt;&gt;"&amp;"")+COUNTIF(BS$4:BS23,BS23))</f>
        <v>11</v>
      </c>
      <c r="BU23" s="50">
        <f t="shared" si="29"/>
        <v>4248.3185999999996</v>
      </c>
      <c r="BV23">
        <f>BV22+IF(AND(BU23&lt;&gt;"",COUNTIF(BU$4:BU23,BU23)=1),1,0)</f>
        <v>20</v>
      </c>
      <c r="BW23" s="50">
        <f t="shared" si="30"/>
        <v>4248.3185999999996</v>
      </c>
      <c r="BX23" s="126">
        <f>IF('Final Calculation Sheet'!$N$23="","",'Final Calculation Sheet'!$N$23)</f>
        <v>28.35</v>
      </c>
      <c r="BY23">
        <f>IF(BX23="","",COUNTIFS(BX$4:BX$40,"&lt;"&amp;BX23,BX$4:BX$40,"&lt;&gt;"&amp;"")+COUNTIF(BX$4:BX23,BX23))</f>
        <v>11</v>
      </c>
      <c r="BZ23" s="126">
        <f t="shared" si="31"/>
        <v>72.005399999999995</v>
      </c>
      <c r="CA23">
        <f>CA22+IF(AND(BZ23&lt;&gt;"",COUNTIF(BZ$4:BZ23,BZ23)=1),1,0)</f>
        <v>20</v>
      </c>
      <c r="CB23" s="126">
        <f t="shared" si="32"/>
        <v>72.005399999999995</v>
      </c>
      <c r="CC23" s="50">
        <f>IF('Final Calculation Sheet'!$O$23="","",'Final Calculation Sheet'!$O$23)</f>
        <v>1644.3</v>
      </c>
      <c r="CD23">
        <f>IF(CC23="","",COUNTIFS(CC$4:CC$40,"&lt;"&amp;CC23,CC$4:CC$40,"&lt;&gt;"&amp;"")+COUNTIF(CC$4:CC23,CC23))</f>
        <v>11</v>
      </c>
      <c r="CE23" s="50">
        <f t="shared" si="33"/>
        <v>4176.3131999999996</v>
      </c>
      <c r="CF23">
        <f>CF22+IF(AND(CE23&lt;&gt;"",COUNTIF(CE$4:CE23,CE23)=1),1,0)</f>
        <v>20</v>
      </c>
      <c r="CG23" s="50">
        <f t="shared" si="34"/>
        <v>4176.3131999999996</v>
      </c>
      <c r="CH23" s="50">
        <f>IF('Final Calculation Sheet'!$P$23="","",'Final Calculation Sheet'!$P$23)</f>
        <v>1707</v>
      </c>
      <c r="CI23">
        <f>IF(CH23="","",COUNTIFS(CH$4:CH$40,"&lt;"&amp;CH23,CH$4:CH$40,"&lt;&gt;"&amp;"")+COUNTIF(CH$4:CH23,CH23))</f>
        <v>11</v>
      </c>
      <c r="CJ23" s="50">
        <f t="shared" si="35"/>
        <v>4336</v>
      </c>
      <c r="CK23">
        <f>CK22+IF(AND(CJ23&lt;&gt;"",COUNTIF(CJ$4:CJ23,CJ23)=1),1,0)</f>
        <v>20</v>
      </c>
      <c r="CL23" s="50">
        <f t="shared" si="36"/>
        <v>4336</v>
      </c>
      <c r="CM23" s="127">
        <f>IF('Final Calculation Sheet'!$Q$23="","",'Final Calculation Sheet'!$Q$23)</f>
        <v>0</v>
      </c>
      <c r="CN23">
        <f>IF(CM23="","",COUNTIFS(CM$4:CM$40,"&lt;"&amp;CM23,CM$4:CM$40,"&lt;&gt;"&amp;"")+COUNTIF(CM$4:CM23,CM23))</f>
        <v>17</v>
      </c>
      <c r="CO23" s="127">
        <f t="shared" si="37"/>
        <v>0</v>
      </c>
      <c r="CP23">
        <f>CP22+IF(AND(CO23&lt;&gt;"",COUNTIF(CO$4:CO23,CO23)=1),1,0)</f>
        <v>1</v>
      </c>
      <c r="CQ23" t="str">
        <f t="shared" si="38"/>
        <v/>
      </c>
      <c r="CR23" s="50">
        <f>IF('Final Calculation Sheet'!$R$23="","",'Final Calculation Sheet'!$R$23)</f>
        <v>0</v>
      </c>
      <c r="CS23">
        <f>IF(CR23="","",COUNTIFS(CR$4:CR$40,"&lt;"&amp;CR23,CR$4:CR$40,"&lt;&gt;"&amp;"")+COUNTIF(CR$4:CR23,CR23))</f>
        <v>17</v>
      </c>
      <c r="CT23" s="50">
        <f t="shared" si="39"/>
        <v>0</v>
      </c>
      <c r="CU23">
        <f>CU22+IF(AND(CT23&lt;&gt;"",COUNTIF(CT$4:CT23,CT23)=1),1,0)</f>
        <v>1</v>
      </c>
      <c r="CV23" t="str">
        <f t="shared" si="40"/>
        <v/>
      </c>
      <c r="CW23" s="50">
        <f>IF('Final Calculation Sheet'!$S$23="","",'Final Calculation Sheet'!$S$23)</f>
        <v>74120</v>
      </c>
      <c r="CX23">
        <f>IF(CW23="","",COUNTIFS(CW$4:CW$40,"&lt;"&amp;CW23,CW$4:CW$40,"&lt;&gt;"&amp;"")+COUNTIF(CW$4:CW23,CW23))</f>
        <v>11</v>
      </c>
      <c r="CY23" s="50">
        <f t="shared" si="41"/>
        <v>188254</v>
      </c>
      <c r="CZ23">
        <f>CZ22+IF(AND(CY23&lt;&gt;"",COUNTIF(CY$4:CY23,CY23)=1),1,0)</f>
        <v>20</v>
      </c>
      <c r="DA23" s="50">
        <f t="shared" si="42"/>
        <v>188254</v>
      </c>
      <c r="DB23" s="50">
        <f>IF('Final Calculation Sheet'!$T$23="","",'Final Calculation Sheet'!$T$23)</f>
        <v>15750</v>
      </c>
      <c r="DC23">
        <f>IF(DB23="","",COUNTIFS(DB$4:DB$40,"&lt;"&amp;DB23,DB$4:DB$40,"&lt;&gt;"&amp;"")+COUNTIF(DB$4:DB23,DB23))</f>
        <v>11</v>
      </c>
      <c r="DD23" s="50">
        <f t="shared" si="43"/>
        <v>40003</v>
      </c>
      <c r="DE23">
        <f>DE22+IF(AND(DD23&lt;&gt;"",COUNTIF(DD$4:DD23,DD23)=1),1,0)</f>
        <v>20</v>
      </c>
      <c r="DF23" s="50">
        <f t="shared" si="44"/>
        <v>40003</v>
      </c>
      <c r="DG23" s="128">
        <f>IF('Final Calculation Sheet'!$U$23="","",'Final Calculation Sheet'!$U$23)</f>
        <v>15750</v>
      </c>
      <c r="DH23">
        <f>IF(DG23="","",COUNTIFS(DG$4:DG$40,"&lt;"&amp;DG23,DG$4:DG$40,"&lt;&gt;"&amp;"")+COUNTIF(DG$4:DG23,DG23))</f>
        <v>11</v>
      </c>
      <c r="DI23" s="128">
        <f t="shared" si="45"/>
        <v>40003</v>
      </c>
      <c r="DJ23">
        <f>DJ22+IF(AND(DI23&lt;&gt;"",COUNTIF(DI$4:DI23,DI23)=1),1,0)</f>
        <v>20</v>
      </c>
      <c r="DK23" s="128">
        <f t="shared" si="46"/>
        <v>40003</v>
      </c>
      <c r="DL23" t="str">
        <f>IF('Final Calculation Sheet'!$V$23="","",'Final Calculation Sheet'!$V$23)</f>
        <v>11.08.2026</v>
      </c>
      <c r="DM23">
        <f>IF(DL23="","",COUNTIFS(DL$4:DL$40,"&lt;"&amp;DL23,DL$4:DL$40,"&lt;&gt;"&amp;"")+COUNTIF(DL$4:DL23,DL23))</f>
        <v>7</v>
      </c>
      <c r="DN23" t="str">
        <f t="shared" si="47"/>
        <v>13.08.2026</v>
      </c>
      <c r="DO23">
        <f>DO22+IF(AND(DN23&lt;&gt;"",COUNTIF(DN$4:DN23,DN23)=1),1,0)</f>
        <v>3</v>
      </c>
      <c r="DP23" t="str">
        <f t="shared" si="48"/>
        <v/>
      </c>
      <c r="DQ23" s="50">
        <f>IF('Final Calculation Sheet'!$W$23="","",'Final Calculation Sheet'!$W$23)</f>
        <v>58370</v>
      </c>
      <c r="DR23">
        <f>IF(DQ23="","",COUNTIFS(DQ$4:DQ$40,"&lt;"&amp;DQ23,DQ$4:DQ$40,"&lt;&gt;"&amp;"")+COUNTIF(DQ$4:DQ23,DQ23))</f>
        <v>11</v>
      </c>
      <c r="DS23" s="50">
        <f t="shared" si="49"/>
        <v>148251</v>
      </c>
      <c r="DT23">
        <f>DT22+IF(AND(DS23&lt;&gt;"",COUNTIF(DS$4:DS23,DS23)=1),1,0)</f>
        <v>20</v>
      </c>
      <c r="DU23" s="50">
        <f t="shared" si="50"/>
        <v>148251</v>
      </c>
      <c r="DV23" s="50">
        <f>IF('Final Calculation Sheet'!$X$23="","",'Final Calculation Sheet'!$X$23)</f>
        <v>58418</v>
      </c>
      <c r="DW23">
        <f>IF(DV23="","",COUNTIFS(DV$4:DV$40,"&lt;"&amp;DV23,DV$4:DV$40,"&lt;&gt;"&amp;"")+COUNTIF(DV$4:DV23,DV23))</f>
        <v>10</v>
      </c>
      <c r="DX23" s="50">
        <f t="shared" si="51"/>
        <v>183446</v>
      </c>
      <c r="DY23">
        <f>DY22+IF(AND(DX23&lt;&gt;"",COUNTIF(DX$4:DX23,DX23)=1),1,0)</f>
        <v>20</v>
      </c>
      <c r="DZ23" t="e">
        <f t="shared" si="52"/>
        <v>#N/A</v>
      </c>
      <c r="EA23" t="str">
        <f>IF('Final Calculation Sheet'!$Y$23="","",'Final Calculation Sheet'!$Y$23)</f>
        <v>11.08.2026</v>
      </c>
      <c r="EB23">
        <f>IF(EA23="","",COUNTIFS(EA$4:EA$40,"&lt;"&amp;EA23,EA$4:EA$40,"&lt;&gt;"&amp;"")+COUNTIF(EA$4:EA23,EA23))</f>
        <v>7</v>
      </c>
      <c r="EC23" t="str">
        <f t="shared" si="53"/>
        <v>21.08.2026</v>
      </c>
      <c r="ED23">
        <f>ED22+IF(AND(EC23&lt;&gt;"",COUNTIF(EC$4:EC23,EC23)=1),1,0)</f>
        <v>8</v>
      </c>
      <c r="EE23" t="e">
        <f t="shared" si="54"/>
        <v>#N/A</v>
      </c>
      <c r="EF23" s="50">
        <f ca="1">IF('Final Calculation Sheet'!$Z$23="","",'Final Calculation Sheet'!$Z$23)</f>
        <v>2230.1999999999998</v>
      </c>
      <c r="EG23">
        <f ca="1">IF(EF23="","",COUNTIFS(EF$4:EF$40,"&lt;"&amp;EF23,EF$4:EF$40,"&lt;&gt;"&amp;"")+COUNTIF(EF$4:EF23,EF23))</f>
        <v>11</v>
      </c>
      <c r="EH23" s="50">
        <f t="shared" ca="1" si="55"/>
        <v>5664.4247999999998</v>
      </c>
      <c r="EI23">
        <f ca="1">EI22+IF(AND(EH23&lt;&gt;"",COUNTIF(EH$4:EH23,EH23)=1),1,0)</f>
        <v>20</v>
      </c>
      <c r="EJ23">
        <f t="shared" ca="1" si="56"/>
        <v>5664.4247999999998</v>
      </c>
      <c r="EK23" t="str">
        <f>IF('Final Calculation Sheet'!$AA$23="","",'Final Calculation Sheet'!$AA$23)</f>
        <v/>
      </c>
      <c r="EL23" t="str">
        <f>IF(EK23="","",COUNTIFS(EK$4:EK$40,"&lt;"&amp;EK23,EK$4:EK$40,"&lt;&gt;"&amp;"")+COUNTIF(EK$4:EK23,EK23))</f>
        <v/>
      </c>
      <c r="EM23" t="e">
        <f t="shared" si="57"/>
        <v>#N/A</v>
      </c>
      <c r="EN23" t="e">
        <f>EN22+IF(AND(EM23&lt;&gt;"",COUNTIF(EM$4:EM23,EM23)=1),1,0)</f>
        <v>#N/A</v>
      </c>
      <c r="EO23" t="e">
        <f t="shared" si="58"/>
        <v>#N/A</v>
      </c>
      <c r="EP23" t="str">
        <f>IF('Final Calculation Sheet'!$AB$23="","",'Final Calculation Sheet'!$AB$23)</f>
        <v/>
      </c>
      <c r="EQ23" t="str">
        <f>IF(EP23="","",COUNTIFS(EP$4:EP$40,"&lt;"&amp;EP23,EP$4:EP$40,"&lt;&gt;"&amp;"")+COUNTIF(EP$4:EP23,EP23))</f>
        <v/>
      </c>
      <c r="ER23" t="e">
        <f t="shared" si="59"/>
        <v>#N/A</v>
      </c>
      <c r="ES23" t="e">
        <f>ES22+IF(AND(ER23&lt;&gt;"",COUNTIF(ER$4:ER23,ER23)=1),1,0)</f>
        <v>#N/A</v>
      </c>
      <c r="ET23" t="e">
        <f t="shared" si="60"/>
        <v>#N/A</v>
      </c>
      <c r="EU23" s="50">
        <f>IF('Final Calculation Sheet'!$AC$23="","",'Final Calculation Sheet'!$AC$23)</f>
        <v>74168</v>
      </c>
      <c r="EV23">
        <f>IF(EU23="","",COUNTIFS(EU$4:EU$40,"&lt;"&amp;EU23,EU$4:EU$40,"&lt;&gt;"&amp;"")+COUNTIF(EU$4:EU23,EU23))</f>
        <v>12</v>
      </c>
      <c r="EW23" s="50">
        <f t="shared" si="61"/>
        <v>159710</v>
      </c>
      <c r="EX23">
        <f>EX22+IF(AND(EW23&lt;&gt;"",COUNTIF(EW$4:EW23,EW23)=1),1,0)</f>
        <v>20</v>
      </c>
      <c r="EY23" s="50">
        <f t="shared" si="62"/>
        <v>159710</v>
      </c>
      <c r="EZ23" s="50">
        <f>IF('Final Calculation Sheet'!$AD$23="","",'Final Calculation Sheet'!$AD$23)</f>
        <v>-48</v>
      </c>
      <c r="FA23">
        <f>IF(EZ23="","",COUNTIFS(EZ$4:EZ$40,"&lt;"&amp;EZ23,EZ$4:EZ$40,"&lt;&gt;"&amp;"")+COUNTIF(EZ$4:EZ23,EZ23))</f>
        <v>3</v>
      </c>
      <c r="FB23" s="50">
        <f t="shared" si="63"/>
        <v>0</v>
      </c>
      <c r="FC23">
        <f>FC22+IF(AND(FB23&lt;&gt;"",COUNTIF(FB$4:FB23,FB23)=1),1,0)</f>
        <v>7</v>
      </c>
      <c r="FD23" t="str">
        <f t="shared" si="64"/>
        <v/>
      </c>
      <c r="FE23" t="str">
        <f>IF('Final Calculation Sheet'!$AF$23="","",'Final Calculation Sheet'!$AF$23)</f>
        <v>DR2640100021</v>
      </c>
      <c r="FF23">
        <f>IF(FE23="","",COUNTIFS(FE$4:FE$40,"&lt;"&amp;FE23,FE$4:FE$40,"&lt;&gt;"&amp;"")+COUNTIF(FE$4:FE23,FE23))</f>
        <v>10</v>
      </c>
      <c r="FG23" t="str">
        <f t="shared" si="65"/>
        <v>DR2640100031</v>
      </c>
      <c r="FH23" t="e">
        <f>FH22+IF(AND(FG23&lt;&gt;"",COUNTIF(FG$4:FG23,FG23)=1),1,0)</f>
        <v>#N/A</v>
      </c>
      <c r="FI23" t="e">
        <f t="shared" si="66"/>
        <v>#N/A</v>
      </c>
      <c r="FJ23" s="129">
        <f>IF('Final Calculation Sheet'!$AG$23="","",'Final Calculation Sheet'!$AG$23)</f>
        <v>1800003160</v>
      </c>
      <c r="FK23">
        <f>IF(FJ23="","",COUNTIFS(FJ$4:FJ$40,"&lt;"&amp;FJ23,FJ$4:FJ$40,"&lt;&gt;"&amp;"")+COUNTIF(FJ$4:FJ23,FJ23))</f>
        <v>5</v>
      </c>
      <c r="FL23" s="129">
        <f t="shared" si="67"/>
        <v>1800003308</v>
      </c>
      <c r="FM23">
        <f>FM22+IF(AND(FL23&lt;&gt;"",COUNTIF(FL$4:FL23,FL23)=1),1,0)</f>
        <v>20</v>
      </c>
      <c r="FN23" t="e">
        <f t="shared" si="68"/>
        <v>#N/A</v>
      </c>
      <c r="FO23" t="str">
        <f>IF('Final Calculation Sheet'!$AH$23="","",'Final Calculation Sheet'!$AH$23)</f>
        <v>14.08.2026</v>
      </c>
      <c r="FP23">
        <f>IF(FO23="","",COUNTIFS(FO$4:FO$40,"&lt;"&amp;FO23,FO$4:FO$40,"&lt;&gt;"&amp;"")+COUNTIF(FO$4:FO23,FO23))</f>
        <v>10</v>
      </c>
      <c r="FQ23" t="str">
        <f t="shared" si="69"/>
        <v>27.08.2026</v>
      </c>
      <c r="FR23" t="e">
        <f>FR22+IF(AND(FQ23&lt;&gt;"",COUNTIF(FQ$4:FQ23,FQ23)=1),1,0)</f>
        <v>#N/A</v>
      </c>
      <c r="FS23" t="e">
        <f t="shared" si="70"/>
        <v>#N/A</v>
      </c>
      <c r="FU23" t="str">
        <f>IF(FT23="","",COUNTIFS(FT$4:FT$40,"&lt;"&amp;FT23,FT$4:FT$40,"&lt;&gt;"&amp;"")+COUNTIF(FT$4:FT23,FT23))</f>
        <v/>
      </c>
      <c r="FV23" t="str">
        <f t="shared" si="71"/>
        <v/>
      </c>
      <c r="FW23">
        <f>FW22+IF(AND(FV23&lt;&gt;"",COUNTIF(FV$4:FV23,FV23)=1),1,0)</f>
        <v>2</v>
      </c>
      <c r="FX23" t="str">
        <f t="shared" si="72"/>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3" t="b">
        <f>IF($Y$23="",FALSE,SUMPRODUCT(('Final Calculation Sheet'!$B$4:$B$40=$Y$23)*($FY$6:$FY$42=1))&gt;0)</f>
        <v>1</v>
      </c>
      <c r="GA23">
        <f>$GA$22+--($FZ$23)</f>
        <v>20</v>
      </c>
      <c r="GB23" t="str">
        <f t="shared" si="73"/>
        <v>Scrap of empty oil Barrels</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D23" t="b">
        <f>IF($O$23="",FALSE,SUMPRODUCT(('Final Calculation Sheet'!$F$4:$F$40=$O$23)*($GC$6:$GC$42=1))&gt;0)</f>
        <v>1</v>
      </c>
      <c r="GE23">
        <f>$GE$22+--($GD23)</f>
        <v>20</v>
      </c>
      <c r="GF23">
        <f t="shared" si="74"/>
        <v>2025</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H23" t="b">
        <f>IF($T$23="",FALSE,SUMPRODUCT(('Final Calculation Sheet'!$G$4:$G$40=$T$23)*($GG$6:$GG$42=1))&gt;0)</f>
        <v>0</v>
      </c>
      <c r="GI23">
        <f>$GI$22+--($GH23)</f>
        <v>13</v>
      </c>
      <c r="GJ23" t="str">
        <f t="shared" si="75"/>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L23" t="b">
        <f>IF($AD$23="",FALSE,SUMPRODUCT(('Final Calculation Sheet'!$D$4:$D$40=$AD$23)*($GK$6:$GK$42=1))&gt;0)</f>
        <v>0</v>
      </c>
      <c r="GM23">
        <f>$GM$22+--($GL23)</f>
        <v>4</v>
      </c>
      <c r="GN23" t="str">
        <f t="shared" si="76"/>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P23" t="b">
        <f>IF($AI$23="",FALSE,SUMPRODUCT(('Final Calculation Sheet'!$A$4:$A$40=$AI$23)*($GO$6:$GO$42=1))&gt;0)</f>
        <v>1</v>
      </c>
      <c r="GQ23">
        <f>$GQ$22+--($GP23)</f>
        <v>20</v>
      </c>
      <c r="GR23">
        <f t="shared" si="77"/>
        <v>3000</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T23" t="b">
        <f>IF($AN$23="",FALSE,SUMPRODUCT(('Final Calculation Sheet'!$E$4:$E$40=$AN$23)*($GS$6:$GS$42=1))&gt;0)</f>
        <v>0</v>
      </c>
      <c r="GU23">
        <f>$GU$22+--($GT23)</f>
        <v>3</v>
      </c>
      <c r="GV23" t="str">
        <f t="shared" si="78"/>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GX23" t="b">
        <f>IF($AS$23="",FALSE,SUMPRODUCT(('Final Calculation Sheet'!$C$4:$C$40=$AS$23)*($GW$6:$GW$42=1))&gt;0)</f>
        <v>1</v>
      </c>
      <c r="GY23">
        <f>$GY$22+--($GX23)</f>
        <v>20</v>
      </c>
      <c r="GZ23">
        <f t="shared" si="79"/>
        <v>50003</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B23" t="b">
        <f>IF($AX$23="",FALSE,SUMPRODUCT(('Final Calculation Sheet'!$H$4:$H$40=$AX$23)*($HA$6:$HA$42=1))&gt;0)</f>
        <v>1</v>
      </c>
      <c r="HC23">
        <f>$HC$22+--($HB23)</f>
        <v>20</v>
      </c>
      <c r="HD23">
        <f t="shared" si="80"/>
        <v>160012</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F23" t="b">
        <f>IF($BC$23="",FALSE,SUMPRODUCT(('Final Calculation Sheet'!$I$4:$I$40=$BC$23)*($HE$6:$HE$42=1))&gt;0)</f>
        <v>1</v>
      </c>
      <c r="HG23">
        <f>$HG$22+--($HF23)</f>
        <v>20</v>
      </c>
      <c r="HH23">
        <f t="shared" si="81"/>
        <v>28802</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J23" t="b">
        <f>IF($BH$23="",FALSE,SUMPRODUCT(('Final Calculation Sheet'!$J$4:$J$40=$BH$23)*($HI$6:$HI$42=1))&gt;0)</f>
        <v>1</v>
      </c>
      <c r="HK23">
        <f>$HK$22+--($HJ23)</f>
        <v>20</v>
      </c>
      <c r="HL23">
        <f t="shared" si="82"/>
        <v>188814</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N23" t="b">
        <f>IF($BM$23="",FALSE,SUMPRODUCT(('Final Calculation Sheet'!$K$4:$K$40=$BM$23)*($HM$6:$HM$42=1))&gt;0)</f>
        <v>1</v>
      </c>
      <c r="HO23">
        <f>$HO$22+--($HN23)</f>
        <v>20</v>
      </c>
      <c r="HP23">
        <f t="shared" si="83"/>
        <v>3776</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R23" t="b">
        <f>IF($BR$23="",FALSE,SUMPRODUCT(('Final Calculation Sheet'!$L$4:$L$40=$BR$23)*($HQ$6:$HQ$42=1))&gt;0)</f>
        <v>1</v>
      </c>
      <c r="HS23">
        <f>$HS$22+--($HR23)</f>
        <v>20</v>
      </c>
      <c r="HT23">
        <f t="shared" si="84"/>
        <v>160.012</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V23" t="b">
        <f>IF($BW$23="",FALSE,SUMPRODUCT(('Final Calculation Sheet'!$M$4:$M$40=$BW$23)*($HU$6:$HU$42=1))&gt;0)</f>
        <v>1</v>
      </c>
      <c r="HW23">
        <f>$HW$22+--($HV23)</f>
        <v>20</v>
      </c>
      <c r="HX23">
        <f t="shared" si="85"/>
        <v>4248.3185999999996</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HZ23" t="b">
        <f>IF($CB$23="",FALSE,SUMPRODUCT(('Final Calculation Sheet'!$N$4:$N$40=$CB$23)*($HY$6:$HY$42=1))&gt;0)</f>
        <v>1</v>
      </c>
      <c r="IA23">
        <f>$IA$22+--($HZ23)</f>
        <v>20</v>
      </c>
      <c r="IB23">
        <f t="shared" si="86"/>
        <v>72.005399999999995</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D23" t="b">
        <f>IF($CG$23="",FALSE,SUMPRODUCT(('Final Calculation Sheet'!$O$4:$O$40=$CG$23)*($IC$6:$IC$42=1))&gt;0)</f>
        <v>1</v>
      </c>
      <c r="IE23">
        <f>$IE$22+--($ID23)</f>
        <v>20</v>
      </c>
      <c r="IF23">
        <f t="shared" si="87"/>
        <v>4176.3131999999996</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H23" t="b">
        <f>IF($CL$23="",FALSE,SUMPRODUCT(('Final Calculation Sheet'!$P$4:$P$40=$CL$23)*($IG$6:$IG$42=1))&gt;0)</f>
        <v>1</v>
      </c>
      <c r="II23">
        <f>$II$22+--($IH23)</f>
        <v>20</v>
      </c>
      <c r="IJ23">
        <f t="shared" si="88"/>
        <v>4336</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L23" t="b">
        <f>IF($CQ$23="",FALSE,SUMPRODUCT(('Final Calculation Sheet'!$Q$4:$Q$40=$CQ$23)*($IK$6:$IK$42=1))&gt;0)</f>
        <v>0</v>
      </c>
      <c r="IM23">
        <f>$IM$22+--($IL23)</f>
        <v>2</v>
      </c>
      <c r="IN23" t="str">
        <f t="shared" si="89"/>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P23" t="b">
        <f>IF($CV$23="",FALSE,SUMPRODUCT(('Final Calculation Sheet'!$R$4:$R$40=$CV$23)*($IO$6:$IO$42=1))&gt;0)</f>
        <v>0</v>
      </c>
      <c r="IQ23">
        <f>$IQ$22+--($IP23)</f>
        <v>5</v>
      </c>
      <c r="IR23" t="str">
        <f t="shared" si="90"/>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T23" t="b">
        <f>IF($DA$23="",FALSE,SUMPRODUCT(('Final Calculation Sheet'!$S$4:$S$40=$DA$23)*($IS$6:$IS$42=1))&gt;0)</f>
        <v>1</v>
      </c>
      <c r="IU23">
        <f>$IU$22+--($IT23)</f>
        <v>20</v>
      </c>
      <c r="IV23">
        <f t="shared" si="91"/>
        <v>188254</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IX23" t="b">
        <f>IF($DF$23="",FALSE,SUMPRODUCT(('Final Calculation Sheet'!$T$4:$T$40=$DF$23)*($IW$6:$IW$42=1))&gt;0)</f>
        <v>1</v>
      </c>
      <c r="IY23">
        <f>$IY$22+--($IX23)</f>
        <v>20</v>
      </c>
      <c r="IZ23">
        <f t="shared" si="92"/>
        <v>40003</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B23" t="b">
        <f>IF($DK$23="",FALSE,SUMPRODUCT(('Final Calculation Sheet'!$U$4:$U$40=$DK$23)*($JA$6:$JA$42=1))&gt;0)</f>
        <v>1</v>
      </c>
      <c r="JC23">
        <f>$JC$22+--($JB23)</f>
        <v>20</v>
      </c>
      <c r="JD23">
        <f t="shared" si="93"/>
        <v>40003</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F23" t="b">
        <f>IF($DP$23="",FALSE,SUMPRODUCT(('Final Calculation Sheet'!$V$4:$V$40=$DP$23)*($JE$6:$JE$42=1))&gt;0)</f>
        <v>0</v>
      </c>
      <c r="JG23">
        <f>$JG$22+--($JF23)</f>
        <v>6</v>
      </c>
      <c r="JH23" t="str">
        <f t="shared" si="94"/>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J23" t="b">
        <f>IF($DU$23="",FALSE,SUMPRODUCT(('Final Calculation Sheet'!$W$4:$W$40=$DU$23)*($JI$6:$JI$42=1))&gt;0)</f>
        <v>1</v>
      </c>
      <c r="JK23">
        <f>$JK$22+--($JJ23)</f>
        <v>20</v>
      </c>
      <c r="JL23">
        <f t="shared" si="95"/>
        <v>148251</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N23" t="e">
        <f>IF($DZ$23="",FALSE,SUMPRODUCT(('Final Calculation Sheet'!$X$4:$X$40=$DZ$23)*($JM$6:$JM$42=1))&gt;0)</f>
        <v>#N/A</v>
      </c>
      <c r="JO23" t="e">
        <f>$JO$22+--($JN23)</f>
        <v>#N/A</v>
      </c>
      <c r="JP23" t="e">
        <f t="shared" si="96"/>
        <v>#N/A</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R23" t="e">
        <f>IF($EE$23="",FALSE,SUMPRODUCT(('Final Calculation Sheet'!$Y$4:$Y$40=$EE$23)*($JQ$6:$JQ$42=1))&gt;0)</f>
        <v>#N/A</v>
      </c>
      <c r="JS23" t="e">
        <f>$JS$22+--($JR23)</f>
        <v>#N/A</v>
      </c>
      <c r="JT23" t="e">
        <f t="shared" si="97"/>
        <v>#N/A</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V23" t="b">
        <f ca="1">IF($EJ$23="",FALSE,SUMPRODUCT(('Final Calculation Sheet'!$Z$4:$Z$40=$EJ$23)*($JU$6:$JU$42=1))&gt;0)</f>
        <v>1</v>
      </c>
      <c r="JW23">
        <f ca="1">$JW$22+--($JV23)</f>
        <v>20</v>
      </c>
      <c r="JX23">
        <f t="shared" ca="1" si="98"/>
        <v>5664.4247999999998</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JZ23" t="e">
        <f>IF($EO$23="",FALSE,SUMPRODUCT(('Final Calculation Sheet'!$AA$4:$AA$40=$EO$23)*($JY$6:$JY$42=1))&gt;0)</f>
        <v>#N/A</v>
      </c>
      <c r="KA23" t="e">
        <f>$KA$22+--($JZ23)</f>
        <v>#N/A</v>
      </c>
      <c r="KB23" t="e">
        <f t="shared" si="99"/>
        <v>#N/A</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D23" t="e">
        <f>IF($ET$23="",FALSE,SUMPRODUCT(('Final Calculation Sheet'!$AB$4:$AB$40=$ET$23)*($KC$6:$KC$42=1))&gt;0)</f>
        <v>#N/A</v>
      </c>
      <c r="KE23" t="e">
        <f>$KE$22+--($KD23)</f>
        <v>#N/A</v>
      </c>
      <c r="KF23" t="e">
        <f t="shared" si="100"/>
        <v>#N/A</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H23" t="b">
        <f>IF($EY$23="",FALSE,SUMPRODUCT(('Final Calculation Sheet'!$AC$4:$AC$40=$EY$23)*($KG$6:$KG$42=1))&gt;0)</f>
        <v>1</v>
      </c>
      <c r="KI23">
        <f>$KI$22+--($KH23)</f>
        <v>20</v>
      </c>
      <c r="KJ23">
        <f t="shared" si="101"/>
        <v>159710</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L23" t="b">
        <f>IF($FD$23="",FALSE,SUMPRODUCT(('Final Calculation Sheet'!$AD$4:$AD$40=$FD$23)*($KK$6:$KK$42=1))&gt;0)</f>
        <v>0</v>
      </c>
      <c r="KM23">
        <f>$KM$22+--($KL23)</f>
        <v>11</v>
      </c>
      <c r="KN23" t="str">
        <f t="shared" si="102"/>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P23" t="b">
        <f>IF($FX$23="",FALSE,SUMPRODUCT((IF('Final Calculation Sheet'!$AD$4:$AD$40&lt;=5,"SETTLED","OUTSTANDING")=$FX$23)*($KO$6:$KO$42=1))&gt;0)</f>
        <v>0</v>
      </c>
      <c r="KQ23">
        <f>$KQ$22+--($KP23)</f>
        <v>1</v>
      </c>
      <c r="KR23" t="str">
        <f t="shared" si="103"/>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T23" t="e">
        <f>IF($FI$23="",FALSE,SUMPRODUCT(('Final Calculation Sheet'!$AF$4:$AF$40=$FI$23)*($KS$6:$KS$42=1))&gt;0)</f>
        <v>#N/A</v>
      </c>
      <c r="KU23" t="e">
        <f>$KU$22+--($KT23)</f>
        <v>#N/A</v>
      </c>
      <c r="KV23" t="e">
        <f t="shared" si="104"/>
        <v>#N/A</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KX23" t="e">
        <f>IF($FN$23="",FALSE,SUMPRODUCT(('Final Calculation Sheet'!$AG$4:$AG$40=$FN$23)*($KW$6:$KW$42=1))&gt;0)</f>
        <v>#N/A</v>
      </c>
      <c r="KY23" t="e">
        <f>$KY$22+--($KX23)</f>
        <v>#N/A</v>
      </c>
      <c r="KZ23" t="e">
        <f t="shared" si="105"/>
        <v>#N/A</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LB23" t="e">
        <f>IF($FS$23="",FALSE,SUMPRODUCT(('Final Calculation Sheet'!$AH$4:$AH$40=$FS$23)*($LA$6:$LA$42=1))&gt;0)</f>
        <v>#N/A</v>
      </c>
      <c r="LC23" t="e">
        <f>$LC$22+--($LB23)</f>
        <v>#N/A</v>
      </c>
      <c r="LD23" t="e">
        <f t="shared" si="106"/>
        <v>#N/A</v>
      </c>
      <c r="LE23">
        <f>IF(COUNTIF('Buyer Groups'!DH23:EN23,0)&gt;0,0,1)</f>
        <v>1</v>
      </c>
      <c r="LF23" t="b">
        <f>IF($O$23="",FALSE,SUMPRODUCT(('Final Calculation Sheet'!$F$4:$F$40=$O$23)*($LE$6:$LE$42=1))&gt;0)</f>
        <v>1</v>
      </c>
      <c r="LG23">
        <f>$LG$22+--($LF23)</f>
        <v>20</v>
      </c>
      <c r="LH23">
        <f t="shared" si="107"/>
        <v>2025</v>
      </c>
      <c r="LI23">
        <f>IF(COUNTIF('Buyer Groups'!DG23:DG23,0)+COUNTIF('Buyer Groups'!DI23:EN23,0)&gt;0,0,1)</f>
        <v>1</v>
      </c>
      <c r="LJ23" t="b">
        <f>IF($T$23="",FALSE,SUMPRODUCT(('Final Calculation Sheet'!$G$4:$G$40=$T$23)*($LI$6:$LI$42=1))&gt;0)</f>
        <v>0</v>
      </c>
      <c r="LK23">
        <f>$LK$22+--($LJ23)</f>
        <v>13</v>
      </c>
      <c r="LL23" t="str">
        <f t="shared" si="108"/>
        <v/>
      </c>
      <c r="LM23">
        <f>IF(COUNTIF('Buyer Groups'!DG23:DH23,0)+COUNTIF('Buyer Groups'!DJ23:EN23,0)&gt;0,0,1)</f>
        <v>1</v>
      </c>
      <c r="LN23" t="b">
        <f>IF($Y$23="",FALSE,SUMPRODUCT(('Final Calculation Sheet'!$B$4:$B$40=$Y$23)*($LM$6:$LM$42=1))&gt;0)</f>
        <v>1</v>
      </c>
      <c r="LO23">
        <f>$LO$22+--($LN23)</f>
        <v>20</v>
      </c>
      <c r="LP23" t="str">
        <f t="shared" si="109"/>
        <v>Scrap of empty oil Barrels</v>
      </c>
      <c r="LQ23">
        <f>IF(COUNTIF('Buyer Groups'!DG23:DI23,0)+COUNTIF('Buyer Groups'!DK23:EN23,0)&gt;0,0,1)</f>
        <v>1</v>
      </c>
      <c r="LR23" t="b">
        <f>IF($AD$23="",FALSE,SUMPRODUCT(('Final Calculation Sheet'!$D$4:$D$40=$AD$23)*($LQ$6:$LQ$42=1))&gt;0)</f>
        <v>0</v>
      </c>
      <c r="LS23">
        <f>$LS$22+--($LR23)</f>
        <v>4</v>
      </c>
      <c r="LT23" t="str">
        <f t="shared" si="110"/>
        <v/>
      </c>
      <c r="LU23">
        <f>IF(COUNTIF('Buyer Groups'!DG23:DJ23,0)+COUNTIF('Buyer Groups'!DL23:EN23,0)&gt;0,0,1)</f>
        <v>1</v>
      </c>
      <c r="LV23" t="b">
        <f>IF($AI$23="",FALSE,SUMPRODUCT(('Final Calculation Sheet'!$A$4:$A$40=$AI$23)*($LU$6:$LU$42=1))&gt;0)</f>
        <v>1</v>
      </c>
      <c r="LW23">
        <f>$LW$22+--($LV23)</f>
        <v>20</v>
      </c>
      <c r="LX23">
        <f t="shared" si="111"/>
        <v>3000</v>
      </c>
      <c r="LY23">
        <f>IF(COUNTIF('Buyer Groups'!DG23:DK23,0)+COUNTIF('Buyer Groups'!DM23:EN23,0)&gt;0,0,1)</f>
        <v>1</v>
      </c>
      <c r="LZ23" t="b">
        <f>IF($AN$23="",FALSE,SUMPRODUCT(('Final Calculation Sheet'!$E$4:$E$40=$AN$23)*($LY$6:$LY$42=1))&gt;0)</f>
        <v>0</v>
      </c>
      <c r="MA23">
        <f>$MA$22+--($LZ23)</f>
        <v>3</v>
      </c>
      <c r="MB23" t="str">
        <f t="shared" si="112"/>
        <v/>
      </c>
      <c r="MC23">
        <f>IF(COUNTIF('Buyer Groups'!DG23:DL23,0)+COUNTIF('Buyer Groups'!DN23:EN23,0)&gt;0,0,1)</f>
        <v>1</v>
      </c>
      <c r="MD23" t="b">
        <f>IF($AS$23="",FALSE,SUMPRODUCT(('Final Calculation Sheet'!$C$4:$C$40=$AS$23)*($MC$6:$MC$42=1))&gt;0)</f>
        <v>1</v>
      </c>
      <c r="ME23">
        <f>$ME$22+--($MD23)</f>
        <v>20</v>
      </c>
      <c r="MF23">
        <f t="shared" si="113"/>
        <v>50003</v>
      </c>
      <c r="MG23">
        <f>IF(COUNTIF('Buyer Groups'!DG23:DM23,0)+COUNTIF('Buyer Groups'!DO23:EN23,0)&gt;0,0,1)</f>
        <v>1</v>
      </c>
      <c r="MH23" t="b">
        <f>IF($AX$23="",FALSE,SUMPRODUCT(('Final Calculation Sheet'!$H$4:$H$40=$AX$23)*($MG$6:$MG$42=1))&gt;0)</f>
        <v>1</v>
      </c>
      <c r="MI23">
        <f>$MI$22+--($MH23)</f>
        <v>20</v>
      </c>
      <c r="MJ23">
        <f t="shared" si="114"/>
        <v>160012</v>
      </c>
      <c r="MK23">
        <f>IF(COUNTIF('Buyer Groups'!DG23:DN23,0)+COUNTIF('Buyer Groups'!DP23:EN23,0)&gt;0,0,1)</f>
        <v>1</v>
      </c>
      <c r="ML23" t="b">
        <f>IF($BC$23="",FALSE,SUMPRODUCT(('Final Calculation Sheet'!$I$4:$I$40=$BC$23)*($MK$6:$MK$42=1))&gt;0)</f>
        <v>1</v>
      </c>
      <c r="MM23">
        <f>$MM$22+--($ML23)</f>
        <v>20</v>
      </c>
      <c r="MN23">
        <f t="shared" si="115"/>
        <v>28802</v>
      </c>
      <c r="MO23">
        <f>IF(COUNTIF('Buyer Groups'!DG23:DO23,0)+COUNTIF('Buyer Groups'!DQ23:EN23,0)&gt;0,0,1)</f>
        <v>1</v>
      </c>
      <c r="MP23" t="b">
        <f>IF($BH$23="",FALSE,SUMPRODUCT(('Final Calculation Sheet'!$J$4:$J$40=$BH$23)*($MO$6:$MO$42=1))&gt;0)</f>
        <v>1</v>
      </c>
      <c r="MQ23">
        <f>$MQ$22+--($MP23)</f>
        <v>20</v>
      </c>
      <c r="MR23">
        <f t="shared" si="116"/>
        <v>188814</v>
      </c>
      <c r="MS23">
        <f>IF(COUNTIF('Buyer Groups'!DG23:DP23,0)+COUNTIF('Buyer Groups'!DR23:EN23,0)&gt;0,0,1)</f>
        <v>1</v>
      </c>
      <c r="MT23" t="b">
        <f>IF($BM$23="",FALSE,SUMPRODUCT(('Final Calculation Sheet'!$K$4:$K$40=$BM$23)*($MS$6:$MS$42=1))&gt;0)</f>
        <v>1</v>
      </c>
      <c r="MU23">
        <f>$MU$22+--($MT23)</f>
        <v>20</v>
      </c>
      <c r="MV23">
        <f t="shared" si="117"/>
        <v>3776</v>
      </c>
      <c r="MW23">
        <f>IF(COUNTIF('Buyer Groups'!DG23:DQ23,0)+COUNTIF('Buyer Groups'!DS23:EN23,0)&gt;0,0,1)</f>
        <v>1</v>
      </c>
      <c r="MX23" t="b">
        <f>IF($BR$23="",FALSE,SUMPRODUCT(('Final Calculation Sheet'!$L$4:$L$40=$BR$23)*($MW$6:$MW$42=1))&gt;0)</f>
        <v>1</v>
      </c>
      <c r="MY23">
        <f>$MY$22+--($MX23)</f>
        <v>20</v>
      </c>
      <c r="MZ23">
        <f t="shared" si="118"/>
        <v>160.012</v>
      </c>
      <c r="NA23">
        <f>IF(COUNTIF('Buyer Groups'!DG23:DR23,0)+COUNTIF('Buyer Groups'!DT23:EN23,0)&gt;0,0,1)</f>
        <v>1</v>
      </c>
      <c r="NB23" t="b">
        <f>IF($BW$23="",FALSE,SUMPRODUCT(('Final Calculation Sheet'!$M$4:$M$40=$BW$23)*($NA$6:$NA$42=1))&gt;0)</f>
        <v>1</v>
      </c>
      <c r="NC23">
        <f>$NC$22+--($NB23)</f>
        <v>20</v>
      </c>
      <c r="ND23">
        <f t="shared" si="119"/>
        <v>4248.3185999999996</v>
      </c>
      <c r="NE23">
        <f>IF(COUNTIF('Buyer Groups'!DG23:DS23,0)+COUNTIF('Buyer Groups'!DU23:EN23,0)&gt;0,0,1)</f>
        <v>1</v>
      </c>
      <c r="NF23" t="b">
        <f>IF($CB$23="",FALSE,SUMPRODUCT(('Final Calculation Sheet'!$N$4:$N$40=$CB$23)*($NE$6:$NE$42=1))&gt;0)</f>
        <v>1</v>
      </c>
      <c r="NG23">
        <f>$NG$22+--($NF23)</f>
        <v>20</v>
      </c>
      <c r="NH23">
        <f t="shared" si="120"/>
        <v>72.005399999999995</v>
      </c>
      <c r="NI23">
        <f>IF(COUNTIF('Buyer Groups'!DG23:DT23,0)+COUNTIF('Buyer Groups'!DV23:EN23,0)&gt;0,0,1)</f>
        <v>1</v>
      </c>
      <c r="NJ23" t="b">
        <f>IF($CG$23="",FALSE,SUMPRODUCT(('Final Calculation Sheet'!$O$4:$O$40=$CG$23)*($NI$6:$NI$42=1))&gt;0)</f>
        <v>1</v>
      </c>
      <c r="NK23">
        <f>$NK$22+--($NJ23)</f>
        <v>20</v>
      </c>
      <c r="NL23">
        <f t="shared" si="121"/>
        <v>4176.3131999999996</v>
      </c>
      <c r="NM23">
        <f>IF(COUNTIF('Buyer Groups'!DG23:DU23,0)+COUNTIF('Buyer Groups'!DW23:EN23,0)&gt;0,0,1)</f>
        <v>1</v>
      </c>
      <c r="NN23" t="b">
        <f>IF($CL$23="",FALSE,SUMPRODUCT(('Final Calculation Sheet'!$P$4:$P$40=$CL$23)*($NM$6:$NM$42=1))&gt;0)</f>
        <v>1</v>
      </c>
      <c r="NO23">
        <f>$NO$22+--($NN23)</f>
        <v>20</v>
      </c>
      <c r="NP23">
        <f t="shared" si="122"/>
        <v>4336</v>
      </c>
      <c r="NQ23">
        <f>IF(COUNTIF('Buyer Groups'!DG23:DV23,0)+COUNTIF('Buyer Groups'!DX23:EN23,0)&gt;0,0,1)</f>
        <v>1</v>
      </c>
      <c r="NR23" t="b">
        <f>IF($CQ$23="",FALSE,SUMPRODUCT(('Final Calculation Sheet'!$Q$4:$Q$40=$CQ$23)*($NQ$6:$NQ$42=1))&gt;0)</f>
        <v>0</v>
      </c>
      <c r="NS23">
        <f>$NS$22+--($NR23)</f>
        <v>2</v>
      </c>
      <c r="NT23" t="str">
        <f t="shared" si="123"/>
        <v/>
      </c>
      <c r="NU23">
        <f>IF(COUNTIF('Buyer Groups'!DG23:DW23,0)+COUNTIF('Buyer Groups'!DY23:EN23,0)&gt;0,0,1)</f>
        <v>1</v>
      </c>
      <c r="NV23" t="b">
        <f>IF($CV$23="",FALSE,SUMPRODUCT(('Final Calculation Sheet'!$R$4:$R$40=$CV$23)*($NU$6:$NU$42=1))&gt;0)</f>
        <v>0</v>
      </c>
      <c r="NW23">
        <f>$NW$22+--($NV23)</f>
        <v>5</v>
      </c>
      <c r="NX23" t="str">
        <f t="shared" si="124"/>
        <v/>
      </c>
      <c r="NY23">
        <f>IF(COUNTIF('Buyer Groups'!DG23:DX23,0)+COUNTIF('Buyer Groups'!DZ23:EN23,0)&gt;0,0,1)</f>
        <v>1</v>
      </c>
      <c r="NZ23" t="b">
        <f>IF($DA$23="",FALSE,SUMPRODUCT(('Final Calculation Sheet'!$S$4:$S$40=$DA$23)*($NY$6:$NY$42=1))&gt;0)</f>
        <v>1</v>
      </c>
      <c r="OA23">
        <f>$OA$22+--($NZ23)</f>
        <v>20</v>
      </c>
      <c r="OB23">
        <f t="shared" si="125"/>
        <v>188254</v>
      </c>
      <c r="OC23">
        <f>IF(COUNTIF('Buyer Groups'!DG23:DY23,0)+COUNTIF('Buyer Groups'!EA23:EN23,0)&gt;0,0,1)</f>
        <v>1</v>
      </c>
      <c r="OD23" t="b">
        <f>IF($DF$23="",FALSE,SUMPRODUCT(('Final Calculation Sheet'!$T$4:$T$40=$DF$23)*($OC$6:$OC$42=1))&gt;0)</f>
        <v>1</v>
      </c>
      <c r="OE23">
        <f>$OE$22+--($OD23)</f>
        <v>20</v>
      </c>
      <c r="OF23">
        <f t="shared" si="126"/>
        <v>40003</v>
      </c>
      <c r="OG23">
        <f>IF(COUNTIF('Buyer Groups'!DG23:DZ23,0)+COUNTIF('Buyer Groups'!EB23:EN23,0)&gt;0,0,1)</f>
        <v>1</v>
      </c>
      <c r="OH23" t="b">
        <f>IF($DK$23="",FALSE,SUMPRODUCT(('Final Calculation Sheet'!$U$4:$U$40=$DK$23)*($OG$6:$OG$42=1))&gt;0)</f>
        <v>1</v>
      </c>
      <c r="OI23">
        <f>$OI$22+--($OH23)</f>
        <v>20</v>
      </c>
      <c r="OJ23">
        <f t="shared" si="127"/>
        <v>40003</v>
      </c>
      <c r="OK23">
        <f>IF(COUNTIF('Buyer Groups'!DG23:EA23,0)+COUNTIF('Buyer Groups'!EC23:EN23,0)&gt;0,0,1)</f>
        <v>1</v>
      </c>
      <c r="OL23" t="b">
        <f>IF($DP$23="",FALSE,SUMPRODUCT(('Final Calculation Sheet'!$V$4:$V$40=$DP$23)*($OK$6:$OK$42=1))&gt;0)</f>
        <v>0</v>
      </c>
      <c r="OM23">
        <f>$OM$22+--($OL23)</f>
        <v>6</v>
      </c>
      <c r="ON23" t="str">
        <f t="shared" si="128"/>
        <v/>
      </c>
      <c r="OO23">
        <f>IF(COUNTIF('Buyer Groups'!DG23:EB23,0)+COUNTIF('Buyer Groups'!ED23:EN23,0)&gt;0,0,1)</f>
        <v>1</v>
      </c>
      <c r="OP23" t="b">
        <f>IF($DU$23="",FALSE,SUMPRODUCT(('Final Calculation Sheet'!$W$4:$W$40=$DU$23)*($OO$6:$OO$42=1))&gt;0)</f>
        <v>1</v>
      </c>
      <c r="OQ23">
        <f>$OQ$22+--($OP23)</f>
        <v>20</v>
      </c>
      <c r="OR23">
        <f t="shared" si="129"/>
        <v>148251</v>
      </c>
      <c r="OS23">
        <f>IF(COUNTIF('Buyer Groups'!DG23:EC23,0)+COUNTIF('Buyer Groups'!EE23:EN23,0)&gt;0,0,1)</f>
        <v>1</v>
      </c>
      <c r="OT23" t="e">
        <f>IF($DZ$23="",FALSE,SUMPRODUCT(('Final Calculation Sheet'!$X$4:$X$40=$DZ$23)*($OS$6:$OS$42=1))&gt;0)</f>
        <v>#N/A</v>
      </c>
      <c r="OU23" t="e">
        <f>$OU$22+--($OT23)</f>
        <v>#N/A</v>
      </c>
      <c r="OV23" t="e">
        <f t="shared" si="130"/>
        <v>#N/A</v>
      </c>
      <c r="OW23">
        <f>IF(COUNTIF('Buyer Groups'!DG23:ED23,0)+COUNTIF('Buyer Groups'!EF23:EN23,0)&gt;0,0,1)</f>
        <v>1</v>
      </c>
      <c r="OX23" t="e">
        <f>IF($EE$23="",FALSE,SUMPRODUCT(('Final Calculation Sheet'!$Y$4:$Y$40=$EE$23)*($OW$6:$OW$42=1))&gt;0)</f>
        <v>#N/A</v>
      </c>
      <c r="OY23" t="e">
        <f>$OY$22+--($OX23)</f>
        <v>#N/A</v>
      </c>
      <c r="OZ23" t="e">
        <f t="shared" si="131"/>
        <v>#N/A</v>
      </c>
      <c r="PA23">
        <f>IF(COUNTIF('Buyer Groups'!DG23:EE23,0)+COUNTIF('Buyer Groups'!EG23:EN23,0)&gt;0,0,1)</f>
        <v>1</v>
      </c>
      <c r="PB23" t="b">
        <f ca="1">IF($EJ$23="",FALSE,SUMPRODUCT(('Final Calculation Sheet'!$Z$4:$Z$40=$EJ$23)*($PA$6:$PA$42=1))&gt;0)</f>
        <v>1</v>
      </c>
      <c r="PC23">
        <f ca="1">$PC$22+--($PB23)</f>
        <v>20</v>
      </c>
      <c r="PD23">
        <f t="shared" ca="1" si="132"/>
        <v>5664.4247999999998</v>
      </c>
      <c r="PE23">
        <f>IF(COUNTIF('Buyer Groups'!DG23:EF23,0)+COUNTIF('Buyer Groups'!EH23:EN23,0)&gt;0,0,1)</f>
        <v>1</v>
      </c>
      <c r="PF23" t="e">
        <f>IF($EO$23="",FALSE,SUMPRODUCT(('Final Calculation Sheet'!$AA$4:$AA$40=$EO$23)*($PE$6:$PE$42=1))&gt;0)</f>
        <v>#N/A</v>
      </c>
      <c r="PG23" t="e">
        <f>$PG$22+--($PF23)</f>
        <v>#N/A</v>
      </c>
      <c r="PH23" t="e">
        <f t="shared" si="133"/>
        <v>#N/A</v>
      </c>
      <c r="PI23">
        <f>IF(COUNTIF('Buyer Groups'!DG23:EG23,0)+COUNTIF('Buyer Groups'!EI23:EN23,0)&gt;0,0,1)</f>
        <v>1</v>
      </c>
      <c r="PJ23" t="e">
        <f>IF($ET$23="",FALSE,SUMPRODUCT(('Final Calculation Sheet'!$AB$4:$AB$40=$ET$23)*($PI$6:$PI$42=1))&gt;0)</f>
        <v>#N/A</v>
      </c>
      <c r="PK23" t="e">
        <f>$PK$22+--($PJ23)</f>
        <v>#N/A</v>
      </c>
      <c r="PL23" t="e">
        <f t="shared" si="134"/>
        <v>#N/A</v>
      </c>
      <c r="PM23">
        <f>IF(COUNTIF('Buyer Groups'!DG23:EH23,0)+COUNTIF('Buyer Groups'!EJ23:EN23,0)&gt;0,0,1)</f>
        <v>1</v>
      </c>
      <c r="PN23" t="b">
        <f>IF($EY$23="",FALSE,SUMPRODUCT(('Final Calculation Sheet'!$AC$4:$AC$40=$EY$23)*($PM$6:$PM$42=1))&gt;0)</f>
        <v>1</v>
      </c>
      <c r="PO23">
        <f>$PO$22+--($PN23)</f>
        <v>20</v>
      </c>
      <c r="PP23">
        <f t="shared" si="135"/>
        <v>159710</v>
      </c>
      <c r="PQ23">
        <f>IF(COUNTIF('Buyer Groups'!DG23:EI23,0)+COUNTIF('Buyer Groups'!EK23:EN23,0)&gt;0,0,1)</f>
        <v>1</v>
      </c>
      <c r="PR23" t="b">
        <f>IF($FD$23="",FALSE,SUMPRODUCT(('Final Calculation Sheet'!$AD$4:$AD$40=$FD$23)*($PQ$6:$PQ$42=1))&gt;0)</f>
        <v>0</v>
      </c>
      <c r="PS23">
        <f>$PS$22+--($PR23)</f>
        <v>11</v>
      </c>
      <c r="PT23" t="str">
        <f t="shared" si="136"/>
        <v/>
      </c>
      <c r="PU23">
        <f>IF(COUNTIF('Buyer Groups'!DG23:EJ23,0)+COUNTIF('Buyer Groups'!EL23:EN23,0)&gt;0,0,1)</f>
        <v>1</v>
      </c>
      <c r="PV23" t="b">
        <f>IF($FX$23="",FALSE,SUMPRODUCT((IF('Final Calculation Sheet'!$AD$4:$AD$40&lt;=5,"SETTLED","OUTSTANDING")=$FX$23)*($PU$6:$PU$42=1))&gt;0)</f>
        <v>0</v>
      </c>
      <c r="PW23">
        <f>$PW$22+--($PV23)</f>
        <v>1</v>
      </c>
      <c r="PX23" t="str">
        <f t="shared" si="137"/>
        <v/>
      </c>
      <c r="PY23">
        <f>IF(COUNTIF('Buyer Groups'!DG23:EK23,0)+COUNTIF('Buyer Groups'!EM23:EN23,0)&gt;0,0,1)</f>
        <v>1</v>
      </c>
      <c r="PZ23" t="e">
        <f>IF($FI$23="",FALSE,SUMPRODUCT(('Final Calculation Sheet'!$AF$4:$AF$40=$FI$23)*($PY$6:$PY$42=1))&gt;0)</f>
        <v>#N/A</v>
      </c>
      <c r="QA23" t="e">
        <f>$QA$22+--($PZ23)</f>
        <v>#N/A</v>
      </c>
      <c r="QB23" t="e">
        <f t="shared" si="138"/>
        <v>#N/A</v>
      </c>
      <c r="QC23">
        <f>IF(COUNTIF('Buyer Groups'!DG23:EL23,0)+COUNTIF('Buyer Groups'!EN23:EN23,0)&gt;0,0,1)</f>
        <v>1</v>
      </c>
      <c r="QD23" t="e">
        <f>IF($FN$23="",FALSE,SUMPRODUCT(('Final Calculation Sheet'!$AG$4:$AG$40=$FN$23)*($QC$6:$QC$42=1))&gt;0)</f>
        <v>#N/A</v>
      </c>
      <c r="QE23" t="e">
        <f>$QE$22+--($QD23)</f>
        <v>#N/A</v>
      </c>
      <c r="QF23" t="e">
        <f t="shared" si="139"/>
        <v>#N/A</v>
      </c>
      <c r="QG23">
        <f>IF(COUNTIF('Buyer Groups'!DG23:EM23,0)&gt;0,0,1)</f>
        <v>1</v>
      </c>
      <c r="QH23" t="e">
        <f>IF($FS$23="",FALSE,SUMPRODUCT(('Final Calculation Sheet'!$AH$4:$AH$40=$FS$23)*($QG$6:$QG$42=1))&gt;0)</f>
        <v>#N/A</v>
      </c>
      <c r="QI23" t="e">
        <f>$QI$22+--($QH23)</f>
        <v>#N/A</v>
      </c>
      <c r="QJ23" t="e">
        <f t="shared" si="140"/>
        <v>#N/A</v>
      </c>
      <c r="QK23" t="str">
        <f>IF('Final Calculation Sheet'!$AH$23="","",'Final Calculation Sheet'!$AH$23)</f>
        <v>14.08.2026</v>
      </c>
      <c r="QL23">
        <f>IF(QK23="","",COUNTIFS(QK$4:QK$40,"&lt;"&amp;QK23,QK$4:QK$40,"&lt;&gt;"&amp;"")+COUNTIF(QK$4:QK23,QK23))</f>
        <v>10</v>
      </c>
      <c r="QM23" t="str">
        <f t="shared" si="141"/>
        <v>27.08.2026</v>
      </c>
      <c r="QN23" t="e">
        <f ca="1">QN22+F(AND(QM23&lt;&gt;"",COUNTIF(QM$4:QM23,QM23)=1),1,0)</f>
        <v>#N/A</v>
      </c>
      <c r="QO23" t="e">
        <f t="shared" si="142"/>
        <v>#N/A</v>
      </c>
      <c r="QP23">
        <f>IF(COUNTIF('Final Calculation Sheet'!$AM23:$BS23,0)&gt;0,0,1)</f>
        <v>1</v>
      </c>
      <c r="QQ23" t="b">
        <f>IF($AI$23="",FALSE,SUMPRODUCT(('Final Calculation Sheet'!$A$4:$A$40=$AI$23)*($QP$4:$QP$40=1))&gt;0)</f>
        <v>1</v>
      </c>
      <c r="QR23">
        <f t="shared" si="177"/>
        <v>20</v>
      </c>
      <c r="QS23">
        <f t="shared" si="143"/>
        <v>3000</v>
      </c>
      <c r="QT23">
        <f>IF(COUNTIF('Final Calculation Sheet'!$AL23:$AL23,0)+COUNTIF('Final Calculation Sheet'!$AN23:$BS23,0)&gt;0,0,1)</f>
        <v>1</v>
      </c>
      <c r="QU23" t="b">
        <f>IF($Y$23="",FALSE,SUMPRODUCT(('Final Calculation Sheet'!$B$4:$B$40=$Y$23)*($QT$4:$QT$40=1))&gt;0)</f>
        <v>1</v>
      </c>
      <c r="QV23">
        <f t="shared" si="178"/>
        <v>20</v>
      </c>
      <c r="QW23" t="str">
        <f t="shared" si="144"/>
        <v>Scrap of empty oil Barrels</v>
      </c>
      <c r="QX23">
        <f>IF(COUNTIF('Final Calculation Sheet'!$AL23:$AM23,0)+COUNTIF('Final Calculation Sheet'!$AO23:$BS23,0)&gt;0,0,1)</f>
        <v>1</v>
      </c>
      <c r="QY23" t="b">
        <f>IF($AS$23="",FALSE,SUMPRODUCT(('Final Calculation Sheet'!$C$4:$C$40=$AS$23)*($QX$4:$QX$40=1))&gt;0)</f>
        <v>1</v>
      </c>
      <c r="QZ23">
        <f t="shared" si="179"/>
        <v>20</v>
      </c>
      <c r="RA23">
        <f t="shared" si="145"/>
        <v>50003</v>
      </c>
      <c r="RB23">
        <f>IF(COUNTIF('Final Calculation Sheet'!$AL23:$AN23,0)+COUNTIF('Final Calculation Sheet'!$AP23:$BS23,0)&gt;0,0,1)</f>
        <v>1</v>
      </c>
      <c r="RC23" t="b">
        <f>IF($AD$23="",FALSE,SUMPRODUCT(('Final Calculation Sheet'!$D$4:$D$40=$AD$23)*($RB$4:$RB$40=1))&gt;0)</f>
        <v>0</v>
      </c>
      <c r="RD23">
        <f t="shared" si="180"/>
        <v>4</v>
      </c>
      <c r="RE23" t="str">
        <f t="shared" si="146"/>
        <v/>
      </c>
      <c r="RF23">
        <f>IF(COUNTIF('Final Calculation Sheet'!$AL23:$AO23,0)+COUNTIF('Final Calculation Sheet'!$AQ23:$BS23,0)&gt;0,0,1)</f>
        <v>1</v>
      </c>
      <c r="RG23" t="b">
        <f>IF($AN$23="",FALSE,SUMPRODUCT(('Final Calculation Sheet'!$E$4:$E$40=$AN$23)*($RF$4:$RF$40=1))&gt;0)</f>
        <v>0</v>
      </c>
      <c r="RH23">
        <f t="shared" si="181"/>
        <v>3</v>
      </c>
      <c r="RI23" t="str">
        <f t="shared" si="147"/>
        <v/>
      </c>
      <c r="RJ23">
        <f>IF(COUNTIF('Final Calculation Sheet'!$AL23:$AP23,0)+COUNTIF('Final Calculation Sheet'!$AR23:$BS23,0)&gt;0,0,1)</f>
        <v>1</v>
      </c>
      <c r="RK23" t="b">
        <f>IF($O$23="",FALSE,SUMPRODUCT(('Final Calculation Sheet'!$F$4:$F$40=$O$23)*($RJ$4:$RJ$40=1))&gt;0)</f>
        <v>1</v>
      </c>
      <c r="RL23">
        <f t="shared" si="182"/>
        <v>20</v>
      </c>
      <c r="RM23">
        <f t="shared" si="148"/>
        <v>2025</v>
      </c>
      <c r="RN23">
        <f>IF(COUNTIF('Final Calculation Sheet'!$AL23:$AQ23,0)+COUNTIF('Final Calculation Sheet'!$AS23:$BS23,0)&gt;0,0,1)</f>
        <v>1</v>
      </c>
      <c r="RO23" t="b">
        <f>IF($T$23="",FALSE,SUMPRODUCT(('Final Calculation Sheet'!$G$4:$G$40=$T$23)*($RN$4:$RN$40=1))&gt;0)</f>
        <v>0</v>
      </c>
      <c r="RP23">
        <f t="shared" si="183"/>
        <v>13</v>
      </c>
      <c r="RQ23" t="str">
        <f t="shared" si="149"/>
        <v/>
      </c>
      <c r="RR23">
        <f>IF(COUNTIF('Final Calculation Sheet'!$AL23:$AR23,0)+COUNTIF('Final Calculation Sheet'!$AT23:$BS23,0)&gt;0,0,1)</f>
        <v>1</v>
      </c>
      <c r="RS23" t="b">
        <f>IF($AX$23="",FALSE,SUMPRODUCT(('Final Calculation Sheet'!$H$4:$H$40=$AX$23)*($RR$4:$RR$40=1))&gt;0)</f>
        <v>1</v>
      </c>
      <c r="RT23">
        <f t="shared" si="184"/>
        <v>20</v>
      </c>
      <c r="RU23">
        <f t="shared" si="150"/>
        <v>160012</v>
      </c>
      <c r="RV23">
        <f>IF(COUNTIF('Final Calculation Sheet'!$AL23:$AS23,0)+COUNTIF('Final Calculation Sheet'!$AU23:$BS23,0)&gt;0,0,1)</f>
        <v>1</v>
      </c>
      <c r="RW23" t="b">
        <f>IF($BC$23="",FALSE,SUMPRODUCT(('Final Calculation Sheet'!$I$4:$I$40=$BC$23)*($RV$4:$RV$40=1))&gt;0)</f>
        <v>1</v>
      </c>
      <c r="RX23">
        <f t="shared" si="185"/>
        <v>20</v>
      </c>
      <c r="RY23">
        <f t="shared" si="151"/>
        <v>28802</v>
      </c>
      <c r="RZ23">
        <f>IF(COUNTIF('Final Calculation Sheet'!$AL23:$AT23,0)+COUNTIF('Final Calculation Sheet'!$AV23:$BS23,0)&gt;0,0,1)</f>
        <v>1</v>
      </c>
      <c r="SA23" t="b">
        <f>IF($BH$23="",FALSE,SUMPRODUCT(('Final Calculation Sheet'!$J$4:$J$40=$BH$23)*($RZ$4:$RZ$40=1))&gt;0)</f>
        <v>1</v>
      </c>
      <c r="SB23">
        <f t="shared" si="186"/>
        <v>20</v>
      </c>
      <c r="SC23">
        <f t="shared" si="152"/>
        <v>188814</v>
      </c>
      <c r="SD23">
        <f>IF(COUNTIF('Final Calculation Sheet'!$AL23:$AU23,0)+COUNTIF('Final Calculation Sheet'!$AW23:$BS23,0)&gt;0,0,1)</f>
        <v>1</v>
      </c>
      <c r="SE23" t="b">
        <f>IF($BM$23="",FALSE,SUMPRODUCT(('Final Calculation Sheet'!$K$4:$K$40=$BM$23)*($SD$4:$SD$40=1))&gt;0)</f>
        <v>1</v>
      </c>
      <c r="SF23">
        <f t="shared" si="187"/>
        <v>20</v>
      </c>
      <c r="SG23">
        <f t="shared" si="153"/>
        <v>3776</v>
      </c>
      <c r="SH23">
        <f>IF(COUNTIF('Final Calculation Sheet'!$AL23:$AV23,0)+COUNTIF('Final Calculation Sheet'!$AX23:$BS23,0)&gt;0,0,1)</f>
        <v>1</v>
      </c>
      <c r="SI23" t="b">
        <f>IF($BR$23="",FALSE,SUMPRODUCT(('Final Calculation Sheet'!$L$4:$L$40=$BR$23)*($SH$4:$SH$40=1))&gt;0)</f>
        <v>1</v>
      </c>
      <c r="SJ23">
        <f t="shared" si="188"/>
        <v>20</v>
      </c>
      <c r="SK23">
        <f t="shared" si="154"/>
        <v>160.012</v>
      </c>
      <c r="SL23">
        <f>IF(COUNTIF('Final Calculation Sheet'!$AL23:$AW23,0)+COUNTIF('Final Calculation Sheet'!$AY23:$BS23,0)&gt;0,0,1)</f>
        <v>1</v>
      </c>
      <c r="SM23" t="b">
        <f>IF($BW$23="",FALSE,SUMPRODUCT(('Final Calculation Sheet'!$M$4:$M$40=$BW$23)*($SL$4:$SL$40=1))&gt;0)</f>
        <v>1</v>
      </c>
      <c r="SN23">
        <f t="shared" si="189"/>
        <v>20</v>
      </c>
      <c r="SO23">
        <f t="shared" si="155"/>
        <v>4248.3185999999996</v>
      </c>
      <c r="SP23">
        <f>IF(COUNTIF('Final Calculation Sheet'!$AL23:$AX23,0)+COUNTIF('Final Calculation Sheet'!$AZ23:$BS23,0)&gt;0,0,1)</f>
        <v>1</v>
      </c>
      <c r="SQ23" t="b">
        <f>IF($CB$23="",FALSE,SUMPRODUCT(('Final Calculation Sheet'!$N$4:$N$40=$CB$23)*($SP$4:$SP$40=1))&gt;0)</f>
        <v>1</v>
      </c>
      <c r="SR23">
        <f t="shared" si="190"/>
        <v>20</v>
      </c>
      <c r="SS23">
        <f t="shared" si="156"/>
        <v>72.005399999999995</v>
      </c>
      <c r="ST23">
        <f>IF(COUNTIF('Final Calculation Sheet'!$AL23:$AY23,0)+COUNTIF('Final Calculation Sheet'!$BA23:$BS23,0)&gt;0,0,1)</f>
        <v>1</v>
      </c>
      <c r="SU23" t="b">
        <f>IF($CG$23="",FALSE,SUMPRODUCT(('Final Calculation Sheet'!$O$4:$O$40=$CG$23)*($ST$4:$ST$40=1))&gt;0)</f>
        <v>1</v>
      </c>
      <c r="SV23">
        <f t="shared" si="191"/>
        <v>20</v>
      </c>
      <c r="SW23">
        <f t="shared" si="157"/>
        <v>4176.3131999999996</v>
      </c>
      <c r="SX23">
        <f>IF(COUNTIF('Final Calculation Sheet'!$AL23:$AZ23,0)+COUNTIF('Final Calculation Sheet'!$BB23:$BS23,0)&gt;0,0,1)</f>
        <v>1</v>
      </c>
      <c r="SY23" t="b">
        <f>IF($CL$23="",FALSE,SUMPRODUCT(('Final Calculation Sheet'!$P$4:$P$40=$CL$23)*($SX$4:$SX$40=1))&gt;0)</f>
        <v>1</v>
      </c>
      <c r="SZ23">
        <f t="shared" si="192"/>
        <v>20</v>
      </c>
      <c r="TA23">
        <f t="shared" si="158"/>
        <v>4336</v>
      </c>
      <c r="TB23">
        <f>IF(COUNTIF('Final Calculation Sheet'!$AL23:$BA23,0)+COUNTIF('Final Calculation Sheet'!$BC23:$BS23,0)&gt;0,0,1)</f>
        <v>1</v>
      </c>
      <c r="TC23" t="b">
        <f>IF($CQ$23="",FALSE,SUMPRODUCT(('Final Calculation Sheet'!$Q$4:$Q$40=$CQ$23)*($TB$4:$TB$40=1))&gt;0)</f>
        <v>0</v>
      </c>
      <c r="TD23">
        <f t="shared" si="193"/>
        <v>2</v>
      </c>
      <c r="TE23" t="str">
        <f t="shared" si="159"/>
        <v/>
      </c>
      <c r="TF23">
        <f>IF(COUNTIF('Final Calculation Sheet'!$AL23:$BB23,0)+COUNTIF('Final Calculation Sheet'!$BD23:$BS23,0)&gt;0,0,1)</f>
        <v>1</v>
      </c>
      <c r="TG23" t="b">
        <f>IF($CV$23="",FALSE,SUMPRODUCT(('Final Calculation Sheet'!$R$4:$R$40=$CV$23)*($TF$4:$TF$40=1))&gt;0)</f>
        <v>0</v>
      </c>
      <c r="TH23">
        <f t="shared" si="194"/>
        <v>5</v>
      </c>
      <c r="TI23" t="str">
        <f t="shared" si="160"/>
        <v/>
      </c>
      <c r="TJ23">
        <f>IF(COUNTIF('Final Calculation Sheet'!$AL23:$BC23,0)+COUNTIF('Final Calculation Sheet'!$BE23:$BS23,0)&gt;0,0,1)</f>
        <v>1</v>
      </c>
      <c r="TK23" t="b">
        <f>IF($DA$23="",FALSE,SUMPRODUCT(('Final Calculation Sheet'!$S$4:$S$40=$DA$23)*($TJ$4:$TJ$40=1))&gt;0)</f>
        <v>1</v>
      </c>
      <c r="TL23">
        <f t="shared" si="195"/>
        <v>20</v>
      </c>
      <c r="TM23">
        <f t="shared" si="161"/>
        <v>188254</v>
      </c>
      <c r="TN23">
        <f>IF(COUNTIF('Final Calculation Sheet'!$AL23:$BD23,0)+COUNTIF('Final Calculation Sheet'!$BF23:$BS23,0)&gt;0,0,1)</f>
        <v>1</v>
      </c>
      <c r="TO23" t="b">
        <f>IF($DF$23="",FALSE,SUMPRODUCT(('Final Calculation Sheet'!$T$4:$T$40=$DF$23)*($TN$4:$TN$40=1))&gt;0)</f>
        <v>1</v>
      </c>
      <c r="TP23">
        <f t="shared" si="196"/>
        <v>20</v>
      </c>
      <c r="TQ23">
        <f t="shared" si="162"/>
        <v>40003</v>
      </c>
      <c r="TR23">
        <f>IF(COUNTIF('Final Calculation Sheet'!$AL23:$BE23,0)+COUNTIF('Final Calculation Sheet'!$BG23:$BS23,0)&gt;0,0,1)</f>
        <v>1</v>
      </c>
      <c r="TS23" t="b">
        <f>IF($DK$23="",FALSE,SUMPRODUCT(('Final Calculation Sheet'!$U$4:$U$40=$DK$23)*($TR$4:$TR$40=1))&gt;0)</f>
        <v>1</v>
      </c>
      <c r="TT23">
        <f t="shared" si="197"/>
        <v>20</v>
      </c>
      <c r="TU23">
        <f t="shared" si="163"/>
        <v>40003</v>
      </c>
      <c r="TV23">
        <f>IF(COUNTIF('Final Calculation Sheet'!$AL23:$BF23,0)+COUNTIF('Final Calculation Sheet'!$BH23:$BS23,0)&gt;0,0,1)</f>
        <v>1</v>
      </c>
      <c r="TW23" t="b">
        <f>IF($DP$23="",FALSE,SUMPRODUCT(('Final Calculation Sheet'!$V$4:$V$40=$DP$23)*($TV$4:$TV$40=1))&gt;0)</f>
        <v>0</v>
      </c>
      <c r="TX23">
        <f t="shared" si="198"/>
        <v>6</v>
      </c>
      <c r="TY23" t="str">
        <f t="shared" si="164"/>
        <v/>
      </c>
      <c r="TZ23">
        <f>IF(COUNTIF('Final Calculation Sheet'!$AL23:$BG23,0)+COUNTIF('Final Calculation Sheet'!$BI23:$BS23,0)&gt;0,0,1)</f>
        <v>1</v>
      </c>
      <c r="UA23" t="b">
        <f>IF($DU$23="",FALSE,SUMPRODUCT(('Final Calculation Sheet'!$W$4:$W$40=$DU$23)*($TZ$4:$TZ$40=1))&gt;0)</f>
        <v>1</v>
      </c>
      <c r="UB23">
        <f t="shared" si="199"/>
        <v>20</v>
      </c>
      <c r="UC23">
        <f t="shared" si="165"/>
        <v>148251</v>
      </c>
      <c r="UD23">
        <f>IF(COUNTIF('Final Calculation Sheet'!$AL23:$BH23,0)+COUNTIF('Final Calculation Sheet'!$BJ23:$BS23,0)&gt;0,0,1)</f>
        <v>1</v>
      </c>
      <c r="UE23" t="e">
        <f>IF($DZ$23="",FALSE,SUMPRODUCT(('Final Calculation Sheet'!$X$4:$X$40=$DZ$23)*($UD$4:$UD$40=1))&gt;0)</f>
        <v>#N/A</v>
      </c>
      <c r="UF23" t="e">
        <f t="shared" si="200"/>
        <v>#N/A</v>
      </c>
      <c r="UG23" t="e">
        <f t="shared" si="166"/>
        <v>#N/A</v>
      </c>
      <c r="UH23">
        <f>IF(COUNTIF('Final Calculation Sheet'!$AL23:$BI23,0)+COUNTIF('Final Calculation Sheet'!$BK23:$BS23,0)&gt;0,0,1)</f>
        <v>1</v>
      </c>
      <c r="UI23" t="e">
        <f>IF($EE$23="",FALSE,SUMPRODUCT(('Final Calculation Sheet'!$Y$4:$Y$40=$EE$23)*($UH$4:$UH$40=1))&gt;0)</f>
        <v>#N/A</v>
      </c>
      <c r="UJ23" t="e">
        <f t="shared" si="201"/>
        <v>#N/A</v>
      </c>
      <c r="UK23" t="e">
        <f t="shared" si="167"/>
        <v>#N/A</v>
      </c>
      <c r="UL23">
        <f>IF(COUNTIF('Final Calculation Sheet'!$AL23:$BJ23,0)+COUNTIF('Final Calculation Sheet'!$BL23:$BS23,0)&gt;0,0,1)</f>
        <v>1</v>
      </c>
      <c r="UM23" t="b">
        <f ca="1">IF($EJ$23="",FALSE,SUMPRODUCT(('Final Calculation Sheet'!$Z$4:$Z$40=$EJ$23)*($UL$4:$UL$40=1))&gt;0)</f>
        <v>1</v>
      </c>
      <c r="UN23">
        <f t="shared" ca="1" si="202"/>
        <v>20</v>
      </c>
      <c r="UO23">
        <f t="shared" ca="1" si="168"/>
        <v>5664.4247999999998</v>
      </c>
      <c r="UP23">
        <f>IF(COUNTIF('Final Calculation Sheet'!$AL23:$BK23,0)+COUNTIF('Final Calculation Sheet'!$BM23:$BS23,0)&gt;0,0,1)</f>
        <v>1</v>
      </c>
      <c r="UQ23" t="e">
        <f>IF($EO$23="",FALSE,SUMPRODUCT(('Final Calculation Sheet'!$AA$4:$AA$40=$EO$23)*($UP$4:$UP$40=1))&gt;0)</f>
        <v>#N/A</v>
      </c>
      <c r="UR23" t="e">
        <f t="shared" si="203"/>
        <v>#N/A</v>
      </c>
      <c r="US23" t="e">
        <f t="shared" si="169"/>
        <v>#N/A</v>
      </c>
      <c r="UT23">
        <f>IF(COUNTIF('Final Calculation Sheet'!$AL23:$BL23,0)+COUNTIF('Final Calculation Sheet'!$BN23:$BS23,0)&gt;0,0,1)</f>
        <v>1</v>
      </c>
      <c r="UU23" t="e">
        <f>IF($ET$23="",FALSE,SUMPRODUCT(('Final Calculation Sheet'!$AB$4:$AB$40=$ET$23)*($UT$4:$UT$40=1))&gt;0)</f>
        <v>#N/A</v>
      </c>
      <c r="UV23" t="e">
        <f t="shared" si="204"/>
        <v>#N/A</v>
      </c>
      <c r="UW23" t="e">
        <f t="shared" si="170"/>
        <v>#N/A</v>
      </c>
      <c r="UX23">
        <f>IF(COUNTIF('Final Calculation Sheet'!$AL23:$BM23,0)+COUNTIF('Final Calculation Sheet'!$BO23:$BS23,0)&gt;0,0,1)</f>
        <v>1</v>
      </c>
      <c r="UY23" t="b">
        <f>IF($EY$23="",FALSE,SUMPRODUCT(('Final Calculation Sheet'!$AC$4:$AC$40=$EY$23)*($UX$4:$UX$40=1))&gt;0)</f>
        <v>1</v>
      </c>
      <c r="UZ23">
        <f t="shared" si="205"/>
        <v>20</v>
      </c>
      <c r="VA23">
        <f t="shared" si="171"/>
        <v>159710</v>
      </c>
      <c r="VB23">
        <f>IF(COUNTIF('Final Calculation Sheet'!$AL23:$BN23,0)+COUNTIF('Final Calculation Sheet'!$BP23:$BS23,0)&gt;0,0,1)</f>
        <v>1</v>
      </c>
      <c r="VC23" t="b">
        <f>IF($FD$23="",FALSE,SUMPRODUCT(('Final Calculation Sheet'!$AD$4:$AD$40=$FD$23)*($VB$4:$VB$40=1))&gt;0)</f>
        <v>0</v>
      </c>
      <c r="VD23">
        <f t="shared" si="206"/>
        <v>11</v>
      </c>
      <c r="VE23" t="str">
        <f t="shared" si="172"/>
        <v/>
      </c>
      <c r="VF23">
        <f>IF(COUNTIF('Final Calculation Sheet'!$AL23:$BO23,0)+COUNTIF('Final Calculation Sheet'!$BQ23:$BS23,0)&gt;0,0,1)</f>
        <v>1</v>
      </c>
      <c r="VG23" t="e">
        <f>IF($FI$23="",FALSE,SUMPRODUCT(('Final Calculation Sheet'!$AE$4:$AE$40=$FI$23)*($VF$4:$VF$40=1))&gt;0)</f>
        <v>#N/A</v>
      </c>
      <c r="VH23" t="e">
        <f t="shared" si="207"/>
        <v>#N/A</v>
      </c>
      <c r="VI23" t="e">
        <f t="shared" si="173"/>
        <v>#N/A</v>
      </c>
      <c r="VJ23">
        <f>IF(COUNTIF('Final Calculation Sheet'!$AL23:$BP23,0)+COUNTIF('Final Calculation Sheet'!$BR23:$BS23,0)&gt;0,0,1)</f>
        <v>1</v>
      </c>
      <c r="VK23" t="e">
        <f>IF($FN$23="",FALSE,SUMPRODUCT(('Final Calculation Sheet'!$AF$4:$AF$40=$FN$23)*($VJ$4:$VJ$40=1))&gt;0)</f>
        <v>#N/A</v>
      </c>
      <c r="VL23" t="e">
        <f t="shared" si="208"/>
        <v>#N/A</v>
      </c>
      <c r="VM23" t="e">
        <f t="shared" si="174"/>
        <v>#N/A</v>
      </c>
      <c r="VN23">
        <f>IF(COUNTIF('Final Calculation Sheet'!$AL23:$BQ23,0)+COUNTIF('Final Calculation Sheet'!$BS23:$BS23,0)&gt;0,0,1)</f>
        <v>1</v>
      </c>
      <c r="VO23" t="e">
        <f>IF($FS$23="",FALSE,SUMPRODUCT(('Final Calculation Sheet'!$AG$4:$AG$40=$FS$23)*($VN$4:$VN$40=1))&gt;0)</f>
        <v>#N/A</v>
      </c>
      <c r="VP23" t="e">
        <f t="shared" si="209"/>
        <v>#N/A</v>
      </c>
      <c r="VQ23" t="e">
        <f t="shared" si="175"/>
        <v>#N/A</v>
      </c>
      <c r="VR23">
        <f>IF(COUNTIF('Final Calculation Sheet'!$AL23:$BR23,0)&gt;0,0,1)</f>
        <v>1</v>
      </c>
      <c r="VS23" t="e">
        <f>IF($QO$23="",FALSE,SUMPRODUCT(('Final Calculation Sheet'!$AH$4:$AH$40=$QO$23)*($VR$4:$VR$40=1))&gt;0)</f>
        <v>#N/A</v>
      </c>
      <c r="VT23" t="e">
        <f t="shared" si="210"/>
        <v>#N/A</v>
      </c>
      <c r="VU23" t="e">
        <f t="shared" si="176"/>
        <v>#N/A</v>
      </c>
    </row>
    <row r="24" spans="1:593" x14ac:dyDescent="0.3">
      <c r="A24">
        <f>IF('Final Calculation Sheet'!$F$24="","",'Final Calculation Sheet'!$F$24)</f>
        <v>2027</v>
      </c>
      <c r="B24">
        <f>IF(A24="","",COUNTIFS(A$4:A$114,"&lt;"&amp;A24,A$4:A$114,"&lt;&gt;"&amp;"")+COUNTIF(A$4:A24,A24))</f>
        <v>21</v>
      </c>
      <c r="C24">
        <f t="shared" si="0"/>
        <v>2027</v>
      </c>
      <c r="D24">
        <f>D23+IF(AND(C24&lt;&gt;"",COUNTIF(C$4:C24,C24)=1),1,0)</f>
        <v>21</v>
      </c>
      <c r="E24" t="e">
        <f t="shared" si="1"/>
        <v>#N/A</v>
      </c>
      <c r="F24">
        <f t="shared" si="2"/>
        <v>21</v>
      </c>
      <c r="G24">
        <f>IF(F24="","",COUNTIFS(F$4:F$40,"&lt;"&amp;F24,F$4:F$40,"&lt;&gt;"&amp;"")+COUNTIF(F$4:F24,F24))</f>
        <v>21</v>
      </c>
      <c r="H24">
        <f t="shared" si="3"/>
        <v>21</v>
      </c>
      <c r="I24">
        <f>I23+IF(AND(H24&lt;&gt;"",COUNTIF(H$4:H24,H24)=1),1,0)</f>
        <v>21</v>
      </c>
      <c r="J24">
        <f t="shared" si="4"/>
        <v>21</v>
      </c>
      <c r="K24">
        <f>IF('Final Calculation Sheet'!$F$24="","",'Final Calculation Sheet'!$F$24)</f>
        <v>2027</v>
      </c>
      <c r="L24">
        <f>IF(K24="","",COUNTIFS(K$4:K$40,"&lt;"&amp;K24,K$4:K$40,"&lt;&gt;"&amp;"")+COUNTIF(K$4:K24,K24))</f>
        <v>21</v>
      </c>
      <c r="M24">
        <f t="shared" si="5"/>
        <v>2027</v>
      </c>
      <c r="N24">
        <f>N23+IF(AND(M24&lt;&gt;"",COUNTIF(M$4:M24,M24)=1),1,0)</f>
        <v>21</v>
      </c>
      <c r="O24">
        <f t="shared" si="6"/>
        <v>2027</v>
      </c>
      <c r="P24" t="str">
        <f>IF('Final Calculation Sheet'!$G$24="","",'Final Calculation Sheet'!$G$24)</f>
        <v>NATIONAL ENTERPRISES</v>
      </c>
      <c r="Q24">
        <f>IF(P24="","",COUNTIFS(P$4:P$40,"&lt;"&amp;P24,P$4:P$40,"&lt;&gt;"&amp;"")+COUNTIF(P$4:P24,P24))</f>
        <v>14</v>
      </c>
      <c r="R24" t="str">
        <f t="shared" si="7"/>
        <v>OMKAR STEELS</v>
      </c>
      <c r="S24">
        <f>S23+IF(AND(R24&lt;&gt;"",COUNTIF(R$4:R24,R24)=1),1,0)</f>
        <v>8</v>
      </c>
      <c r="T24" t="str">
        <f t="shared" si="8"/>
        <v/>
      </c>
      <c r="U24" t="str">
        <f>IF('Final Calculation Sheet'!$B$24="","",'Final Calculation Sheet'!$B$24)</f>
        <v>Scrap of 132 KV CT</v>
      </c>
      <c r="V24">
        <f>IF(U24="","",COUNTIFS(U$4:U$40,"&lt;"&amp;U24,U$4:U$40,"&lt;&gt;"&amp;"")+COUNTIF(U$4:U24,U24))</f>
        <v>9</v>
      </c>
      <c r="W24" t="str">
        <f t="shared" si="9"/>
        <v>Scrap of 33 KV GCB</v>
      </c>
      <c r="X24">
        <f>X23+IF(AND(W24&lt;&gt;"",COUNTIF(W$4:W24,W24)=1),1,0)</f>
        <v>14</v>
      </c>
      <c r="Y24" t="str">
        <f t="shared" si="10"/>
        <v>Scrap of empty oil Druam</v>
      </c>
      <c r="Z24">
        <f>IF('Final Calculation Sheet'!$D$24="","",'Final Calculation Sheet'!$D$24)</f>
        <v>21978</v>
      </c>
      <c r="AA24">
        <f>IF(Z24="","",COUNTIFS(Z$4:Z$40,"&lt;"&amp;Z24,Z$4:Z$40,"&lt;&gt;"&amp;"")+COUNTIF(Z$4:Z24,Z24))</f>
        <v>19</v>
      </c>
      <c r="AB24">
        <f t="shared" si="11"/>
        <v>21978</v>
      </c>
      <c r="AC24">
        <f>AC23+IF(AND(AB24&lt;&gt;"",COUNTIF(AB$4:AB24,AB24)=1),1,0)</f>
        <v>2</v>
      </c>
      <c r="AD24" t="str">
        <f t="shared" si="12"/>
        <v/>
      </c>
      <c r="AE24">
        <f>IF('Final Calculation Sheet'!$A$24="","",'Final Calculation Sheet'!$A$24)</f>
        <v>1</v>
      </c>
      <c r="AF24">
        <f>IF(AE24="","",COUNTIFS(AE$4:AE$40,"&lt;"&amp;AE24,AE$4:AE$40,"&lt;&gt;"&amp;"")+COUNTIF(AE$4:AE24,AE24))</f>
        <v>7</v>
      </c>
      <c r="AG24">
        <f t="shared" si="13"/>
        <v>8.1999999999999993</v>
      </c>
      <c r="AH24">
        <f>AH23+IF(AND(AG24&lt;&gt;"",COUNTIF(AG$4:AG24,AG24)=1),1,0)</f>
        <v>6</v>
      </c>
      <c r="AI24">
        <f t="shared" si="14"/>
        <v>3500</v>
      </c>
      <c r="AJ24" t="str">
        <f>IF('Final Calculation Sheet'!$E$24="","",'Final Calculation Sheet'!$E$24)</f>
        <v>NO</v>
      </c>
      <c r="AK24">
        <f>IF(AJ24="","",COUNTIFS(AJ$4:AJ$40,"&lt;"&amp;AJ24,AJ$4:AJ$40,"&lt;&gt;"&amp;"")+COUNTIF(AJ$4:AJ24,AJ24))</f>
        <v>23</v>
      </c>
      <c r="AL24" t="str">
        <f t="shared" si="15"/>
        <v>NO</v>
      </c>
      <c r="AM24">
        <f>AM23+IF(AND(AL24&lt;&gt;"",COUNTIF(AL$4:AL24,AL24)=1),1,0)</f>
        <v>3</v>
      </c>
      <c r="AN24" t="str">
        <f t="shared" si="16"/>
        <v/>
      </c>
      <c r="AO24" s="50">
        <f>IF('Final Calculation Sheet'!$C$24="","",'Final Calculation Sheet'!$C$24)</f>
        <v>50003</v>
      </c>
      <c r="AP24">
        <f>IF(AO24="","",COUNTIFS(AO$4:AO$40,"&lt;"&amp;AO24,AO$4:AO$40,"&lt;&gt;"&amp;"")+COUNTIF(AO$4:AO24,AO24))</f>
        <v>22</v>
      </c>
      <c r="AQ24" s="50">
        <f t="shared" si="17"/>
        <v>40003</v>
      </c>
      <c r="AR24">
        <f>AR23+IF(AND(AQ24&lt;&gt;"",COUNTIF(AQ$4:AQ24,AQ24)=1),1,0)</f>
        <v>19</v>
      </c>
      <c r="AS24" s="50">
        <f t="shared" si="18"/>
        <v>51511</v>
      </c>
      <c r="AT24" s="50">
        <f>IF('Final Calculation Sheet'!$H$24="","",'Final Calculation Sheet'!$H$24)</f>
        <v>50003</v>
      </c>
      <c r="AU24">
        <f>IF(AT24="","",COUNTIFS(AT$4:AT$40,"&lt;"&amp;AT24,AT$4:AT$40,"&lt;&gt;"&amp;"")+COUNTIF(AT$4:AT24,AT24))</f>
        <v>9</v>
      </c>
      <c r="AV24" s="50">
        <f t="shared" si="19"/>
        <v>198000</v>
      </c>
      <c r="AW24">
        <f>AW23+IF(AND(AV24&lt;&gt;"",COUNTIF(AV$4:AV24,AV24)=1),1,0)</f>
        <v>21</v>
      </c>
      <c r="AX24" s="50">
        <f t="shared" si="20"/>
        <v>198000</v>
      </c>
      <c r="AY24" s="50">
        <f>IF('Final Calculation Sheet'!$I$24="","",'Final Calculation Sheet'!$I$24)</f>
        <v>9001</v>
      </c>
      <c r="AZ24">
        <f>IF(AY24="","",COUNTIFS(AY$4:AY$40,"&lt;"&amp;AY24,AY$4:AY$40,"&lt;&gt;"&amp;"")+COUNTIF(AY$4:AY24,AY24))</f>
        <v>9</v>
      </c>
      <c r="BA24" s="50">
        <f t="shared" si="21"/>
        <v>35640</v>
      </c>
      <c r="BB24">
        <f>BB23+IF(AND(BA24&lt;&gt;"",COUNTIF(BA$4:BA24,BA24)=1),1,0)</f>
        <v>21</v>
      </c>
      <c r="BC24" s="50">
        <f t="shared" si="22"/>
        <v>35640</v>
      </c>
      <c r="BD24" s="50">
        <f>IF('Final Calculation Sheet'!$J$24="","",'Final Calculation Sheet'!$J$24)</f>
        <v>59004</v>
      </c>
      <c r="BE24">
        <f>IF(BD24="","",COUNTIFS(BD$4:BD$40,"&lt;"&amp;BD24,BD$4:BD$40,"&lt;&gt;"&amp;"")+COUNTIF(BD$4:BD24,BD24))</f>
        <v>9</v>
      </c>
      <c r="BF24" s="50">
        <f t="shared" si="23"/>
        <v>233640</v>
      </c>
      <c r="BG24">
        <f>BG23+IF(AND(BF24&lt;&gt;"",COUNTIF(BF$4:BF24,BF24)=1),1,0)</f>
        <v>21</v>
      </c>
      <c r="BH24" s="50">
        <f t="shared" si="24"/>
        <v>233640</v>
      </c>
      <c r="BI24" s="50">
        <f>IF('Final Calculation Sheet'!$K$24="","",'Final Calculation Sheet'!$K$24)</f>
        <v>1180</v>
      </c>
      <c r="BJ24">
        <f>IF(BI24="","",COUNTIFS(BI$4:BI$40,"&lt;"&amp;BI24,BI$4:BI$40,"&lt;&gt;"&amp;"")+COUNTIF(BI$4:BI24,BI24))</f>
        <v>9</v>
      </c>
      <c r="BK24" s="50">
        <f t="shared" si="25"/>
        <v>4673</v>
      </c>
      <c r="BL24">
        <f>BL23+IF(AND(BK24&lt;&gt;"",COUNTIF(BK$4:BK24,BK24)=1),1,0)</f>
        <v>21</v>
      </c>
      <c r="BM24" s="50">
        <f t="shared" si="26"/>
        <v>4673</v>
      </c>
      <c r="BN24" s="50">
        <f>IF('Final Calculation Sheet'!$L$24="","",'Final Calculation Sheet'!$L$24)</f>
        <v>50.003</v>
      </c>
      <c r="BO24">
        <f>IF(BN24="","",COUNTIFS(BN$4:BN$40,"&lt;"&amp;BN24,BN$4:BN$40,"&lt;&gt;"&amp;"")+COUNTIF(BN$4:BN24,BN24))</f>
        <v>9</v>
      </c>
      <c r="BP24" s="50">
        <f t="shared" si="27"/>
        <v>198</v>
      </c>
      <c r="BQ24">
        <f>BQ23+IF(AND(BP24&lt;&gt;"",COUNTIF(BP$4:BP24,BP24)=1),1,0)</f>
        <v>21</v>
      </c>
      <c r="BR24" s="50">
        <f t="shared" si="28"/>
        <v>198</v>
      </c>
      <c r="BS24" s="50">
        <f>IF('Final Calculation Sheet'!$M$24="","",'Final Calculation Sheet'!$M$24)</f>
        <v>1327.5796499999999</v>
      </c>
      <c r="BT24">
        <f>IF(BS24="","",COUNTIFS(BS$4:BS$40,"&lt;"&amp;BS24,BS$4:BS$40,"&lt;&gt;"&amp;"")+COUNTIF(BS$4:BS24,BS24))</f>
        <v>9</v>
      </c>
      <c r="BU24" s="50">
        <f t="shared" si="29"/>
        <v>5256.9</v>
      </c>
      <c r="BV24">
        <f>BV23+IF(AND(BU24&lt;&gt;"",COUNTIF(BU$4:BU24,BU24)=1),1,0)</f>
        <v>21</v>
      </c>
      <c r="BW24" s="50">
        <f t="shared" si="30"/>
        <v>5256.9</v>
      </c>
      <c r="BX24" s="126">
        <f>IF('Final Calculation Sheet'!$N$24="","",'Final Calculation Sheet'!$N$24)</f>
        <v>22.501349999999999</v>
      </c>
      <c r="BY24">
        <f>IF(BX24="","",COUNTIFS(BX$4:BX$40,"&lt;"&amp;BX24,BX$4:BX$40,"&lt;&gt;"&amp;"")+COUNTIF(BX$4:BX24,BX24))</f>
        <v>9</v>
      </c>
      <c r="BZ24" s="126">
        <f t="shared" si="31"/>
        <v>89.100000000000009</v>
      </c>
      <c r="CA24">
        <f>CA23+IF(AND(BZ24&lt;&gt;"",COUNTIF(BZ$4:BZ24,BZ24)=1),1,0)</f>
        <v>21</v>
      </c>
      <c r="CB24" s="126">
        <f t="shared" si="32"/>
        <v>89.100000000000009</v>
      </c>
      <c r="CC24" s="50">
        <f>IF('Final Calculation Sheet'!$O$24="","",'Final Calculation Sheet'!$O$24)</f>
        <v>1305.0782999999999</v>
      </c>
      <c r="CD24">
        <f>IF(CC24="","",COUNTIFS(CC$4:CC$40,"&lt;"&amp;CC24,CC$4:CC$40,"&lt;&gt;"&amp;"")+COUNTIF(CC$4:CC24,CC24))</f>
        <v>9</v>
      </c>
      <c r="CE24" s="50">
        <f t="shared" si="33"/>
        <v>5167.7999999999993</v>
      </c>
      <c r="CF24">
        <f>CF23+IF(AND(CE24&lt;&gt;"",COUNTIF(CE$4:CE24,CE24)=1),1,0)</f>
        <v>21</v>
      </c>
      <c r="CG24" s="50">
        <f t="shared" si="34"/>
        <v>5167.7999999999993</v>
      </c>
      <c r="CH24" s="50">
        <f>IF('Final Calculation Sheet'!$P$24="","",'Final Calculation Sheet'!$P$24)</f>
        <v>1355</v>
      </c>
      <c r="CI24">
        <f>IF(CH24="","",COUNTIFS(CH$4:CH$40,"&lt;"&amp;CH24,CH$4:CH$40,"&lt;&gt;"&amp;"")+COUNTIF(CH$4:CH24,CH24))</f>
        <v>9</v>
      </c>
      <c r="CJ24" s="50">
        <f t="shared" si="35"/>
        <v>5366</v>
      </c>
      <c r="CK24">
        <f>CK23+IF(AND(CJ24&lt;&gt;"",COUNTIF(CJ$4:CJ24,CJ24)=1),1,0)</f>
        <v>21</v>
      </c>
      <c r="CL24" s="50">
        <f t="shared" si="36"/>
        <v>5366</v>
      </c>
      <c r="CM24" s="127">
        <f>IF('Final Calculation Sheet'!$Q$24="","",'Final Calculation Sheet'!$Q$24)</f>
        <v>0</v>
      </c>
      <c r="CN24">
        <f>IF(CM24="","",COUNTIFS(CM$4:CM$40,"&lt;"&amp;CM24,CM$4:CM$40,"&lt;&gt;"&amp;"")+COUNTIF(CM$4:CM24,CM24))</f>
        <v>18</v>
      </c>
      <c r="CO24" s="127">
        <f t="shared" si="37"/>
        <v>0</v>
      </c>
      <c r="CP24">
        <f>CP23+IF(AND(CO24&lt;&gt;"",COUNTIF(CO$4:CO24,CO24)=1),1,0)</f>
        <v>1</v>
      </c>
      <c r="CQ24" t="str">
        <f t="shared" si="38"/>
        <v/>
      </c>
      <c r="CR24" s="50">
        <f>IF('Final Calculation Sheet'!$R$24="","",'Final Calculation Sheet'!$R$24)</f>
        <v>0</v>
      </c>
      <c r="CS24">
        <f>IF(CR24="","",COUNTIFS(CR$4:CR$40,"&lt;"&amp;CR24,CR$4:CR$40,"&lt;&gt;"&amp;"")+COUNTIF(CR$4:CR24,CR24))</f>
        <v>18</v>
      </c>
      <c r="CT24" s="50">
        <f t="shared" si="39"/>
        <v>0</v>
      </c>
      <c r="CU24">
        <f>CU23+IF(AND(CT24&lt;&gt;"",COUNTIF(CT$4:CT24,CT24)=1),1,0)</f>
        <v>1</v>
      </c>
      <c r="CV24" t="str">
        <f t="shared" si="40"/>
        <v/>
      </c>
      <c r="CW24" s="50">
        <f>IF('Final Calculation Sheet'!$S$24="","",'Final Calculation Sheet'!$S$24)</f>
        <v>58829</v>
      </c>
      <c r="CX24">
        <f>IF(CW24="","",COUNTIFS(CW$4:CW$40,"&lt;"&amp;CW24,CW$4:CW$40,"&lt;&gt;"&amp;"")+COUNTIF(CW$4:CW24,CW24))</f>
        <v>9</v>
      </c>
      <c r="CY24" s="50">
        <f t="shared" si="41"/>
        <v>232947</v>
      </c>
      <c r="CZ24">
        <f>CZ23+IF(AND(CY24&lt;&gt;"",COUNTIF(CY$4:CY24,CY24)=1),1,0)</f>
        <v>21</v>
      </c>
      <c r="DA24" s="50">
        <f t="shared" si="42"/>
        <v>232947</v>
      </c>
      <c r="DB24" s="50">
        <f>IF('Final Calculation Sheet'!$T$24="","",'Final Calculation Sheet'!$T$24)</f>
        <v>12501</v>
      </c>
      <c r="DC24">
        <f>IF(DB24="","",COUNTIFS(DB$4:DB$40,"&lt;"&amp;DB24,DB$4:DB$40,"&lt;&gt;"&amp;"")+COUNTIF(DB$4:DB24,DB24))</f>
        <v>9</v>
      </c>
      <c r="DD24" s="50">
        <f t="shared" si="43"/>
        <v>49500</v>
      </c>
      <c r="DE24">
        <f>DE23+IF(AND(DD24&lt;&gt;"",COUNTIF(DD$4:DD24,DD24)=1),1,0)</f>
        <v>21</v>
      </c>
      <c r="DF24" s="50">
        <f t="shared" si="44"/>
        <v>49500</v>
      </c>
      <c r="DG24" s="128">
        <f>IF('Final Calculation Sheet'!$U$24="","",'Final Calculation Sheet'!$U$24)</f>
        <v>12501</v>
      </c>
      <c r="DH24">
        <f>IF(DG24="","",COUNTIFS(DG$4:DG$40,"&lt;"&amp;DG24,DG$4:DG$40,"&lt;&gt;"&amp;"")+COUNTIF(DG$4:DG24,DG24))</f>
        <v>9</v>
      </c>
      <c r="DI24" s="128">
        <f t="shared" si="45"/>
        <v>49500</v>
      </c>
      <c r="DJ24">
        <f>DJ23+IF(AND(DI24&lt;&gt;"",COUNTIF(DI$4:DI24,DI24)=1),1,0)</f>
        <v>21</v>
      </c>
      <c r="DK24" s="128">
        <f t="shared" si="46"/>
        <v>49500</v>
      </c>
      <c r="DL24" t="str">
        <f>IF('Final Calculation Sheet'!$V$24="","",'Final Calculation Sheet'!$V$24)</f>
        <v>13.08.2026</v>
      </c>
      <c r="DM24">
        <f>IF(DL24="","",COUNTIFS(DL$4:DL$40,"&lt;"&amp;DL24,DL$4:DL$40,"&lt;&gt;"&amp;"")+COUNTIF(DL$4:DL24,DL24))</f>
        <v>21</v>
      </c>
      <c r="DN24" t="str">
        <f t="shared" si="47"/>
        <v>13.08.2026</v>
      </c>
      <c r="DO24">
        <f>DO23+IF(AND(DN24&lt;&gt;"",COUNTIF(DN$4:DN24,DN24)=1),1,0)</f>
        <v>3</v>
      </c>
      <c r="DP24" t="str">
        <f t="shared" si="48"/>
        <v/>
      </c>
      <c r="DQ24" s="50">
        <f>IF('Final Calculation Sheet'!$W$24="","",'Final Calculation Sheet'!$W$24)</f>
        <v>46328</v>
      </c>
      <c r="DR24">
        <f>IF(DQ24="","",COUNTIFS(DQ$4:DQ$40,"&lt;"&amp;DQ24,DQ$4:DQ$40,"&lt;&gt;"&amp;"")+COUNTIF(DQ$4:DQ24,DQ24))</f>
        <v>9</v>
      </c>
      <c r="DS24" s="50">
        <f t="shared" si="49"/>
        <v>183447</v>
      </c>
      <c r="DT24">
        <f>DT23+IF(AND(DS24&lt;&gt;"",COUNTIF(DS$4:DS24,DS24)=1),1,0)</f>
        <v>21</v>
      </c>
      <c r="DU24" s="50">
        <f t="shared" si="50"/>
        <v>183447</v>
      </c>
      <c r="DV24" s="50">
        <f>IF('Final Calculation Sheet'!$X$24="","",'Final Calculation Sheet'!$X$24)</f>
        <v>46328</v>
      </c>
      <c r="DW24">
        <f>IF(DV24="","",COUNTIFS(DV$4:DV$40,"&lt;"&amp;DV24,DV$4:DV$40,"&lt;&gt;"&amp;"")+COUNTIF(DV$4:DV24,DV24))</f>
        <v>9</v>
      </c>
      <c r="DX24" s="50">
        <f t="shared" si="51"/>
        <v>190900</v>
      </c>
      <c r="DY24">
        <f>DY23+IF(AND(DX24&lt;&gt;"",COUNTIF(DX$4:DX24,DX24)=1),1,0)</f>
        <v>21</v>
      </c>
      <c r="DZ24" t="e">
        <f t="shared" si="52"/>
        <v>#N/A</v>
      </c>
      <c r="EA24" t="str">
        <f>IF('Final Calculation Sheet'!$Y$24="","",'Final Calculation Sheet'!$Y$24)</f>
        <v>24.08.2026</v>
      </c>
      <c r="EB24">
        <f>IF(EA24="","",COUNTIFS(EA$4:EA$40,"&lt;"&amp;EA24,EA$4:EA$40,"&lt;&gt;"&amp;"")+COUNTIF(EA$4:EA24,EA24))</f>
        <v>29</v>
      </c>
      <c r="EC24" t="str">
        <f t="shared" si="53"/>
        <v>24.08.2026</v>
      </c>
      <c r="ED24">
        <f>ED23+IF(AND(EC24&lt;&gt;"",COUNTIF(EC$4:EC24,EC24)=1),1,0)</f>
        <v>9</v>
      </c>
      <c r="EE24" t="e">
        <f t="shared" si="54"/>
        <v>#N/A</v>
      </c>
      <c r="EF24" s="50">
        <f ca="1">IF('Final Calculation Sheet'!$Z$24="","",'Final Calculation Sheet'!$Z$24)</f>
        <v>1770.1061999999999</v>
      </c>
      <c r="EG24">
        <f ca="1">IF(EF24="","",COUNTIFS(EF$4:EF$40,"&lt;"&amp;EF24,EF$4:EF$40,"&lt;&gt;"&amp;"")+COUNTIF(EF$4:EF24,EF24))</f>
        <v>9</v>
      </c>
      <c r="EH24" s="50">
        <f t="shared" ca="1" si="55"/>
        <v>7009.2000000000007</v>
      </c>
      <c r="EI24">
        <f ca="1">EI23+IF(AND(EH24&lt;&gt;"",COUNTIF(EH$4:EH24,EH24)=1),1,0)</f>
        <v>21</v>
      </c>
      <c r="EJ24">
        <f t="shared" ca="1" si="56"/>
        <v>7009.2000000000007</v>
      </c>
      <c r="EK24" t="str">
        <f>IF('Final Calculation Sheet'!$AA$24="","",'Final Calculation Sheet'!$AA$24)</f>
        <v/>
      </c>
      <c r="EL24" t="str">
        <f>IF(EK24="","",COUNTIFS(EK$4:EK$40,"&lt;"&amp;EK24,EK$4:EK$40,"&lt;&gt;"&amp;"")+COUNTIF(EK$4:EK24,EK24))</f>
        <v/>
      </c>
      <c r="EM24" t="e">
        <f t="shared" si="57"/>
        <v>#N/A</v>
      </c>
      <c r="EN24" t="e">
        <f>EN23+IF(AND(EM24&lt;&gt;"",COUNTIF(EM$4:EM24,EM24)=1),1,0)</f>
        <v>#N/A</v>
      </c>
      <c r="EO24" t="e">
        <f t="shared" si="58"/>
        <v>#N/A</v>
      </c>
      <c r="EP24" t="str">
        <f>IF('Final Calculation Sheet'!$AB$24="","",'Final Calculation Sheet'!$AB$24)</f>
        <v/>
      </c>
      <c r="EQ24" t="str">
        <f>IF(EP24="","",COUNTIFS(EP$4:EP$40,"&lt;"&amp;EP24,EP$4:EP$40,"&lt;&gt;"&amp;"")+COUNTIF(EP$4:EP24,EP24))</f>
        <v/>
      </c>
      <c r="ER24" t="e">
        <f t="shared" si="59"/>
        <v>#N/A</v>
      </c>
      <c r="ES24" t="e">
        <f>ES23+IF(AND(ER24&lt;&gt;"",COUNTIF(ER$4:ER24,ER24)=1),1,0)</f>
        <v>#N/A</v>
      </c>
      <c r="ET24" t="e">
        <f t="shared" si="60"/>
        <v>#N/A</v>
      </c>
      <c r="EU24" s="50">
        <f>IF('Final Calculation Sheet'!$AC$24="","",'Final Calculation Sheet'!$AC$24)</f>
        <v>58829</v>
      </c>
      <c r="EV24">
        <f>IF(EU24="","",COUNTIFS(EU$4:EU$40,"&lt;"&amp;EU24,EU$4:EU$40,"&lt;&gt;"&amp;"")+COUNTIF(EU$4:EU24,EU24))</f>
        <v>10</v>
      </c>
      <c r="EW24" s="50">
        <f t="shared" si="61"/>
        <v>184240</v>
      </c>
      <c r="EX24">
        <f>EX23+IF(AND(EW24&lt;&gt;"",COUNTIF(EW$4:EW24,EW24)=1),1,0)</f>
        <v>21</v>
      </c>
      <c r="EY24" s="50">
        <f t="shared" si="62"/>
        <v>184240</v>
      </c>
      <c r="EZ24" s="50">
        <f>IF('Final Calculation Sheet'!$AD$24="","",'Final Calculation Sheet'!$AD$24)</f>
        <v>0</v>
      </c>
      <c r="FA24">
        <f>IF(EZ24="","",COUNTIFS(EZ$4:EZ$40,"&lt;"&amp;EZ24,EZ$4:EZ$40,"&lt;&gt;"&amp;"")+COUNTIF(EZ$4:EZ24,EZ24))</f>
        <v>20</v>
      </c>
      <c r="FB24" s="50">
        <f t="shared" si="63"/>
        <v>0</v>
      </c>
      <c r="FC24">
        <f>FC23+IF(AND(FB24&lt;&gt;"",COUNTIF(FB$4:FB24,FB24)=1),1,0)</f>
        <v>7</v>
      </c>
      <c r="FD24" t="str">
        <f t="shared" si="64"/>
        <v/>
      </c>
      <c r="FE24" t="str">
        <f>IF('Final Calculation Sheet'!$AF$24="","",'Final Calculation Sheet'!$AF$24)</f>
        <v>DR2640100036</v>
      </c>
      <c r="FF24">
        <f>IF(FE24="","",COUNTIFS(FE$4:FE$40,"&lt;"&amp;FE24,FE$4:FE$40,"&lt;&gt;"&amp;"")+COUNTIF(FE$4:FE24,FE24))</f>
        <v>25</v>
      </c>
      <c r="FG24" t="str">
        <f t="shared" si="65"/>
        <v>DR2640100032</v>
      </c>
      <c r="FH24" t="e">
        <f>FH23+IF(AND(FG24&lt;&gt;"",COUNTIF(FG$4:FG24,FG24)=1),1,0)</f>
        <v>#N/A</v>
      </c>
      <c r="FI24" t="e">
        <f t="shared" si="66"/>
        <v>#N/A</v>
      </c>
      <c r="FJ24" s="129">
        <f>IF('Final Calculation Sheet'!$AG$24="","",'Final Calculation Sheet'!$AG$24)</f>
        <v>1800003309</v>
      </c>
      <c r="FK24">
        <f>IF(FJ24="","",COUNTIFS(FJ$4:FJ$40,"&lt;"&amp;FJ24,FJ$4:FJ$40,"&lt;&gt;"&amp;"")+COUNTIF(FJ$4:FJ24,FJ24))</f>
        <v>21</v>
      </c>
      <c r="FL24" s="129">
        <f t="shared" si="67"/>
        <v>1800003309</v>
      </c>
      <c r="FM24">
        <f>FM23+IF(AND(FL24&lt;&gt;"",COUNTIF(FL$4:FL24,FL24)=1),1,0)</f>
        <v>21</v>
      </c>
      <c r="FN24" t="e">
        <f t="shared" si="68"/>
        <v>#N/A</v>
      </c>
      <c r="FO24" t="str">
        <f>IF('Final Calculation Sheet'!$AH$24="","",'Final Calculation Sheet'!$AH$24)</f>
        <v>27.08.2026</v>
      </c>
      <c r="FP24">
        <f>IF(FO24="","",COUNTIFS(FO$4:FO$40,"&lt;"&amp;FO24,FO$4:FO$40,"&lt;&gt;"&amp;"")+COUNTIF(FO$4:FO24,FO24))</f>
        <v>29</v>
      </c>
      <c r="FQ24" t="str">
        <f t="shared" si="69"/>
        <v>27.08.2026</v>
      </c>
      <c r="FR24" t="e">
        <f>FR23+IF(AND(FQ24&lt;&gt;"",COUNTIF(FQ$4:FQ24,FQ24)=1),1,0)</f>
        <v>#N/A</v>
      </c>
      <c r="FS24" t="e">
        <f t="shared" si="70"/>
        <v>#N/A</v>
      </c>
      <c r="FU24" t="str">
        <f>IF(FT24="","",COUNTIFS(FT$4:FT$40,"&lt;"&amp;FT24,FT$4:FT$40,"&lt;&gt;"&amp;"")+COUNTIF(FT$4:FT24,FT24))</f>
        <v/>
      </c>
      <c r="FV24" t="str">
        <f t="shared" si="71"/>
        <v/>
      </c>
      <c r="FW24">
        <f>FW23+IF(AND(FV24&lt;&gt;"",COUNTIF(FV$4:FV24,FV24)=1),1,0)</f>
        <v>2</v>
      </c>
      <c r="FX24" t="str">
        <f t="shared" si="72"/>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4" t="b">
        <f>IF($Y$24="",FALSE,SUMPRODUCT(('Final Calculation Sheet'!$B$4:$B$40=$Y$24)*($FY$6:$FY$42=1))&gt;0)</f>
        <v>1</v>
      </c>
      <c r="GA24">
        <f>$GA$23+--($FZ$24)</f>
        <v>21</v>
      </c>
      <c r="GB24" t="str">
        <f t="shared" si="73"/>
        <v>Scrap of empty oil Druam</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D24" t="b">
        <f>IF($O$24="",FALSE,SUMPRODUCT(('Final Calculation Sheet'!$F$4:$F$40=$O$24)*($GC$6:$GC$42=1))&gt;0)</f>
        <v>1</v>
      </c>
      <c r="GE24">
        <f>$GE$23+--($GD24)</f>
        <v>21</v>
      </c>
      <c r="GF24">
        <f t="shared" si="74"/>
        <v>2027</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H24" t="b">
        <f>IF($T$24="",FALSE,SUMPRODUCT(('Final Calculation Sheet'!$G$4:$G$40=$T$24)*($GG$6:$GG$42=1))&gt;0)</f>
        <v>0</v>
      </c>
      <c r="GI24">
        <f>$GI$23+--($GH24)</f>
        <v>13</v>
      </c>
      <c r="GJ24" t="str">
        <f t="shared" si="75"/>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L24" t="b">
        <f>IF($AD$24="",FALSE,SUMPRODUCT(('Final Calculation Sheet'!$D$4:$D$40=$AD$24)*($GK$6:$GK$42=1))&gt;0)</f>
        <v>0</v>
      </c>
      <c r="GM24">
        <f>$GM$23+--($GL24)</f>
        <v>4</v>
      </c>
      <c r="GN24" t="str">
        <f t="shared" si="76"/>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P24" t="b">
        <f>IF($AI$24="",FALSE,SUMPRODUCT(('Final Calculation Sheet'!$A$4:$A$40=$AI$24)*($GO$6:$GO$42=1))&gt;0)</f>
        <v>1</v>
      </c>
      <c r="GQ24">
        <f>$GQ$23+--($GP24)</f>
        <v>21</v>
      </c>
      <c r="GR24">
        <f t="shared" si="77"/>
        <v>3500</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T24" t="b">
        <f>IF($AN$24="",FALSE,SUMPRODUCT(('Final Calculation Sheet'!$E$4:$E$40=$AN$24)*($GS$6:$GS$42=1))&gt;0)</f>
        <v>0</v>
      </c>
      <c r="GU24">
        <f>$GU$23+--($GT24)</f>
        <v>3</v>
      </c>
      <c r="GV24" t="str">
        <f t="shared" si="78"/>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GX24" t="b">
        <f>IF($AS$24="",FALSE,SUMPRODUCT(('Final Calculation Sheet'!$C$4:$C$40=$AS$24)*($GW$6:$GW$42=1))&gt;0)</f>
        <v>1</v>
      </c>
      <c r="GY24">
        <f>$GY$23+--($GX24)</f>
        <v>21</v>
      </c>
      <c r="GZ24">
        <f t="shared" si="79"/>
        <v>51511</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B24" t="b">
        <f>IF($AX$24="",FALSE,SUMPRODUCT(('Final Calculation Sheet'!$H$4:$H$40=$AX$24)*($HA$6:$HA$42=1))&gt;0)</f>
        <v>1</v>
      </c>
      <c r="HC24">
        <f>$HC$23+--($HB24)</f>
        <v>21</v>
      </c>
      <c r="HD24">
        <f t="shared" si="80"/>
        <v>198000</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F24" t="b">
        <f>IF($BC$24="",FALSE,SUMPRODUCT(('Final Calculation Sheet'!$I$4:$I$40=$BC$24)*($HE$6:$HE$42=1))&gt;0)</f>
        <v>1</v>
      </c>
      <c r="HG24">
        <f>$HG$23+--($HF24)</f>
        <v>21</v>
      </c>
      <c r="HH24">
        <f t="shared" si="81"/>
        <v>35640</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J24" t="b">
        <f>IF($BH$24="",FALSE,SUMPRODUCT(('Final Calculation Sheet'!$J$4:$J$40=$BH$24)*($HI$6:$HI$42=1))&gt;0)</f>
        <v>1</v>
      </c>
      <c r="HK24">
        <f>$HK$23+--($HJ24)</f>
        <v>21</v>
      </c>
      <c r="HL24">
        <f t="shared" si="82"/>
        <v>233640</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N24" t="b">
        <f>IF($BM$24="",FALSE,SUMPRODUCT(('Final Calculation Sheet'!$K$4:$K$40=$BM$24)*($HM$6:$HM$42=1))&gt;0)</f>
        <v>1</v>
      </c>
      <c r="HO24">
        <f>$HO$23+--($HN24)</f>
        <v>21</v>
      </c>
      <c r="HP24">
        <f t="shared" si="83"/>
        <v>4673</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R24" t="b">
        <f>IF($BR$24="",FALSE,SUMPRODUCT(('Final Calculation Sheet'!$L$4:$L$40=$BR$24)*($HQ$6:$HQ$42=1))&gt;0)</f>
        <v>1</v>
      </c>
      <c r="HS24">
        <f>$HS$23+--($HR24)</f>
        <v>21</v>
      </c>
      <c r="HT24">
        <f t="shared" si="84"/>
        <v>198</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V24" t="b">
        <f>IF($BW$24="",FALSE,SUMPRODUCT(('Final Calculation Sheet'!$M$4:$M$40=$BW$24)*($HU$6:$HU$42=1))&gt;0)</f>
        <v>1</v>
      </c>
      <c r="HW24">
        <f>$HW$23+--($HV24)</f>
        <v>21</v>
      </c>
      <c r="HX24">
        <f t="shared" si="85"/>
        <v>5256.9</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HZ24" t="b">
        <f>IF($CB$24="",FALSE,SUMPRODUCT(('Final Calculation Sheet'!$N$4:$N$40=$CB$24)*($HY$6:$HY$42=1))&gt;0)</f>
        <v>1</v>
      </c>
      <c r="IA24">
        <f>$IA$23+--($HZ24)</f>
        <v>21</v>
      </c>
      <c r="IB24">
        <f t="shared" si="86"/>
        <v>89.100000000000009</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D24" t="b">
        <f>IF($CG$24="",FALSE,SUMPRODUCT(('Final Calculation Sheet'!$O$4:$O$40=$CG$24)*($IC$6:$IC$42=1))&gt;0)</f>
        <v>1</v>
      </c>
      <c r="IE24">
        <f>$IE$23+--($ID24)</f>
        <v>21</v>
      </c>
      <c r="IF24">
        <f t="shared" si="87"/>
        <v>5167.7999999999993</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H24" t="b">
        <f>IF($CL$24="",FALSE,SUMPRODUCT(('Final Calculation Sheet'!$P$4:$P$40=$CL$24)*($IG$6:$IG$42=1))&gt;0)</f>
        <v>1</v>
      </c>
      <c r="II24">
        <f>$II$23+--($IH24)</f>
        <v>21</v>
      </c>
      <c r="IJ24">
        <f t="shared" si="88"/>
        <v>5366</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L24" t="b">
        <f>IF($CQ$24="",FALSE,SUMPRODUCT(('Final Calculation Sheet'!$Q$4:$Q$40=$CQ$24)*($IK$6:$IK$42=1))&gt;0)</f>
        <v>0</v>
      </c>
      <c r="IM24">
        <f>$IM$23+--($IL24)</f>
        <v>2</v>
      </c>
      <c r="IN24" t="str">
        <f t="shared" si="89"/>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P24" t="b">
        <f>IF($CV$24="",FALSE,SUMPRODUCT(('Final Calculation Sheet'!$R$4:$R$40=$CV$24)*($IO$6:$IO$42=1))&gt;0)</f>
        <v>0</v>
      </c>
      <c r="IQ24">
        <f>$IQ$23+--($IP24)</f>
        <v>5</v>
      </c>
      <c r="IR24" t="str">
        <f t="shared" si="90"/>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T24" t="b">
        <f>IF($DA$24="",FALSE,SUMPRODUCT(('Final Calculation Sheet'!$S$4:$S$40=$DA$24)*($IS$6:$IS$42=1))&gt;0)</f>
        <v>1</v>
      </c>
      <c r="IU24">
        <f>$IU$23+--($IT24)</f>
        <v>21</v>
      </c>
      <c r="IV24">
        <f t="shared" si="91"/>
        <v>232947</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IX24" t="b">
        <f>IF($DF$24="",FALSE,SUMPRODUCT(('Final Calculation Sheet'!$T$4:$T$40=$DF$24)*($IW$6:$IW$42=1))&gt;0)</f>
        <v>1</v>
      </c>
      <c r="IY24">
        <f>$IY$23+--($IX24)</f>
        <v>21</v>
      </c>
      <c r="IZ24">
        <f t="shared" si="92"/>
        <v>49500</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B24" t="b">
        <f>IF($DK$24="",FALSE,SUMPRODUCT(('Final Calculation Sheet'!$U$4:$U$40=$DK$24)*($JA$6:$JA$42=1))&gt;0)</f>
        <v>1</v>
      </c>
      <c r="JC24">
        <f>$JC$23+--($JB24)</f>
        <v>21</v>
      </c>
      <c r="JD24">
        <f t="shared" si="93"/>
        <v>49500</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F24" t="b">
        <f>IF($DP$24="",FALSE,SUMPRODUCT(('Final Calculation Sheet'!$V$4:$V$40=$DP$24)*($JE$6:$JE$42=1))&gt;0)</f>
        <v>0</v>
      </c>
      <c r="JG24">
        <f>$JG$23+--($JF24)</f>
        <v>6</v>
      </c>
      <c r="JH24" t="str">
        <f t="shared" si="94"/>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J24" t="b">
        <f>IF($DU$24="",FALSE,SUMPRODUCT(('Final Calculation Sheet'!$W$4:$W$40=$DU$24)*($JI$6:$JI$42=1))&gt;0)</f>
        <v>1</v>
      </c>
      <c r="JK24">
        <f>$JK$23+--($JJ24)</f>
        <v>21</v>
      </c>
      <c r="JL24">
        <f t="shared" si="95"/>
        <v>183447</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N24" t="e">
        <f>IF($DZ$24="",FALSE,SUMPRODUCT(('Final Calculation Sheet'!$X$4:$X$40=$DZ$24)*($JM$6:$JM$42=1))&gt;0)</f>
        <v>#N/A</v>
      </c>
      <c r="JO24" t="e">
        <f>$JO$23+--($JN24)</f>
        <v>#N/A</v>
      </c>
      <c r="JP24" t="e">
        <f t="shared" si="96"/>
        <v>#N/A</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R24" t="e">
        <f>IF($EE$24="",FALSE,SUMPRODUCT(('Final Calculation Sheet'!$Y$4:$Y$40=$EE$24)*($JQ$6:$JQ$42=1))&gt;0)</f>
        <v>#N/A</v>
      </c>
      <c r="JS24" t="e">
        <f>$JS$23+--($JR24)</f>
        <v>#N/A</v>
      </c>
      <c r="JT24" t="e">
        <f t="shared" si="97"/>
        <v>#N/A</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V24" t="b">
        <f ca="1">IF($EJ$24="",FALSE,SUMPRODUCT(('Final Calculation Sheet'!$Z$4:$Z$40=$EJ$24)*($JU$6:$JU$42=1))&gt;0)</f>
        <v>1</v>
      </c>
      <c r="JW24">
        <f ca="1">$JW$23+--($JV24)</f>
        <v>21</v>
      </c>
      <c r="JX24">
        <f t="shared" ca="1" si="98"/>
        <v>7009.2000000000007</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JZ24" t="e">
        <f>IF($EO$24="",FALSE,SUMPRODUCT(('Final Calculation Sheet'!$AA$4:$AA$40=$EO$24)*($JY$6:$JY$42=1))&gt;0)</f>
        <v>#N/A</v>
      </c>
      <c r="KA24" t="e">
        <f>$KA$23+--($JZ24)</f>
        <v>#N/A</v>
      </c>
      <c r="KB24" t="e">
        <f t="shared" si="99"/>
        <v>#N/A</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D24" t="e">
        <f>IF($ET$24="",FALSE,SUMPRODUCT(('Final Calculation Sheet'!$AB$4:$AB$40=$ET$24)*($KC$6:$KC$42=1))&gt;0)</f>
        <v>#N/A</v>
      </c>
      <c r="KE24" t="e">
        <f>$KE$23+--($KD24)</f>
        <v>#N/A</v>
      </c>
      <c r="KF24" t="e">
        <f t="shared" si="100"/>
        <v>#N/A</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H24" t="b">
        <f>IF($EY$24="",FALSE,SUMPRODUCT(('Final Calculation Sheet'!$AC$4:$AC$40=$EY$24)*($KG$6:$KG$42=1))&gt;0)</f>
        <v>1</v>
      </c>
      <c r="KI24">
        <f>$KI$23+--($KH24)</f>
        <v>21</v>
      </c>
      <c r="KJ24">
        <f t="shared" si="101"/>
        <v>184240</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L24" t="b">
        <f>IF($FD$24="",FALSE,SUMPRODUCT(('Final Calculation Sheet'!$AD$4:$AD$40=$FD$24)*($KK$6:$KK$42=1))&gt;0)</f>
        <v>0</v>
      </c>
      <c r="KM24">
        <f>$KM$23+--($KL24)</f>
        <v>11</v>
      </c>
      <c r="KN24" t="str">
        <f t="shared" si="102"/>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P24" t="b">
        <f>IF($FX$24="",FALSE,SUMPRODUCT((IF('Final Calculation Sheet'!$AD$4:$AD$40&lt;=5,"SETTLED","OUTSTANDING")=$FX$24)*($KO$6:$KO$42=1))&gt;0)</f>
        <v>0</v>
      </c>
      <c r="KQ24">
        <f>$KQ$23+--($KP24)</f>
        <v>1</v>
      </c>
      <c r="KR24" t="str">
        <f t="shared" si="103"/>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T24" t="e">
        <f>IF($FI$24="",FALSE,SUMPRODUCT(('Final Calculation Sheet'!$AF$4:$AF$40=$FI$24)*($KS$6:$KS$42=1))&gt;0)</f>
        <v>#N/A</v>
      </c>
      <c r="KU24" t="e">
        <f>$KU$23+--($KT24)</f>
        <v>#N/A</v>
      </c>
      <c r="KV24" t="e">
        <f t="shared" si="104"/>
        <v>#N/A</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KX24" t="e">
        <f>IF($FN$24="",FALSE,SUMPRODUCT(('Final Calculation Sheet'!$AG$4:$AG$40=$FN$24)*($KW$6:$KW$42=1))&gt;0)</f>
        <v>#N/A</v>
      </c>
      <c r="KY24" t="e">
        <f>$KY$23+--($KX24)</f>
        <v>#N/A</v>
      </c>
      <c r="KZ24" t="e">
        <f t="shared" si="105"/>
        <v>#N/A</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LB24" t="e">
        <f>IF($FS$24="",FALSE,SUMPRODUCT(('Final Calculation Sheet'!$AH$4:$AH$40=$FS$24)*($LA$6:$LA$42=1))&gt;0)</f>
        <v>#N/A</v>
      </c>
      <c r="LC24" t="e">
        <f>$LC$23+--($LB24)</f>
        <v>#N/A</v>
      </c>
      <c r="LD24" t="e">
        <f t="shared" si="106"/>
        <v>#N/A</v>
      </c>
      <c r="LE24">
        <f>IF(COUNTIF('Buyer Groups'!DH24:EN24,0)&gt;0,0,1)</f>
        <v>1</v>
      </c>
      <c r="LF24" t="b">
        <f>IF($O$24="",FALSE,SUMPRODUCT(('Final Calculation Sheet'!$F$4:$F$40=$O$24)*($LE$6:$LE$42=1))&gt;0)</f>
        <v>1</v>
      </c>
      <c r="LG24">
        <f>$LG$23+--($LF24)</f>
        <v>21</v>
      </c>
      <c r="LH24">
        <f t="shared" si="107"/>
        <v>2027</v>
      </c>
      <c r="LI24">
        <f>IF(COUNTIF('Buyer Groups'!DG24:DG24,0)+COUNTIF('Buyer Groups'!DI24:EN24,0)&gt;0,0,1)</f>
        <v>1</v>
      </c>
      <c r="LJ24" t="b">
        <f>IF($T$24="",FALSE,SUMPRODUCT(('Final Calculation Sheet'!$G$4:$G$40=$T$24)*($LI$6:$LI$42=1))&gt;0)</f>
        <v>0</v>
      </c>
      <c r="LK24">
        <f>$LK$23+--($LJ24)</f>
        <v>13</v>
      </c>
      <c r="LL24" t="str">
        <f t="shared" si="108"/>
        <v/>
      </c>
      <c r="LM24">
        <f>IF(COUNTIF('Buyer Groups'!DG24:DH24,0)+COUNTIF('Buyer Groups'!DJ24:EN24,0)&gt;0,0,1)</f>
        <v>1</v>
      </c>
      <c r="LN24" t="b">
        <f>IF($Y$24="",FALSE,SUMPRODUCT(('Final Calculation Sheet'!$B$4:$B$40=$Y$24)*($LM$6:$LM$42=1))&gt;0)</f>
        <v>1</v>
      </c>
      <c r="LO24">
        <f>$LO$23+--($LN24)</f>
        <v>21</v>
      </c>
      <c r="LP24" t="str">
        <f t="shared" si="109"/>
        <v>Scrap of empty oil Druam</v>
      </c>
      <c r="LQ24">
        <f>IF(COUNTIF('Buyer Groups'!DG24:DI24,0)+COUNTIF('Buyer Groups'!DK24:EN24,0)&gt;0,0,1)</f>
        <v>1</v>
      </c>
      <c r="LR24" t="b">
        <f>IF($AD$24="",FALSE,SUMPRODUCT(('Final Calculation Sheet'!$D$4:$D$40=$AD$24)*($LQ$6:$LQ$42=1))&gt;0)</f>
        <v>0</v>
      </c>
      <c r="LS24">
        <f>$LS$23+--($LR24)</f>
        <v>4</v>
      </c>
      <c r="LT24" t="str">
        <f t="shared" si="110"/>
        <v/>
      </c>
      <c r="LU24">
        <f>IF(COUNTIF('Buyer Groups'!DG24:DJ24,0)+COUNTIF('Buyer Groups'!DL24:EN24,0)&gt;0,0,1)</f>
        <v>1</v>
      </c>
      <c r="LV24" t="b">
        <f>IF($AI$24="",FALSE,SUMPRODUCT(('Final Calculation Sheet'!$A$4:$A$40=$AI$24)*($LU$6:$LU$42=1))&gt;0)</f>
        <v>1</v>
      </c>
      <c r="LW24">
        <f>$LW$23+--($LV24)</f>
        <v>21</v>
      </c>
      <c r="LX24">
        <f t="shared" si="111"/>
        <v>3500</v>
      </c>
      <c r="LY24">
        <f>IF(COUNTIF('Buyer Groups'!DG24:DK24,0)+COUNTIF('Buyer Groups'!DM24:EN24,0)&gt;0,0,1)</f>
        <v>1</v>
      </c>
      <c r="LZ24" t="b">
        <f>IF($AN$24="",FALSE,SUMPRODUCT(('Final Calculation Sheet'!$E$4:$E$40=$AN$24)*($LY$6:$LY$42=1))&gt;0)</f>
        <v>0</v>
      </c>
      <c r="MA24">
        <f>$MA$23+--($LZ24)</f>
        <v>3</v>
      </c>
      <c r="MB24" t="str">
        <f t="shared" si="112"/>
        <v/>
      </c>
      <c r="MC24">
        <f>IF(COUNTIF('Buyer Groups'!DG24:DL24,0)+COUNTIF('Buyer Groups'!DN24:EN24,0)&gt;0,0,1)</f>
        <v>1</v>
      </c>
      <c r="MD24" t="b">
        <f>IF($AS$24="",FALSE,SUMPRODUCT(('Final Calculation Sheet'!$C$4:$C$40=$AS$24)*($MC$6:$MC$42=1))&gt;0)</f>
        <v>1</v>
      </c>
      <c r="ME24">
        <f>$ME$23+--($MD24)</f>
        <v>21</v>
      </c>
      <c r="MF24">
        <f t="shared" si="113"/>
        <v>51511</v>
      </c>
      <c r="MG24">
        <f>IF(COUNTIF('Buyer Groups'!DG24:DM24,0)+COUNTIF('Buyer Groups'!DO24:EN24,0)&gt;0,0,1)</f>
        <v>1</v>
      </c>
      <c r="MH24" t="b">
        <f>IF($AX$24="",FALSE,SUMPRODUCT(('Final Calculation Sheet'!$H$4:$H$40=$AX$24)*($MG$6:$MG$42=1))&gt;0)</f>
        <v>1</v>
      </c>
      <c r="MI24">
        <f>$MI$23+--($MH24)</f>
        <v>21</v>
      </c>
      <c r="MJ24">
        <f t="shared" si="114"/>
        <v>198000</v>
      </c>
      <c r="MK24">
        <f>IF(COUNTIF('Buyer Groups'!DG24:DN24,0)+COUNTIF('Buyer Groups'!DP24:EN24,0)&gt;0,0,1)</f>
        <v>1</v>
      </c>
      <c r="ML24" t="b">
        <f>IF($BC$24="",FALSE,SUMPRODUCT(('Final Calculation Sheet'!$I$4:$I$40=$BC$24)*($MK$6:$MK$42=1))&gt;0)</f>
        <v>1</v>
      </c>
      <c r="MM24">
        <f>$MM$23+--($ML24)</f>
        <v>21</v>
      </c>
      <c r="MN24">
        <f t="shared" si="115"/>
        <v>35640</v>
      </c>
      <c r="MO24">
        <f>IF(COUNTIF('Buyer Groups'!DG24:DO24,0)+COUNTIF('Buyer Groups'!DQ24:EN24,0)&gt;0,0,1)</f>
        <v>1</v>
      </c>
      <c r="MP24" t="b">
        <f>IF($BH$24="",FALSE,SUMPRODUCT(('Final Calculation Sheet'!$J$4:$J$40=$BH$24)*($MO$6:$MO$42=1))&gt;0)</f>
        <v>1</v>
      </c>
      <c r="MQ24">
        <f>$MQ$23+--($MP24)</f>
        <v>21</v>
      </c>
      <c r="MR24">
        <f t="shared" si="116"/>
        <v>233640</v>
      </c>
      <c r="MS24">
        <f>IF(COUNTIF('Buyer Groups'!DG24:DP24,0)+COUNTIF('Buyer Groups'!DR24:EN24,0)&gt;0,0,1)</f>
        <v>1</v>
      </c>
      <c r="MT24" t="b">
        <f>IF($BM$24="",FALSE,SUMPRODUCT(('Final Calculation Sheet'!$K$4:$K$40=$BM$24)*($MS$6:$MS$42=1))&gt;0)</f>
        <v>1</v>
      </c>
      <c r="MU24">
        <f>$MU$23+--($MT24)</f>
        <v>21</v>
      </c>
      <c r="MV24">
        <f t="shared" si="117"/>
        <v>4673</v>
      </c>
      <c r="MW24">
        <f>IF(COUNTIF('Buyer Groups'!DG24:DQ24,0)+COUNTIF('Buyer Groups'!DS24:EN24,0)&gt;0,0,1)</f>
        <v>1</v>
      </c>
      <c r="MX24" t="b">
        <f>IF($BR$24="",FALSE,SUMPRODUCT(('Final Calculation Sheet'!$L$4:$L$40=$BR$24)*($MW$6:$MW$42=1))&gt;0)</f>
        <v>1</v>
      </c>
      <c r="MY24">
        <f>$MY$23+--($MX24)</f>
        <v>21</v>
      </c>
      <c r="MZ24">
        <f t="shared" si="118"/>
        <v>198</v>
      </c>
      <c r="NA24">
        <f>IF(COUNTIF('Buyer Groups'!DG24:DR24,0)+COUNTIF('Buyer Groups'!DT24:EN24,0)&gt;0,0,1)</f>
        <v>1</v>
      </c>
      <c r="NB24" t="b">
        <f>IF($BW$24="",FALSE,SUMPRODUCT(('Final Calculation Sheet'!$M$4:$M$40=$BW$24)*($NA$6:$NA$42=1))&gt;0)</f>
        <v>1</v>
      </c>
      <c r="NC24">
        <f>$NC$23+--($NB24)</f>
        <v>21</v>
      </c>
      <c r="ND24">
        <f t="shared" si="119"/>
        <v>5256.9</v>
      </c>
      <c r="NE24">
        <f>IF(COUNTIF('Buyer Groups'!DG24:DS24,0)+COUNTIF('Buyer Groups'!DU24:EN24,0)&gt;0,0,1)</f>
        <v>1</v>
      </c>
      <c r="NF24" t="b">
        <f>IF($CB$24="",FALSE,SUMPRODUCT(('Final Calculation Sheet'!$N$4:$N$40=$CB$24)*($NE$6:$NE$42=1))&gt;0)</f>
        <v>1</v>
      </c>
      <c r="NG24">
        <f>$NG$23+--($NF24)</f>
        <v>21</v>
      </c>
      <c r="NH24">
        <f t="shared" si="120"/>
        <v>89.100000000000009</v>
      </c>
      <c r="NI24">
        <f>IF(COUNTIF('Buyer Groups'!DG24:DT24,0)+COUNTIF('Buyer Groups'!DV24:EN24,0)&gt;0,0,1)</f>
        <v>1</v>
      </c>
      <c r="NJ24" t="b">
        <f>IF($CG$24="",FALSE,SUMPRODUCT(('Final Calculation Sheet'!$O$4:$O$40=$CG$24)*($NI$6:$NI$42=1))&gt;0)</f>
        <v>1</v>
      </c>
      <c r="NK24">
        <f>$NK$23+--($NJ24)</f>
        <v>21</v>
      </c>
      <c r="NL24">
        <f t="shared" si="121"/>
        <v>5167.7999999999993</v>
      </c>
      <c r="NM24">
        <f>IF(COUNTIF('Buyer Groups'!DG24:DU24,0)+COUNTIF('Buyer Groups'!DW24:EN24,0)&gt;0,0,1)</f>
        <v>1</v>
      </c>
      <c r="NN24" t="b">
        <f>IF($CL$24="",FALSE,SUMPRODUCT(('Final Calculation Sheet'!$P$4:$P$40=$CL$24)*($NM$6:$NM$42=1))&gt;0)</f>
        <v>1</v>
      </c>
      <c r="NO24">
        <f>$NO$23+--($NN24)</f>
        <v>21</v>
      </c>
      <c r="NP24">
        <f t="shared" si="122"/>
        <v>5366</v>
      </c>
      <c r="NQ24">
        <f>IF(COUNTIF('Buyer Groups'!DG24:DV24,0)+COUNTIF('Buyer Groups'!DX24:EN24,0)&gt;0,0,1)</f>
        <v>1</v>
      </c>
      <c r="NR24" t="b">
        <f>IF($CQ$24="",FALSE,SUMPRODUCT(('Final Calculation Sheet'!$Q$4:$Q$40=$CQ$24)*($NQ$6:$NQ$42=1))&gt;0)</f>
        <v>0</v>
      </c>
      <c r="NS24">
        <f>$NS$23+--($NR24)</f>
        <v>2</v>
      </c>
      <c r="NT24" t="str">
        <f t="shared" si="123"/>
        <v/>
      </c>
      <c r="NU24">
        <f>IF(COUNTIF('Buyer Groups'!DG24:DW24,0)+COUNTIF('Buyer Groups'!DY24:EN24,0)&gt;0,0,1)</f>
        <v>1</v>
      </c>
      <c r="NV24" t="b">
        <f>IF($CV$24="",FALSE,SUMPRODUCT(('Final Calculation Sheet'!$R$4:$R$40=$CV$24)*($NU$6:$NU$42=1))&gt;0)</f>
        <v>0</v>
      </c>
      <c r="NW24">
        <f>$NW$23+--($NV24)</f>
        <v>5</v>
      </c>
      <c r="NX24" t="str">
        <f t="shared" si="124"/>
        <v/>
      </c>
      <c r="NY24">
        <f>IF(COUNTIF('Buyer Groups'!DG24:DX24,0)+COUNTIF('Buyer Groups'!DZ24:EN24,0)&gt;0,0,1)</f>
        <v>1</v>
      </c>
      <c r="NZ24" t="b">
        <f>IF($DA$24="",FALSE,SUMPRODUCT(('Final Calculation Sheet'!$S$4:$S$40=$DA$24)*($NY$6:$NY$42=1))&gt;0)</f>
        <v>1</v>
      </c>
      <c r="OA24">
        <f>$OA$23+--($NZ24)</f>
        <v>21</v>
      </c>
      <c r="OB24">
        <f t="shared" si="125"/>
        <v>232947</v>
      </c>
      <c r="OC24">
        <f>IF(COUNTIF('Buyer Groups'!DG24:DY24,0)+COUNTIF('Buyer Groups'!EA24:EN24,0)&gt;0,0,1)</f>
        <v>1</v>
      </c>
      <c r="OD24" t="b">
        <f>IF($DF$24="",FALSE,SUMPRODUCT(('Final Calculation Sheet'!$T$4:$T$40=$DF$24)*($OC$6:$OC$42=1))&gt;0)</f>
        <v>1</v>
      </c>
      <c r="OE24">
        <f>$OE$23+--($OD24)</f>
        <v>21</v>
      </c>
      <c r="OF24">
        <f t="shared" si="126"/>
        <v>49500</v>
      </c>
      <c r="OG24">
        <f>IF(COUNTIF('Buyer Groups'!DG24:DZ24,0)+COUNTIF('Buyer Groups'!EB24:EN24,0)&gt;0,0,1)</f>
        <v>1</v>
      </c>
      <c r="OH24" t="b">
        <f>IF($DK$24="",FALSE,SUMPRODUCT(('Final Calculation Sheet'!$U$4:$U$40=$DK$24)*($OG$6:$OG$42=1))&gt;0)</f>
        <v>1</v>
      </c>
      <c r="OI24">
        <f>$OI$23+--($OH24)</f>
        <v>21</v>
      </c>
      <c r="OJ24">
        <f t="shared" si="127"/>
        <v>49500</v>
      </c>
      <c r="OK24">
        <f>IF(COUNTIF('Buyer Groups'!DG24:EA24,0)+COUNTIF('Buyer Groups'!EC24:EN24,0)&gt;0,0,1)</f>
        <v>1</v>
      </c>
      <c r="OL24" t="b">
        <f>IF($DP$24="",FALSE,SUMPRODUCT(('Final Calculation Sheet'!$V$4:$V$40=$DP$24)*($OK$6:$OK$42=1))&gt;0)</f>
        <v>0</v>
      </c>
      <c r="OM24">
        <f>$OM$23+--($OL24)</f>
        <v>6</v>
      </c>
      <c r="ON24" t="str">
        <f t="shared" si="128"/>
        <v/>
      </c>
      <c r="OO24">
        <f>IF(COUNTIF('Buyer Groups'!DG24:EB24,0)+COUNTIF('Buyer Groups'!ED24:EN24,0)&gt;0,0,1)</f>
        <v>1</v>
      </c>
      <c r="OP24" t="b">
        <f>IF($DU$24="",FALSE,SUMPRODUCT(('Final Calculation Sheet'!$W$4:$W$40=$DU$24)*($OO$6:$OO$42=1))&gt;0)</f>
        <v>1</v>
      </c>
      <c r="OQ24">
        <f>$OQ$23+--($OP24)</f>
        <v>21</v>
      </c>
      <c r="OR24">
        <f t="shared" si="129"/>
        <v>183447</v>
      </c>
      <c r="OS24">
        <f>IF(COUNTIF('Buyer Groups'!DG24:EC24,0)+COUNTIF('Buyer Groups'!EE24:EN24,0)&gt;0,0,1)</f>
        <v>1</v>
      </c>
      <c r="OT24" t="e">
        <f>IF($DZ$24="",FALSE,SUMPRODUCT(('Final Calculation Sheet'!$X$4:$X$40=$DZ$24)*($OS$6:$OS$42=1))&gt;0)</f>
        <v>#N/A</v>
      </c>
      <c r="OU24" t="e">
        <f>$OU$23+--($OT24)</f>
        <v>#N/A</v>
      </c>
      <c r="OV24" t="e">
        <f t="shared" si="130"/>
        <v>#N/A</v>
      </c>
      <c r="OW24">
        <f>IF(COUNTIF('Buyer Groups'!DG24:ED24,0)+COUNTIF('Buyer Groups'!EF24:EN24,0)&gt;0,0,1)</f>
        <v>1</v>
      </c>
      <c r="OX24" t="e">
        <f>IF($EE$24="",FALSE,SUMPRODUCT(('Final Calculation Sheet'!$Y$4:$Y$40=$EE$24)*($OW$6:$OW$42=1))&gt;0)</f>
        <v>#N/A</v>
      </c>
      <c r="OY24" t="e">
        <f>$OY$23+--($OX24)</f>
        <v>#N/A</v>
      </c>
      <c r="OZ24" t="e">
        <f t="shared" si="131"/>
        <v>#N/A</v>
      </c>
      <c r="PA24">
        <f>IF(COUNTIF('Buyer Groups'!DG24:EE24,0)+COUNTIF('Buyer Groups'!EG24:EN24,0)&gt;0,0,1)</f>
        <v>1</v>
      </c>
      <c r="PB24" t="b">
        <f ca="1">IF($EJ$24="",FALSE,SUMPRODUCT(('Final Calculation Sheet'!$Z$4:$Z$40=$EJ$24)*($PA$6:$PA$42=1))&gt;0)</f>
        <v>1</v>
      </c>
      <c r="PC24">
        <f ca="1">$PC$23+--($PB24)</f>
        <v>21</v>
      </c>
      <c r="PD24">
        <f t="shared" ca="1" si="132"/>
        <v>7009.2000000000007</v>
      </c>
      <c r="PE24">
        <f>IF(COUNTIF('Buyer Groups'!DG24:EF24,0)+COUNTIF('Buyer Groups'!EH24:EN24,0)&gt;0,0,1)</f>
        <v>1</v>
      </c>
      <c r="PF24" t="e">
        <f>IF($EO$24="",FALSE,SUMPRODUCT(('Final Calculation Sheet'!$AA$4:$AA$40=$EO$24)*($PE$6:$PE$42=1))&gt;0)</f>
        <v>#N/A</v>
      </c>
      <c r="PG24" t="e">
        <f>$PG$23+--($PF24)</f>
        <v>#N/A</v>
      </c>
      <c r="PH24" t="e">
        <f t="shared" si="133"/>
        <v>#N/A</v>
      </c>
      <c r="PI24">
        <f>IF(COUNTIF('Buyer Groups'!DG24:EG24,0)+COUNTIF('Buyer Groups'!EI24:EN24,0)&gt;0,0,1)</f>
        <v>1</v>
      </c>
      <c r="PJ24" t="e">
        <f>IF($ET$24="",FALSE,SUMPRODUCT(('Final Calculation Sheet'!$AB$4:$AB$40=$ET$24)*($PI$6:$PI$42=1))&gt;0)</f>
        <v>#N/A</v>
      </c>
      <c r="PK24" t="e">
        <f>$PK$23+--($PJ24)</f>
        <v>#N/A</v>
      </c>
      <c r="PL24" t="e">
        <f t="shared" si="134"/>
        <v>#N/A</v>
      </c>
      <c r="PM24">
        <f>IF(COUNTIF('Buyer Groups'!DG24:EH24,0)+COUNTIF('Buyer Groups'!EJ24:EN24,0)&gt;0,0,1)</f>
        <v>1</v>
      </c>
      <c r="PN24" t="b">
        <f>IF($EY$24="",FALSE,SUMPRODUCT(('Final Calculation Sheet'!$AC$4:$AC$40=$EY$24)*($PM$6:$PM$42=1))&gt;0)</f>
        <v>1</v>
      </c>
      <c r="PO24">
        <f>$PO$23+--($PN24)</f>
        <v>21</v>
      </c>
      <c r="PP24">
        <f t="shared" si="135"/>
        <v>184240</v>
      </c>
      <c r="PQ24">
        <f>IF(COUNTIF('Buyer Groups'!DG24:EI24,0)+COUNTIF('Buyer Groups'!EK24:EN24,0)&gt;0,0,1)</f>
        <v>1</v>
      </c>
      <c r="PR24" t="b">
        <f>IF($FD$24="",FALSE,SUMPRODUCT(('Final Calculation Sheet'!$AD$4:$AD$40=$FD$24)*($PQ$6:$PQ$42=1))&gt;0)</f>
        <v>0</v>
      </c>
      <c r="PS24">
        <f>$PS$23+--($PR24)</f>
        <v>11</v>
      </c>
      <c r="PT24" t="str">
        <f t="shared" si="136"/>
        <v/>
      </c>
      <c r="PU24">
        <f>IF(COUNTIF('Buyer Groups'!DG24:EJ24,0)+COUNTIF('Buyer Groups'!EL24:EN24,0)&gt;0,0,1)</f>
        <v>1</v>
      </c>
      <c r="PV24" t="b">
        <f>IF($FX$24="",FALSE,SUMPRODUCT((IF('Final Calculation Sheet'!$AD$4:$AD$40&lt;=5,"SETTLED","OUTSTANDING")=$FX$24)*($PU$6:$PU$42=1))&gt;0)</f>
        <v>0</v>
      </c>
      <c r="PW24">
        <f>$PW$23+--($PV24)</f>
        <v>1</v>
      </c>
      <c r="PX24" t="str">
        <f t="shared" si="137"/>
        <v/>
      </c>
      <c r="PY24">
        <f>IF(COUNTIF('Buyer Groups'!DG24:EK24,0)+COUNTIF('Buyer Groups'!EM24:EN24,0)&gt;0,0,1)</f>
        <v>1</v>
      </c>
      <c r="PZ24" t="e">
        <f>IF($FI$24="",FALSE,SUMPRODUCT(('Final Calculation Sheet'!$AF$4:$AF$40=$FI$24)*($PY$6:$PY$42=1))&gt;0)</f>
        <v>#N/A</v>
      </c>
      <c r="QA24" t="e">
        <f>$QA$23+--($PZ24)</f>
        <v>#N/A</v>
      </c>
      <c r="QB24" t="e">
        <f t="shared" si="138"/>
        <v>#N/A</v>
      </c>
      <c r="QC24">
        <f>IF(COUNTIF('Buyer Groups'!DG24:EL24,0)+COUNTIF('Buyer Groups'!EN24:EN24,0)&gt;0,0,1)</f>
        <v>1</v>
      </c>
      <c r="QD24" t="e">
        <f>IF($FN$24="",FALSE,SUMPRODUCT(('Final Calculation Sheet'!$AG$4:$AG$40=$FN$24)*($QC$6:$QC$42=1))&gt;0)</f>
        <v>#N/A</v>
      </c>
      <c r="QE24" t="e">
        <f>$QE$23+--($QD24)</f>
        <v>#N/A</v>
      </c>
      <c r="QF24" t="e">
        <f t="shared" si="139"/>
        <v>#N/A</v>
      </c>
      <c r="QG24">
        <f>IF(COUNTIF('Buyer Groups'!DG24:EM24,0)&gt;0,0,1)</f>
        <v>1</v>
      </c>
      <c r="QH24" t="e">
        <f>IF($FS$24="",FALSE,SUMPRODUCT(('Final Calculation Sheet'!$AH$4:$AH$40=$FS$24)*($QG$6:$QG$42=1))&gt;0)</f>
        <v>#N/A</v>
      </c>
      <c r="QI24" t="e">
        <f>$QI$23+--($QH24)</f>
        <v>#N/A</v>
      </c>
      <c r="QJ24" t="e">
        <f t="shared" si="140"/>
        <v>#N/A</v>
      </c>
      <c r="QK24" t="str">
        <f>IF('Final Calculation Sheet'!$AH$24="","",'Final Calculation Sheet'!$AH$24)</f>
        <v>27.08.2026</v>
      </c>
      <c r="QL24">
        <f>IF(QK24="","",COUNTIFS(QK$4:QK$40,"&lt;"&amp;QK24,QK$4:QK$40,"&lt;&gt;"&amp;"")+COUNTIF(QK$4:QK24,QK24))</f>
        <v>29</v>
      </c>
      <c r="QM24" t="str">
        <f t="shared" si="141"/>
        <v>27.08.2026</v>
      </c>
      <c r="QN24" t="e">
        <f ca="1">QN23+F(AND(QM24&lt;&gt;"",COUNTIF(QM$4:QM24,QM24)=1),1,0)</f>
        <v>#N/A</v>
      </c>
      <c r="QO24" t="e">
        <f t="shared" si="142"/>
        <v>#N/A</v>
      </c>
      <c r="QP24">
        <f>IF(COUNTIF('Final Calculation Sheet'!$AM24:$BS24,0)&gt;0,0,1)</f>
        <v>1</v>
      </c>
      <c r="QQ24" t="b">
        <f>IF($AI$24="",FALSE,SUMPRODUCT(('Final Calculation Sheet'!$A$4:$A$40=$AI$24)*($QP$4:$QP$40=1))&gt;0)</f>
        <v>1</v>
      </c>
      <c r="QR24">
        <f t="shared" si="177"/>
        <v>21</v>
      </c>
      <c r="QS24">
        <f t="shared" si="143"/>
        <v>3500</v>
      </c>
      <c r="QT24">
        <f>IF(COUNTIF('Final Calculation Sheet'!$AL24:$AL24,0)+COUNTIF('Final Calculation Sheet'!$AN24:$BS24,0)&gt;0,0,1)</f>
        <v>1</v>
      </c>
      <c r="QU24" t="b">
        <f>IF($Y$24="",FALSE,SUMPRODUCT(('Final Calculation Sheet'!$B$4:$B$40=$Y$24)*($QT$4:$QT$40=1))&gt;0)</f>
        <v>1</v>
      </c>
      <c r="QV24">
        <f t="shared" si="178"/>
        <v>21</v>
      </c>
      <c r="QW24" t="str">
        <f t="shared" si="144"/>
        <v>Scrap of empty oil Druam</v>
      </c>
      <c r="QX24">
        <f>IF(COUNTIF('Final Calculation Sheet'!$AL24:$AM24,0)+COUNTIF('Final Calculation Sheet'!$AO24:$BS24,0)&gt;0,0,1)</f>
        <v>1</v>
      </c>
      <c r="QY24" t="b">
        <f>IF($AS$24="",FALSE,SUMPRODUCT(('Final Calculation Sheet'!$C$4:$C$40=$AS$24)*($QX$4:$QX$40=1))&gt;0)</f>
        <v>1</v>
      </c>
      <c r="QZ24">
        <f t="shared" si="179"/>
        <v>21</v>
      </c>
      <c r="RA24">
        <f t="shared" si="145"/>
        <v>51511</v>
      </c>
      <c r="RB24">
        <f>IF(COUNTIF('Final Calculation Sheet'!$AL24:$AN24,0)+COUNTIF('Final Calculation Sheet'!$AP24:$BS24,0)&gt;0,0,1)</f>
        <v>1</v>
      </c>
      <c r="RC24" t="b">
        <f>IF($AD$24="",FALSE,SUMPRODUCT(('Final Calculation Sheet'!$D$4:$D$40=$AD$24)*($RB$4:$RB$40=1))&gt;0)</f>
        <v>0</v>
      </c>
      <c r="RD24">
        <f t="shared" si="180"/>
        <v>4</v>
      </c>
      <c r="RE24" t="str">
        <f t="shared" si="146"/>
        <v/>
      </c>
      <c r="RF24">
        <f>IF(COUNTIF('Final Calculation Sheet'!$AL24:$AO24,0)+COUNTIF('Final Calculation Sheet'!$AQ24:$BS24,0)&gt;0,0,1)</f>
        <v>1</v>
      </c>
      <c r="RG24" t="b">
        <f>IF($AN$24="",FALSE,SUMPRODUCT(('Final Calculation Sheet'!$E$4:$E$40=$AN$24)*($RF$4:$RF$40=1))&gt;0)</f>
        <v>0</v>
      </c>
      <c r="RH24">
        <f t="shared" si="181"/>
        <v>3</v>
      </c>
      <c r="RI24" t="str">
        <f t="shared" si="147"/>
        <v/>
      </c>
      <c r="RJ24">
        <f>IF(COUNTIF('Final Calculation Sheet'!$AL24:$AP24,0)+COUNTIF('Final Calculation Sheet'!$AR24:$BS24,0)&gt;0,0,1)</f>
        <v>1</v>
      </c>
      <c r="RK24" t="b">
        <f>IF($O$24="",FALSE,SUMPRODUCT(('Final Calculation Sheet'!$F$4:$F$40=$O$24)*($RJ$4:$RJ$40=1))&gt;0)</f>
        <v>1</v>
      </c>
      <c r="RL24">
        <f t="shared" si="182"/>
        <v>21</v>
      </c>
      <c r="RM24">
        <f t="shared" si="148"/>
        <v>2027</v>
      </c>
      <c r="RN24">
        <f>IF(COUNTIF('Final Calculation Sheet'!$AL24:$AQ24,0)+COUNTIF('Final Calculation Sheet'!$AS24:$BS24,0)&gt;0,0,1)</f>
        <v>1</v>
      </c>
      <c r="RO24" t="b">
        <f>IF($T$24="",FALSE,SUMPRODUCT(('Final Calculation Sheet'!$G$4:$G$40=$T$24)*($RN$4:$RN$40=1))&gt;0)</f>
        <v>0</v>
      </c>
      <c r="RP24">
        <f t="shared" si="183"/>
        <v>13</v>
      </c>
      <c r="RQ24" t="str">
        <f t="shared" si="149"/>
        <v/>
      </c>
      <c r="RR24">
        <f>IF(COUNTIF('Final Calculation Sheet'!$AL24:$AR24,0)+COUNTIF('Final Calculation Sheet'!$AT24:$BS24,0)&gt;0,0,1)</f>
        <v>1</v>
      </c>
      <c r="RS24" t="b">
        <f>IF($AX$24="",FALSE,SUMPRODUCT(('Final Calculation Sheet'!$H$4:$H$40=$AX$24)*($RR$4:$RR$40=1))&gt;0)</f>
        <v>1</v>
      </c>
      <c r="RT24">
        <f t="shared" si="184"/>
        <v>21</v>
      </c>
      <c r="RU24">
        <f t="shared" si="150"/>
        <v>198000</v>
      </c>
      <c r="RV24">
        <f>IF(COUNTIF('Final Calculation Sheet'!$AL24:$AS24,0)+COUNTIF('Final Calculation Sheet'!$AU24:$BS24,0)&gt;0,0,1)</f>
        <v>1</v>
      </c>
      <c r="RW24" t="b">
        <f>IF($BC$24="",FALSE,SUMPRODUCT(('Final Calculation Sheet'!$I$4:$I$40=$BC$24)*($RV$4:$RV$40=1))&gt;0)</f>
        <v>1</v>
      </c>
      <c r="RX24">
        <f t="shared" si="185"/>
        <v>21</v>
      </c>
      <c r="RY24">
        <f t="shared" si="151"/>
        <v>35640</v>
      </c>
      <c r="RZ24">
        <f>IF(COUNTIF('Final Calculation Sheet'!$AL24:$AT24,0)+COUNTIF('Final Calculation Sheet'!$AV24:$BS24,0)&gt;0,0,1)</f>
        <v>1</v>
      </c>
      <c r="SA24" t="b">
        <f>IF($BH$24="",FALSE,SUMPRODUCT(('Final Calculation Sheet'!$J$4:$J$40=$BH$24)*($RZ$4:$RZ$40=1))&gt;0)</f>
        <v>1</v>
      </c>
      <c r="SB24">
        <f t="shared" si="186"/>
        <v>21</v>
      </c>
      <c r="SC24">
        <f t="shared" si="152"/>
        <v>233640</v>
      </c>
      <c r="SD24">
        <f>IF(COUNTIF('Final Calculation Sheet'!$AL24:$AU24,0)+COUNTIF('Final Calculation Sheet'!$AW24:$BS24,0)&gt;0,0,1)</f>
        <v>1</v>
      </c>
      <c r="SE24" t="b">
        <f>IF($BM$24="",FALSE,SUMPRODUCT(('Final Calculation Sheet'!$K$4:$K$40=$BM$24)*($SD$4:$SD$40=1))&gt;0)</f>
        <v>1</v>
      </c>
      <c r="SF24">
        <f t="shared" si="187"/>
        <v>21</v>
      </c>
      <c r="SG24">
        <f t="shared" si="153"/>
        <v>4673</v>
      </c>
      <c r="SH24">
        <f>IF(COUNTIF('Final Calculation Sheet'!$AL24:$AV24,0)+COUNTIF('Final Calculation Sheet'!$AX24:$BS24,0)&gt;0,0,1)</f>
        <v>1</v>
      </c>
      <c r="SI24" t="b">
        <f>IF($BR$24="",FALSE,SUMPRODUCT(('Final Calculation Sheet'!$L$4:$L$40=$BR$24)*($SH$4:$SH$40=1))&gt;0)</f>
        <v>1</v>
      </c>
      <c r="SJ24">
        <f t="shared" si="188"/>
        <v>21</v>
      </c>
      <c r="SK24">
        <f t="shared" si="154"/>
        <v>198</v>
      </c>
      <c r="SL24">
        <f>IF(COUNTIF('Final Calculation Sheet'!$AL24:$AW24,0)+COUNTIF('Final Calculation Sheet'!$AY24:$BS24,0)&gt;0,0,1)</f>
        <v>1</v>
      </c>
      <c r="SM24" t="b">
        <f>IF($BW$24="",FALSE,SUMPRODUCT(('Final Calculation Sheet'!$M$4:$M$40=$BW$24)*($SL$4:$SL$40=1))&gt;0)</f>
        <v>1</v>
      </c>
      <c r="SN24">
        <f t="shared" si="189"/>
        <v>21</v>
      </c>
      <c r="SO24">
        <f t="shared" si="155"/>
        <v>5256.9</v>
      </c>
      <c r="SP24">
        <f>IF(COUNTIF('Final Calculation Sheet'!$AL24:$AX24,0)+COUNTIF('Final Calculation Sheet'!$AZ24:$BS24,0)&gt;0,0,1)</f>
        <v>1</v>
      </c>
      <c r="SQ24" t="b">
        <f>IF($CB$24="",FALSE,SUMPRODUCT(('Final Calculation Sheet'!$N$4:$N$40=$CB$24)*($SP$4:$SP$40=1))&gt;0)</f>
        <v>1</v>
      </c>
      <c r="SR24">
        <f t="shared" si="190"/>
        <v>21</v>
      </c>
      <c r="SS24">
        <f t="shared" si="156"/>
        <v>89.100000000000009</v>
      </c>
      <c r="ST24">
        <f>IF(COUNTIF('Final Calculation Sheet'!$AL24:$AY24,0)+COUNTIF('Final Calculation Sheet'!$BA24:$BS24,0)&gt;0,0,1)</f>
        <v>1</v>
      </c>
      <c r="SU24" t="b">
        <f>IF($CG$24="",FALSE,SUMPRODUCT(('Final Calculation Sheet'!$O$4:$O$40=$CG$24)*($ST$4:$ST$40=1))&gt;0)</f>
        <v>1</v>
      </c>
      <c r="SV24">
        <f t="shared" si="191"/>
        <v>21</v>
      </c>
      <c r="SW24">
        <f t="shared" si="157"/>
        <v>5167.7999999999993</v>
      </c>
      <c r="SX24">
        <f>IF(COUNTIF('Final Calculation Sheet'!$AL24:$AZ24,0)+COUNTIF('Final Calculation Sheet'!$BB24:$BS24,0)&gt;0,0,1)</f>
        <v>1</v>
      </c>
      <c r="SY24" t="b">
        <f>IF($CL$24="",FALSE,SUMPRODUCT(('Final Calculation Sheet'!$P$4:$P$40=$CL$24)*($SX$4:$SX$40=1))&gt;0)</f>
        <v>1</v>
      </c>
      <c r="SZ24">
        <f t="shared" si="192"/>
        <v>21</v>
      </c>
      <c r="TA24">
        <f t="shared" si="158"/>
        <v>5366</v>
      </c>
      <c r="TB24">
        <f>IF(COUNTIF('Final Calculation Sheet'!$AL24:$BA24,0)+COUNTIF('Final Calculation Sheet'!$BC24:$BS24,0)&gt;0,0,1)</f>
        <v>1</v>
      </c>
      <c r="TC24" t="b">
        <f>IF($CQ$24="",FALSE,SUMPRODUCT(('Final Calculation Sheet'!$Q$4:$Q$40=$CQ$24)*($TB$4:$TB$40=1))&gt;0)</f>
        <v>0</v>
      </c>
      <c r="TD24">
        <f t="shared" si="193"/>
        <v>2</v>
      </c>
      <c r="TE24" t="str">
        <f t="shared" si="159"/>
        <v/>
      </c>
      <c r="TF24">
        <f>IF(COUNTIF('Final Calculation Sheet'!$AL24:$BB24,0)+COUNTIF('Final Calculation Sheet'!$BD24:$BS24,0)&gt;0,0,1)</f>
        <v>1</v>
      </c>
      <c r="TG24" t="b">
        <f>IF($CV$24="",FALSE,SUMPRODUCT(('Final Calculation Sheet'!$R$4:$R$40=$CV$24)*($TF$4:$TF$40=1))&gt;0)</f>
        <v>0</v>
      </c>
      <c r="TH24">
        <f t="shared" si="194"/>
        <v>5</v>
      </c>
      <c r="TI24" t="str">
        <f t="shared" si="160"/>
        <v/>
      </c>
      <c r="TJ24">
        <f>IF(COUNTIF('Final Calculation Sheet'!$AL24:$BC24,0)+COUNTIF('Final Calculation Sheet'!$BE24:$BS24,0)&gt;0,0,1)</f>
        <v>1</v>
      </c>
      <c r="TK24" t="b">
        <f>IF($DA$24="",FALSE,SUMPRODUCT(('Final Calculation Sheet'!$S$4:$S$40=$DA$24)*($TJ$4:$TJ$40=1))&gt;0)</f>
        <v>1</v>
      </c>
      <c r="TL24">
        <f t="shared" si="195"/>
        <v>21</v>
      </c>
      <c r="TM24">
        <f t="shared" si="161"/>
        <v>232947</v>
      </c>
      <c r="TN24">
        <f>IF(COUNTIF('Final Calculation Sheet'!$AL24:$BD24,0)+COUNTIF('Final Calculation Sheet'!$BF24:$BS24,0)&gt;0,0,1)</f>
        <v>1</v>
      </c>
      <c r="TO24" t="b">
        <f>IF($DF$24="",FALSE,SUMPRODUCT(('Final Calculation Sheet'!$T$4:$T$40=$DF$24)*($TN$4:$TN$40=1))&gt;0)</f>
        <v>1</v>
      </c>
      <c r="TP24">
        <f t="shared" si="196"/>
        <v>21</v>
      </c>
      <c r="TQ24">
        <f t="shared" si="162"/>
        <v>49500</v>
      </c>
      <c r="TR24">
        <f>IF(COUNTIF('Final Calculation Sheet'!$AL24:$BE24,0)+COUNTIF('Final Calculation Sheet'!$BG24:$BS24,0)&gt;0,0,1)</f>
        <v>1</v>
      </c>
      <c r="TS24" t="b">
        <f>IF($DK$24="",FALSE,SUMPRODUCT(('Final Calculation Sheet'!$U$4:$U$40=$DK$24)*($TR$4:$TR$40=1))&gt;0)</f>
        <v>1</v>
      </c>
      <c r="TT24">
        <f t="shared" si="197"/>
        <v>21</v>
      </c>
      <c r="TU24">
        <f t="shared" si="163"/>
        <v>49500</v>
      </c>
      <c r="TV24">
        <f>IF(COUNTIF('Final Calculation Sheet'!$AL24:$BF24,0)+COUNTIF('Final Calculation Sheet'!$BH24:$BS24,0)&gt;0,0,1)</f>
        <v>1</v>
      </c>
      <c r="TW24" t="b">
        <f>IF($DP$24="",FALSE,SUMPRODUCT(('Final Calculation Sheet'!$V$4:$V$40=$DP$24)*($TV$4:$TV$40=1))&gt;0)</f>
        <v>0</v>
      </c>
      <c r="TX24">
        <f t="shared" si="198"/>
        <v>6</v>
      </c>
      <c r="TY24" t="str">
        <f t="shared" si="164"/>
        <v/>
      </c>
      <c r="TZ24">
        <f>IF(COUNTIF('Final Calculation Sheet'!$AL24:$BG24,0)+COUNTIF('Final Calculation Sheet'!$BI24:$BS24,0)&gt;0,0,1)</f>
        <v>1</v>
      </c>
      <c r="UA24" t="b">
        <f>IF($DU$24="",FALSE,SUMPRODUCT(('Final Calculation Sheet'!$W$4:$W$40=$DU$24)*($TZ$4:$TZ$40=1))&gt;0)</f>
        <v>1</v>
      </c>
      <c r="UB24">
        <f t="shared" si="199"/>
        <v>21</v>
      </c>
      <c r="UC24">
        <f t="shared" si="165"/>
        <v>183447</v>
      </c>
      <c r="UD24">
        <f>IF(COUNTIF('Final Calculation Sheet'!$AL24:$BH24,0)+COUNTIF('Final Calculation Sheet'!$BJ24:$BS24,0)&gt;0,0,1)</f>
        <v>1</v>
      </c>
      <c r="UE24" t="e">
        <f>IF($DZ$24="",FALSE,SUMPRODUCT(('Final Calculation Sheet'!$X$4:$X$40=$DZ$24)*($UD$4:$UD$40=1))&gt;0)</f>
        <v>#N/A</v>
      </c>
      <c r="UF24" t="e">
        <f t="shared" si="200"/>
        <v>#N/A</v>
      </c>
      <c r="UG24" t="e">
        <f t="shared" si="166"/>
        <v>#N/A</v>
      </c>
      <c r="UH24">
        <f>IF(COUNTIF('Final Calculation Sheet'!$AL24:$BI24,0)+COUNTIF('Final Calculation Sheet'!$BK24:$BS24,0)&gt;0,0,1)</f>
        <v>1</v>
      </c>
      <c r="UI24" t="e">
        <f>IF($EE$24="",FALSE,SUMPRODUCT(('Final Calculation Sheet'!$Y$4:$Y$40=$EE$24)*($UH$4:$UH$40=1))&gt;0)</f>
        <v>#N/A</v>
      </c>
      <c r="UJ24" t="e">
        <f t="shared" si="201"/>
        <v>#N/A</v>
      </c>
      <c r="UK24" t="e">
        <f t="shared" si="167"/>
        <v>#N/A</v>
      </c>
      <c r="UL24">
        <f>IF(COUNTIF('Final Calculation Sheet'!$AL24:$BJ24,0)+COUNTIF('Final Calculation Sheet'!$BL24:$BS24,0)&gt;0,0,1)</f>
        <v>1</v>
      </c>
      <c r="UM24" t="b">
        <f ca="1">IF($EJ$24="",FALSE,SUMPRODUCT(('Final Calculation Sheet'!$Z$4:$Z$40=$EJ$24)*($UL$4:$UL$40=1))&gt;0)</f>
        <v>1</v>
      </c>
      <c r="UN24">
        <f t="shared" ca="1" si="202"/>
        <v>21</v>
      </c>
      <c r="UO24">
        <f t="shared" ca="1" si="168"/>
        <v>7009.2000000000007</v>
      </c>
      <c r="UP24">
        <f>IF(COUNTIF('Final Calculation Sheet'!$AL24:$BK24,0)+COUNTIF('Final Calculation Sheet'!$BM24:$BS24,0)&gt;0,0,1)</f>
        <v>1</v>
      </c>
      <c r="UQ24" t="e">
        <f>IF($EO$24="",FALSE,SUMPRODUCT(('Final Calculation Sheet'!$AA$4:$AA$40=$EO$24)*($UP$4:$UP$40=1))&gt;0)</f>
        <v>#N/A</v>
      </c>
      <c r="UR24" t="e">
        <f t="shared" si="203"/>
        <v>#N/A</v>
      </c>
      <c r="US24" t="e">
        <f t="shared" si="169"/>
        <v>#N/A</v>
      </c>
      <c r="UT24">
        <f>IF(COUNTIF('Final Calculation Sheet'!$AL24:$BL24,0)+COUNTIF('Final Calculation Sheet'!$BN24:$BS24,0)&gt;0,0,1)</f>
        <v>1</v>
      </c>
      <c r="UU24" t="e">
        <f>IF($ET$24="",FALSE,SUMPRODUCT(('Final Calculation Sheet'!$AB$4:$AB$40=$ET$24)*($UT$4:$UT$40=1))&gt;0)</f>
        <v>#N/A</v>
      </c>
      <c r="UV24" t="e">
        <f t="shared" si="204"/>
        <v>#N/A</v>
      </c>
      <c r="UW24" t="e">
        <f t="shared" si="170"/>
        <v>#N/A</v>
      </c>
      <c r="UX24">
        <f>IF(COUNTIF('Final Calculation Sheet'!$AL24:$BM24,0)+COUNTIF('Final Calculation Sheet'!$BO24:$BS24,0)&gt;0,0,1)</f>
        <v>1</v>
      </c>
      <c r="UY24" t="b">
        <f>IF($EY$24="",FALSE,SUMPRODUCT(('Final Calculation Sheet'!$AC$4:$AC$40=$EY$24)*($UX$4:$UX$40=1))&gt;0)</f>
        <v>1</v>
      </c>
      <c r="UZ24">
        <f t="shared" si="205"/>
        <v>21</v>
      </c>
      <c r="VA24">
        <f t="shared" si="171"/>
        <v>184240</v>
      </c>
      <c r="VB24">
        <f>IF(COUNTIF('Final Calculation Sheet'!$AL24:$BN24,0)+COUNTIF('Final Calculation Sheet'!$BP24:$BS24,0)&gt;0,0,1)</f>
        <v>1</v>
      </c>
      <c r="VC24" t="b">
        <f>IF($FD$24="",FALSE,SUMPRODUCT(('Final Calculation Sheet'!$AD$4:$AD$40=$FD$24)*($VB$4:$VB$40=1))&gt;0)</f>
        <v>0</v>
      </c>
      <c r="VD24">
        <f t="shared" si="206"/>
        <v>11</v>
      </c>
      <c r="VE24" t="str">
        <f t="shared" si="172"/>
        <v/>
      </c>
      <c r="VF24">
        <f>IF(COUNTIF('Final Calculation Sheet'!$AL24:$BO24,0)+COUNTIF('Final Calculation Sheet'!$BQ24:$BS24,0)&gt;0,0,1)</f>
        <v>1</v>
      </c>
      <c r="VG24" t="e">
        <f>IF($FI$24="",FALSE,SUMPRODUCT(('Final Calculation Sheet'!$AE$4:$AE$40=$FI$24)*($VF$4:$VF$40=1))&gt;0)</f>
        <v>#N/A</v>
      </c>
      <c r="VH24" t="e">
        <f t="shared" si="207"/>
        <v>#N/A</v>
      </c>
      <c r="VI24" t="e">
        <f t="shared" si="173"/>
        <v>#N/A</v>
      </c>
      <c r="VJ24">
        <f>IF(COUNTIF('Final Calculation Sheet'!$AL24:$BP24,0)+COUNTIF('Final Calculation Sheet'!$BR24:$BS24,0)&gt;0,0,1)</f>
        <v>1</v>
      </c>
      <c r="VK24" t="e">
        <f>IF($FN$24="",FALSE,SUMPRODUCT(('Final Calculation Sheet'!$AF$4:$AF$40=$FN$24)*($VJ$4:$VJ$40=1))&gt;0)</f>
        <v>#N/A</v>
      </c>
      <c r="VL24" t="e">
        <f t="shared" si="208"/>
        <v>#N/A</v>
      </c>
      <c r="VM24" t="e">
        <f t="shared" si="174"/>
        <v>#N/A</v>
      </c>
      <c r="VN24">
        <f>IF(COUNTIF('Final Calculation Sheet'!$AL24:$BQ24,0)+COUNTIF('Final Calculation Sheet'!$BS24:$BS24,0)&gt;0,0,1)</f>
        <v>1</v>
      </c>
      <c r="VO24" t="e">
        <f>IF($FS$24="",FALSE,SUMPRODUCT(('Final Calculation Sheet'!$AG$4:$AG$40=$FS$24)*($VN$4:$VN$40=1))&gt;0)</f>
        <v>#N/A</v>
      </c>
      <c r="VP24" t="e">
        <f t="shared" si="209"/>
        <v>#N/A</v>
      </c>
      <c r="VQ24" t="e">
        <f t="shared" si="175"/>
        <v>#N/A</v>
      </c>
      <c r="VR24">
        <f>IF(COUNTIF('Final Calculation Sheet'!$AL24:$BR24,0)&gt;0,0,1)</f>
        <v>1</v>
      </c>
      <c r="VS24" t="e">
        <f>IF($QO$24="",FALSE,SUMPRODUCT(('Final Calculation Sheet'!$AH$4:$AH$40=$QO$24)*($VR$4:$VR$40=1))&gt;0)</f>
        <v>#N/A</v>
      </c>
      <c r="VT24" t="e">
        <f t="shared" si="210"/>
        <v>#N/A</v>
      </c>
      <c r="VU24" t="e">
        <f t="shared" si="176"/>
        <v>#N/A</v>
      </c>
    </row>
    <row r="25" spans="1:593" x14ac:dyDescent="0.3">
      <c r="A25">
        <f>IF('Final Calculation Sheet'!$F$25="","",'Final Calculation Sheet'!$F$25)</f>
        <v>2033</v>
      </c>
      <c r="B25">
        <f>IF(A25="","",COUNTIFS(A$4:A$114,"&lt;"&amp;A25,A$4:A$114,"&lt;&gt;"&amp;"")+COUNTIF(A$4:A25,A25))</f>
        <v>22</v>
      </c>
      <c r="C25">
        <f t="shared" si="0"/>
        <v>2033</v>
      </c>
      <c r="D25">
        <f>D24+IF(AND(C25&lt;&gt;"",COUNTIF(C$4:C25,C25)=1),1,0)</f>
        <v>22</v>
      </c>
      <c r="E25" t="e">
        <f t="shared" si="1"/>
        <v>#N/A</v>
      </c>
      <c r="F25">
        <f t="shared" si="2"/>
        <v>22</v>
      </c>
      <c r="G25">
        <f>IF(F25="","",COUNTIFS(F$4:F$40,"&lt;"&amp;F25,F$4:F$40,"&lt;&gt;"&amp;"")+COUNTIF(F$4:F25,F25))</f>
        <v>22</v>
      </c>
      <c r="H25">
        <f t="shared" si="3"/>
        <v>22</v>
      </c>
      <c r="I25">
        <f>I24+IF(AND(H25&lt;&gt;"",COUNTIF(H$4:H25,H25)=1),1,0)</f>
        <v>22</v>
      </c>
      <c r="J25">
        <f t="shared" si="4"/>
        <v>22</v>
      </c>
      <c r="K25">
        <f>IF('Final Calculation Sheet'!$F$25="","",'Final Calculation Sheet'!$F$25)</f>
        <v>2033</v>
      </c>
      <c r="L25">
        <f>IF(K25="","",COUNTIFS(K$4:K$40,"&lt;"&amp;K25,K$4:K$40,"&lt;&gt;"&amp;"")+COUNTIF(K$4:K25,K25))</f>
        <v>22</v>
      </c>
      <c r="M25">
        <f t="shared" si="5"/>
        <v>2033</v>
      </c>
      <c r="N25">
        <f>N24+IF(AND(M25&lt;&gt;"",COUNTIF(M$4:M25,M25)=1),1,0)</f>
        <v>22</v>
      </c>
      <c r="O25">
        <f t="shared" si="6"/>
        <v>2033</v>
      </c>
      <c r="P25" t="str">
        <f>IF('Final Calculation Sheet'!$G$25="","",'Final Calculation Sheet'!$G$25)</f>
        <v>WATAN SCRAP TRADERS</v>
      </c>
      <c r="Q25">
        <f>IF(P25="","",COUNTIFS(P$4:P$40,"&lt;"&amp;P25,P$4:P$40,"&lt;&gt;"&amp;"")+COUNTIF(P$4:P25,P25))</f>
        <v>35</v>
      </c>
      <c r="R25" t="str">
        <f t="shared" si="7"/>
        <v>OMKAR STEELS</v>
      </c>
      <c r="S25">
        <f>S24+IF(AND(R25&lt;&gt;"",COUNTIF(R$4:R25,R25)=1),1,0)</f>
        <v>8</v>
      </c>
      <c r="T25" t="str">
        <f t="shared" si="8"/>
        <v/>
      </c>
      <c r="U25" t="str">
        <f>IF('Final Calculation Sheet'!$B$25="","",'Final Calculation Sheet'!$B$25)</f>
        <v>Scrap Empty Oil Drum/ Barrel</v>
      </c>
      <c r="V25">
        <f>IF(U25="","",COUNTIFS(U$4:U$40,"&lt;"&amp;U25,U$4:U$40,"&lt;&gt;"&amp;"")+COUNTIF(U$4:U25,U25))</f>
        <v>5</v>
      </c>
      <c r="W25" t="str">
        <f t="shared" si="9"/>
        <v>Scrap of 66 KV Isolater</v>
      </c>
      <c r="X25">
        <f>X24+IF(AND(W25&lt;&gt;"",COUNTIF(W$4:W25,W25)=1),1,0)</f>
        <v>15</v>
      </c>
      <c r="Y25" t="str">
        <f t="shared" si="10"/>
        <v>Scrap of Empty oil drum</v>
      </c>
      <c r="Z25">
        <f>IF('Final Calculation Sheet'!$D$25="","",'Final Calculation Sheet'!$D$25)</f>
        <v>21978</v>
      </c>
      <c r="AA25">
        <f>IF(Z25="","",COUNTIFS(Z$4:Z$40,"&lt;"&amp;Z25,Z$4:Z$40,"&lt;&gt;"&amp;"")+COUNTIF(Z$4:Z25,Z25))</f>
        <v>20</v>
      </c>
      <c r="AB25">
        <f t="shared" si="11"/>
        <v>21978</v>
      </c>
      <c r="AC25">
        <f>AC24+IF(AND(AB25&lt;&gt;"",COUNTIF(AB$4:AB25,AB25)=1),1,0)</f>
        <v>2</v>
      </c>
      <c r="AD25" t="str">
        <f t="shared" si="12"/>
        <v/>
      </c>
      <c r="AE25">
        <f>IF('Final Calculation Sheet'!$A$25="","",'Final Calculation Sheet'!$A$25)</f>
        <v>1000</v>
      </c>
      <c r="AF25">
        <f>IF(AE25="","",COUNTIFS(AE$4:AE$40,"&lt;"&amp;AE25,AE$4:AE$40,"&lt;&gt;"&amp;"")+COUNTIF(AE$4:AE25,AE25))</f>
        <v>34</v>
      </c>
      <c r="AG25">
        <f t="shared" si="13"/>
        <v>22</v>
      </c>
      <c r="AH25">
        <f>AH24+IF(AND(AG25&lt;&gt;"",COUNTIF(AG$4:AG25,AG25)=1),1,0)</f>
        <v>7</v>
      </c>
      <c r="AI25">
        <f t="shared" si="14"/>
        <v>7253</v>
      </c>
      <c r="AJ25" t="str">
        <f>IF('Final Calculation Sheet'!$E$25="","",'Final Calculation Sheet'!$E$25)</f>
        <v>NO</v>
      </c>
      <c r="AK25">
        <f>IF(AJ25="","",COUNTIFS(AJ$4:AJ$40,"&lt;"&amp;AJ25,AJ$4:AJ$40,"&lt;&gt;"&amp;"")+COUNTIF(AJ$4:AJ25,AJ25))</f>
        <v>24</v>
      </c>
      <c r="AL25" t="str">
        <f t="shared" si="15"/>
        <v>NO</v>
      </c>
      <c r="AM25">
        <f>AM24+IF(AND(AL25&lt;&gt;"",COUNTIF(AL$4:AL25,AL25)=1),1,0)</f>
        <v>3</v>
      </c>
      <c r="AN25" t="str">
        <f t="shared" si="16"/>
        <v/>
      </c>
      <c r="AO25" s="50">
        <f>IF('Final Calculation Sheet'!$C$25="","",'Final Calculation Sheet'!$C$25)</f>
        <v>517</v>
      </c>
      <c r="AP25">
        <f>IF(AO25="","",COUNTIFS(AO$4:AO$40,"&lt;"&amp;AO25,AO$4:AO$40,"&lt;&gt;"&amp;"")+COUNTIF(AO$4:AO25,AO25))</f>
        <v>5</v>
      </c>
      <c r="AQ25" s="50">
        <f t="shared" si="17"/>
        <v>50003</v>
      </c>
      <c r="AR25">
        <f>AR24+IF(AND(AQ25&lt;&gt;"",COUNTIF(AQ$4:AQ25,AQ25)=1),1,0)</f>
        <v>20</v>
      </c>
      <c r="AS25" s="50">
        <f t="shared" si="18"/>
        <v>54000</v>
      </c>
      <c r="AT25" s="50">
        <f>IF('Final Calculation Sheet'!$H$25="","",'Final Calculation Sheet'!$H$25)</f>
        <v>517000</v>
      </c>
      <c r="AU25">
        <f>IF(AT25="","",COUNTIFS(AT$4:AT$40,"&lt;"&amp;AT25,AT$4:AT$40,"&lt;&gt;"&amp;"")+COUNTIF(AT$4:AT25,AT25))</f>
        <v>31</v>
      </c>
      <c r="AV25" s="50">
        <f t="shared" si="19"/>
        <v>206044</v>
      </c>
      <c r="AW25">
        <f>AW24+IF(AND(AV25&lt;&gt;"",COUNTIF(AV$4:AV25,AV25)=1),1,0)</f>
        <v>22</v>
      </c>
      <c r="AX25" s="50">
        <f t="shared" si="20"/>
        <v>206044</v>
      </c>
      <c r="AY25" s="50">
        <f>IF('Final Calculation Sheet'!$I$25="","",'Final Calculation Sheet'!$I$25)</f>
        <v>93060</v>
      </c>
      <c r="AZ25">
        <f>IF(AY25="","",COUNTIFS(AY$4:AY$40,"&lt;"&amp;AY25,AY$4:AY$40,"&lt;&gt;"&amp;"")+COUNTIF(AY$4:AY25,AY25))</f>
        <v>31</v>
      </c>
      <c r="BA25" s="50">
        <f t="shared" si="21"/>
        <v>37088</v>
      </c>
      <c r="BB25">
        <f>BB24+IF(AND(BA25&lt;&gt;"",COUNTIF(BA$4:BA25,BA25)=1),1,0)</f>
        <v>22</v>
      </c>
      <c r="BC25" s="50">
        <f t="shared" si="22"/>
        <v>37088</v>
      </c>
      <c r="BD25" s="50">
        <f>IF('Final Calculation Sheet'!$J$25="","",'Final Calculation Sheet'!$J$25)</f>
        <v>610060</v>
      </c>
      <c r="BE25">
        <f>IF(BD25="","",COUNTIFS(BD$4:BD$40,"&lt;"&amp;BD25,BD$4:BD$40,"&lt;&gt;"&amp;"")+COUNTIF(BD$4:BD25,BD25))</f>
        <v>31</v>
      </c>
      <c r="BF25" s="50">
        <f t="shared" si="23"/>
        <v>243132</v>
      </c>
      <c r="BG25">
        <f>BG24+IF(AND(BF25&lt;&gt;"",COUNTIF(BF$4:BF25,BF25)=1),1,0)</f>
        <v>22</v>
      </c>
      <c r="BH25" s="50">
        <f t="shared" si="24"/>
        <v>243132</v>
      </c>
      <c r="BI25" s="50">
        <f>IF('Final Calculation Sheet'!$K$25="","",'Final Calculation Sheet'!$K$25)</f>
        <v>12201</v>
      </c>
      <c r="BJ25">
        <f>IF(BI25="","",COUNTIFS(BI$4:BI$40,"&lt;"&amp;BI25,BI$4:BI$40,"&lt;&gt;"&amp;"")+COUNTIF(BI$4:BI25,BI25))</f>
        <v>31</v>
      </c>
      <c r="BK25" s="50">
        <f t="shared" si="25"/>
        <v>4863</v>
      </c>
      <c r="BL25">
        <f>BL24+IF(AND(BK25&lt;&gt;"",COUNTIF(BK$4:BK25,BK25)=1),1,0)</f>
        <v>22</v>
      </c>
      <c r="BM25" s="50">
        <f t="shared" si="26"/>
        <v>4863</v>
      </c>
      <c r="BN25" s="50">
        <f>IF('Final Calculation Sheet'!$L$25="","",'Final Calculation Sheet'!$L$25)</f>
        <v>517</v>
      </c>
      <c r="BO25">
        <f>IF(BN25="","",COUNTIFS(BN$4:BN$40,"&lt;"&amp;BN25,BN$4:BN$40,"&lt;&gt;"&amp;"")+COUNTIF(BN$4:BN25,BN25))</f>
        <v>31</v>
      </c>
      <c r="BP25" s="50">
        <f t="shared" si="27"/>
        <v>206.04400000000001</v>
      </c>
      <c r="BQ25">
        <f>BQ24+IF(AND(BP25&lt;&gt;"",COUNTIF(BP$4:BP25,BP25)=1),1,0)</f>
        <v>22</v>
      </c>
      <c r="BR25" s="50">
        <f t="shared" si="28"/>
        <v>206.04400000000001</v>
      </c>
      <c r="BS25" s="50">
        <f>IF('Final Calculation Sheet'!$M$25="","",'Final Calculation Sheet'!$M$25)</f>
        <v>13726.349999999999</v>
      </c>
      <c r="BT25">
        <f>IF(BS25="","",COUNTIFS(BS$4:BS$40,"&lt;"&amp;BS25,BS$4:BS$40,"&lt;&gt;"&amp;"")+COUNTIF(BS$4:BS25,BS25))</f>
        <v>31</v>
      </c>
      <c r="BU25" s="50">
        <f t="shared" si="29"/>
        <v>5470.4681999999993</v>
      </c>
      <c r="BV25">
        <f>BV24+IF(AND(BU25&lt;&gt;"",COUNTIF(BU$4:BU25,BU25)=1),1,0)</f>
        <v>22</v>
      </c>
      <c r="BW25" s="50">
        <f t="shared" si="30"/>
        <v>5470.4681999999993</v>
      </c>
      <c r="BX25" s="126">
        <f>IF('Final Calculation Sheet'!$N$25="","",'Final Calculation Sheet'!$N$25)</f>
        <v>232.65</v>
      </c>
      <c r="BY25">
        <f>IF(BX25="","",COUNTIFS(BX$4:BX$40,"&lt;"&amp;BX25,BX$4:BX$40,"&lt;&gt;"&amp;"")+COUNTIF(BX$4:BX25,BX25))</f>
        <v>31</v>
      </c>
      <c r="BZ25" s="126">
        <f t="shared" si="31"/>
        <v>92.719799999999992</v>
      </c>
      <c r="CA25">
        <f>CA24+IF(AND(BZ25&lt;&gt;"",COUNTIF(BZ$4:BZ25,BZ25)=1),1,0)</f>
        <v>22</v>
      </c>
      <c r="CB25" s="126">
        <f t="shared" si="32"/>
        <v>92.719799999999992</v>
      </c>
      <c r="CC25" s="50">
        <f>IF('Final Calculation Sheet'!$O$25="","",'Final Calculation Sheet'!$O$25)</f>
        <v>13493.699999999999</v>
      </c>
      <c r="CD25">
        <f>IF(CC25="","",COUNTIFS(CC$4:CC$40,"&lt;"&amp;CC25,CC$4:CC$40,"&lt;&gt;"&amp;"")+COUNTIF(CC$4:CC25,CC25))</f>
        <v>31</v>
      </c>
      <c r="CE25" s="50">
        <f t="shared" si="33"/>
        <v>5377.7483999999995</v>
      </c>
      <c r="CF25">
        <f>CF24+IF(AND(CE25&lt;&gt;"",COUNTIF(CE$4:CE25,CE25)=1),1,0)</f>
        <v>22</v>
      </c>
      <c r="CG25" s="50">
        <f t="shared" si="34"/>
        <v>5377.7483999999995</v>
      </c>
      <c r="CH25" s="50">
        <f>IF('Final Calculation Sheet'!$P$25="","",'Final Calculation Sheet'!$P$25)</f>
        <v>14011</v>
      </c>
      <c r="CI25">
        <f>IF(CH25="","",COUNTIFS(CH$4:CH$40,"&lt;"&amp;CH25,CH$4:CH$40,"&lt;&gt;"&amp;"")+COUNTIF(CH$4:CH25,CH25))</f>
        <v>31</v>
      </c>
      <c r="CJ25" s="50">
        <f t="shared" si="35"/>
        <v>5584</v>
      </c>
      <c r="CK25">
        <f>CK24+IF(AND(CJ25&lt;&gt;"",COUNTIF(CJ$4:CJ25,CJ25)=1),1,0)</f>
        <v>22</v>
      </c>
      <c r="CL25" s="50">
        <f t="shared" si="36"/>
        <v>5584</v>
      </c>
      <c r="CM25" s="127">
        <f>IF('Final Calculation Sheet'!$Q$25="","",'Final Calculation Sheet'!$Q$25)</f>
        <v>0</v>
      </c>
      <c r="CN25">
        <f>IF(CM25="","",COUNTIFS(CM$4:CM$40,"&lt;"&amp;CM25,CM$4:CM$40,"&lt;&gt;"&amp;"")+COUNTIF(CM$4:CM25,CM25))</f>
        <v>19</v>
      </c>
      <c r="CO25" s="127">
        <f t="shared" si="37"/>
        <v>0</v>
      </c>
      <c r="CP25">
        <f>CP24+IF(AND(CO25&lt;&gt;"",COUNTIF(CO$4:CO25,CO25)=1),1,0)</f>
        <v>1</v>
      </c>
      <c r="CQ25" t="str">
        <f t="shared" si="38"/>
        <v/>
      </c>
      <c r="CR25" s="50">
        <f>IF('Final Calculation Sheet'!$R$25="","",'Final Calculation Sheet'!$R$25)</f>
        <v>0</v>
      </c>
      <c r="CS25">
        <f>IF(CR25="","",COUNTIFS(CR$4:CR$40,"&lt;"&amp;CR25,CR$4:CR$40,"&lt;&gt;"&amp;"")+COUNTIF(CR$4:CR25,CR25))</f>
        <v>19</v>
      </c>
      <c r="CT25" s="50">
        <f t="shared" si="39"/>
        <v>0</v>
      </c>
      <c r="CU25">
        <f>CU24+IF(AND(CT25&lt;&gt;"",COUNTIF(CT$4:CT25,CT25)=1),1,0)</f>
        <v>1</v>
      </c>
      <c r="CV25" t="str">
        <f t="shared" si="40"/>
        <v/>
      </c>
      <c r="CW25" s="50">
        <f>IF('Final Calculation Sheet'!$S$25="","",'Final Calculation Sheet'!$S$25)</f>
        <v>608251</v>
      </c>
      <c r="CX25">
        <f>IF(CW25="","",COUNTIFS(CW$4:CW$40,"&lt;"&amp;CW25,CW$4:CW$40,"&lt;&gt;"&amp;"")+COUNTIF(CW$4:CW25,CW25))</f>
        <v>31</v>
      </c>
      <c r="CY25" s="50">
        <f t="shared" si="41"/>
        <v>242411</v>
      </c>
      <c r="CZ25">
        <f>CZ24+IF(AND(CY25&lt;&gt;"",COUNTIF(CY$4:CY25,CY25)=1),1,0)</f>
        <v>22</v>
      </c>
      <c r="DA25" s="50">
        <f t="shared" si="42"/>
        <v>242411</v>
      </c>
      <c r="DB25" s="50">
        <f>IF('Final Calculation Sheet'!$T$25="","",'Final Calculation Sheet'!$T$25)</f>
        <v>129250</v>
      </c>
      <c r="DC25">
        <f>IF(DB25="","",COUNTIFS(DB$4:DB$40,"&lt;"&amp;DB25,DB$4:DB$40,"&lt;&gt;"&amp;"")+COUNTIF(DB$4:DB25,DB25))</f>
        <v>31</v>
      </c>
      <c r="DD25" s="50">
        <f t="shared" si="43"/>
        <v>51511</v>
      </c>
      <c r="DE25">
        <f>DE24+IF(AND(DD25&lt;&gt;"",COUNTIF(DD$4:DD25,DD25)=1),1,0)</f>
        <v>22</v>
      </c>
      <c r="DF25" s="50">
        <f t="shared" si="44"/>
        <v>51511</v>
      </c>
      <c r="DG25" s="128">
        <f>IF('Final Calculation Sheet'!$U$25="","",'Final Calculation Sheet'!$U$25)</f>
        <v>129250</v>
      </c>
      <c r="DH25">
        <f>IF(DG25="","",COUNTIFS(DG$4:DG$40,"&lt;"&amp;DG25,DG$4:DG$40,"&lt;&gt;"&amp;"")+COUNTIF(DG$4:DG25,DG25))</f>
        <v>31</v>
      </c>
      <c r="DI25" s="128">
        <f t="shared" si="45"/>
        <v>51511</v>
      </c>
      <c r="DJ25">
        <f>DJ24+IF(AND(DI25&lt;&gt;"",COUNTIF(DI$4:DI25,DI25)=1),1,0)</f>
        <v>22</v>
      </c>
      <c r="DK25" s="128">
        <f t="shared" si="46"/>
        <v>51511</v>
      </c>
      <c r="DL25" t="str">
        <f>IF('Final Calculation Sheet'!$V$25="","",'Final Calculation Sheet'!$V$25)</f>
        <v>14.08.2026</v>
      </c>
      <c r="DM25">
        <f>IF(DL25="","",COUNTIFS(DL$4:DL$40,"&lt;"&amp;DL25,DL$4:DL$40,"&lt;&gt;"&amp;"")+COUNTIF(DL$4:DL25,DL25))</f>
        <v>30</v>
      </c>
      <c r="DN25" t="str">
        <f t="shared" si="47"/>
        <v>13.08.2026</v>
      </c>
      <c r="DO25">
        <f>DO24+IF(AND(DN25&lt;&gt;"",COUNTIF(DN$4:DN25,DN25)=1),1,0)</f>
        <v>3</v>
      </c>
      <c r="DP25" t="str">
        <f t="shared" si="48"/>
        <v/>
      </c>
      <c r="DQ25" s="50">
        <f>IF('Final Calculation Sheet'!$W$25="","",'Final Calculation Sheet'!$W$25)</f>
        <v>479001</v>
      </c>
      <c r="DR25">
        <f>IF(DQ25="","",COUNTIFS(DQ$4:DQ$40,"&lt;"&amp;DQ25,DQ$4:DQ$40,"&lt;&gt;"&amp;"")+COUNTIF(DQ$4:DQ25,DQ25))</f>
        <v>31</v>
      </c>
      <c r="DS25" s="50">
        <f t="shared" si="49"/>
        <v>190900</v>
      </c>
      <c r="DT25">
        <f>DT24+IF(AND(DS25&lt;&gt;"",COUNTIF(DS$4:DS25,DS25)=1),1,0)</f>
        <v>22</v>
      </c>
      <c r="DU25" s="50">
        <f t="shared" si="50"/>
        <v>190900</v>
      </c>
      <c r="DV25" s="50">
        <f>IF('Final Calculation Sheet'!$X$25="","",'Final Calculation Sheet'!$X$25)</f>
        <v>479001</v>
      </c>
      <c r="DW25">
        <f>IF(DV25="","",COUNTIFS(DV$4:DV$40,"&lt;"&amp;DV25,DV$4:DV$40,"&lt;&gt;"&amp;"")+COUNTIF(DV$4:DV25,DV25))</f>
        <v>29</v>
      </c>
      <c r="DX25" s="50">
        <f t="shared" si="51"/>
        <v>191812</v>
      </c>
      <c r="DY25">
        <f>DY24+IF(AND(DX25&lt;&gt;"",COUNTIF(DX$4:DX25,DX25)=1),1,0)</f>
        <v>22</v>
      </c>
      <c r="DZ25" t="e">
        <f t="shared" si="52"/>
        <v>#N/A</v>
      </c>
      <c r="EA25" t="str">
        <f>IF('Final Calculation Sheet'!$Y$25="","",'Final Calculation Sheet'!$Y$25)</f>
        <v>21.08.2026</v>
      </c>
      <c r="EB25">
        <f>IF(EA25="","",COUNTIFS(EA$4:EA$40,"&lt;"&amp;EA25,EA$4:EA$40,"&lt;&gt;"&amp;"")+COUNTIF(EA$4:EA25,EA25))</f>
        <v>18</v>
      </c>
      <c r="EC25" t="str">
        <f t="shared" si="53"/>
        <v>24.08.2026</v>
      </c>
      <c r="ED25">
        <f>ED24+IF(AND(EC25&lt;&gt;"",COUNTIF(EC$4:EC25,EC25)=1),1,0)</f>
        <v>9</v>
      </c>
      <c r="EE25" t="e">
        <f t="shared" si="54"/>
        <v>#N/A</v>
      </c>
      <c r="EF25" s="50">
        <f ca="1">IF('Final Calculation Sheet'!$Z$25="","",'Final Calculation Sheet'!$Z$25)</f>
        <v>18301.8</v>
      </c>
      <c r="EG25">
        <f ca="1">IF(EF25="","",COUNTIFS(EF$4:EF$40,"&lt;"&amp;EF25,EF$4:EF$40,"&lt;&gt;"&amp;"")+COUNTIF(EF$4:EF25,EF25))</f>
        <v>31</v>
      </c>
      <c r="EH25" s="50">
        <f t="shared" ca="1" si="55"/>
        <v>7293.9575999999997</v>
      </c>
      <c r="EI25">
        <f ca="1">EI24+IF(AND(EH25&lt;&gt;"",COUNTIF(EH$4:EH25,EH25)=1),1,0)</f>
        <v>22</v>
      </c>
      <c r="EJ25">
        <f t="shared" ca="1" si="56"/>
        <v>7293.9575999999997</v>
      </c>
      <c r="EK25" t="str">
        <f>IF('Final Calculation Sheet'!$AA$25="","",'Final Calculation Sheet'!$AA$25)</f>
        <v/>
      </c>
      <c r="EL25" t="str">
        <f>IF(EK25="","",COUNTIFS(EK$4:EK$40,"&lt;"&amp;EK25,EK$4:EK$40,"&lt;&gt;"&amp;"")+COUNTIF(EK$4:EK25,EK25))</f>
        <v/>
      </c>
      <c r="EM25" t="e">
        <f t="shared" si="57"/>
        <v>#N/A</v>
      </c>
      <c r="EN25" t="e">
        <f>EN24+IF(AND(EM25&lt;&gt;"",COUNTIF(EM$4:EM25,EM25)=1),1,0)</f>
        <v>#N/A</v>
      </c>
      <c r="EO25" t="e">
        <f t="shared" si="58"/>
        <v>#N/A</v>
      </c>
      <c r="EP25" t="str">
        <f>IF('Final Calculation Sheet'!$AB$25="","",'Final Calculation Sheet'!$AB$25)</f>
        <v/>
      </c>
      <c r="EQ25" t="str">
        <f>IF(EP25="","",COUNTIFS(EP$4:EP$40,"&lt;"&amp;EP25,EP$4:EP$40,"&lt;&gt;"&amp;"")+COUNTIF(EP$4:EP25,EP25))</f>
        <v/>
      </c>
      <c r="ER25" t="e">
        <f t="shared" si="59"/>
        <v>#N/A</v>
      </c>
      <c r="ES25" t="e">
        <f>ES24+IF(AND(ER25&lt;&gt;"",COUNTIF(ER$4:ER25,ER25)=1),1,0)</f>
        <v>#N/A</v>
      </c>
      <c r="ET25" t="e">
        <f t="shared" si="60"/>
        <v>#N/A</v>
      </c>
      <c r="EU25" s="50">
        <f>IF('Final Calculation Sheet'!$AC$25="","",'Final Calculation Sheet'!$AC$25)</f>
        <v>608251</v>
      </c>
      <c r="EV25">
        <f>IF(EU25="","",COUNTIFS(EU$4:EU$40,"&lt;"&amp;EU25,EU$4:EU$40,"&lt;&gt;"&amp;"")+COUNTIF(EU$4:EU25,EU25))</f>
        <v>32</v>
      </c>
      <c r="EW25" s="50">
        <f t="shared" si="61"/>
        <v>188254</v>
      </c>
      <c r="EX25">
        <f>EX24+IF(AND(EW25&lt;&gt;"",COUNTIF(EW$4:EW25,EW25)=1),1,0)</f>
        <v>22</v>
      </c>
      <c r="EY25" s="50">
        <f t="shared" si="62"/>
        <v>188254</v>
      </c>
      <c r="EZ25" s="50">
        <f>IF('Final Calculation Sheet'!$AD$25="","",'Final Calculation Sheet'!$AD$25)</f>
        <v>0</v>
      </c>
      <c r="FA25">
        <f>IF(EZ25="","",COUNTIFS(EZ$4:EZ$40,"&lt;"&amp;EZ25,EZ$4:EZ$40,"&lt;&gt;"&amp;"")+COUNTIF(EZ$4:EZ25,EZ25))</f>
        <v>21</v>
      </c>
      <c r="FB25" s="50">
        <f t="shared" si="63"/>
        <v>0</v>
      </c>
      <c r="FC25">
        <f>FC24+IF(AND(FB25&lt;&gt;"",COUNTIF(FB$4:FB25,FB25)=1),1,0)</f>
        <v>7</v>
      </c>
      <c r="FD25" t="str">
        <f t="shared" si="64"/>
        <v/>
      </c>
      <c r="FE25" t="str">
        <f>IF('Final Calculation Sheet'!$AF$25="","",'Final Calculation Sheet'!$AF$25)</f>
        <v>DR2640100042</v>
      </c>
      <c r="FF25">
        <f>IF(FE25="","",COUNTIFS(FE$4:FE$40,"&lt;"&amp;FE25,FE$4:FE$40,"&lt;&gt;"&amp;"")+COUNTIF(FE$4:FE25,FE25))</f>
        <v>31</v>
      </c>
      <c r="FG25" t="str">
        <f t="shared" si="65"/>
        <v>DR2640100033</v>
      </c>
      <c r="FH25" t="e">
        <f>FH24+IF(AND(FG25&lt;&gt;"",COUNTIF(FG$4:FG25,FG25)=1),1,0)</f>
        <v>#N/A</v>
      </c>
      <c r="FI25" t="e">
        <f t="shared" si="66"/>
        <v>#N/A</v>
      </c>
      <c r="FJ25" s="129">
        <f>IF('Final Calculation Sheet'!$AG$25="","",'Final Calculation Sheet'!$AG$25)</f>
        <v>1800003317</v>
      </c>
      <c r="FK25">
        <f>IF(FJ25="","",COUNTIFS(FJ$4:FJ$40,"&lt;"&amp;FJ25,FJ$4:FJ$40,"&lt;&gt;"&amp;"")+COUNTIF(FJ$4:FJ25,FJ25))</f>
        <v>29</v>
      </c>
      <c r="FL25" s="129">
        <f t="shared" si="67"/>
        <v>1800003310</v>
      </c>
      <c r="FM25">
        <f>FM24+IF(AND(FL25&lt;&gt;"",COUNTIF(FL$4:FL25,FL25)=1),1,0)</f>
        <v>22</v>
      </c>
      <c r="FN25" t="e">
        <f t="shared" si="68"/>
        <v>#N/A</v>
      </c>
      <c r="FO25" t="str">
        <f>IF('Final Calculation Sheet'!$AH$25="","",'Final Calculation Sheet'!$AH$25)</f>
        <v>27.08.2026</v>
      </c>
      <c r="FP25">
        <f>IF(FO25="","",COUNTIFS(FO$4:FO$40,"&lt;"&amp;FO25,FO$4:FO$40,"&lt;&gt;"&amp;"")+COUNTIF(FO$4:FO25,FO25))</f>
        <v>30</v>
      </c>
      <c r="FQ25" t="str">
        <f t="shared" si="69"/>
        <v>27.08.2026</v>
      </c>
      <c r="FR25" t="e">
        <f>FR24+IF(AND(FQ25&lt;&gt;"",COUNTIF(FQ$4:FQ25,FQ25)=1),1,0)</f>
        <v>#N/A</v>
      </c>
      <c r="FS25" t="e">
        <f t="shared" si="70"/>
        <v>#N/A</v>
      </c>
      <c r="FU25" t="str">
        <f>IF(FT25="","",COUNTIFS(FT$4:FT$40,"&lt;"&amp;FT25,FT$4:FT$40,"&lt;&gt;"&amp;"")+COUNTIF(FT$4:FT25,FT25))</f>
        <v/>
      </c>
      <c r="FV25" t="str">
        <f t="shared" si="71"/>
        <v/>
      </c>
      <c r="FW25">
        <f>FW24+IF(AND(FV25&lt;&gt;"",COUNTIF(FV$4:FV25,FV25)=1),1,0)</f>
        <v>2</v>
      </c>
      <c r="FX25" t="str">
        <f t="shared" si="72"/>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5" t="b">
        <f>IF($Y$25="",FALSE,SUMPRODUCT(('Final Calculation Sheet'!$B$4:$B$40=$Y$25)*($FY$6:$FY$42=1))&gt;0)</f>
        <v>1</v>
      </c>
      <c r="GA25">
        <f>$GA$24+--($FZ$25)</f>
        <v>22</v>
      </c>
      <c r="GB25" t="str">
        <f t="shared" si="73"/>
        <v>Scrap of Empty oil drum</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D25" t="b">
        <f>IF($O$25="",FALSE,SUMPRODUCT(('Final Calculation Sheet'!$F$4:$F$40=$O$25)*($GC$6:$GC$42=1))&gt;0)</f>
        <v>1</v>
      </c>
      <c r="GE25">
        <f>$GE$24+--($GD25)</f>
        <v>22</v>
      </c>
      <c r="GF25">
        <f t="shared" si="74"/>
        <v>2033</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H25" t="b">
        <f>IF($T$25="",FALSE,SUMPRODUCT(('Final Calculation Sheet'!$G$4:$G$40=$T$25)*($GG$6:$GG$42=1))&gt;0)</f>
        <v>0</v>
      </c>
      <c r="GI25">
        <f>$GI$24+--($GH25)</f>
        <v>13</v>
      </c>
      <c r="GJ25" t="str">
        <f t="shared" si="75"/>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L25" t="b">
        <f>IF($AD$25="",FALSE,SUMPRODUCT(('Final Calculation Sheet'!$D$4:$D$40=$AD$25)*($GK$6:$GK$42=1))&gt;0)</f>
        <v>0</v>
      </c>
      <c r="GM25">
        <f>$GM$24+--($GL25)</f>
        <v>4</v>
      </c>
      <c r="GN25" t="str">
        <f t="shared" si="76"/>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P25" t="b">
        <f>IF($AI$25="",FALSE,SUMPRODUCT(('Final Calculation Sheet'!$A$4:$A$40=$AI$25)*($GO$6:$GO$42=1))&gt;0)</f>
        <v>1</v>
      </c>
      <c r="GQ25">
        <f>$GQ$24+--($GP25)</f>
        <v>22</v>
      </c>
      <c r="GR25">
        <f t="shared" si="77"/>
        <v>7253</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T25" t="b">
        <f>IF($AN$25="",FALSE,SUMPRODUCT(('Final Calculation Sheet'!$E$4:$E$40=$AN$25)*($GS$6:$GS$42=1))&gt;0)</f>
        <v>0</v>
      </c>
      <c r="GU25">
        <f>$GU$24+--($GT25)</f>
        <v>3</v>
      </c>
      <c r="GV25" t="str">
        <f t="shared" si="78"/>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GX25" t="b">
        <f>IF($AS$25="",FALSE,SUMPRODUCT(('Final Calculation Sheet'!$C$4:$C$40=$AS$25)*($GW$6:$GW$42=1))&gt;0)</f>
        <v>1</v>
      </c>
      <c r="GY25">
        <f>$GY$24+--($GX25)</f>
        <v>22</v>
      </c>
      <c r="GZ25">
        <f t="shared" si="79"/>
        <v>54000</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B25" t="b">
        <f>IF($AX$25="",FALSE,SUMPRODUCT(('Final Calculation Sheet'!$H$4:$H$40=$AX$25)*($HA$6:$HA$42=1))&gt;0)</f>
        <v>1</v>
      </c>
      <c r="HC25">
        <f>$HC$24+--($HB25)</f>
        <v>22</v>
      </c>
      <c r="HD25">
        <f t="shared" si="80"/>
        <v>206044</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F25" t="b">
        <f>IF($BC$25="",FALSE,SUMPRODUCT(('Final Calculation Sheet'!$I$4:$I$40=$BC$25)*($HE$6:$HE$42=1))&gt;0)</f>
        <v>1</v>
      </c>
      <c r="HG25">
        <f>$HG$24+--($HF25)</f>
        <v>22</v>
      </c>
      <c r="HH25">
        <f t="shared" si="81"/>
        <v>37088</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J25" t="b">
        <f>IF($BH$25="",FALSE,SUMPRODUCT(('Final Calculation Sheet'!$J$4:$J$40=$BH$25)*($HI$6:$HI$42=1))&gt;0)</f>
        <v>1</v>
      </c>
      <c r="HK25">
        <f>$HK$24+--($HJ25)</f>
        <v>22</v>
      </c>
      <c r="HL25">
        <f t="shared" si="82"/>
        <v>243132</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N25" t="b">
        <f>IF($BM$25="",FALSE,SUMPRODUCT(('Final Calculation Sheet'!$K$4:$K$40=$BM$25)*($HM$6:$HM$42=1))&gt;0)</f>
        <v>1</v>
      </c>
      <c r="HO25">
        <f>$HO$24+--($HN25)</f>
        <v>22</v>
      </c>
      <c r="HP25">
        <f t="shared" si="83"/>
        <v>4863</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R25" t="b">
        <f>IF($BR$25="",FALSE,SUMPRODUCT(('Final Calculation Sheet'!$L$4:$L$40=$BR$25)*($HQ$6:$HQ$42=1))&gt;0)</f>
        <v>1</v>
      </c>
      <c r="HS25">
        <f>$HS$24+--($HR25)</f>
        <v>22</v>
      </c>
      <c r="HT25">
        <f t="shared" si="84"/>
        <v>206.04400000000001</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V25" t="b">
        <f>IF($BW$25="",FALSE,SUMPRODUCT(('Final Calculation Sheet'!$M$4:$M$40=$BW$25)*($HU$6:$HU$42=1))&gt;0)</f>
        <v>1</v>
      </c>
      <c r="HW25">
        <f>$HW$24+--($HV25)</f>
        <v>22</v>
      </c>
      <c r="HX25">
        <f t="shared" si="85"/>
        <v>5470.4681999999993</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HZ25" t="b">
        <f>IF($CB$25="",FALSE,SUMPRODUCT(('Final Calculation Sheet'!$N$4:$N$40=$CB$25)*($HY$6:$HY$42=1))&gt;0)</f>
        <v>1</v>
      </c>
      <c r="IA25">
        <f>$IA$24+--($HZ25)</f>
        <v>22</v>
      </c>
      <c r="IB25">
        <f t="shared" si="86"/>
        <v>92.719799999999992</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D25" t="b">
        <f>IF($CG$25="",FALSE,SUMPRODUCT(('Final Calculation Sheet'!$O$4:$O$40=$CG$25)*($IC$6:$IC$42=1))&gt;0)</f>
        <v>1</v>
      </c>
      <c r="IE25">
        <f>$IE$24+--($ID25)</f>
        <v>22</v>
      </c>
      <c r="IF25">
        <f t="shared" si="87"/>
        <v>5377.7483999999995</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H25" t="b">
        <f>IF($CL$25="",FALSE,SUMPRODUCT(('Final Calculation Sheet'!$P$4:$P$40=$CL$25)*($IG$6:$IG$42=1))&gt;0)</f>
        <v>1</v>
      </c>
      <c r="II25">
        <f>$II$24+--($IH25)</f>
        <v>22</v>
      </c>
      <c r="IJ25">
        <f t="shared" si="88"/>
        <v>5584</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L25" t="b">
        <f>IF($CQ$25="",FALSE,SUMPRODUCT(('Final Calculation Sheet'!$Q$4:$Q$40=$CQ$25)*($IK$6:$IK$42=1))&gt;0)</f>
        <v>0</v>
      </c>
      <c r="IM25">
        <f>$IM$24+--($IL25)</f>
        <v>2</v>
      </c>
      <c r="IN25" t="str">
        <f t="shared" si="89"/>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P25" t="b">
        <f>IF($CV$25="",FALSE,SUMPRODUCT(('Final Calculation Sheet'!$R$4:$R$40=$CV$25)*($IO$6:$IO$42=1))&gt;0)</f>
        <v>0</v>
      </c>
      <c r="IQ25">
        <f>$IQ$24+--($IP25)</f>
        <v>5</v>
      </c>
      <c r="IR25" t="str">
        <f t="shared" si="90"/>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T25" t="b">
        <f>IF($DA$25="",FALSE,SUMPRODUCT(('Final Calculation Sheet'!$S$4:$S$40=$DA$25)*($IS$6:$IS$42=1))&gt;0)</f>
        <v>1</v>
      </c>
      <c r="IU25">
        <f>$IU$24+--($IT25)</f>
        <v>22</v>
      </c>
      <c r="IV25">
        <f t="shared" si="91"/>
        <v>242411</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IX25" t="b">
        <f>IF($DF$25="",FALSE,SUMPRODUCT(('Final Calculation Sheet'!$T$4:$T$40=$DF$25)*($IW$6:$IW$42=1))&gt;0)</f>
        <v>1</v>
      </c>
      <c r="IY25">
        <f>$IY$24+--($IX25)</f>
        <v>22</v>
      </c>
      <c r="IZ25">
        <f t="shared" si="92"/>
        <v>51511</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B25" t="b">
        <f>IF($DK$25="",FALSE,SUMPRODUCT(('Final Calculation Sheet'!$U$4:$U$40=$DK$25)*($JA$6:$JA$42=1))&gt;0)</f>
        <v>1</v>
      </c>
      <c r="JC25">
        <f>$JC$24+--($JB25)</f>
        <v>22</v>
      </c>
      <c r="JD25">
        <f t="shared" si="93"/>
        <v>51511</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F25" t="b">
        <f>IF($DP$25="",FALSE,SUMPRODUCT(('Final Calculation Sheet'!$V$4:$V$40=$DP$25)*($JE$6:$JE$42=1))&gt;0)</f>
        <v>0</v>
      </c>
      <c r="JG25">
        <f>$JG$24+--($JF25)</f>
        <v>6</v>
      </c>
      <c r="JH25" t="str">
        <f t="shared" si="94"/>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J25" t="b">
        <f>IF($DU$25="",FALSE,SUMPRODUCT(('Final Calculation Sheet'!$W$4:$W$40=$DU$25)*($JI$6:$JI$42=1))&gt;0)</f>
        <v>1</v>
      </c>
      <c r="JK25">
        <f>$JK$24+--($JJ25)</f>
        <v>22</v>
      </c>
      <c r="JL25">
        <f t="shared" si="95"/>
        <v>190900</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N25" t="e">
        <f>IF($DZ$25="",FALSE,SUMPRODUCT(('Final Calculation Sheet'!$X$4:$X$40=$DZ$25)*($JM$6:$JM$42=1))&gt;0)</f>
        <v>#N/A</v>
      </c>
      <c r="JO25" t="e">
        <f>$JO$24+--($JN25)</f>
        <v>#N/A</v>
      </c>
      <c r="JP25" t="e">
        <f t="shared" si="96"/>
        <v>#N/A</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R25" t="e">
        <f>IF($EE$25="",FALSE,SUMPRODUCT(('Final Calculation Sheet'!$Y$4:$Y$40=$EE$25)*($JQ$6:$JQ$42=1))&gt;0)</f>
        <v>#N/A</v>
      </c>
      <c r="JS25" t="e">
        <f>$JS$24+--($JR25)</f>
        <v>#N/A</v>
      </c>
      <c r="JT25" t="e">
        <f t="shared" si="97"/>
        <v>#N/A</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V25" t="b">
        <f ca="1">IF($EJ$25="",FALSE,SUMPRODUCT(('Final Calculation Sheet'!$Z$4:$Z$40=$EJ$25)*($JU$6:$JU$42=1))&gt;0)</f>
        <v>1</v>
      </c>
      <c r="JW25">
        <f ca="1">$JW$24+--($JV25)</f>
        <v>22</v>
      </c>
      <c r="JX25">
        <f t="shared" ca="1" si="98"/>
        <v>7293.9575999999997</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JZ25" t="e">
        <f>IF($EO$25="",FALSE,SUMPRODUCT(('Final Calculation Sheet'!$AA$4:$AA$40=$EO$25)*($JY$6:$JY$42=1))&gt;0)</f>
        <v>#N/A</v>
      </c>
      <c r="KA25" t="e">
        <f>$KA$24+--($JZ25)</f>
        <v>#N/A</v>
      </c>
      <c r="KB25" t="e">
        <f t="shared" si="99"/>
        <v>#N/A</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D25" t="e">
        <f>IF($ET$25="",FALSE,SUMPRODUCT(('Final Calculation Sheet'!$AB$4:$AB$40=$ET$25)*($KC$6:$KC$42=1))&gt;0)</f>
        <v>#N/A</v>
      </c>
      <c r="KE25" t="e">
        <f>$KE$24+--($KD25)</f>
        <v>#N/A</v>
      </c>
      <c r="KF25" t="e">
        <f t="shared" si="100"/>
        <v>#N/A</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H25" t="b">
        <f>IF($EY$25="",FALSE,SUMPRODUCT(('Final Calculation Sheet'!$AC$4:$AC$40=$EY$25)*($KG$6:$KG$42=1))&gt;0)</f>
        <v>1</v>
      </c>
      <c r="KI25">
        <f>$KI$24+--($KH25)</f>
        <v>22</v>
      </c>
      <c r="KJ25">
        <f t="shared" si="101"/>
        <v>188254</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L25" t="b">
        <f>IF($FD$25="",FALSE,SUMPRODUCT(('Final Calculation Sheet'!$AD$4:$AD$40=$FD$25)*($KK$6:$KK$42=1))&gt;0)</f>
        <v>0</v>
      </c>
      <c r="KM25">
        <f>$KM$24+--($KL25)</f>
        <v>11</v>
      </c>
      <c r="KN25" t="str">
        <f t="shared" si="102"/>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P25" t="b">
        <f>IF($FX$25="",FALSE,SUMPRODUCT((IF('Final Calculation Sheet'!$AD$4:$AD$40&lt;=5,"SETTLED","OUTSTANDING")=$FX$25)*($KO$6:$KO$42=1))&gt;0)</f>
        <v>0</v>
      </c>
      <c r="KQ25">
        <f>$KQ$24+--($KP25)</f>
        <v>1</v>
      </c>
      <c r="KR25" t="str">
        <f t="shared" si="103"/>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T25" t="e">
        <f>IF($FI$25="",FALSE,SUMPRODUCT(('Final Calculation Sheet'!$AF$4:$AF$40=$FI$25)*($KS$6:$KS$42=1))&gt;0)</f>
        <v>#N/A</v>
      </c>
      <c r="KU25" t="e">
        <f>$KU$24+--($KT25)</f>
        <v>#N/A</v>
      </c>
      <c r="KV25" t="e">
        <f t="shared" si="104"/>
        <v>#N/A</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KX25" t="e">
        <f>IF($FN$25="",FALSE,SUMPRODUCT(('Final Calculation Sheet'!$AG$4:$AG$40=$FN$25)*($KW$6:$KW$42=1))&gt;0)</f>
        <v>#N/A</v>
      </c>
      <c r="KY25" t="e">
        <f>$KY$24+--($KX25)</f>
        <v>#N/A</v>
      </c>
      <c r="KZ25" t="e">
        <f t="shared" si="105"/>
        <v>#N/A</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LB25" t="e">
        <f>IF($FS$25="",FALSE,SUMPRODUCT(('Final Calculation Sheet'!$AH$4:$AH$40=$FS$25)*($LA$6:$LA$42=1))&gt;0)</f>
        <v>#N/A</v>
      </c>
      <c r="LC25" t="e">
        <f>$LC$24+--($LB25)</f>
        <v>#N/A</v>
      </c>
      <c r="LD25" t="e">
        <f t="shared" si="106"/>
        <v>#N/A</v>
      </c>
      <c r="LE25">
        <f>IF(COUNTIF('Buyer Groups'!DH25:EN25,0)&gt;0,0,1)</f>
        <v>1</v>
      </c>
      <c r="LF25" t="b">
        <f>IF($O$25="",FALSE,SUMPRODUCT(('Final Calculation Sheet'!$F$4:$F$40=$O$25)*($LE$6:$LE$42=1))&gt;0)</f>
        <v>1</v>
      </c>
      <c r="LG25">
        <f>$LG$24+--($LF25)</f>
        <v>22</v>
      </c>
      <c r="LH25">
        <f t="shared" si="107"/>
        <v>2033</v>
      </c>
      <c r="LI25">
        <f>IF(COUNTIF('Buyer Groups'!DG25:DG25,0)+COUNTIF('Buyer Groups'!DI25:EN25,0)&gt;0,0,1)</f>
        <v>1</v>
      </c>
      <c r="LJ25" t="b">
        <f>IF($T$25="",FALSE,SUMPRODUCT(('Final Calculation Sheet'!$G$4:$G$40=$T$25)*($LI$6:$LI$42=1))&gt;0)</f>
        <v>0</v>
      </c>
      <c r="LK25">
        <f>$LK$24+--($LJ25)</f>
        <v>13</v>
      </c>
      <c r="LL25" t="str">
        <f t="shared" si="108"/>
        <v/>
      </c>
      <c r="LM25">
        <f>IF(COUNTIF('Buyer Groups'!DG25:DH25,0)+COUNTIF('Buyer Groups'!DJ25:EN25,0)&gt;0,0,1)</f>
        <v>1</v>
      </c>
      <c r="LN25" t="b">
        <f>IF($Y$25="",FALSE,SUMPRODUCT(('Final Calculation Sheet'!$B$4:$B$40=$Y$25)*($LM$6:$LM$42=1))&gt;0)</f>
        <v>1</v>
      </c>
      <c r="LO25">
        <f>$LO$24+--($LN25)</f>
        <v>22</v>
      </c>
      <c r="LP25" t="str">
        <f t="shared" si="109"/>
        <v>Scrap of Empty oil drum</v>
      </c>
      <c r="LQ25">
        <f>IF(COUNTIF('Buyer Groups'!DG25:DI25,0)+COUNTIF('Buyer Groups'!DK25:EN25,0)&gt;0,0,1)</f>
        <v>1</v>
      </c>
      <c r="LR25" t="b">
        <f>IF($AD$25="",FALSE,SUMPRODUCT(('Final Calculation Sheet'!$D$4:$D$40=$AD$25)*($LQ$6:$LQ$42=1))&gt;0)</f>
        <v>0</v>
      </c>
      <c r="LS25">
        <f>$LS$24+--($LR25)</f>
        <v>4</v>
      </c>
      <c r="LT25" t="str">
        <f t="shared" si="110"/>
        <v/>
      </c>
      <c r="LU25">
        <f>IF(COUNTIF('Buyer Groups'!DG25:DJ25,0)+COUNTIF('Buyer Groups'!DL25:EN25,0)&gt;0,0,1)</f>
        <v>1</v>
      </c>
      <c r="LV25" t="b">
        <f>IF($AI$25="",FALSE,SUMPRODUCT(('Final Calculation Sheet'!$A$4:$A$40=$AI$25)*($LU$6:$LU$42=1))&gt;0)</f>
        <v>1</v>
      </c>
      <c r="LW25">
        <f>$LW$24+--($LV25)</f>
        <v>22</v>
      </c>
      <c r="LX25">
        <f t="shared" si="111"/>
        <v>7253</v>
      </c>
      <c r="LY25">
        <f>IF(COUNTIF('Buyer Groups'!DG25:DK25,0)+COUNTIF('Buyer Groups'!DM25:EN25,0)&gt;0,0,1)</f>
        <v>1</v>
      </c>
      <c r="LZ25" t="b">
        <f>IF($AN$25="",FALSE,SUMPRODUCT(('Final Calculation Sheet'!$E$4:$E$40=$AN$25)*($LY$6:$LY$42=1))&gt;0)</f>
        <v>0</v>
      </c>
      <c r="MA25">
        <f>$MA$24+--($LZ25)</f>
        <v>3</v>
      </c>
      <c r="MB25" t="str">
        <f t="shared" si="112"/>
        <v/>
      </c>
      <c r="MC25">
        <f>IF(COUNTIF('Buyer Groups'!DG25:DL25,0)+COUNTIF('Buyer Groups'!DN25:EN25,0)&gt;0,0,1)</f>
        <v>1</v>
      </c>
      <c r="MD25" t="b">
        <f>IF($AS$25="",FALSE,SUMPRODUCT(('Final Calculation Sheet'!$C$4:$C$40=$AS$25)*($MC$6:$MC$42=1))&gt;0)</f>
        <v>1</v>
      </c>
      <c r="ME25">
        <f>$ME$24+--($MD25)</f>
        <v>22</v>
      </c>
      <c r="MF25">
        <f t="shared" si="113"/>
        <v>54000</v>
      </c>
      <c r="MG25">
        <f>IF(COUNTIF('Buyer Groups'!DG25:DM25,0)+COUNTIF('Buyer Groups'!DO25:EN25,0)&gt;0,0,1)</f>
        <v>1</v>
      </c>
      <c r="MH25" t="b">
        <f>IF($AX$25="",FALSE,SUMPRODUCT(('Final Calculation Sheet'!$H$4:$H$40=$AX$25)*($MG$6:$MG$42=1))&gt;0)</f>
        <v>1</v>
      </c>
      <c r="MI25">
        <f>$MI$24+--($MH25)</f>
        <v>22</v>
      </c>
      <c r="MJ25">
        <f t="shared" si="114"/>
        <v>206044</v>
      </c>
      <c r="MK25">
        <f>IF(COUNTIF('Buyer Groups'!DG25:DN25,0)+COUNTIF('Buyer Groups'!DP25:EN25,0)&gt;0,0,1)</f>
        <v>1</v>
      </c>
      <c r="ML25" t="b">
        <f>IF($BC$25="",FALSE,SUMPRODUCT(('Final Calculation Sheet'!$I$4:$I$40=$BC$25)*($MK$6:$MK$42=1))&gt;0)</f>
        <v>1</v>
      </c>
      <c r="MM25">
        <f>$MM$24+--($ML25)</f>
        <v>22</v>
      </c>
      <c r="MN25">
        <f t="shared" si="115"/>
        <v>37088</v>
      </c>
      <c r="MO25">
        <f>IF(COUNTIF('Buyer Groups'!DG25:DO25,0)+COUNTIF('Buyer Groups'!DQ25:EN25,0)&gt;0,0,1)</f>
        <v>1</v>
      </c>
      <c r="MP25" t="b">
        <f>IF($BH$25="",FALSE,SUMPRODUCT(('Final Calculation Sheet'!$J$4:$J$40=$BH$25)*($MO$6:$MO$42=1))&gt;0)</f>
        <v>1</v>
      </c>
      <c r="MQ25">
        <f>$MQ$24+--($MP25)</f>
        <v>22</v>
      </c>
      <c r="MR25">
        <f t="shared" si="116"/>
        <v>243132</v>
      </c>
      <c r="MS25">
        <f>IF(COUNTIF('Buyer Groups'!DG25:DP25,0)+COUNTIF('Buyer Groups'!DR25:EN25,0)&gt;0,0,1)</f>
        <v>1</v>
      </c>
      <c r="MT25" t="b">
        <f>IF($BM$25="",FALSE,SUMPRODUCT(('Final Calculation Sheet'!$K$4:$K$40=$BM$25)*($MS$6:$MS$42=1))&gt;0)</f>
        <v>1</v>
      </c>
      <c r="MU25">
        <f>$MU$24+--($MT25)</f>
        <v>22</v>
      </c>
      <c r="MV25">
        <f t="shared" si="117"/>
        <v>4863</v>
      </c>
      <c r="MW25">
        <f>IF(COUNTIF('Buyer Groups'!DG25:DQ25,0)+COUNTIF('Buyer Groups'!DS25:EN25,0)&gt;0,0,1)</f>
        <v>1</v>
      </c>
      <c r="MX25" t="b">
        <f>IF($BR$25="",FALSE,SUMPRODUCT(('Final Calculation Sheet'!$L$4:$L$40=$BR$25)*($MW$6:$MW$42=1))&gt;0)</f>
        <v>1</v>
      </c>
      <c r="MY25">
        <f>$MY$24+--($MX25)</f>
        <v>22</v>
      </c>
      <c r="MZ25">
        <f t="shared" si="118"/>
        <v>206.04400000000001</v>
      </c>
      <c r="NA25">
        <f>IF(COUNTIF('Buyer Groups'!DG25:DR25,0)+COUNTIF('Buyer Groups'!DT25:EN25,0)&gt;0,0,1)</f>
        <v>1</v>
      </c>
      <c r="NB25" t="b">
        <f>IF($BW$25="",FALSE,SUMPRODUCT(('Final Calculation Sheet'!$M$4:$M$40=$BW$25)*($NA$6:$NA$42=1))&gt;0)</f>
        <v>1</v>
      </c>
      <c r="NC25">
        <f>$NC$24+--($NB25)</f>
        <v>22</v>
      </c>
      <c r="ND25">
        <f t="shared" si="119"/>
        <v>5470.4681999999993</v>
      </c>
      <c r="NE25">
        <f>IF(COUNTIF('Buyer Groups'!DG25:DS25,0)+COUNTIF('Buyer Groups'!DU25:EN25,0)&gt;0,0,1)</f>
        <v>1</v>
      </c>
      <c r="NF25" t="b">
        <f>IF($CB$25="",FALSE,SUMPRODUCT(('Final Calculation Sheet'!$N$4:$N$40=$CB$25)*($NE$6:$NE$42=1))&gt;0)</f>
        <v>1</v>
      </c>
      <c r="NG25">
        <f>$NG$24+--($NF25)</f>
        <v>22</v>
      </c>
      <c r="NH25">
        <f t="shared" si="120"/>
        <v>92.719799999999992</v>
      </c>
      <c r="NI25">
        <f>IF(COUNTIF('Buyer Groups'!DG25:DT25,0)+COUNTIF('Buyer Groups'!DV25:EN25,0)&gt;0,0,1)</f>
        <v>1</v>
      </c>
      <c r="NJ25" t="b">
        <f>IF($CG$25="",FALSE,SUMPRODUCT(('Final Calculation Sheet'!$O$4:$O$40=$CG$25)*($NI$6:$NI$42=1))&gt;0)</f>
        <v>1</v>
      </c>
      <c r="NK25">
        <f>$NK$24+--($NJ25)</f>
        <v>22</v>
      </c>
      <c r="NL25">
        <f t="shared" si="121"/>
        <v>5377.7483999999995</v>
      </c>
      <c r="NM25">
        <f>IF(COUNTIF('Buyer Groups'!DG25:DU25,0)+COUNTIF('Buyer Groups'!DW25:EN25,0)&gt;0,0,1)</f>
        <v>1</v>
      </c>
      <c r="NN25" t="b">
        <f>IF($CL$25="",FALSE,SUMPRODUCT(('Final Calculation Sheet'!$P$4:$P$40=$CL$25)*($NM$6:$NM$42=1))&gt;0)</f>
        <v>1</v>
      </c>
      <c r="NO25">
        <f>$NO$24+--($NN25)</f>
        <v>22</v>
      </c>
      <c r="NP25">
        <f t="shared" si="122"/>
        <v>5584</v>
      </c>
      <c r="NQ25">
        <f>IF(COUNTIF('Buyer Groups'!DG25:DV25,0)+COUNTIF('Buyer Groups'!DX25:EN25,0)&gt;0,0,1)</f>
        <v>1</v>
      </c>
      <c r="NR25" t="b">
        <f>IF($CQ$25="",FALSE,SUMPRODUCT(('Final Calculation Sheet'!$Q$4:$Q$40=$CQ$25)*($NQ$6:$NQ$42=1))&gt;0)</f>
        <v>0</v>
      </c>
      <c r="NS25">
        <f>$NS$24+--($NR25)</f>
        <v>2</v>
      </c>
      <c r="NT25" t="str">
        <f t="shared" si="123"/>
        <v/>
      </c>
      <c r="NU25">
        <f>IF(COUNTIF('Buyer Groups'!DG25:DW25,0)+COUNTIF('Buyer Groups'!DY25:EN25,0)&gt;0,0,1)</f>
        <v>1</v>
      </c>
      <c r="NV25" t="b">
        <f>IF($CV$25="",FALSE,SUMPRODUCT(('Final Calculation Sheet'!$R$4:$R$40=$CV$25)*($NU$6:$NU$42=1))&gt;0)</f>
        <v>0</v>
      </c>
      <c r="NW25">
        <f>$NW$24+--($NV25)</f>
        <v>5</v>
      </c>
      <c r="NX25" t="str">
        <f t="shared" si="124"/>
        <v/>
      </c>
      <c r="NY25">
        <f>IF(COUNTIF('Buyer Groups'!DG25:DX25,0)+COUNTIF('Buyer Groups'!DZ25:EN25,0)&gt;0,0,1)</f>
        <v>1</v>
      </c>
      <c r="NZ25" t="b">
        <f>IF($DA$25="",FALSE,SUMPRODUCT(('Final Calculation Sheet'!$S$4:$S$40=$DA$25)*($NY$6:$NY$42=1))&gt;0)</f>
        <v>1</v>
      </c>
      <c r="OA25">
        <f>$OA$24+--($NZ25)</f>
        <v>22</v>
      </c>
      <c r="OB25">
        <f t="shared" si="125"/>
        <v>242411</v>
      </c>
      <c r="OC25">
        <f>IF(COUNTIF('Buyer Groups'!DG25:DY25,0)+COUNTIF('Buyer Groups'!EA25:EN25,0)&gt;0,0,1)</f>
        <v>1</v>
      </c>
      <c r="OD25" t="b">
        <f>IF($DF$25="",FALSE,SUMPRODUCT(('Final Calculation Sheet'!$T$4:$T$40=$DF$25)*($OC$6:$OC$42=1))&gt;0)</f>
        <v>1</v>
      </c>
      <c r="OE25">
        <f>$OE$24+--($OD25)</f>
        <v>22</v>
      </c>
      <c r="OF25">
        <f t="shared" si="126"/>
        <v>51511</v>
      </c>
      <c r="OG25">
        <f>IF(COUNTIF('Buyer Groups'!DG25:DZ25,0)+COUNTIF('Buyer Groups'!EB25:EN25,0)&gt;0,0,1)</f>
        <v>1</v>
      </c>
      <c r="OH25" t="b">
        <f>IF($DK$25="",FALSE,SUMPRODUCT(('Final Calculation Sheet'!$U$4:$U$40=$DK$25)*($OG$6:$OG$42=1))&gt;0)</f>
        <v>1</v>
      </c>
      <c r="OI25">
        <f>$OI$24+--($OH25)</f>
        <v>22</v>
      </c>
      <c r="OJ25">
        <f t="shared" si="127"/>
        <v>51511</v>
      </c>
      <c r="OK25">
        <f>IF(COUNTIF('Buyer Groups'!DG25:EA25,0)+COUNTIF('Buyer Groups'!EC25:EN25,0)&gt;0,0,1)</f>
        <v>1</v>
      </c>
      <c r="OL25" t="b">
        <f>IF($DP$25="",FALSE,SUMPRODUCT(('Final Calculation Sheet'!$V$4:$V$40=$DP$25)*($OK$6:$OK$42=1))&gt;0)</f>
        <v>0</v>
      </c>
      <c r="OM25">
        <f>$OM$24+--($OL25)</f>
        <v>6</v>
      </c>
      <c r="ON25" t="str">
        <f t="shared" si="128"/>
        <v/>
      </c>
      <c r="OO25">
        <f>IF(COUNTIF('Buyer Groups'!DG25:EB25,0)+COUNTIF('Buyer Groups'!ED25:EN25,0)&gt;0,0,1)</f>
        <v>1</v>
      </c>
      <c r="OP25" t="b">
        <f>IF($DU$25="",FALSE,SUMPRODUCT(('Final Calculation Sheet'!$W$4:$W$40=$DU$25)*($OO$6:$OO$42=1))&gt;0)</f>
        <v>1</v>
      </c>
      <c r="OQ25">
        <f>$OQ$24+--($OP25)</f>
        <v>22</v>
      </c>
      <c r="OR25">
        <f t="shared" si="129"/>
        <v>190900</v>
      </c>
      <c r="OS25">
        <f>IF(COUNTIF('Buyer Groups'!DG25:EC25,0)+COUNTIF('Buyer Groups'!EE25:EN25,0)&gt;0,0,1)</f>
        <v>1</v>
      </c>
      <c r="OT25" t="e">
        <f>IF($DZ$25="",FALSE,SUMPRODUCT(('Final Calculation Sheet'!$X$4:$X$40=$DZ$25)*($OS$6:$OS$42=1))&gt;0)</f>
        <v>#N/A</v>
      </c>
      <c r="OU25" t="e">
        <f>$OU$24+--($OT25)</f>
        <v>#N/A</v>
      </c>
      <c r="OV25" t="e">
        <f t="shared" si="130"/>
        <v>#N/A</v>
      </c>
      <c r="OW25">
        <f>IF(COUNTIF('Buyer Groups'!DG25:ED25,0)+COUNTIF('Buyer Groups'!EF25:EN25,0)&gt;0,0,1)</f>
        <v>1</v>
      </c>
      <c r="OX25" t="e">
        <f>IF($EE$25="",FALSE,SUMPRODUCT(('Final Calculation Sheet'!$Y$4:$Y$40=$EE$25)*($OW$6:$OW$42=1))&gt;0)</f>
        <v>#N/A</v>
      </c>
      <c r="OY25" t="e">
        <f>$OY$24+--($OX25)</f>
        <v>#N/A</v>
      </c>
      <c r="OZ25" t="e">
        <f t="shared" si="131"/>
        <v>#N/A</v>
      </c>
      <c r="PA25">
        <f>IF(COUNTIF('Buyer Groups'!DG25:EE25,0)+COUNTIF('Buyer Groups'!EG25:EN25,0)&gt;0,0,1)</f>
        <v>1</v>
      </c>
      <c r="PB25" t="b">
        <f ca="1">IF($EJ$25="",FALSE,SUMPRODUCT(('Final Calculation Sheet'!$Z$4:$Z$40=$EJ$25)*($PA$6:$PA$42=1))&gt;0)</f>
        <v>1</v>
      </c>
      <c r="PC25">
        <f ca="1">$PC$24+--($PB25)</f>
        <v>22</v>
      </c>
      <c r="PD25">
        <f t="shared" ca="1" si="132"/>
        <v>7293.9575999999997</v>
      </c>
      <c r="PE25">
        <f>IF(COUNTIF('Buyer Groups'!DG25:EF25,0)+COUNTIF('Buyer Groups'!EH25:EN25,0)&gt;0,0,1)</f>
        <v>1</v>
      </c>
      <c r="PF25" t="e">
        <f>IF($EO$25="",FALSE,SUMPRODUCT(('Final Calculation Sheet'!$AA$4:$AA$40=$EO$25)*($PE$6:$PE$42=1))&gt;0)</f>
        <v>#N/A</v>
      </c>
      <c r="PG25" t="e">
        <f>$PG$24+--($PF25)</f>
        <v>#N/A</v>
      </c>
      <c r="PH25" t="e">
        <f t="shared" si="133"/>
        <v>#N/A</v>
      </c>
      <c r="PI25">
        <f>IF(COUNTIF('Buyer Groups'!DG25:EG25,0)+COUNTIF('Buyer Groups'!EI25:EN25,0)&gt;0,0,1)</f>
        <v>1</v>
      </c>
      <c r="PJ25" t="e">
        <f>IF($ET$25="",FALSE,SUMPRODUCT(('Final Calculation Sheet'!$AB$4:$AB$40=$ET$25)*($PI$6:$PI$42=1))&gt;0)</f>
        <v>#N/A</v>
      </c>
      <c r="PK25" t="e">
        <f>$PK$24+--($PJ25)</f>
        <v>#N/A</v>
      </c>
      <c r="PL25" t="e">
        <f t="shared" si="134"/>
        <v>#N/A</v>
      </c>
      <c r="PM25">
        <f>IF(COUNTIF('Buyer Groups'!DG25:EH25,0)+COUNTIF('Buyer Groups'!EJ25:EN25,0)&gt;0,0,1)</f>
        <v>1</v>
      </c>
      <c r="PN25" t="b">
        <f>IF($EY$25="",FALSE,SUMPRODUCT(('Final Calculation Sheet'!$AC$4:$AC$40=$EY$25)*($PM$6:$PM$42=1))&gt;0)</f>
        <v>1</v>
      </c>
      <c r="PO25">
        <f>$PO$24+--($PN25)</f>
        <v>22</v>
      </c>
      <c r="PP25">
        <f t="shared" si="135"/>
        <v>188254</v>
      </c>
      <c r="PQ25">
        <f>IF(COUNTIF('Buyer Groups'!DG25:EI25,0)+COUNTIF('Buyer Groups'!EK25:EN25,0)&gt;0,0,1)</f>
        <v>1</v>
      </c>
      <c r="PR25" t="b">
        <f>IF($FD$25="",FALSE,SUMPRODUCT(('Final Calculation Sheet'!$AD$4:$AD$40=$FD$25)*($PQ$6:$PQ$42=1))&gt;0)</f>
        <v>0</v>
      </c>
      <c r="PS25">
        <f>$PS$24+--($PR25)</f>
        <v>11</v>
      </c>
      <c r="PT25" t="str">
        <f t="shared" si="136"/>
        <v/>
      </c>
      <c r="PU25">
        <f>IF(COUNTIF('Buyer Groups'!DG25:EJ25,0)+COUNTIF('Buyer Groups'!EL25:EN25,0)&gt;0,0,1)</f>
        <v>1</v>
      </c>
      <c r="PV25" t="b">
        <f>IF($FX$25="",FALSE,SUMPRODUCT((IF('Final Calculation Sheet'!$AD$4:$AD$40&lt;=5,"SETTLED","OUTSTANDING")=$FX$25)*($PU$6:$PU$42=1))&gt;0)</f>
        <v>0</v>
      </c>
      <c r="PW25">
        <f>$PW$24+--($PV25)</f>
        <v>1</v>
      </c>
      <c r="PX25" t="str">
        <f t="shared" si="137"/>
        <v/>
      </c>
      <c r="PY25">
        <f>IF(COUNTIF('Buyer Groups'!DG25:EK25,0)+COUNTIF('Buyer Groups'!EM25:EN25,0)&gt;0,0,1)</f>
        <v>1</v>
      </c>
      <c r="PZ25" t="e">
        <f>IF($FI$25="",FALSE,SUMPRODUCT(('Final Calculation Sheet'!$AF$4:$AF$40=$FI$25)*($PY$6:$PY$42=1))&gt;0)</f>
        <v>#N/A</v>
      </c>
      <c r="QA25" t="e">
        <f>$QA$24+--($PZ25)</f>
        <v>#N/A</v>
      </c>
      <c r="QB25" t="e">
        <f t="shared" si="138"/>
        <v>#N/A</v>
      </c>
      <c r="QC25">
        <f>IF(COUNTIF('Buyer Groups'!DG25:EL25,0)+COUNTIF('Buyer Groups'!EN25:EN25,0)&gt;0,0,1)</f>
        <v>1</v>
      </c>
      <c r="QD25" t="e">
        <f>IF($FN$25="",FALSE,SUMPRODUCT(('Final Calculation Sheet'!$AG$4:$AG$40=$FN$25)*($QC$6:$QC$42=1))&gt;0)</f>
        <v>#N/A</v>
      </c>
      <c r="QE25" t="e">
        <f>$QE$24+--($QD25)</f>
        <v>#N/A</v>
      </c>
      <c r="QF25" t="e">
        <f t="shared" si="139"/>
        <v>#N/A</v>
      </c>
      <c r="QG25">
        <f>IF(COUNTIF('Buyer Groups'!DG25:EM25,0)&gt;0,0,1)</f>
        <v>1</v>
      </c>
      <c r="QH25" t="e">
        <f>IF($FS$25="",FALSE,SUMPRODUCT(('Final Calculation Sheet'!$AH$4:$AH$40=$FS$25)*($QG$6:$QG$42=1))&gt;0)</f>
        <v>#N/A</v>
      </c>
      <c r="QI25" t="e">
        <f>$QI$24+--($QH25)</f>
        <v>#N/A</v>
      </c>
      <c r="QJ25" t="e">
        <f t="shared" si="140"/>
        <v>#N/A</v>
      </c>
      <c r="QK25" t="str">
        <f>IF('Final Calculation Sheet'!$AH$25="","",'Final Calculation Sheet'!$AH$25)</f>
        <v>27.08.2026</v>
      </c>
      <c r="QL25">
        <f>IF(QK25="","",COUNTIFS(QK$4:QK$40,"&lt;"&amp;QK25,QK$4:QK$40,"&lt;&gt;"&amp;"")+COUNTIF(QK$4:QK25,QK25))</f>
        <v>30</v>
      </c>
      <c r="QM25" t="str">
        <f t="shared" si="141"/>
        <v>27.08.2026</v>
      </c>
      <c r="QN25" t="e">
        <f ca="1">QN24+F(AND(QM25&lt;&gt;"",COUNTIF(QM$4:QM25,QM25)=1),1,0)</f>
        <v>#N/A</v>
      </c>
      <c r="QO25" t="e">
        <f t="shared" si="142"/>
        <v>#N/A</v>
      </c>
      <c r="QP25">
        <f>IF(COUNTIF('Final Calculation Sheet'!$AM25:$BS25,0)&gt;0,0,1)</f>
        <v>1</v>
      </c>
      <c r="QQ25" t="b">
        <f>IF($AI$25="",FALSE,SUMPRODUCT(('Final Calculation Sheet'!$A$4:$A$40=$AI$25)*($QP$4:$QP$40=1))&gt;0)</f>
        <v>1</v>
      </c>
      <c r="QR25">
        <f t="shared" si="177"/>
        <v>22</v>
      </c>
      <c r="QS25">
        <f t="shared" si="143"/>
        <v>7253</v>
      </c>
      <c r="QT25">
        <f>IF(COUNTIF('Final Calculation Sheet'!$AL25:$AL25,0)+COUNTIF('Final Calculation Sheet'!$AN25:$BS25,0)&gt;0,0,1)</f>
        <v>1</v>
      </c>
      <c r="QU25" t="b">
        <f>IF($Y$25="",FALSE,SUMPRODUCT(('Final Calculation Sheet'!$B$4:$B$40=$Y$25)*($QT$4:$QT$40=1))&gt;0)</f>
        <v>1</v>
      </c>
      <c r="QV25">
        <f t="shared" si="178"/>
        <v>22</v>
      </c>
      <c r="QW25" t="str">
        <f t="shared" si="144"/>
        <v>Scrap of Empty oil drum</v>
      </c>
      <c r="QX25">
        <f>IF(COUNTIF('Final Calculation Sheet'!$AL25:$AM25,0)+COUNTIF('Final Calculation Sheet'!$AO25:$BS25,0)&gt;0,0,1)</f>
        <v>1</v>
      </c>
      <c r="QY25" t="b">
        <f>IF($AS$25="",FALSE,SUMPRODUCT(('Final Calculation Sheet'!$C$4:$C$40=$AS$25)*($QX$4:$QX$40=1))&gt;0)</f>
        <v>1</v>
      </c>
      <c r="QZ25">
        <f t="shared" si="179"/>
        <v>22</v>
      </c>
      <c r="RA25">
        <f t="shared" si="145"/>
        <v>54000</v>
      </c>
      <c r="RB25">
        <f>IF(COUNTIF('Final Calculation Sheet'!$AL25:$AN25,0)+COUNTIF('Final Calculation Sheet'!$AP25:$BS25,0)&gt;0,0,1)</f>
        <v>1</v>
      </c>
      <c r="RC25" t="b">
        <f>IF($AD$25="",FALSE,SUMPRODUCT(('Final Calculation Sheet'!$D$4:$D$40=$AD$25)*($RB$4:$RB$40=1))&gt;0)</f>
        <v>0</v>
      </c>
      <c r="RD25">
        <f t="shared" si="180"/>
        <v>4</v>
      </c>
      <c r="RE25" t="str">
        <f t="shared" si="146"/>
        <v/>
      </c>
      <c r="RF25">
        <f>IF(COUNTIF('Final Calculation Sheet'!$AL25:$AO25,0)+COUNTIF('Final Calculation Sheet'!$AQ25:$BS25,0)&gt;0,0,1)</f>
        <v>1</v>
      </c>
      <c r="RG25" t="b">
        <f>IF($AN$25="",FALSE,SUMPRODUCT(('Final Calculation Sheet'!$E$4:$E$40=$AN$25)*($RF$4:$RF$40=1))&gt;0)</f>
        <v>0</v>
      </c>
      <c r="RH25">
        <f t="shared" si="181"/>
        <v>3</v>
      </c>
      <c r="RI25" t="str">
        <f t="shared" si="147"/>
        <v/>
      </c>
      <c r="RJ25">
        <f>IF(COUNTIF('Final Calculation Sheet'!$AL25:$AP25,0)+COUNTIF('Final Calculation Sheet'!$AR25:$BS25,0)&gt;0,0,1)</f>
        <v>1</v>
      </c>
      <c r="RK25" t="b">
        <f>IF($O$25="",FALSE,SUMPRODUCT(('Final Calculation Sheet'!$F$4:$F$40=$O$25)*($RJ$4:$RJ$40=1))&gt;0)</f>
        <v>1</v>
      </c>
      <c r="RL25">
        <f t="shared" si="182"/>
        <v>22</v>
      </c>
      <c r="RM25">
        <f t="shared" si="148"/>
        <v>2033</v>
      </c>
      <c r="RN25">
        <f>IF(COUNTIF('Final Calculation Sheet'!$AL25:$AQ25,0)+COUNTIF('Final Calculation Sheet'!$AS25:$BS25,0)&gt;0,0,1)</f>
        <v>1</v>
      </c>
      <c r="RO25" t="b">
        <f>IF($T$25="",FALSE,SUMPRODUCT(('Final Calculation Sheet'!$G$4:$G$40=$T$25)*($RN$4:$RN$40=1))&gt;0)</f>
        <v>0</v>
      </c>
      <c r="RP25">
        <f t="shared" si="183"/>
        <v>13</v>
      </c>
      <c r="RQ25" t="str">
        <f t="shared" si="149"/>
        <v/>
      </c>
      <c r="RR25">
        <f>IF(COUNTIF('Final Calculation Sheet'!$AL25:$AR25,0)+COUNTIF('Final Calculation Sheet'!$AT25:$BS25,0)&gt;0,0,1)</f>
        <v>1</v>
      </c>
      <c r="RS25" t="b">
        <f>IF($AX$25="",FALSE,SUMPRODUCT(('Final Calculation Sheet'!$H$4:$H$40=$AX$25)*($RR$4:$RR$40=1))&gt;0)</f>
        <v>1</v>
      </c>
      <c r="RT25">
        <f t="shared" si="184"/>
        <v>22</v>
      </c>
      <c r="RU25">
        <f t="shared" si="150"/>
        <v>206044</v>
      </c>
      <c r="RV25">
        <f>IF(COUNTIF('Final Calculation Sheet'!$AL25:$AS25,0)+COUNTIF('Final Calculation Sheet'!$AU25:$BS25,0)&gt;0,0,1)</f>
        <v>1</v>
      </c>
      <c r="RW25" t="b">
        <f>IF($BC$25="",FALSE,SUMPRODUCT(('Final Calculation Sheet'!$I$4:$I$40=$BC$25)*($RV$4:$RV$40=1))&gt;0)</f>
        <v>1</v>
      </c>
      <c r="RX25">
        <f t="shared" si="185"/>
        <v>22</v>
      </c>
      <c r="RY25">
        <f t="shared" si="151"/>
        <v>37088</v>
      </c>
      <c r="RZ25">
        <f>IF(COUNTIF('Final Calculation Sheet'!$AL25:$AT25,0)+COUNTIF('Final Calculation Sheet'!$AV25:$BS25,0)&gt;0,0,1)</f>
        <v>1</v>
      </c>
      <c r="SA25" t="b">
        <f>IF($BH$25="",FALSE,SUMPRODUCT(('Final Calculation Sheet'!$J$4:$J$40=$BH$25)*($RZ$4:$RZ$40=1))&gt;0)</f>
        <v>1</v>
      </c>
      <c r="SB25">
        <f t="shared" si="186"/>
        <v>22</v>
      </c>
      <c r="SC25">
        <f t="shared" si="152"/>
        <v>243132</v>
      </c>
      <c r="SD25">
        <f>IF(COUNTIF('Final Calculation Sheet'!$AL25:$AU25,0)+COUNTIF('Final Calculation Sheet'!$AW25:$BS25,0)&gt;0,0,1)</f>
        <v>1</v>
      </c>
      <c r="SE25" t="b">
        <f>IF($BM$25="",FALSE,SUMPRODUCT(('Final Calculation Sheet'!$K$4:$K$40=$BM$25)*($SD$4:$SD$40=1))&gt;0)</f>
        <v>1</v>
      </c>
      <c r="SF25">
        <f t="shared" si="187"/>
        <v>22</v>
      </c>
      <c r="SG25">
        <f t="shared" si="153"/>
        <v>4863</v>
      </c>
      <c r="SH25">
        <f>IF(COUNTIF('Final Calculation Sheet'!$AL25:$AV25,0)+COUNTIF('Final Calculation Sheet'!$AX25:$BS25,0)&gt;0,0,1)</f>
        <v>1</v>
      </c>
      <c r="SI25" t="b">
        <f>IF($BR$25="",FALSE,SUMPRODUCT(('Final Calculation Sheet'!$L$4:$L$40=$BR$25)*($SH$4:$SH$40=1))&gt;0)</f>
        <v>1</v>
      </c>
      <c r="SJ25">
        <f t="shared" si="188"/>
        <v>22</v>
      </c>
      <c r="SK25">
        <f t="shared" si="154"/>
        <v>206.04400000000001</v>
      </c>
      <c r="SL25">
        <f>IF(COUNTIF('Final Calculation Sheet'!$AL25:$AW25,0)+COUNTIF('Final Calculation Sheet'!$AY25:$BS25,0)&gt;0,0,1)</f>
        <v>1</v>
      </c>
      <c r="SM25" t="b">
        <f>IF($BW$25="",FALSE,SUMPRODUCT(('Final Calculation Sheet'!$M$4:$M$40=$BW$25)*($SL$4:$SL$40=1))&gt;0)</f>
        <v>1</v>
      </c>
      <c r="SN25">
        <f t="shared" si="189"/>
        <v>22</v>
      </c>
      <c r="SO25">
        <f t="shared" si="155"/>
        <v>5470.4681999999993</v>
      </c>
      <c r="SP25">
        <f>IF(COUNTIF('Final Calculation Sheet'!$AL25:$AX25,0)+COUNTIF('Final Calculation Sheet'!$AZ25:$BS25,0)&gt;0,0,1)</f>
        <v>1</v>
      </c>
      <c r="SQ25" t="b">
        <f>IF($CB$25="",FALSE,SUMPRODUCT(('Final Calculation Sheet'!$N$4:$N$40=$CB$25)*($SP$4:$SP$40=1))&gt;0)</f>
        <v>1</v>
      </c>
      <c r="SR25">
        <f t="shared" si="190"/>
        <v>22</v>
      </c>
      <c r="SS25">
        <f t="shared" si="156"/>
        <v>92.719799999999992</v>
      </c>
      <c r="ST25">
        <f>IF(COUNTIF('Final Calculation Sheet'!$AL25:$AY25,0)+COUNTIF('Final Calculation Sheet'!$BA25:$BS25,0)&gt;0,0,1)</f>
        <v>1</v>
      </c>
      <c r="SU25" t="b">
        <f>IF($CG$25="",FALSE,SUMPRODUCT(('Final Calculation Sheet'!$O$4:$O$40=$CG$25)*($ST$4:$ST$40=1))&gt;0)</f>
        <v>1</v>
      </c>
      <c r="SV25">
        <f t="shared" si="191"/>
        <v>22</v>
      </c>
      <c r="SW25">
        <f t="shared" si="157"/>
        <v>5377.7483999999995</v>
      </c>
      <c r="SX25">
        <f>IF(COUNTIF('Final Calculation Sheet'!$AL25:$AZ25,0)+COUNTIF('Final Calculation Sheet'!$BB25:$BS25,0)&gt;0,0,1)</f>
        <v>1</v>
      </c>
      <c r="SY25" t="b">
        <f>IF($CL$25="",FALSE,SUMPRODUCT(('Final Calculation Sheet'!$P$4:$P$40=$CL$25)*($SX$4:$SX$40=1))&gt;0)</f>
        <v>1</v>
      </c>
      <c r="SZ25">
        <f t="shared" si="192"/>
        <v>22</v>
      </c>
      <c r="TA25">
        <f t="shared" si="158"/>
        <v>5584</v>
      </c>
      <c r="TB25">
        <f>IF(COUNTIF('Final Calculation Sheet'!$AL25:$BA25,0)+COUNTIF('Final Calculation Sheet'!$BC25:$BS25,0)&gt;0,0,1)</f>
        <v>1</v>
      </c>
      <c r="TC25" t="b">
        <f>IF($CQ$25="",FALSE,SUMPRODUCT(('Final Calculation Sheet'!$Q$4:$Q$40=$CQ$25)*($TB$4:$TB$40=1))&gt;0)</f>
        <v>0</v>
      </c>
      <c r="TD25">
        <f t="shared" si="193"/>
        <v>2</v>
      </c>
      <c r="TE25" t="str">
        <f t="shared" si="159"/>
        <v/>
      </c>
      <c r="TF25">
        <f>IF(COUNTIF('Final Calculation Sheet'!$AL25:$BB25,0)+COUNTIF('Final Calculation Sheet'!$BD25:$BS25,0)&gt;0,0,1)</f>
        <v>1</v>
      </c>
      <c r="TG25" t="b">
        <f>IF($CV$25="",FALSE,SUMPRODUCT(('Final Calculation Sheet'!$R$4:$R$40=$CV$25)*($TF$4:$TF$40=1))&gt;0)</f>
        <v>0</v>
      </c>
      <c r="TH25">
        <f t="shared" si="194"/>
        <v>5</v>
      </c>
      <c r="TI25" t="str">
        <f t="shared" si="160"/>
        <v/>
      </c>
      <c r="TJ25">
        <f>IF(COUNTIF('Final Calculation Sheet'!$AL25:$BC25,0)+COUNTIF('Final Calculation Sheet'!$BE25:$BS25,0)&gt;0,0,1)</f>
        <v>1</v>
      </c>
      <c r="TK25" t="b">
        <f>IF($DA$25="",FALSE,SUMPRODUCT(('Final Calculation Sheet'!$S$4:$S$40=$DA$25)*($TJ$4:$TJ$40=1))&gt;0)</f>
        <v>1</v>
      </c>
      <c r="TL25">
        <f t="shared" si="195"/>
        <v>22</v>
      </c>
      <c r="TM25">
        <f t="shared" si="161"/>
        <v>242411</v>
      </c>
      <c r="TN25">
        <f>IF(COUNTIF('Final Calculation Sheet'!$AL25:$BD25,0)+COUNTIF('Final Calculation Sheet'!$BF25:$BS25,0)&gt;0,0,1)</f>
        <v>1</v>
      </c>
      <c r="TO25" t="b">
        <f>IF($DF$25="",FALSE,SUMPRODUCT(('Final Calculation Sheet'!$T$4:$T$40=$DF$25)*($TN$4:$TN$40=1))&gt;0)</f>
        <v>1</v>
      </c>
      <c r="TP25">
        <f t="shared" si="196"/>
        <v>22</v>
      </c>
      <c r="TQ25">
        <f t="shared" si="162"/>
        <v>51511</v>
      </c>
      <c r="TR25">
        <f>IF(COUNTIF('Final Calculation Sheet'!$AL25:$BE25,0)+COUNTIF('Final Calculation Sheet'!$BG25:$BS25,0)&gt;0,0,1)</f>
        <v>1</v>
      </c>
      <c r="TS25" t="b">
        <f>IF($DK$25="",FALSE,SUMPRODUCT(('Final Calculation Sheet'!$U$4:$U$40=$DK$25)*($TR$4:$TR$40=1))&gt;0)</f>
        <v>1</v>
      </c>
      <c r="TT25">
        <f t="shared" si="197"/>
        <v>22</v>
      </c>
      <c r="TU25">
        <f t="shared" si="163"/>
        <v>51511</v>
      </c>
      <c r="TV25">
        <f>IF(COUNTIF('Final Calculation Sheet'!$AL25:$BF25,0)+COUNTIF('Final Calculation Sheet'!$BH25:$BS25,0)&gt;0,0,1)</f>
        <v>1</v>
      </c>
      <c r="TW25" t="b">
        <f>IF($DP$25="",FALSE,SUMPRODUCT(('Final Calculation Sheet'!$V$4:$V$40=$DP$25)*($TV$4:$TV$40=1))&gt;0)</f>
        <v>0</v>
      </c>
      <c r="TX25">
        <f t="shared" si="198"/>
        <v>6</v>
      </c>
      <c r="TY25" t="str">
        <f t="shared" si="164"/>
        <v/>
      </c>
      <c r="TZ25">
        <f>IF(COUNTIF('Final Calculation Sheet'!$AL25:$BG25,0)+COUNTIF('Final Calculation Sheet'!$BI25:$BS25,0)&gt;0,0,1)</f>
        <v>1</v>
      </c>
      <c r="UA25" t="b">
        <f>IF($DU$25="",FALSE,SUMPRODUCT(('Final Calculation Sheet'!$W$4:$W$40=$DU$25)*($TZ$4:$TZ$40=1))&gt;0)</f>
        <v>1</v>
      </c>
      <c r="UB25">
        <f t="shared" si="199"/>
        <v>22</v>
      </c>
      <c r="UC25">
        <f t="shared" si="165"/>
        <v>190900</v>
      </c>
      <c r="UD25">
        <f>IF(COUNTIF('Final Calculation Sheet'!$AL25:$BH25,0)+COUNTIF('Final Calculation Sheet'!$BJ25:$BS25,0)&gt;0,0,1)</f>
        <v>1</v>
      </c>
      <c r="UE25" t="e">
        <f>IF($DZ$25="",FALSE,SUMPRODUCT(('Final Calculation Sheet'!$X$4:$X$40=$DZ$25)*($UD$4:$UD$40=1))&gt;0)</f>
        <v>#N/A</v>
      </c>
      <c r="UF25" t="e">
        <f t="shared" si="200"/>
        <v>#N/A</v>
      </c>
      <c r="UG25" t="e">
        <f t="shared" si="166"/>
        <v>#N/A</v>
      </c>
      <c r="UH25">
        <f>IF(COUNTIF('Final Calculation Sheet'!$AL25:$BI25,0)+COUNTIF('Final Calculation Sheet'!$BK25:$BS25,0)&gt;0,0,1)</f>
        <v>1</v>
      </c>
      <c r="UI25" t="e">
        <f>IF($EE$25="",FALSE,SUMPRODUCT(('Final Calculation Sheet'!$Y$4:$Y$40=$EE$25)*($UH$4:$UH$40=1))&gt;0)</f>
        <v>#N/A</v>
      </c>
      <c r="UJ25" t="e">
        <f t="shared" si="201"/>
        <v>#N/A</v>
      </c>
      <c r="UK25" t="e">
        <f t="shared" si="167"/>
        <v>#N/A</v>
      </c>
      <c r="UL25">
        <f>IF(COUNTIF('Final Calculation Sheet'!$AL25:$BJ25,0)+COUNTIF('Final Calculation Sheet'!$BL25:$BS25,0)&gt;0,0,1)</f>
        <v>1</v>
      </c>
      <c r="UM25" t="b">
        <f ca="1">IF($EJ$25="",FALSE,SUMPRODUCT(('Final Calculation Sheet'!$Z$4:$Z$40=$EJ$25)*($UL$4:$UL$40=1))&gt;0)</f>
        <v>1</v>
      </c>
      <c r="UN25">
        <f t="shared" ca="1" si="202"/>
        <v>22</v>
      </c>
      <c r="UO25">
        <f t="shared" ca="1" si="168"/>
        <v>7293.9575999999997</v>
      </c>
      <c r="UP25">
        <f>IF(COUNTIF('Final Calculation Sheet'!$AL25:$BK25,0)+COUNTIF('Final Calculation Sheet'!$BM25:$BS25,0)&gt;0,0,1)</f>
        <v>1</v>
      </c>
      <c r="UQ25" t="e">
        <f>IF($EO$25="",FALSE,SUMPRODUCT(('Final Calculation Sheet'!$AA$4:$AA$40=$EO$25)*($UP$4:$UP$40=1))&gt;0)</f>
        <v>#N/A</v>
      </c>
      <c r="UR25" t="e">
        <f t="shared" si="203"/>
        <v>#N/A</v>
      </c>
      <c r="US25" t="e">
        <f t="shared" si="169"/>
        <v>#N/A</v>
      </c>
      <c r="UT25">
        <f>IF(COUNTIF('Final Calculation Sheet'!$AL25:$BL25,0)+COUNTIF('Final Calculation Sheet'!$BN25:$BS25,0)&gt;0,0,1)</f>
        <v>1</v>
      </c>
      <c r="UU25" t="e">
        <f>IF($ET$25="",FALSE,SUMPRODUCT(('Final Calculation Sheet'!$AB$4:$AB$40=$ET$25)*($UT$4:$UT$40=1))&gt;0)</f>
        <v>#N/A</v>
      </c>
      <c r="UV25" t="e">
        <f t="shared" si="204"/>
        <v>#N/A</v>
      </c>
      <c r="UW25" t="e">
        <f t="shared" si="170"/>
        <v>#N/A</v>
      </c>
      <c r="UX25">
        <f>IF(COUNTIF('Final Calculation Sheet'!$AL25:$BM25,0)+COUNTIF('Final Calculation Sheet'!$BO25:$BS25,0)&gt;0,0,1)</f>
        <v>1</v>
      </c>
      <c r="UY25" t="b">
        <f>IF($EY$25="",FALSE,SUMPRODUCT(('Final Calculation Sheet'!$AC$4:$AC$40=$EY$25)*($UX$4:$UX$40=1))&gt;0)</f>
        <v>1</v>
      </c>
      <c r="UZ25">
        <f t="shared" si="205"/>
        <v>22</v>
      </c>
      <c r="VA25">
        <f t="shared" si="171"/>
        <v>188254</v>
      </c>
      <c r="VB25">
        <f>IF(COUNTIF('Final Calculation Sheet'!$AL25:$BN25,0)+COUNTIF('Final Calculation Sheet'!$BP25:$BS25,0)&gt;0,0,1)</f>
        <v>1</v>
      </c>
      <c r="VC25" t="b">
        <f>IF($FD$25="",FALSE,SUMPRODUCT(('Final Calculation Sheet'!$AD$4:$AD$40=$FD$25)*($VB$4:$VB$40=1))&gt;0)</f>
        <v>0</v>
      </c>
      <c r="VD25">
        <f t="shared" si="206"/>
        <v>11</v>
      </c>
      <c r="VE25" t="str">
        <f t="shared" si="172"/>
        <v/>
      </c>
      <c r="VF25">
        <f>IF(COUNTIF('Final Calculation Sheet'!$AL25:$BO25,0)+COUNTIF('Final Calculation Sheet'!$BQ25:$BS25,0)&gt;0,0,1)</f>
        <v>1</v>
      </c>
      <c r="VG25" t="e">
        <f>IF($FI$25="",FALSE,SUMPRODUCT(('Final Calculation Sheet'!$AE$4:$AE$40=$FI$25)*($VF$4:$VF$40=1))&gt;0)</f>
        <v>#N/A</v>
      </c>
      <c r="VH25" t="e">
        <f t="shared" si="207"/>
        <v>#N/A</v>
      </c>
      <c r="VI25" t="e">
        <f t="shared" si="173"/>
        <v>#N/A</v>
      </c>
      <c r="VJ25">
        <f>IF(COUNTIF('Final Calculation Sheet'!$AL25:$BP25,0)+COUNTIF('Final Calculation Sheet'!$BR25:$BS25,0)&gt;0,0,1)</f>
        <v>1</v>
      </c>
      <c r="VK25" t="e">
        <f>IF($FN$25="",FALSE,SUMPRODUCT(('Final Calculation Sheet'!$AF$4:$AF$40=$FN$25)*($VJ$4:$VJ$40=1))&gt;0)</f>
        <v>#N/A</v>
      </c>
      <c r="VL25" t="e">
        <f t="shared" si="208"/>
        <v>#N/A</v>
      </c>
      <c r="VM25" t="e">
        <f t="shared" si="174"/>
        <v>#N/A</v>
      </c>
      <c r="VN25">
        <f>IF(COUNTIF('Final Calculation Sheet'!$AL25:$BQ25,0)+COUNTIF('Final Calculation Sheet'!$BS25:$BS25,0)&gt;0,0,1)</f>
        <v>1</v>
      </c>
      <c r="VO25" t="e">
        <f>IF($FS$25="",FALSE,SUMPRODUCT(('Final Calculation Sheet'!$AG$4:$AG$40=$FS$25)*($VN$4:$VN$40=1))&gt;0)</f>
        <v>#N/A</v>
      </c>
      <c r="VP25" t="e">
        <f t="shared" si="209"/>
        <v>#N/A</v>
      </c>
      <c r="VQ25" t="e">
        <f t="shared" si="175"/>
        <v>#N/A</v>
      </c>
      <c r="VR25">
        <f>IF(COUNTIF('Final Calculation Sheet'!$AL25:$BR25,0)&gt;0,0,1)</f>
        <v>1</v>
      </c>
      <c r="VS25" t="e">
        <f>IF($QO$25="",FALSE,SUMPRODUCT(('Final Calculation Sheet'!$AH$4:$AH$40=$QO$25)*($VR$4:$VR$40=1))&gt;0)</f>
        <v>#N/A</v>
      </c>
      <c r="VT25" t="e">
        <f t="shared" si="210"/>
        <v>#N/A</v>
      </c>
      <c r="VU25" t="e">
        <f t="shared" si="176"/>
        <v>#N/A</v>
      </c>
    </row>
    <row r="26" spans="1:593" x14ac:dyDescent="0.3">
      <c r="A26">
        <f>IF('Final Calculation Sheet'!$F$26="","",'Final Calculation Sheet'!$F$26)</f>
        <v>2035</v>
      </c>
      <c r="B26">
        <f>IF(A26="","",COUNTIFS(A$4:A$114,"&lt;"&amp;A26,A$4:A$114,"&lt;&gt;"&amp;"")+COUNTIF(A$4:A26,A26))</f>
        <v>23</v>
      </c>
      <c r="C26">
        <f t="shared" si="0"/>
        <v>2035</v>
      </c>
      <c r="D26">
        <f>D25+IF(AND(C26&lt;&gt;"",COUNTIF(C$4:C26,C26)=1),1,0)</f>
        <v>23</v>
      </c>
      <c r="E26" t="e">
        <f t="shared" si="1"/>
        <v>#N/A</v>
      </c>
      <c r="F26">
        <f t="shared" si="2"/>
        <v>23</v>
      </c>
      <c r="G26">
        <f>IF(F26="","",COUNTIFS(F$4:F$40,"&lt;"&amp;F26,F$4:F$40,"&lt;&gt;"&amp;"")+COUNTIF(F$4:F26,F26))</f>
        <v>23</v>
      </c>
      <c r="H26">
        <f t="shared" si="3"/>
        <v>23</v>
      </c>
      <c r="I26">
        <f>I25+IF(AND(H26&lt;&gt;"",COUNTIF(H$4:H26,H26)=1),1,0)</f>
        <v>23</v>
      </c>
      <c r="J26">
        <f t="shared" si="4"/>
        <v>23</v>
      </c>
      <c r="K26">
        <f>IF('Final Calculation Sheet'!$F$26="","",'Final Calculation Sheet'!$F$26)</f>
        <v>2035</v>
      </c>
      <c r="L26">
        <f>IF(K26="","",COUNTIFS(K$4:K$40,"&lt;"&amp;K26,K$4:K$40,"&lt;&gt;"&amp;"")+COUNTIF(K$4:K26,K26))</f>
        <v>23</v>
      </c>
      <c r="M26">
        <f t="shared" si="5"/>
        <v>2035</v>
      </c>
      <c r="N26">
        <f>N25+IF(AND(M26&lt;&gt;"",COUNTIF(M$4:M26,M26)=1),1,0)</f>
        <v>23</v>
      </c>
      <c r="O26">
        <f t="shared" si="6"/>
        <v>2035</v>
      </c>
      <c r="P26" t="str">
        <f>IF('Final Calculation Sheet'!$G$26="","",'Final Calculation Sheet'!$G$26)</f>
        <v>NATIONAL ENTERPRISES</v>
      </c>
      <c r="Q26">
        <f>IF(P26="","",COUNTIFS(P$4:P$40,"&lt;"&amp;P26,P$4:P$40,"&lt;&gt;"&amp;"")+COUNTIF(P$4:P26,P26))</f>
        <v>15</v>
      </c>
      <c r="R26" t="str">
        <f t="shared" si="7"/>
        <v>S M ENTERPRISES</v>
      </c>
      <c r="S26">
        <f>S25+IF(AND(R26&lt;&gt;"",COUNTIF(R$4:R26,R26)=1),1,0)</f>
        <v>9</v>
      </c>
      <c r="T26" t="str">
        <f t="shared" si="8"/>
        <v/>
      </c>
      <c r="U26" t="str">
        <f>IF('Final Calculation Sheet'!$B$26="","",'Final Calculation Sheet'!$B$26)</f>
        <v>Scrap of 132 KV Wave Trap</v>
      </c>
      <c r="V26">
        <f>IF(U26="","",COUNTIFS(U$4:U$40,"&lt;"&amp;U26,U$4:U$40,"&lt;&gt;"&amp;"")+COUNTIF(U$4:U26,U26))</f>
        <v>13</v>
      </c>
      <c r="W26" t="str">
        <f t="shared" si="9"/>
        <v>Scrap of 66 kv TBC C &amp; R Panel</v>
      </c>
      <c r="X26">
        <f>X25+IF(AND(W26&lt;&gt;"",COUNTIF(W$4:W26,W26)=1),1,0)</f>
        <v>16</v>
      </c>
      <c r="Y26" t="str">
        <f t="shared" si="10"/>
        <v>Scrap of empty oil drums</v>
      </c>
      <c r="Z26">
        <f>IF('Final Calculation Sheet'!$D$26="","",'Final Calculation Sheet'!$D$26)</f>
        <v>21978</v>
      </c>
      <c r="AA26">
        <f>IF(Z26="","",COUNTIFS(Z$4:Z$40,"&lt;"&amp;Z26,Z$4:Z$40,"&lt;&gt;"&amp;"")+COUNTIF(Z$4:Z26,Z26))</f>
        <v>21</v>
      </c>
      <c r="AB26">
        <f t="shared" si="11"/>
        <v>21978</v>
      </c>
      <c r="AC26">
        <f>AC25+IF(AND(AB26&lt;&gt;"",COUNTIF(AB$4:AB26,AB26)=1),1,0)</f>
        <v>2</v>
      </c>
      <c r="AD26" t="str">
        <f t="shared" si="12"/>
        <v/>
      </c>
      <c r="AE26">
        <f>IF('Final Calculation Sheet'!$A$26="","",'Final Calculation Sheet'!$A$26)</f>
        <v>2</v>
      </c>
      <c r="AF26">
        <f>IF(AE26="","",COUNTIFS(AE$4:AE$40,"&lt;"&amp;AE26,AE$4:AE$40,"&lt;&gt;"&amp;"")+COUNTIF(AE$4:AE26,AE26))</f>
        <v>10</v>
      </c>
      <c r="AG26">
        <f t="shared" si="13"/>
        <v>25</v>
      </c>
      <c r="AH26">
        <f>AH25+IF(AND(AG26&lt;&gt;"",COUNTIF(AG$4:AG26,AG26)=1),1,0)</f>
        <v>8</v>
      </c>
      <c r="AI26" t="str">
        <f t="shared" si="14"/>
        <v/>
      </c>
      <c r="AJ26" t="str">
        <f>IF('Final Calculation Sheet'!$E$26="","",'Final Calculation Sheet'!$E$26)</f>
        <v>NO</v>
      </c>
      <c r="AK26">
        <f>IF(AJ26="","",COUNTIFS(AJ$4:AJ$40,"&lt;"&amp;AJ26,AJ$4:AJ$40,"&lt;&gt;"&amp;"")+COUNTIF(AJ$4:AJ26,AJ26))</f>
        <v>25</v>
      </c>
      <c r="AL26" t="str">
        <f t="shared" si="15"/>
        <v>NO</v>
      </c>
      <c r="AM26">
        <f>AM25+IF(AND(AL26&lt;&gt;"",COUNTIF(AL$4:AL26,AL26)=1),1,0)</f>
        <v>3</v>
      </c>
      <c r="AN26" t="str">
        <f t="shared" si="16"/>
        <v/>
      </c>
      <c r="AO26" s="50">
        <f>IF('Final Calculation Sheet'!$C$26="","",'Final Calculation Sheet'!$C$26)</f>
        <v>14001</v>
      </c>
      <c r="AP26">
        <f>IF(AO26="","",COUNTIFS(AO$4:AO$40,"&lt;"&amp;AO26,AO$4:AO$40,"&lt;&gt;"&amp;"")+COUNTIF(AO$4:AO26,AO26))</f>
        <v>17</v>
      </c>
      <c r="AQ26" s="50">
        <f t="shared" si="17"/>
        <v>51511</v>
      </c>
      <c r="AR26">
        <f>AR25+IF(AND(AQ26&lt;&gt;"",COUNTIF(AQ$4:AQ26,AQ26)=1),1,0)</f>
        <v>21</v>
      </c>
      <c r="AS26" s="50">
        <f t="shared" si="18"/>
        <v>65007</v>
      </c>
      <c r="AT26" s="50">
        <f>IF('Final Calculation Sheet'!$H$26="","",'Final Calculation Sheet'!$H$26)</f>
        <v>28002</v>
      </c>
      <c r="AU26">
        <f>IF(AT26="","",COUNTIFS(AT$4:AT$40,"&lt;"&amp;AT26,AT$4:AT$40,"&lt;&gt;"&amp;"")+COUNTIF(AT$4:AT26,AT26))</f>
        <v>5</v>
      </c>
      <c r="AV26" s="50">
        <f t="shared" si="19"/>
        <v>207030</v>
      </c>
      <c r="AW26">
        <f>AW25+IF(AND(AV26&lt;&gt;"",COUNTIF(AV$4:AV26,AV26)=1),1,0)</f>
        <v>23</v>
      </c>
      <c r="AX26" s="50">
        <f t="shared" si="20"/>
        <v>207030</v>
      </c>
      <c r="AY26" s="50">
        <f>IF('Final Calculation Sheet'!$I$26="","",'Final Calculation Sheet'!$I$26)</f>
        <v>5040</v>
      </c>
      <c r="AZ26">
        <f>IF(AY26="","",COUNTIFS(AY$4:AY$40,"&lt;"&amp;AY26,AY$4:AY$40,"&lt;&gt;"&amp;"")+COUNTIF(AY$4:AY26,AY26))</f>
        <v>5</v>
      </c>
      <c r="BA26" s="50">
        <f t="shared" si="21"/>
        <v>37265</v>
      </c>
      <c r="BB26">
        <f>BB25+IF(AND(BA26&lt;&gt;"",COUNTIF(BA$4:BA26,BA26)=1),1,0)</f>
        <v>23</v>
      </c>
      <c r="BC26" s="50">
        <f t="shared" si="22"/>
        <v>37265</v>
      </c>
      <c r="BD26" s="50">
        <f>IF('Final Calculation Sheet'!$J$26="","",'Final Calculation Sheet'!$J$26)</f>
        <v>33042</v>
      </c>
      <c r="BE26">
        <f>IF(BD26="","",COUNTIFS(BD$4:BD$40,"&lt;"&amp;BD26,BD$4:BD$40,"&lt;&gt;"&amp;"")+COUNTIF(BD$4:BD26,BD26))</f>
        <v>5</v>
      </c>
      <c r="BF26" s="50">
        <f t="shared" si="23"/>
        <v>244295</v>
      </c>
      <c r="BG26">
        <f>BG25+IF(AND(BF26&lt;&gt;"",COUNTIF(BF$4:BF26,BF26)=1),1,0)</f>
        <v>23</v>
      </c>
      <c r="BH26" s="50">
        <f t="shared" si="24"/>
        <v>244295</v>
      </c>
      <c r="BI26" s="50">
        <f>IF('Final Calculation Sheet'!$K$26="","",'Final Calculation Sheet'!$K$26)</f>
        <v>661</v>
      </c>
      <c r="BJ26">
        <f>IF(BI26="","",COUNTIFS(BI$4:BI$40,"&lt;"&amp;BI26,BI$4:BI$40,"&lt;&gt;"&amp;"")+COUNTIF(BI$4:BI26,BI26))</f>
        <v>5</v>
      </c>
      <c r="BK26" s="50">
        <f t="shared" si="25"/>
        <v>4886</v>
      </c>
      <c r="BL26">
        <f>BL25+IF(AND(BK26&lt;&gt;"",COUNTIF(BK$4:BK26,BK26)=1),1,0)</f>
        <v>23</v>
      </c>
      <c r="BM26" s="50">
        <f t="shared" si="26"/>
        <v>4886</v>
      </c>
      <c r="BN26" s="50">
        <f>IF('Final Calculation Sheet'!$L$26="","",'Final Calculation Sheet'!$L$26)</f>
        <v>28.001999999999999</v>
      </c>
      <c r="BO26">
        <f>IF(BN26="","",COUNTIFS(BN$4:BN$40,"&lt;"&amp;BN26,BN$4:BN$40,"&lt;&gt;"&amp;"")+COUNTIF(BN$4:BN26,BN26))</f>
        <v>5</v>
      </c>
      <c r="BP26" s="50">
        <f t="shared" si="27"/>
        <v>207.03</v>
      </c>
      <c r="BQ26">
        <f>BQ25+IF(AND(BP26&lt;&gt;"",COUNTIF(BP$4:BP26,BP26)=1),1,0)</f>
        <v>23</v>
      </c>
      <c r="BR26" s="50">
        <f t="shared" si="28"/>
        <v>207.03</v>
      </c>
      <c r="BS26" s="50">
        <f>IF('Final Calculation Sheet'!$M$26="","",'Final Calculation Sheet'!$M$26)</f>
        <v>743.45309999999995</v>
      </c>
      <c r="BT26">
        <f>IF(BS26="","",COUNTIFS(BS$4:BS$40,"&lt;"&amp;BS26,BS$4:BS$40,"&lt;&gt;"&amp;"")+COUNTIF(BS$4:BS26,BS26))</f>
        <v>5</v>
      </c>
      <c r="BU26" s="50">
        <f t="shared" si="29"/>
        <v>5496.6464999999998</v>
      </c>
      <c r="BV26">
        <f>BV25+IF(AND(BU26&lt;&gt;"",COUNTIF(BU$4:BU26,BU26)=1),1,0)</f>
        <v>23</v>
      </c>
      <c r="BW26" s="50">
        <f t="shared" si="30"/>
        <v>5496.6464999999998</v>
      </c>
      <c r="BX26" s="126">
        <f>IF('Final Calculation Sheet'!$N$26="","",'Final Calculation Sheet'!$N$26)</f>
        <v>12.600899999999999</v>
      </c>
      <c r="BY26">
        <f>IF(BX26="","",COUNTIFS(BX$4:BX$40,"&lt;"&amp;BX26,BX$4:BX$40,"&lt;&gt;"&amp;"")+COUNTIF(BX$4:BX26,BX26))</f>
        <v>5</v>
      </c>
      <c r="BZ26" s="126">
        <f t="shared" si="31"/>
        <v>93.163499999999999</v>
      </c>
      <c r="CA26">
        <f>CA25+IF(AND(BZ26&lt;&gt;"",COUNTIF(BZ$4:BZ26,BZ26)=1),1,0)</f>
        <v>23</v>
      </c>
      <c r="CB26" s="126">
        <f t="shared" si="32"/>
        <v>93.163499999999999</v>
      </c>
      <c r="CC26" s="50">
        <f>IF('Final Calculation Sheet'!$O$26="","",'Final Calculation Sheet'!$O$26)</f>
        <v>730.85219999999993</v>
      </c>
      <c r="CD26">
        <f>IF(CC26="","",COUNTIFS(CC$4:CC$40,"&lt;"&amp;CC26,CC$4:CC$40,"&lt;&gt;"&amp;"")+COUNTIF(CC$4:CC26,CC26))</f>
        <v>5</v>
      </c>
      <c r="CE26" s="50">
        <f t="shared" si="33"/>
        <v>5403.4830000000002</v>
      </c>
      <c r="CF26">
        <f>CF25+IF(AND(CE26&lt;&gt;"",COUNTIF(CE$4:CE26,CE26)=1),1,0)</f>
        <v>23</v>
      </c>
      <c r="CG26" s="50">
        <f t="shared" si="34"/>
        <v>5403.4830000000002</v>
      </c>
      <c r="CH26" s="50">
        <f>IF('Final Calculation Sheet'!$P$26="","",'Final Calculation Sheet'!$P$26)</f>
        <v>759</v>
      </c>
      <c r="CI26">
        <f>IF(CH26="","",COUNTIFS(CH$4:CH$40,"&lt;"&amp;CH26,CH$4:CH$40,"&lt;&gt;"&amp;"")+COUNTIF(CH$4:CH26,CH26))</f>
        <v>5</v>
      </c>
      <c r="CJ26" s="50">
        <f t="shared" si="35"/>
        <v>5611</v>
      </c>
      <c r="CK26">
        <f>CK25+IF(AND(CJ26&lt;&gt;"",COUNTIF(CJ$4:CJ26,CJ26)=1),1,0)</f>
        <v>23</v>
      </c>
      <c r="CL26" s="50">
        <f t="shared" si="36"/>
        <v>5611</v>
      </c>
      <c r="CM26" s="127">
        <f>IF('Final Calculation Sheet'!$Q$26="","",'Final Calculation Sheet'!$Q$26)</f>
        <v>0</v>
      </c>
      <c r="CN26">
        <f>IF(CM26="","",COUNTIFS(CM$4:CM$40,"&lt;"&amp;CM26,CM$4:CM$40,"&lt;&gt;"&amp;"")+COUNTIF(CM$4:CM26,CM26))</f>
        <v>20</v>
      </c>
      <c r="CO26" s="127">
        <f t="shared" si="37"/>
        <v>0</v>
      </c>
      <c r="CP26">
        <f>CP25+IF(AND(CO26&lt;&gt;"",COUNTIF(CO$4:CO26,CO26)=1),1,0)</f>
        <v>1</v>
      </c>
      <c r="CQ26" t="str">
        <f t="shared" si="38"/>
        <v/>
      </c>
      <c r="CR26" s="50">
        <f>IF('Final Calculation Sheet'!$R$26="","",'Final Calculation Sheet'!$R$26)</f>
        <v>0</v>
      </c>
      <c r="CS26">
        <f>IF(CR26="","",COUNTIFS(CR$4:CR$40,"&lt;"&amp;CR26,CR$4:CR$40,"&lt;&gt;"&amp;"")+COUNTIF(CR$4:CR26,CR26))</f>
        <v>20</v>
      </c>
      <c r="CT26" s="50">
        <f t="shared" si="39"/>
        <v>0</v>
      </c>
      <c r="CU26">
        <f>CU25+IF(AND(CT26&lt;&gt;"",COUNTIF(CT$4:CT26,CT26)=1),1,0)</f>
        <v>1</v>
      </c>
      <c r="CV26" t="str">
        <f t="shared" si="40"/>
        <v/>
      </c>
      <c r="CW26" s="50">
        <f>IF('Final Calculation Sheet'!$S$26="","",'Final Calculation Sheet'!$S$26)</f>
        <v>32944</v>
      </c>
      <c r="CX26">
        <f>IF(CW26="","",COUNTIFS(CW$4:CW$40,"&lt;"&amp;CW26,CW$4:CW$40,"&lt;&gt;"&amp;"")+COUNTIF(CW$4:CW26,CW26))</f>
        <v>5</v>
      </c>
      <c r="CY26" s="50">
        <f t="shared" si="41"/>
        <v>243571</v>
      </c>
      <c r="CZ26">
        <f>CZ25+IF(AND(CY26&lt;&gt;"",COUNTIF(CY$4:CY26,CY26)=1),1,0)</f>
        <v>23</v>
      </c>
      <c r="DA26" s="50">
        <f t="shared" si="42"/>
        <v>243571</v>
      </c>
      <c r="DB26" s="50">
        <f>IF('Final Calculation Sheet'!$T$26="","",'Final Calculation Sheet'!$T$26)</f>
        <v>7001</v>
      </c>
      <c r="DC26">
        <f>IF(DB26="","",COUNTIFS(DB$4:DB$40,"&lt;"&amp;DB26,DB$4:DB$40,"&lt;&gt;"&amp;"")+COUNTIF(DB$4:DB26,DB26))</f>
        <v>5</v>
      </c>
      <c r="DD26" s="50">
        <f t="shared" si="43"/>
        <v>51758</v>
      </c>
      <c r="DE26">
        <f>DE25+IF(AND(DD26&lt;&gt;"",COUNTIF(DD$4:DD26,DD26)=1),1,0)</f>
        <v>23</v>
      </c>
      <c r="DF26" s="50">
        <f t="shared" si="44"/>
        <v>51758</v>
      </c>
      <c r="DG26" s="128">
        <f>IF('Final Calculation Sheet'!$U$26="","",'Final Calculation Sheet'!$U$26)</f>
        <v>7001</v>
      </c>
      <c r="DH26">
        <f>IF(DG26="","",COUNTIFS(DG$4:DG$40,"&lt;"&amp;DG26,DG$4:DG$40,"&lt;&gt;"&amp;"")+COUNTIF(DG$4:DG26,DG26))</f>
        <v>5</v>
      </c>
      <c r="DI26" s="128">
        <f t="shared" si="45"/>
        <v>51758</v>
      </c>
      <c r="DJ26">
        <f>DJ25+IF(AND(DI26&lt;&gt;"",COUNTIF(DI$4:DI26,DI26)=1),1,0)</f>
        <v>23</v>
      </c>
      <c r="DK26" s="128">
        <f t="shared" si="46"/>
        <v>51758</v>
      </c>
      <c r="DL26" t="str">
        <f>IF('Final Calculation Sheet'!$V$26="","",'Final Calculation Sheet'!$V$26)</f>
        <v>13.08.2026</v>
      </c>
      <c r="DM26">
        <f>IF(DL26="","",COUNTIFS(DL$4:DL$40,"&lt;"&amp;DL26,DL$4:DL$40,"&lt;&gt;"&amp;"")+COUNTIF(DL$4:DL26,DL26))</f>
        <v>22</v>
      </c>
      <c r="DN26" t="str">
        <f t="shared" si="47"/>
        <v>13.08.2026</v>
      </c>
      <c r="DO26">
        <f>DO25+IF(AND(DN26&lt;&gt;"",COUNTIF(DN$4:DN26,DN26)=1),1,0)</f>
        <v>3</v>
      </c>
      <c r="DP26" t="str">
        <f t="shared" si="48"/>
        <v/>
      </c>
      <c r="DQ26" s="50">
        <f>IF('Final Calculation Sheet'!$W$26="","",'Final Calculation Sheet'!$W$26)</f>
        <v>25944</v>
      </c>
      <c r="DR26">
        <f>IF(DQ26="","",COUNTIFS(DQ$4:DQ$40,"&lt;"&amp;DQ26,DQ$4:DQ$40,"&lt;&gt;"&amp;"")+COUNTIF(DQ$4:DQ26,DQ26))</f>
        <v>5</v>
      </c>
      <c r="DS26" s="50">
        <f t="shared" si="49"/>
        <v>191813</v>
      </c>
      <c r="DT26">
        <f>DT25+IF(AND(DS26&lt;&gt;"",COUNTIF(DS$4:DS26,DS26)=1),1,0)</f>
        <v>23</v>
      </c>
      <c r="DU26" s="50">
        <f t="shared" si="50"/>
        <v>191813</v>
      </c>
      <c r="DV26" s="50">
        <f>IF('Final Calculation Sheet'!$X$26="","",'Final Calculation Sheet'!$X$26)</f>
        <v>25943</v>
      </c>
      <c r="DW26">
        <f>IF(DV26="","",COUNTIFS(DV$4:DV$40,"&lt;"&amp;DV26,DV$4:DV$40,"&lt;&gt;"&amp;"")+COUNTIF(DV$4:DV26,DV26))</f>
        <v>5</v>
      </c>
      <c r="DX26" s="50">
        <f t="shared" si="51"/>
        <v>194566</v>
      </c>
      <c r="DY26">
        <f>DY25+IF(AND(DX26&lt;&gt;"",COUNTIF(DX$4:DX26,DX26)=1),1,0)</f>
        <v>23</v>
      </c>
      <c r="DZ26" t="e">
        <f t="shared" si="52"/>
        <v>#N/A</v>
      </c>
      <c r="EA26" t="str">
        <f>IF('Final Calculation Sheet'!$Y$26="","",'Final Calculation Sheet'!$Y$26)</f>
        <v>24.08.2026</v>
      </c>
      <c r="EB26">
        <f>IF(EA26="","",COUNTIFS(EA$4:EA$40,"&lt;"&amp;EA26,EA$4:EA$40,"&lt;&gt;"&amp;"")+COUNTIF(EA$4:EA26,EA26))</f>
        <v>30</v>
      </c>
      <c r="EC26" t="str">
        <f t="shared" si="53"/>
        <v>24.08.2026</v>
      </c>
      <c r="ED26">
        <f>ED25+IF(AND(EC26&lt;&gt;"",COUNTIF(EC$4:EC26,EC26)=1),1,0)</f>
        <v>9</v>
      </c>
      <c r="EE26" t="e">
        <f t="shared" si="54"/>
        <v>#N/A</v>
      </c>
      <c r="EF26" s="50">
        <f ca="1">IF('Final Calculation Sheet'!$Z$26="","",'Final Calculation Sheet'!$Z$26)</f>
        <v>991.27079999999989</v>
      </c>
      <c r="EG26">
        <f ca="1">IF(EF26="","",COUNTIFS(EF$4:EF$40,"&lt;"&amp;EF26,EF$4:EF$40,"&lt;&gt;"&amp;"")+COUNTIF(EF$4:EF26,EF26))</f>
        <v>6</v>
      </c>
      <c r="EH26" s="50">
        <f t="shared" ca="1" si="55"/>
        <v>7328.8619999999992</v>
      </c>
      <c r="EI26">
        <f ca="1">EI25+IF(AND(EH26&lt;&gt;"",COUNTIF(EH$4:EH26,EH26)=1),1,0)</f>
        <v>23</v>
      </c>
      <c r="EJ26">
        <f t="shared" ca="1" si="56"/>
        <v>7328.8619999999992</v>
      </c>
      <c r="EK26" t="str">
        <f>IF('Final Calculation Sheet'!$AA$26="","",'Final Calculation Sheet'!$AA$26)</f>
        <v/>
      </c>
      <c r="EL26" t="str">
        <f>IF(EK26="","",COUNTIFS(EK$4:EK$40,"&lt;"&amp;EK26,EK$4:EK$40,"&lt;&gt;"&amp;"")+COUNTIF(EK$4:EK26,EK26))</f>
        <v/>
      </c>
      <c r="EM26" t="e">
        <f t="shared" si="57"/>
        <v>#N/A</v>
      </c>
      <c r="EN26" t="e">
        <f>EN25+IF(AND(EM26&lt;&gt;"",COUNTIF(EM$4:EM26,EM26)=1),1,0)</f>
        <v>#N/A</v>
      </c>
      <c r="EO26" t="e">
        <f t="shared" si="58"/>
        <v>#N/A</v>
      </c>
      <c r="EP26" t="str">
        <f>IF('Final Calculation Sheet'!$AB$26="","",'Final Calculation Sheet'!$AB$26)</f>
        <v/>
      </c>
      <c r="EQ26" t="str">
        <f>IF(EP26="","",COUNTIFS(EP$4:EP$40,"&lt;"&amp;EP26,EP$4:EP$40,"&lt;&gt;"&amp;"")+COUNTIF(EP$4:EP26,EP26))</f>
        <v/>
      </c>
      <c r="ER26" t="e">
        <f t="shared" si="59"/>
        <v>#N/A</v>
      </c>
      <c r="ES26" t="e">
        <f>ES25+IF(AND(ER26&lt;&gt;"",COUNTIF(ER$4:ER26,ER26)=1),1,0)</f>
        <v>#N/A</v>
      </c>
      <c r="ET26" t="e">
        <f t="shared" si="60"/>
        <v>#N/A</v>
      </c>
      <c r="EU26" s="50">
        <f>IF('Final Calculation Sheet'!$AC$26="","",'Final Calculation Sheet'!$AC$26)</f>
        <v>32944</v>
      </c>
      <c r="EV26">
        <f>IF(EU26="","",COUNTIFS(EU$4:EU$40,"&lt;"&amp;EU26,EU$4:EU$40,"&lt;&gt;"&amp;"")+COUNTIF(EU$4:EU26,EU26))</f>
        <v>6</v>
      </c>
      <c r="EW26" s="50">
        <f t="shared" si="61"/>
        <v>232946</v>
      </c>
      <c r="EX26">
        <f>EX25+IF(AND(EW26&lt;&gt;"",COUNTIF(EW$4:EW26,EW26)=1),1,0)</f>
        <v>23</v>
      </c>
      <c r="EY26" s="50">
        <f t="shared" si="62"/>
        <v>232946</v>
      </c>
      <c r="EZ26" s="50">
        <f>IF('Final Calculation Sheet'!$AD$26="","",'Final Calculation Sheet'!$AD$26)</f>
        <v>0</v>
      </c>
      <c r="FA26">
        <f>IF(EZ26="","",COUNTIFS(EZ$4:EZ$40,"&lt;"&amp;EZ26,EZ$4:EZ$40,"&lt;&gt;"&amp;"")+COUNTIF(EZ$4:EZ26,EZ26))</f>
        <v>22</v>
      </c>
      <c r="FB26" s="50">
        <f t="shared" si="63"/>
        <v>0</v>
      </c>
      <c r="FC26">
        <f>FC25+IF(AND(FB26&lt;&gt;"",COUNTIF(FB$4:FB26,FB26)=1),1,0)</f>
        <v>7</v>
      </c>
      <c r="FD26" t="str">
        <f t="shared" si="64"/>
        <v/>
      </c>
      <c r="FE26" t="str">
        <f>IF('Final Calculation Sheet'!$AF$26="","",'Final Calculation Sheet'!$AF$26)</f>
        <v>DR2640100037</v>
      </c>
      <c r="FF26">
        <f>IF(FE26="","",COUNTIFS(FE$4:FE$40,"&lt;"&amp;FE26,FE$4:FE$40,"&lt;&gt;"&amp;"")+COUNTIF(FE$4:FE26,FE26))</f>
        <v>26</v>
      </c>
      <c r="FG26" t="str">
        <f t="shared" si="65"/>
        <v>DR2640100034</v>
      </c>
      <c r="FH26" t="e">
        <f>FH25+IF(AND(FG26&lt;&gt;"",COUNTIF(FG$4:FG26,FG26)=1),1,0)</f>
        <v>#N/A</v>
      </c>
      <c r="FI26" t="e">
        <f t="shared" si="66"/>
        <v>#N/A</v>
      </c>
      <c r="FJ26" s="129">
        <f>IF('Final Calculation Sheet'!$AG$26="","",'Final Calculation Sheet'!$AG$26)</f>
        <v>1800003310</v>
      </c>
      <c r="FK26">
        <f>IF(FJ26="","",COUNTIFS(FJ$4:FJ$40,"&lt;"&amp;FJ26,FJ$4:FJ$40,"&lt;&gt;"&amp;"")+COUNTIF(FJ$4:FJ26,FJ26))</f>
        <v>22</v>
      </c>
      <c r="FL26" s="129">
        <f t="shared" si="67"/>
        <v>1800003311</v>
      </c>
      <c r="FM26">
        <f>FM25+IF(AND(FL26&lt;&gt;"",COUNTIF(FL$4:FL26,FL26)=1),1,0)</f>
        <v>23</v>
      </c>
      <c r="FN26" t="e">
        <f t="shared" si="68"/>
        <v>#N/A</v>
      </c>
      <c r="FO26" t="str">
        <f>IF('Final Calculation Sheet'!$AH$26="","",'Final Calculation Sheet'!$AH$26)</f>
        <v>27.08.2026</v>
      </c>
      <c r="FP26">
        <f>IF(FO26="","",COUNTIFS(FO$4:FO$40,"&lt;"&amp;FO26,FO$4:FO$40,"&lt;&gt;"&amp;"")+COUNTIF(FO$4:FO26,FO26))</f>
        <v>31</v>
      </c>
      <c r="FQ26" t="str">
        <f t="shared" si="69"/>
        <v>27.08.2026</v>
      </c>
      <c r="FR26" t="e">
        <f>FR25+IF(AND(FQ26&lt;&gt;"",COUNTIF(FQ$4:FQ26,FQ26)=1),1,0)</f>
        <v>#N/A</v>
      </c>
      <c r="FS26" t="e">
        <f t="shared" si="70"/>
        <v>#N/A</v>
      </c>
      <c r="FU26" t="str">
        <f>IF(FT26="","",COUNTIFS(FT$4:FT$40,"&lt;"&amp;FT26,FT$4:FT$40,"&lt;&gt;"&amp;"")+COUNTIF(FT$4:FT26,FT26))</f>
        <v/>
      </c>
      <c r="FV26" t="str">
        <f t="shared" si="71"/>
        <v/>
      </c>
      <c r="FW26">
        <f>FW25+IF(AND(FV26&lt;&gt;"",COUNTIF(FV$4:FV26,FV26)=1),1,0)</f>
        <v>2</v>
      </c>
      <c r="FX26" t="str">
        <f t="shared" si="72"/>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6" t="b">
        <f>IF($Y$26="",FALSE,SUMPRODUCT(('Final Calculation Sheet'!$B$4:$B$40=$Y$26)*($FY$6:$FY$42=1))&gt;0)</f>
        <v>1</v>
      </c>
      <c r="GA26">
        <f>$GA$25+--($FZ$26)</f>
        <v>23</v>
      </c>
      <c r="GB26" t="str">
        <f t="shared" si="73"/>
        <v>Scrap of empty oil drums</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D26" t="b">
        <f>IF($O$26="",FALSE,SUMPRODUCT(('Final Calculation Sheet'!$F$4:$F$40=$O$26)*($GC$6:$GC$42=1))&gt;0)</f>
        <v>1</v>
      </c>
      <c r="GE26">
        <f>$GE$25+--($GD26)</f>
        <v>23</v>
      </c>
      <c r="GF26">
        <f t="shared" si="74"/>
        <v>2035</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H26" t="b">
        <f>IF($T$26="",FALSE,SUMPRODUCT(('Final Calculation Sheet'!$G$4:$G$40=$T$26)*($GG$6:$GG$42=1))&gt;0)</f>
        <v>0</v>
      </c>
      <c r="GI26">
        <f>$GI$25+--($GH26)</f>
        <v>13</v>
      </c>
      <c r="GJ26" t="str">
        <f t="shared" si="75"/>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L26" t="b">
        <f>IF($AD$26="",FALSE,SUMPRODUCT(('Final Calculation Sheet'!$D$4:$D$40=$AD$26)*($GK$6:$GK$42=1))&gt;0)</f>
        <v>0</v>
      </c>
      <c r="GM26">
        <f>$GM$25+--($GL26)</f>
        <v>4</v>
      </c>
      <c r="GN26" t="str">
        <f t="shared" si="76"/>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P26" t="b">
        <f>IF($AI$26="",FALSE,SUMPRODUCT(('Final Calculation Sheet'!$A$4:$A$40=$AI$26)*($GO$6:$GO$42=1))&gt;0)</f>
        <v>0</v>
      </c>
      <c r="GQ26">
        <f>$GQ$25+--($GP26)</f>
        <v>22</v>
      </c>
      <c r="GR26" t="str">
        <f t="shared" si="77"/>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T26" t="b">
        <f>IF($AN$26="",FALSE,SUMPRODUCT(('Final Calculation Sheet'!$E$4:$E$40=$AN$26)*($GS$6:$GS$42=1))&gt;0)</f>
        <v>0</v>
      </c>
      <c r="GU26">
        <f>$GU$25+--($GT26)</f>
        <v>3</v>
      </c>
      <c r="GV26" t="str">
        <f t="shared" si="78"/>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GX26" t="b">
        <f>IF($AS$26="",FALSE,SUMPRODUCT(('Final Calculation Sheet'!$C$4:$C$40=$AS$26)*($GW$6:$GW$42=1))&gt;0)</f>
        <v>1</v>
      </c>
      <c r="GY26">
        <f>$GY$25+--($GX26)</f>
        <v>23</v>
      </c>
      <c r="GZ26">
        <f t="shared" si="79"/>
        <v>65007</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B26" t="b">
        <f>IF($AX$26="",FALSE,SUMPRODUCT(('Final Calculation Sheet'!$H$4:$H$40=$AX$26)*($HA$6:$HA$42=1))&gt;0)</f>
        <v>1</v>
      </c>
      <c r="HC26">
        <f>$HC$25+--($HB26)</f>
        <v>23</v>
      </c>
      <c r="HD26">
        <f t="shared" si="80"/>
        <v>207030</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F26" t="b">
        <f>IF($BC$26="",FALSE,SUMPRODUCT(('Final Calculation Sheet'!$I$4:$I$40=$BC$26)*($HE$6:$HE$42=1))&gt;0)</f>
        <v>1</v>
      </c>
      <c r="HG26">
        <f>$HG$25+--($HF26)</f>
        <v>23</v>
      </c>
      <c r="HH26">
        <f t="shared" si="81"/>
        <v>37265</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J26" t="b">
        <f>IF($BH$26="",FALSE,SUMPRODUCT(('Final Calculation Sheet'!$J$4:$J$40=$BH$26)*($HI$6:$HI$42=1))&gt;0)</f>
        <v>1</v>
      </c>
      <c r="HK26">
        <f>$HK$25+--($HJ26)</f>
        <v>23</v>
      </c>
      <c r="HL26">
        <f t="shared" si="82"/>
        <v>244295</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N26" t="b">
        <f>IF($BM$26="",FALSE,SUMPRODUCT(('Final Calculation Sheet'!$K$4:$K$40=$BM$26)*($HM$6:$HM$42=1))&gt;0)</f>
        <v>1</v>
      </c>
      <c r="HO26">
        <f>$HO$25+--($HN26)</f>
        <v>23</v>
      </c>
      <c r="HP26">
        <f t="shared" si="83"/>
        <v>4886</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R26" t="b">
        <f>IF($BR$26="",FALSE,SUMPRODUCT(('Final Calculation Sheet'!$L$4:$L$40=$BR$26)*($HQ$6:$HQ$42=1))&gt;0)</f>
        <v>1</v>
      </c>
      <c r="HS26">
        <f>$HS$25+--($HR26)</f>
        <v>23</v>
      </c>
      <c r="HT26">
        <f t="shared" si="84"/>
        <v>207.03</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V26" t="b">
        <f>IF($BW$26="",FALSE,SUMPRODUCT(('Final Calculation Sheet'!$M$4:$M$40=$BW$26)*($HU$6:$HU$42=1))&gt;0)</f>
        <v>1</v>
      </c>
      <c r="HW26">
        <f>$HW$25+--($HV26)</f>
        <v>23</v>
      </c>
      <c r="HX26">
        <f t="shared" si="85"/>
        <v>5496.6464999999998</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HZ26" t="b">
        <f>IF($CB$26="",FALSE,SUMPRODUCT(('Final Calculation Sheet'!$N$4:$N$40=$CB$26)*($HY$6:$HY$42=1))&gt;0)</f>
        <v>1</v>
      </c>
      <c r="IA26">
        <f>$IA$25+--($HZ26)</f>
        <v>23</v>
      </c>
      <c r="IB26">
        <f t="shared" si="86"/>
        <v>93.163499999999999</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D26" t="b">
        <f>IF($CG$26="",FALSE,SUMPRODUCT(('Final Calculation Sheet'!$O$4:$O$40=$CG$26)*($IC$6:$IC$42=1))&gt;0)</f>
        <v>1</v>
      </c>
      <c r="IE26">
        <f>$IE$25+--($ID26)</f>
        <v>23</v>
      </c>
      <c r="IF26">
        <f t="shared" si="87"/>
        <v>5403.4830000000002</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H26" t="b">
        <f>IF($CL$26="",FALSE,SUMPRODUCT(('Final Calculation Sheet'!$P$4:$P$40=$CL$26)*($IG$6:$IG$42=1))&gt;0)</f>
        <v>1</v>
      </c>
      <c r="II26">
        <f>$II$25+--($IH26)</f>
        <v>23</v>
      </c>
      <c r="IJ26">
        <f t="shared" si="88"/>
        <v>5611</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L26" t="b">
        <f>IF($CQ$26="",FALSE,SUMPRODUCT(('Final Calculation Sheet'!$Q$4:$Q$40=$CQ$26)*($IK$6:$IK$42=1))&gt;0)</f>
        <v>0</v>
      </c>
      <c r="IM26">
        <f>$IM$25+--($IL26)</f>
        <v>2</v>
      </c>
      <c r="IN26" t="str">
        <f t="shared" si="89"/>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P26" t="b">
        <f>IF($CV$26="",FALSE,SUMPRODUCT(('Final Calculation Sheet'!$R$4:$R$40=$CV$26)*($IO$6:$IO$42=1))&gt;0)</f>
        <v>0</v>
      </c>
      <c r="IQ26">
        <f>$IQ$25+--($IP26)</f>
        <v>5</v>
      </c>
      <c r="IR26" t="str">
        <f t="shared" si="90"/>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T26" t="b">
        <f>IF($DA$26="",FALSE,SUMPRODUCT(('Final Calculation Sheet'!$S$4:$S$40=$DA$26)*($IS$6:$IS$42=1))&gt;0)</f>
        <v>1</v>
      </c>
      <c r="IU26">
        <f>$IU$25+--($IT26)</f>
        <v>23</v>
      </c>
      <c r="IV26">
        <f t="shared" si="91"/>
        <v>243571</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IX26" t="b">
        <f>IF($DF$26="",FALSE,SUMPRODUCT(('Final Calculation Sheet'!$T$4:$T$40=$DF$26)*($IW$6:$IW$42=1))&gt;0)</f>
        <v>1</v>
      </c>
      <c r="IY26">
        <f>$IY$25+--($IX26)</f>
        <v>23</v>
      </c>
      <c r="IZ26">
        <f t="shared" si="92"/>
        <v>51758</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B26" t="b">
        <f>IF($DK$26="",FALSE,SUMPRODUCT(('Final Calculation Sheet'!$U$4:$U$40=$DK$26)*($JA$6:$JA$42=1))&gt;0)</f>
        <v>1</v>
      </c>
      <c r="JC26">
        <f>$JC$25+--($JB26)</f>
        <v>23</v>
      </c>
      <c r="JD26">
        <f t="shared" si="93"/>
        <v>51758</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F26" t="b">
        <f>IF($DP$26="",FALSE,SUMPRODUCT(('Final Calculation Sheet'!$V$4:$V$40=$DP$26)*($JE$6:$JE$42=1))&gt;0)</f>
        <v>0</v>
      </c>
      <c r="JG26">
        <f>$JG$25+--($JF26)</f>
        <v>6</v>
      </c>
      <c r="JH26" t="str">
        <f t="shared" si="94"/>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J26" t="b">
        <f>IF($DU$26="",FALSE,SUMPRODUCT(('Final Calculation Sheet'!$W$4:$W$40=$DU$26)*($JI$6:$JI$42=1))&gt;0)</f>
        <v>1</v>
      </c>
      <c r="JK26">
        <f>$JK$25+--($JJ26)</f>
        <v>23</v>
      </c>
      <c r="JL26">
        <f t="shared" si="95"/>
        <v>191813</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N26" t="e">
        <f>IF($DZ$26="",FALSE,SUMPRODUCT(('Final Calculation Sheet'!$X$4:$X$40=$DZ$26)*($JM$6:$JM$42=1))&gt;0)</f>
        <v>#N/A</v>
      </c>
      <c r="JO26" t="e">
        <f>$JO$25+--($JN26)</f>
        <v>#N/A</v>
      </c>
      <c r="JP26" t="e">
        <f t="shared" si="96"/>
        <v>#N/A</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R26" t="e">
        <f>IF($EE$26="",FALSE,SUMPRODUCT(('Final Calculation Sheet'!$Y$4:$Y$40=$EE$26)*($JQ$6:$JQ$42=1))&gt;0)</f>
        <v>#N/A</v>
      </c>
      <c r="JS26" t="e">
        <f>$JS$25+--($JR26)</f>
        <v>#N/A</v>
      </c>
      <c r="JT26" t="e">
        <f t="shared" si="97"/>
        <v>#N/A</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V26" t="b">
        <f ca="1">IF($EJ$26="",FALSE,SUMPRODUCT(('Final Calculation Sheet'!$Z$4:$Z$40=$EJ$26)*($JU$6:$JU$42=1))&gt;0)</f>
        <v>1</v>
      </c>
      <c r="JW26">
        <f ca="1">$JW$25+--($JV26)</f>
        <v>23</v>
      </c>
      <c r="JX26">
        <f t="shared" ca="1" si="98"/>
        <v>7328.8619999999992</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JZ26" t="e">
        <f>IF($EO$26="",FALSE,SUMPRODUCT(('Final Calculation Sheet'!$AA$4:$AA$40=$EO$26)*($JY$6:$JY$42=1))&gt;0)</f>
        <v>#N/A</v>
      </c>
      <c r="KA26" t="e">
        <f>$KA$25+--($JZ26)</f>
        <v>#N/A</v>
      </c>
      <c r="KB26" t="e">
        <f t="shared" si="99"/>
        <v>#N/A</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D26" t="e">
        <f>IF($ET$26="",FALSE,SUMPRODUCT(('Final Calculation Sheet'!$AB$4:$AB$40=$ET$26)*($KC$6:$KC$42=1))&gt;0)</f>
        <v>#N/A</v>
      </c>
      <c r="KE26" t="e">
        <f>$KE$25+--($KD26)</f>
        <v>#N/A</v>
      </c>
      <c r="KF26" t="e">
        <f t="shared" si="100"/>
        <v>#N/A</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H26" t="b">
        <f>IF($EY$26="",FALSE,SUMPRODUCT(('Final Calculation Sheet'!$AC$4:$AC$40=$EY$26)*($KG$6:$KG$42=1))&gt;0)</f>
        <v>1</v>
      </c>
      <c r="KI26">
        <f>$KI$25+--($KH26)</f>
        <v>23</v>
      </c>
      <c r="KJ26">
        <f t="shared" si="101"/>
        <v>232946</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L26" t="b">
        <f>IF($FD$26="",FALSE,SUMPRODUCT(('Final Calculation Sheet'!$AD$4:$AD$40=$FD$26)*($KK$6:$KK$42=1))&gt;0)</f>
        <v>0</v>
      </c>
      <c r="KM26">
        <f>$KM$25+--($KL26)</f>
        <v>11</v>
      </c>
      <c r="KN26" t="str">
        <f t="shared" si="102"/>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P26" t="b">
        <f>IF($FX$26="",FALSE,SUMPRODUCT((IF('Final Calculation Sheet'!$AD$4:$AD$40&lt;=5,"SETTLED","OUTSTANDING")=$FX$26)*($KO$6:$KO$42=1))&gt;0)</f>
        <v>0</v>
      </c>
      <c r="KQ26">
        <f>$KQ$25+--($KP26)</f>
        <v>1</v>
      </c>
      <c r="KR26" t="str">
        <f t="shared" si="103"/>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T26" t="e">
        <f>IF($FI$26="",FALSE,SUMPRODUCT(('Final Calculation Sheet'!$AF$4:$AF$40=$FI$26)*($KS$6:$KS$42=1))&gt;0)</f>
        <v>#N/A</v>
      </c>
      <c r="KU26" t="e">
        <f>$KU$25+--($KT26)</f>
        <v>#N/A</v>
      </c>
      <c r="KV26" t="e">
        <f t="shared" si="104"/>
        <v>#N/A</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KX26" t="e">
        <f>IF($FN$26="",FALSE,SUMPRODUCT(('Final Calculation Sheet'!$AG$4:$AG$40=$FN$26)*($KW$6:$KW$42=1))&gt;0)</f>
        <v>#N/A</v>
      </c>
      <c r="KY26" t="e">
        <f>$KY$25+--($KX26)</f>
        <v>#N/A</v>
      </c>
      <c r="KZ26" t="e">
        <f t="shared" si="105"/>
        <v>#N/A</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LB26" t="e">
        <f>IF($FS$26="",FALSE,SUMPRODUCT(('Final Calculation Sheet'!$AH$4:$AH$40=$FS$26)*($LA$6:$LA$42=1))&gt;0)</f>
        <v>#N/A</v>
      </c>
      <c r="LC26" t="e">
        <f>$LC$25+--($LB26)</f>
        <v>#N/A</v>
      </c>
      <c r="LD26" t="e">
        <f t="shared" si="106"/>
        <v>#N/A</v>
      </c>
      <c r="LE26">
        <f>IF(COUNTIF('Buyer Groups'!DH26:EN26,0)&gt;0,0,1)</f>
        <v>1</v>
      </c>
      <c r="LF26" t="b">
        <f>IF($O$26="",FALSE,SUMPRODUCT(('Final Calculation Sheet'!$F$4:$F$40=$O$26)*($LE$6:$LE$42=1))&gt;0)</f>
        <v>1</v>
      </c>
      <c r="LG26">
        <f>$LG$25+--($LF26)</f>
        <v>23</v>
      </c>
      <c r="LH26">
        <f t="shared" si="107"/>
        <v>2035</v>
      </c>
      <c r="LI26">
        <f>IF(COUNTIF('Buyer Groups'!DG26:DG26,0)+COUNTIF('Buyer Groups'!DI26:EN26,0)&gt;0,0,1)</f>
        <v>1</v>
      </c>
      <c r="LJ26" t="b">
        <f>IF($T$26="",FALSE,SUMPRODUCT(('Final Calculation Sheet'!$G$4:$G$40=$T$26)*($LI$6:$LI$42=1))&gt;0)</f>
        <v>0</v>
      </c>
      <c r="LK26">
        <f>$LK$25+--($LJ26)</f>
        <v>13</v>
      </c>
      <c r="LL26" t="str">
        <f t="shared" si="108"/>
        <v/>
      </c>
      <c r="LM26">
        <f>IF(COUNTIF('Buyer Groups'!DG26:DH26,0)+COUNTIF('Buyer Groups'!DJ26:EN26,0)&gt;0,0,1)</f>
        <v>1</v>
      </c>
      <c r="LN26" t="b">
        <f>IF($Y$26="",FALSE,SUMPRODUCT(('Final Calculation Sheet'!$B$4:$B$40=$Y$26)*($LM$6:$LM$42=1))&gt;0)</f>
        <v>1</v>
      </c>
      <c r="LO26">
        <f>$LO$25+--($LN26)</f>
        <v>23</v>
      </c>
      <c r="LP26" t="str">
        <f t="shared" si="109"/>
        <v>Scrap of empty oil drums</v>
      </c>
      <c r="LQ26">
        <f>IF(COUNTIF('Buyer Groups'!DG26:DI26,0)+COUNTIF('Buyer Groups'!DK26:EN26,0)&gt;0,0,1)</f>
        <v>1</v>
      </c>
      <c r="LR26" t="b">
        <f>IF($AD$26="",FALSE,SUMPRODUCT(('Final Calculation Sheet'!$D$4:$D$40=$AD$26)*($LQ$6:$LQ$42=1))&gt;0)</f>
        <v>0</v>
      </c>
      <c r="LS26">
        <f>$LS$25+--($LR26)</f>
        <v>4</v>
      </c>
      <c r="LT26" t="str">
        <f t="shared" si="110"/>
        <v/>
      </c>
      <c r="LU26">
        <f>IF(COUNTIF('Buyer Groups'!DG26:DJ26,0)+COUNTIF('Buyer Groups'!DL26:EN26,0)&gt;0,0,1)</f>
        <v>1</v>
      </c>
      <c r="LV26" t="b">
        <f>IF($AI$26="",FALSE,SUMPRODUCT(('Final Calculation Sheet'!$A$4:$A$40=$AI$26)*($LU$6:$LU$42=1))&gt;0)</f>
        <v>0</v>
      </c>
      <c r="LW26">
        <f>$LW$25+--($LV26)</f>
        <v>22</v>
      </c>
      <c r="LX26" t="str">
        <f t="shared" si="111"/>
        <v/>
      </c>
      <c r="LY26">
        <f>IF(COUNTIF('Buyer Groups'!DG26:DK26,0)+COUNTIF('Buyer Groups'!DM26:EN26,0)&gt;0,0,1)</f>
        <v>1</v>
      </c>
      <c r="LZ26" t="b">
        <f>IF($AN$26="",FALSE,SUMPRODUCT(('Final Calculation Sheet'!$E$4:$E$40=$AN$26)*($LY$6:$LY$42=1))&gt;0)</f>
        <v>0</v>
      </c>
      <c r="MA26">
        <f>$MA$25+--($LZ26)</f>
        <v>3</v>
      </c>
      <c r="MB26" t="str">
        <f t="shared" si="112"/>
        <v/>
      </c>
      <c r="MC26">
        <f>IF(COUNTIF('Buyer Groups'!DG26:DL26,0)+COUNTIF('Buyer Groups'!DN26:EN26,0)&gt;0,0,1)</f>
        <v>1</v>
      </c>
      <c r="MD26" t="b">
        <f>IF($AS$26="",FALSE,SUMPRODUCT(('Final Calculation Sheet'!$C$4:$C$40=$AS$26)*($MC$6:$MC$42=1))&gt;0)</f>
        <v>1</v>
      </c>
      <c r="ME26">
        <f>$ME$25+--($MD26)</f>
        <v>23</v>
      </c>
      <c r="MF26">
        <f t="shared" si="113"/>
        <v>65007</v>
      </c>
      <c r="MG26">
        <f>IF(COUNTIF('Buyer Groups'!DG26:DM26,0)+COUNTIF('Buyer Groups'!DO26:EN26,0)&gt;0,0,1)</f>
        <v>1</v>
      </c>
      <c r="MH26" t="b">
        <f>IF($AX$26="",FALSE,SUMPRODUCT(('Final Calculation Sheet'!$H$4:$H$40=$AX$26)*($MG$6:$MG$42=1))&gt;0)</f>
        <v>1</v>
      </c>
      <c r="MI26">
        <f>$MI$25+--($MH26)</f>
        <v>23</v>
      </c>
      <c r="MJ26">
        <f t="shared" si="114"/>
        <v>207030</v>
      </c>
      <c r="MK26">
        <f>IF(COUNTIF('Buyer Groups'!DG26:DN26,0)+COUNTIF('Buyer Groups'!DP26:EN26,0)&gt;0,0,1)</f>
        <v>1</v>
      </c>
      <c r="ML26" t="b">
        <f>IF($BC$26="",FALSE,SUMPRODUCT(('Final Calculation Sheet'!$I$4:$I$40=$BC$26)*($MK$6:$MK$42=1))&gt;0)</f>
        <v>1</v>
      </c>
      <c r="MM26">
        <f>$MM$25+--($ML26)</f>
        <v>23</v>
      </c>
      <c r="MN26">
        <f t="shared" si="115"/>
        <v>37265</v>
      </c>
      <c r="MO26">
        <f>IF(COUNTIF('Buyer Groups'!DG26:DO26,0)+COUNTIF('Buyer Groups'!DQ26:EN26,0)&gt;0,0,1)</f>
        <v>1</v>
      </c>
      <c r="MP26" t="b">
        <f>IF($BH$26="",FALSE,SUMPRODUCT(('Final Calculation Sheet'!$J$4:$J$40=$BH$26)*($MO$6:$MO$42=1))&gt;0)</f>
        <v>1</v>
      </c>
      <c r="MQ26">
        <f>$MQ$25+--($MP26)</f>
        <v>23</v>
      </c>
      <c r="MR26">
        <f t="shared" si="116"/>
        <v>244295</v>
      </c>
      <c r="MS26">
        <f>IF(COUNTIF('Buyer Groups'!DG26:DP26,0)+COUNTIF('Buyer Groups'!DR26:EN26,0)&gt;0,0,1)</f>
        <v>1</v>
      </c>
      <c r="MT26" t="b">
        <f>IF($BM$26="",FALSE,SUMPRODUCT(('Final Calculation Sheet'!$K$4:$K$40=$BM$26)*($MS$6:$MS$42=1))&gt;0)</f>
        <v>1</v>
      </c>
      <c r="MU26">
        <f>$MU$25+--($MT26)</f>
        <v>23</v>
      </c>
      <c r="MV26">
        <f t="shared" si="117"/>
        <v>4886</v>
      </c>
      <c r="MW26">
        <f>IF(COUNTIF('Buyer Groups'!DG26:DQ26,0)+COUNTIF('Buyer Groups'!DS26:EN26,0)&gt;0,0,1)</f>
        <v>1</v>
      </c>
      <c r="MX26" t="b">
        <f>IF($BR$26="",FALSE,SUMPRODUCT(('Final Calculation Sheet'!$L$4:$L$40=$BR$26)*($MW$6:$MW$42=1))&gt;0)</f>
        <v>1</v>
      </c>
      <c r="MY26">
        <f>$MY$25+--($MX26)</f>
        <v>23</v>
      </c>
      <c r="MZ26">
        <f t="shared" si="118"/>
        <v>207.03</v>
      </c>
      <c r="NA26">
        <f>IF(COUNTIF('Buyer Groups'!DG26:DR26,0)+COUNTIF('Buyer Groups'!DT26:EN26,0)&gt;0,0,1)</f>
        <v>1</v>
      </c>
      <c r="NB26" t="b">
        <f>IF($BW$26="",FALSE,SUMPRODUCT(('Final Calculation Sheet'!$M$4:$M$40=$BW$26)*($NA$6:$NA$42=1))&gt;0)</f>
        <v>1</v>
      </c>
      <c r="NC26">
        <f>$NC$25+--($NB26)</f>
        <v>23</v>
      </c>
      <c r="ND26">
        <f t="shared" si="119"/>
        <v>5496.6464999999998</v>
      </c>
      <c r="NE26">
        <f>IF(COUNTIF('Buyer Groups'!DG26:DS26,0)+COUNTIF('Buyer Groups'!DU26:EN26,0)&gt;0,0,1)</f>
        <v>1</v>
      </c>
      <c r="NF26" t="b">
        <f>IF($CB$26="",FALSE,SUMPRODUCT(('Final Calculation Sheet'!$N$4:$N$40=$CB$26)*($NE$6:$NE$42=1))&gt;0)</f>
        <v>1</v>
      </c>
      <c r="NG26">
        <f>$NG$25+--($NF26)</f>
        <v>23</v>
      </c>
      <c r="NH26">
        <f t="shared" si="120"/>
        <v>93.163499999999999</v>
      </c>
      <c r="NI26">
        <f>IF(COUNTIF('Buyer Groups'!DG26:DT26,0)+COUNTIF('Buyer Groups'!DV26:EN26,0)&gt;0,0,1)</f>
        <v>1</v>
      </c>
      <c r="NJ26" t="b">
        <f>IF($CG$26="",FALSE,SUMPRODUCT(('Final Calculation Sheet'!$O$4:$O$40=$CG$26)*($NI$6:$NI$42=1))&gt;0)</f>
        <v>1</v>
      </c>
      <c r="NK26">
        <f>$NK$25+--($NJ26)</f>
        <v>23</v>
      </c>
      <c r="NL26">
        <f t="shared" si="121"/>
        <v>5403.4830000000002</v>
      </c>
      <c r="NM26">
        <f>IF(COUNTIF('Buyer Groups'!DG26:DU26,0)+COUNTIF('Buyer Groups'!DW26:EN26,0)&gt;0,0,1)</f>
        <v>1</v>
      </c>
      <c r="NN26" t="b">
        <f>IF($CL$26="",FALSE,SUMPRODUCT(('Final Calculation Sheet'!$P$4:$P$40=$CL$26)*($NM$6:$NM$42=1))&gt;0)</f>
        <v>1</v>
      </c>
      <c r="NO26">
        <f>$NO$25+--($NN26)</f>
        <v>23</v>
      </c>
      <c r="NP26">
        <f t="shared" si="122"/>
        <v>5611</v>
      </c>
      <c r="NQ26">
        <f>IF(COUNTIF('Buyer Groups'!DG26:DV26,0)+COUNTIF('Buyer Groups'!DX26:EN26,0)&gt;0,0,1)</f>
        <v>1</v>
      </c>
      <c r="NR26" t="b">
        <f>IF($CQ$26="",FALSE,SUMPRODUCT(('Final Calculation Sheet'!$Q$4:$Q$40=$CQ$26)*($NQ$6:$NQ$42=1))&gt;0)</f>
        <v>0</v>
      </c>
      <c r="NS26">
        <f>$NS$25+--($NR26)</f>
        <v>2</v>
      </c>
      <c r="NT26" t="str">
        <f t="shared" si="123"/>
        <v/>
      </c>
      <c r="NU26">
        <f>IF(COUNTIF('Buyer Groups'!DG26:DW26,0)+COUNTIF('Buyer Groups'!DY26:EN26,0)&gt;0,0,1)</f>
        <v>1</v>
      </c>
      <c r="NV26" t="b">
        <f>IF($CV$26="",FALSE,SUMPRODUCT(('Final Calculation Sheet'!$R$4:$R$40=$CV$26)*($NU$6:$NU$42=1))&gt;0)</f>
        <v>0</v>
      </c>
      <c r="NW26">
        <f>$NW$25+--($NV26)</f>
        <v>5</v>
      </c>
      <c r="NX26" t="str">
        <f t="shared" si="124"/>
        <v/>
      </c>
      <c r="NY26">
        <f>IF(COUNTIF('Buyer Groups'!DG26:DX26,0)+COUNTIF('Buyer Groups'!DZ26:EN26,0)&gt;0,0,1)</f>
        <v>1</v>
      </c>
      <c r="NZ26" t="b">
        <f>IF($DA$26="",FALSE,SUMPRODUCT(('Final Calculation Sheet'!$S$4:$S$40=$DA$26)*($NY$6:$NY$42=1))&gt;0)</f>
        <v>1</v>
      </c>
      <c r="OA26">
        <f>$OA$25+--($NZ26)</f>
        <v>23</v>
      </c>
      <c r="OB26">
        <f t="shared" si="125"/>
        <v>243571</v>
      </c>
      <c r="OC26">
        <f>IF(COUNTIF('Buyer Groups'!DG26:DY26,0)+COUNTIF('Buyer Groups'!EA26:EN26,0)&gt;0,0,1)</f>
        <v>1</v>
      </c>
      <c r="OD26" t="b">
        <f>IF($DF$26="",FALSE,SUMPRODUCT(('Final Calculation Sheet'!$T$4:$T$40=$DF$26)*($OC$6:$OC$42=1))&gt;0)</f>
        <v>1</v>
      </c>
      <c r="OE26">
        <f>$OE$25+--($OD26)</f>
        <v>23</v>
      </c>
      <c r="OF26">
        <f t="shared" si="126"/>
        <v>51758</v>
      </c>
      <c r="OG26">
        <f>IF(COUNTIF('Buyer Groups'!DG26:DZ26,0)+COUNTIF('Buyer Groups'!EB26:EN26,0)&gt;0,0,1)</f>
        <v>1</v>
      </c>
      <c r="OH26" t="b">
        <f>IF($DK$26="",FALSE,SUMPRODUCT(('Final Calculation Sheet'!$U$4:$U$40=$DK$26)*($OG$6:$OG$42=1))&gt;0)</f>
        <v>1</v>
      </c>
      <c r="OI26">
        <f>$OI$25+--($OH26)</f>
        <v>23</v>
      </c>
      <c r="OJ26">
        <f t="shared" si="127"/>
        <v>51758</v>
      </c>
      <c r="OK26">
        <f>IF(COUNTIF('Buyer Groups'!DG26:EA26,0)+COUNTIF('Buyer Groups'!EC26:EN26,0)&gt;0,0,1)</f>
        <v>1</v>
      </c>
      <c r="OL26" t="b">
        <f>IF($DP$26="",FALSE,SUMPRODUCT(('Final Calculation Sheet'!$V$4:$V$40=$DP$26)*($OK$6:$OK$42=1))&gt;0)</f>
        <v>0</v>
      </c>
      <c r="OM26">
        <f>$OM$25+--($OL26)</f>
        <v>6</v>
      </c>
      <c r="ON26" t="str">
        <f t="shared" si="128"/>
        <v/>
      </c>
      <c r="OO26">
        <f>IF(COUNTIF('Buyer Groups'!DG26:EB26,0)+COUNTIF('Buyer Groups'!ED26:EN26,0)&gt;0,0,1)</f>
        <v>1</v>
      </c>
      <c r="OP26" t="b">
        <f>IF($DU$26="",FALSE,SUMPRODUCT(('Final Calculation Sheet'!$W$4:$W$40=$DU$26)*($OO$6:$OO$42=1))&gt;0)</f>
        <v>1</v>
      </c>
      <c r="OQ26">
        <f>$OQ$25+--($OP26)</f>
        <v>23</v>
      </c>
      <c r="OR26">
        <f t="shared" si="129"/>
        <v>191813</v>
      </c>
      <c r="OS26">
        <f>IF(COUNTIF('Buyer Groups'!DG26:EC26,0)+COUNTIF('Buyer Groups'!EE26:EN26,0)&gt;0,0,1)</f>
        <v>1</v>
      </c>
      <c r="OT26" t="e">
        <f>IF($DZ$26="",FALSE,SUMPRODUCT(('Final Calculation Sheet'!$X$4:$X$40=$DZ$26)*($OS$6:$OS$42=1))&gt;0)</f>
        <v>#N/A</v>
      </c>
      <c r="OU26" t="e">
        <f>$OU$25+--($OT26)</f>
        <v>#N/A</v>
      </c>
      <c r="OV26" t="e">
        <f t="shared" si="130"/>
        <v>#N/A</v>
      </c>
      <c r="OW26">
        <f>IF(COUNTIF('Buyer Groups'!DG26:ED26,0)+COUNTIF('Buyer Groups'!EF26:EN26,0)&gt;0,0,1)</f>
        <v>1</v>
      </c>
      <c r="OX26" t="e">
        <f>IF($EE$26="",FALSE,SUMPRODUCT(('Final Calculation Sheet'!$Y$4:$Y$40=$EE$26)*($OW$6:$OW$42=1))&gt;0)</f>
        <v>#N/A</v>
      </c>
      <c r="OY26" t="e">
        <f>$OY$25+--($OX26)</f>
        <v>#N/A</v>
      </c>
      <c r="OZ26" t="e">
        <f t="shared" si="131"/>
        <v>#N/A</v>
      </c>
      <c r="PA26">
        <f>IF(COUNTIF('Buyer Groups'!DG26:EE26,0)+COUNTIF('Buyer Groups'!EG26:EN26,0)&gt;0,0,1)</f>
        <v>1</v>
      </c>
      <c r="PB26" t="b">
        <f ca="1">IF($EJ$26="",FALSE,SUMPRODUCT(('Final Calculation Sheet'!$Z$4:$Z$40=$EJ$26)*($PA$6:$PA$42=1))&gt;0)</f>
        <v>1</v>
      </c>
      <c r="PC26">
        <f ca="1">$PC$25+--($PB26)</f>
        <v>23</v>
      </c>
      <c r="PD26">
        <f t="shared" ca="1" si="132"/>
        <v>7328.8619999999992</v>
      </c>
      <c r="PE26">
        <f>IF(COUNTIF('Buyer Groups'!DG26:EF26,0)+COUNTIF('Buyer Groups'!EH26:EN26,0)&gt;0,0,1)</f>
        <v>1</v>
      </c>
      <c r="PF26" t="e">
        <f>IF($EO$26="",FALSE,SUMPRODUCT(('Final Calculation Sheet'!$AA$4:$AA$40=$EO$26)*($PE$6:$PE$42=1))&gt;0)</f>
        <v>#N/A</v>
      </c>
      <c r="PG26" t="e">
        <f>$PG$25+--($PF26)</f>
        <v>#N/A</v>
      </c>
      <c r="PH26" t="e">
        <f t="shared" si="133"/>
        <v>#N/A</v>
      </c>
      <c r="PI26">
        <f>IF(COUNTIF('Buyer Groups'!DG26:EG26,0)+COUNTIF('Buyer Groups'!EI26:EN26,0)&gt;0,0,1)</f>
        <v>1</v>
      </c>
      <c r="PJ26" t="e">
        <f>IF($ET$26="",FALSE,SUMPRODUCT(('Final Calculation Sheet'!$AB$4:$AB$40=$ET$26)*($PI$6:$PI$42=1))&gt;0)</f>
        <v>#N/A</v>
      </c>
      <c r="PK26" t="e">
        <f>$PK$25+--($PJ26)</f>
        <v>#N/A</v>
      </c>
      <c r="PL26" t="e">
        <f t="shared" si="134"/>
        <v>#N/A</v>
      </c>
      <c r="PM26">
        <f>IF(COUNTIF('Buyer Groups'!DG26:EH26,0)+COUNTIF('Buyer Groups'!EJ26:EN26,0)&gt;0,0,1)</f>
        <v>1</v>
      </c>
      <c r="PN26" t="b">
        <f>IF($EY$26="",FALSE,SUMPRODUCT(('Final Calculation Sheet'!$AC$4:$AC$40=$EY$26)*($PM$6:$PM$42=1))&gt;0)</f>
        <v>1</v>
      </c>
      <c r="PO26">
        <f>$PO$25+--($PN26)</f>
        <v>23</v>
      </c>
      <c r="PP26">
        <f t="shared" si="135"/>
        <v>232946</v>
      </c>
      <c r="PQ26">
        <f>IF(COUNTIF('Buyer Groups'!DG26:EI26,0)+COUNTIF('Buyer Groups'!EK26:EN26,0)&gt;0,0,1)</f>
        <v>1</v>
      </c>
      <c r="PR26" t="b">
        <f>IF($FD$26="",FALSE,SUMPRODUCT(('Final Calculation Sheet'!$AD$4:$AD$40=$FD$26)*($PQ$6:$PQ$42=1))&gt;0)</f>
        <v>0</v>
      </c>
      <c r="PS26">
        <f>$PS$25+--($PR26)</f>
        <v>11</v>
      </c>
      <c r="PT26" t="str">
        <f t="shared" si="136"/>
        <v/>
      </c>
      <c r="PU26">
        <f>IF(COUNTIF('Buyer Groups'!DG26:EJ26,0)+COUNTIF('Buyer Groups'!EL26:EN26,0)&gt;0,0,1)</f>
        <v>1</v>
      </c>
      <c r="PV26" t="b">
        <f>IF($FX$26="",FALSE,SUMPRODUCT((IF('Final Calculation Sheet'!$AD$4:$AD$40&lt;=5,"SETTLED","OUTSTANDING")=$FX$26)*($PU$6:$PU$42=1))&gt;0)</f>
        <v>0</v>
      </c>
      <c r="PW26">
        <f>$PW$25+--($PV26)</f>
        <v>1</v>
      </c>
      <c r="PX26" t="str">
        <f t="shared" si="137"/>
        <v/>
      </c>
      <c r="PY26">
        <f>IF(COUNTIF('Buyer Groups'!DG26:EK26,0)+COUNTIF('Buyer Groups'!EM26:EN26,0)&gt;0,0,1)</f>
        <v>1</v>
      </c>
      <c r="PZ26" t="e">
        <f>IF($FI$26="",FALSE,SUMPRODUCT(('Final Calculation Sheet'!$AF$4:$AF$40=$FI$26)*($PY$6:$PY$42=1))&gt;0)</f>
        <v>#N/A</v>
      </c>
      <c r="QA26" t="e">
        <f>$QA$25+--($PZ26)</f>
        <v>#N/A</v>
      </c>
      <c r="QB26" t="e">
        <f t="shared" si="138"/>
        <v>#N/A</v>
      </c>
      <c r="QC26">
        <f>IF(COUNTIF('Buyer Groups'!DG26:EL26,0)+COUNTIF('Buyer Groups'!EN26:EN26,0)&gt;0,0,1)</f>
        <v>1</v>
      </c>
      <c r="QD26" t="e">
        <f>IF($FN$26="",FALSE,SUMPRODUCT(('Final Calculation Sheet'!$AG$4:$AG$40=$FN$26)*($QC$6:$QC$42=1))&gt;0)</f>
        <v>#N/A</v>
      </c>
      <c r="QE26" t="e">
        <f>$QE$25+--($QD26)</f>
        <v>#N/A</v>
      </c>
      <c r="QF26" t="e">
        <f t="shared" si="139"/>
        <v>#N/A</v>
      </c>
      <c r="QG26">
        <f>IF(COUNTIF('Buyer Groups'!DG26:EM26,0)&gt;0,0,1)</f>
        <v>1</v>
      </c>
      <c r="QH26" t="e">
        <f>IF($FS$26="",FALSE,SUMPRODUCT(('Final Calculation Sheet'!$AH$4:$AH$40=$FS$26)*($QG$6:$QG$42=1))&gt;0)</f>
        <v>#N/A</v>
      </c>
      <c r="QI26" t="e">
        <f>$QI$25+--($QH26)</f>
        <v>#N/A</v>
      </c>
      <c r="QJ26" t="e">
        <f t="shared" si="140"/>
        <v>#N/A</v>
      </c>
      <c r="QK26" t="str">
        <f>IF('Final Calculation Sheet'!$AH$26="","",'Final Calculation Sheet'!$AH$26)</f>
        <v>27.08.2026</v>
      </c>
      <c r="QL26">
        <f>IF(QK26="","",COUNTIFS(QK$4:QK$40,"&lt;"&amp;QK26,QK$4:QK$40,"&lt;&gt;"&amp;"")+COUNTIF(QK$4:QK26,QK26))</f>
        <v>31</v>
      </c>
      <c r="QM26" t="str">
        <f t="shared" si="141"/>
        <v>27.08.2026</v>
      </c>
      <c r="QN26" t="e">
        <f ca="1">QN25+F(AND(QM26&lt;&gt;"",COUNTIF(QM$4:QM26,QM26)=1),1,0)</f>
        <v>#N/A</v>
      </c>
      <c r="QO26" t="e">
        <f t="shared" si="142"/>
        <v>#N/A</v>
      </c>
      <c r="QP26">
        <f>IF(COUNTIF('Final Calculation Sheet'!$AM26:$BS26,0)&gt;0,0,1)</f>
        <v>1</v>
      </c>
      <c r="QQ26" t="b">
        <f>IF($AI$26="",FALSE,SUMPRODUCT(('Final Calculation Sheet'!$A$4:$A$40=$AI$26)*($QP$4:$QP$40=1))&gt;0)</f>
        <v>0</v>
      </c>
      <c r="QR26">
        <f t="shared" si="177"/>
        <v>22</v>
      </c>
      <c r="QS26" t="str">
        <f t="shared" si="143"/>
        <v/>
      </c>
      <c r="QT26">
        <f>IF(COUNTIF('Final Calculation Sheet'!$AL26:$AL26,0)+COUNTIF('Final Calculation Sheet'!$AN26:$BS26,0)&gt;0,0,1)</f>
        <v>1</v>
      </c>
      <c r="QU26" t="b">
        <f>IF($Y$26="",FALSE,SUMPRODUCT(('Final Calculation Sheet'!$B$4:$B$40=$Y$26)*($QT$4:$QT$40=1))&gt;0)</f>
        <v>1</v>
      </c>
      <c r="QV26">
        <f t="shared" si="178"/>
        <v>23</v>
      </c>
      <c r="QW26" t="str">
        <f t="shared" si="144"/>
        <v>Scrap of empty oil drums</v>
      </c>
      <c r="QX26">
        <f>IF(COUNTIF('Final Calculation Sheet'!$AL26:$AM26,0)+COUNTIF('Final Calculation Sheet'!$AO26:$BS26,0)&gt;0,0,1)</f>
        <v>1</v>
      </c>
      <c r="QY26" t="b">
        <f>IF($AS$26="",FALSE,SUMPRODUCT(('Final Calculation Sheet'!$C$4:$C$40=$AS$26)*($QX$4:$QX$40=1))&gt;0)</f>
        <v>1</v>
      </c>
      <c r="QZ26">
        <f t="shared" si="179"/>
        <v>23</v>
      </c>
      <c r="RA26">
        <f t="shared" si="145"/>
        <v>65007</v>
      </c>
      <c r="RB26">
        <f>IF(COUNTIF('Final Calculation Sheet'!$AL26:$AN26,0)+COUNTIF('Final Calculation Sheet'!$AP26:$BS26,0)&gt;0,0,1)</f>
        <v>1</v>
      </c>
      <c r="RC26" t="b">
        <f>IF($AD$26="",FALSE,SUMPRODUCT(('Final Calculation Sheet'!$D$4:$D$40=$AD$26)*($RB$4:$RB$40=1))&gt;0)</f>
        <v>0</v>
      </c>
      <c r="RD26">
        <f t="shared" si="180"/>
        <v>4</v>
      </c>
      <c r="RE26" t="str">
        <f t="shared" si="146"/>
        <v/>
      </c>
      <c r="RF26">
        <f>IF(COUNTIF('Final Calculation Sheet'!$AL26:$AO26,0)+COUNTIF('Final Calculation Sheet'!$AQ26:$BS26,0)&gt;0,0,1)</f>
        <v>1</v>
      </c>
      <c r="RG26" t="b">
        <f>IF($AN$26="",FALSE,SUMPRODUCT(('Final Calculation Sheet'!$E$4:$E$40=$AN$26)*($RF$4:$RF$40=1))&gt;0)</f>
        <v>0</v>
      </c>
      <c r="RH26">
        <f t="shared" si="181"/>
        <v>3</v>
      </c>
      <c r="RI26" t="str">
        <f t="shared" si="147"/>
        <v/>
      </c>
      <c r="RJ26">
        <f>IF(COUNTIF('Final Calculation Sheet'!$AL26:$AP26,0)+COUNTIF('Final Calculation Sheet'!$AR26:$BS26,0)&gt;0,0,1)</f>
        <v>1</v>
      </c>
      <c r="RK26" t="b">
        <f>IF($O$26="",FALSE,SUMPRODUCT(('Final Calculation Sheet'!$F$4:$F$40=$O$26)*($RJ$4:$RJ$40=1))&gt;0)</f>
        <v>1</v>
      </c>
      <c r="RL26">
        <f t="shared" si="182"/>
        <v>23</v>
      </c>
      <c r="RM26">
        <f t="shared" si="148"/>
        <v>2035</v>
      </c>
      <c r="RN26">
        <f>IF(COUNTIF('Final Calculation Sheet'!$AL26:$AQ26,0)+COUNTIF('Final Calculation Sheet'!$AS26:$BS26,0)&gt;0,0,1)</f>
        <v>1</v>
      </c>
      <c r="RO26" t="b">
        <f>IF($T$26="",FALSE,SUMPRODUCT(('Final Calculation Sheet'!$G$4:$G$40=$T$26)*($RN$4:$RN$40=1))&gt;0)</f>
        <v>0</v>
      </c>
      <c r="RP26">
        <f t="shared" si="183"/>
        <v>13</v>
      </c>
      <c r="RQ26" t="str">
        <f t="shared" si="149"/>
        <v/>
      </c>
      <c r="RR26">
        <f>IF(COUNTIF('Final Calculation Sheet'!$AL26:$AR26,0)+COUNTIF('Final Calculation Sheet'!$AT26:$BS26,0)&gt;0,0,1)</f>
        <v>1</v>
      </c>
      <c r="RS26" t="b">
        <f>IF($AX$26="",FALSE,SUMPRODUCT(('Final Calculation Sheet'!$H$4:$H$40=$AX$26)*($RR$4:$RR$40=1))&gt;0)</f>
        <v>1</v>
      </c>
      <c r="RT26">
        <f t="shared" si="184"/>
        <v>23</v>
      </c>
      <c r="RU26">
        <f t="shared" si="150"/>
        <v>207030</v>
      </c>
      <c r="RV26">
        <f>IF(COUNTIF('Final Calculation Sheet'!$AL26:$AS26,0)+COUNTIF('Final Calculation Sheet'!$AU26:$BS26,0)&gt;0,0,1)</f>
        <v>1</v>
      </c>
      <c r="RW26" t="b">
        <f>IF($BC$26="",FALSE,SUMPRODUCT(('Final Calculation Sheet'!$I$4:$I$40=$BC$26)*($RV$4:$RV$40=1))&gt;0)</f>
        <v>1</v>
      </c>
      <c r="RX26">
        <f t="shared" si="185"/>
        <v>23</v>
      </c>
      <c r="RY26">
        <f t="shared" si="151"/>
        <v>37265</v>
      </c>
      <c r="RZ26">
        <f>IF(COUNTIF('Final Calculation Sheet'!$AL26:$AT26,0)+COUNTIF('Final Calculation Sheet'!$AV26:$BS26,0)&gt;0,0,1)</f>
        <v>1</v>
      </c>
      <c r="SA26" t="b">
        <f>IF($BH$26="",FALSE,SUMPRODUCT(('Final Calculation Sheet'!$J$4:$J$40=$BH$26)*($RZ$4:$RZ$40=1))&gt;0)</f>
        <v>1</v>
      </c>
      <c r="SB26">
        <f t="shared" si="186"/>
        <v>23</v>
      </c>
      <c r="SC26">
        <f t="shared" si="152"/>
        <v>244295</v>
      </c>
      <c r="SD26">
        <f>IF(COUNTIF('Final Calculation Sheet'!$AL26:$AU26,0)+COUNTIF('Final Calculation Sheet'!$AW26:$BS26,0)&gt;0,0,1)</f>
        <v>1</v>
      </c>
      <c r="SE26" t="b">
        <f>IF($BM$26="",FALSE,SUMPRODUCT(('Final Calculation Sheet'!$K$4:$K$40=$BM$26)*($SD$4:$SD$40=1))&gt;0)</f>
        <v>1</v>
      </c>
      <c r="SF26">
        <f t="shared" si="187"/>
        <v>23</v>
      </c>
      <c r="SG26">
        <f t="shared" si="153"/>
        <v>4886</v>
      </c>
      <c r="SH26">
        <f>IF(COUNTIF('Final Calculation Sheet'!$AL26:$AV26,0)+COUNTIF('Final Calculation Sheet'!$AX26:$BS26,0)&gt;0,0,1)</f>
        <v>1</v>
      </c>
      <c r="SI26" t="b">
        <f>IF($BR$26="",FALSE,SUMPRODUCT(('Final Calculation Sheet'!$L$4:$L$40=$BR$26)*($SH$4:$SH$40=1))&gt;0)</f>
        <v>1</v>
      </c>
      <c r="SJ26">
        <f t="shared" si="188"/>
        <v>23</v>
      </c>
      <c r="SK26">
        <f t="shared" si="154"/>
        <v>207.03</v>
      </c>
      <c r="SL26">
        <f>IF(COUNTIF('Final Calculation Sheet'!$AL26:$AW26,0)+COUNTIF('Final Calculation Sheet'!$AY26:$BS26,0)&gt;0,0,1)</f>
        <v>1</v>
      </c>
      <c r="SM26" t="b">
        <f>IF($BW$26="",FALSE,SUMPRODUCT(('Final Calculation Sheet'!$M$4:$M$40=$BW$26)*($SL$4:$SL$40=1))&gt;0)</f>
        <v>1</v>
      </c>
      <c r="SN26">
        <f t="shared" si="189"/>
        <v>23</v>
      </c>
      <c r="SO26">
        <f t="shared" si="155"/>
        <v>5496.6464999999998</v>
      </c>
      <c r="SP26">
        <f>IF(COUNTIF('Final Calculation Sheet'!$AL26:$AX26,0)+COUNTIF('Final Calculation Sheet'!$AZ26:$BS26,0)&gt;0,0,1)</f>
        <v>1</v>
      </c>
      <c r="SQ26" t="b">
        <f>IF($CB$26="",FALSE,SUMPRODUCT(('Final Calculation Sheet'!$N$4:$N$40=$CB$26)*($SP$4:$SP$40=1))&gt;0)</f>
        <v>1</v>
      </c>
      <c r="SR26">
        <f t="shared" si="190"/>
        <v>23</v>
      </c>
      <c r="SS26">
        <f t="shared" si="156"/>
        <v>93.163499999999999</v>
      </c>
      <c r="ST26">
        <f>IF(COUNTIF('Final Calculation Sheet'!$AL26:$AY26,0)+COUNTIF('Final Calculation Sheet'!$BA26:$BS26,0)&gt;0,0,1)</f>
        <v>1</v>
      </c>
      <c r="SU26" t="b">
        <f>IF($CG$26="",FALSE,SUMPRODUCT(('Final Calculation Sheet'!$O$4:$O$40=$CG$26)*($ST$4:$ST$40=1))&gt;0)</f>
        <v>1</v>
      </c>
      <c r="SV26">
        <f t="shared" si="191"/>
        <v>23</v>
      </c>
      <c r="SW26">
        <f t="shared" si="157"/>
        <v>5403.4830000000002</v>
      </c>
      <c r="SX26">
        <f>IF(COUNTIF('Final Calculation Sheet'!$AL26:$AZ26,0)+COUNTIF('Final Calculation Sheet'!$BB26:$BS26,0)&gt;0,0,1)</f>
        <v>1</v>
      </c>
      <c r="SY26" t="b">
        <f>IF($CL$26="",FALSE,SUMPRODUCT(('Final Calculation Sheet'!$P$4:$P$40=$CL$26)*($SX$4:$SX$40=1))&gt;0)</f>
        <v>1</v>
      </c>
      <c r="SZ26">
        <f t="shared" si="192"/>
        <v>23</v>
      </c>
      <c r="TA26">
        <f t="shared" si="158"/>
        <v>5611</v>
      </c>
      <c r="TB26">
        <f>IF(COUNTIF('Final Calculation Sheet'!$AL26:$BA26,0)+COUNTIF('Final Calculation Sheet'!$BC26:$BS26,0)&gt;0,0,1)</f>
        <v>1</v>
      </c>
      <c r="TC26" t="b">
        <f>IF($CQ$26="",FALSE,SUMPRODUCT(('Final Calculation Sheet'!$Q$4:$Q$40=$CQ$26)*($TB$4:$TB$40=1))&gt;0)</f>
        <v>0</v>
      </c>
      <c r="TD26">
        <f t="shared" si="193"/>
        <v>2</v>
      </c>
      <c r="TE26" t="str">
        <f t="shared" si="159"/>
        <v/>
      </c>
      <c r="TF26">
        <f>IF(COUNTIF('Final Calculation Sheet'!$AL26:$BB26,0)+COUNTIF('Final Calculation Sheet'!$BD26:$BS26,0)&gt;0,0,1)</f>
        <v>1</v>
      </c>
      <c r="TG26" t="b">
        <f>IF($CV$26="",FALSE,SUMPRODUCT(('Final Calculation Sheet'!$R$4:$R$40=$CV$26)*($TF$4:$TF$40=1))&gt;0)</f>
        <v>0</v>
      </c>
      <c r="TH26">
        <f t="shared" si="194"/>
        <v>5</v>
      </c>
      <c r="TI26" t="str">
        <f t="shared" si="160"/>
        <v/>
      </c>
      <c r="TJ26">
        <f>IF(COUNTIF('Final Calculation Sheet'!$AL26:$BC26,0)+COUNTIF('Final Calculation Sheet'!$BE26:$BS26,0)&gt;0,0,1)</f>
        <v>1</v>
      </c>
      <c r="TK26" t="b">
        <f>IF($DA$26="",FALSE,SUMPRODUCT(('Final Calculation Sheet'!$S$4:$S$40=$DA$26)*($TJ$4:$TJ$40=1))&gt;0)</f>
        <v>1</v>
      </c>
      <c r="TL26">
        <f t="shared" si="195"/>
        <v>23</v>
      </c>
      <c r="TM26">
        <f t="shared" si="161"/>
        <v>243571</v>
      </c>
      <c r="TN26">
        <f>IF(COUNTIF('Final Calculation Sheet'!$AL26:$BD26,0)+COUNTIF('Final Calculation Sheet'!$BF26:$BS26,0)&gt;0,0,1)</f>
        <v>1</v>
      </c>
      <c r="TO26" t="b">
        <f>IF($DF$26="",FALSE,SUMPRODUCT(('Final Calculation Sheet'!$T$4:$T$40=$DF$26)*($TN$4:$TN$40=1))&gt;0)</f>
        <v>1</v>
      </c>
      <c r="TP26">
        <f t="shared" si="196"/>
        <v>23</v>
      </c>
      <c r="TQ26">
        <f t="shared" si="162"/>
        <v>51758</v>
      </c>
      <c r="TR26">
        <f>IF(COUNTIF('Final Calculation Sheet'!$AL26:$BE26,0)+COUNTIF('Final Calculation Sheet'!$BG26:$BS26,0)&gt;0,0,1)</f>
        <v>1</v>
      </c>
      <c r="TS26" t="b">
        <f>IF($DK$26="",FALSE,SUMPRODUCT(('Final Calculation Sheet'!$U$4:$U$40=$DK$26)*($TR$4:$TR$40=1))&gt;0)</f>
        <v>1</v>
      </c>
      <c r="TT26">
        <f t="shared" si="197"/>
        <v>23</v>
      </c>
      <c r="TU26">
        <f t="shared" si="163"/>
        <v>51758</v>
      </c>
      <c r="TV26">
        <f>IF(COUNTIF('Final Calculation Sheet'!$AL26:$BF26,0)+COUNTIF('Final Calculation Sheet'!$BH26:$BS26,0)&gt;0,0,1)</f>
        <v>1</v>
      </c>
      <c r="TW26" t="b">
        <f>IF($DP$26="",FALSE,SUMPRODUCT(('Final Calculation Sheet'!$V$4:$V$40=$DP$26)*($TV$4:$TV$40=1))&gt;0)</f>
        <v>0</v>
      </c>
      <c r="TX26">
        <f t="shared" si="198"/>
        <v>6</v>
      </c>
      <c r="TY26" t="str">
        <f t="shared" si="164"/>
        <v/>
      </c>
      <c r="TZ26">
        <f>IF(COUNTIF('Final Calculation Sheet'!$AL26:$BG26,0)+COUNTIF('Final Calculation Sheet'!$BI26:$BS26,0)&gt;0,0,1)</f>
        <v>1</v>
      </c>
      <c r="UA26" t="b">
        <f>IF($DU$26="",FALSE,SUMPRODUCT(('Final Calculation Sheet'!$W$4:$W$40=$DU$26)*($TZ$4:$TZ$40=1))&gt;0)</f>
        <v>1</v>
      </c>
      <c r="UB26">
        <f t="shared" si="199"/>
        <v>23</v>
      </c>
      <c r="UC26">
        <f t="shared" si="165"/>
        <v>191813</v>
      </c>
      <c r="UD26">
        <f>IF(COUNTIF('Final Calculation Sheet'!$AL26:$BH26,0)+COUNTIF('Final Calculation Sheet'!$BJ26:$BS26,0)&gt;0,0,1)</f>
        <v>1</v>
      </c>
      <c r="UE26" t="e">
        <f>IF($DZ$26="",FALSE,SUMPRODUCT(('Final Calculation Sheet'!$X$4:$X$40=$DZ$26)*($UD$4:$UD$40=1))&gt;0)</f>
        <v>#N/A</v>
      </c>
      <c r="UF26" t="e">
        <f t="shared" si="200"/>
        <v>#N/A</v>
      </c>
      <c r="UG26" t="e">
        <f t="shared" si="166"/>
        <v>#N/A</v>
      </c>
      <c r="UH26">
        <f>IF(COUNTIF('Final Calculation Sheet'!$AL26:$BI26,0)+COUNTIF('Final Calculation Sheet'!$BK26:$BS26,0)&gt;0,0,1)</f>
        <v>1</v>
      </c>
      <c r="UI26" t="e">
        <f>IF($EE$26="",FALSE,SUMPRODUCT(('Final Calculation Sheet'!$Y$4:$Y$40=$EE$26)*($UH$4:$UH$40=1))&gt;0)</f>
        <v>#N/A</v>
      </c>
      <c r="UJ26" t="e">
        <f t="shared" si="201"/>
        <v>#N/A</v>
      </c>
      <c r="UK26" t="e">
        <f t="shared" si="167"/>
        <v>#N/A</v>
      </c>
      <c r="UL26">
        <f>IF(COUNTIF('Final Calculation Sheet'!$AL26:$BJ26,0)+COUNTIF('Final Calculation Sheet'!$BL26:$BS26,0)&gt;0,0,1)</f>
        <v>1</v>
      </c>
      <c r="UM26" t="b">
        <f ca="1">IF($EJ$26="",FALSE,SUMPRODUCT(('Final Calculation Sheet'!$Z$4:$Z$40=$EJ$26)*($UL$4:$UL$40=1))&gt;0)</f>
        <v>1</v>
      </c>
      <c r="UN26">
        <f t="shared" ca="1" si="202"/>
        <v>23</v>
      </c>
      <c r="UO26">
        <f t="shared" ca="1" si="168"/>
        <v>7328.8619999999992</v>
      </c>
      <c r="UP26">
        <f>IF(COUNTIF('Final Calculation Sheet'!$AL26:$BK26,0)+COUNTIF('Final Calculation Sheet'!$BM26:$BS26,0)&gt;0,0,1)</f>
        <v>1</v>
      </c>
      <c r="UQ26" t="e">
        <f>IF($EO$26="",FALSE,SUMPRODUCT(('Final Calculation Sheet'!$AA$4:$AA$40=$EO$26)*($UP$4:$UP$40=1))&gt;0)</f>
        <v>#N/A</v>
      </c>
      <c r="UR26" t="e">
        <f t="shared" si="203"/>
        <v>#N/A</v>
      </c>
      <c r="US26" t="e">
        <f t="shared" si="169"/>
        <v>#N/A</v>
      </c>
      <c r="UT26">
        <f>IF(COUNTIF('Final Calculation Sheet'!$AL26:$BL26,0)+COUNTIF('Final Calculation Sheet'!$BN26:$BS26,0)&gt;0,0,1)</f>
        <v>1</v>
      </c>
      <c r="UU26" t="e">
        <f>IF($ET$26="",FALSE,SUMPRODUCT(('Final Calculation Sheet'!$AB$4:$AB$40=$ET$26)*($UT$4:$UT$40=1))&gt;0)</f>
        <v>#N/A</v>
      </c>
      <c r="UV26" t="e">
        <f t="shared" si="204"/>
        <v>#N/A</v>
      </c>
      <c r="UW26" t="e">
        <f t="shared" si="170"/>
        <v>#N/A</v>
      </c>
      <c r="UX26">
        <f>IF(COUNTIF('Final Calculation Sheet'!$AL26:$BM26,0)+COUNTIF('Final Calculation Sheet'!$BO26:$BS26,0)&gt;0,0,1)</f>
        <v>1</v>
      </c>
      <c r="UY26" t="b">
        <f>IF($EY$26="",FALSE,SUMPRODUCT(('Final Calculation Sheet'!$AC$4:$AC$40=$EY$26)*($UX$4:$UX$40=1))&gt;0)</f>
        <v>1</v>
      </c>
      <c r="UZ26">
        <f t="shared" si="205"/>
        <v>23</v>
      </c>
      <c r="VA26">
        <f t="shared" si="171"/>
        <v>232946</v>
      </c>
      <c r="VB26">
        <f>IF(COUNTIF('Final Calculation Sheet'!$AL26:$BN26,0)+COUNTIF('Final Calculation Sheet'!$BP26:$BS26,0)&gt;0,0,1)</f>
        <v>1</v>
      </c>
      <c r="VC26" t="b">
        <f>IF($FD$26="",FALSE,SUMPRODUCT(('Final Calculation Sheet'!$AD$4:$AD$40=$FD$26)*($VB$4:$VB$40=1))&gt;0)</f>
        <v>0</v>
      </c>
      <c r="VD26">
        <f t="shared" si="206"/>
        <v>11</v>
      </c>
      <c r="VE26" t="str">
        <f t="shared" si="172"/>
        <v/>
      </c>
      <c r="VF26">
        <f>IF(COUNTIF('Final Calculation Sheet'!$AL26:$BO26,0)+COUNTIF('Final Calculation Sheet'!$BQ26:$BS26,0)&gt;0,0,1)</f>
        <v>1</v>
      </c>
      <c r="VG26" t="e">
        <f>IF($FI$26="",FALSE,SUMPRODUCT(('Final Calculation Sheet'!$AE$4:$AE$40=$FI$26)*($VF$4:$VF$40=1))&gt;0)</f>
        <v>#N/A</v>
      </c>
      <c r="VH26" t="e">
        <f t="shared" si="207"/>
        <v>#N/A</v>
      </c>
      <c r="VI26" t="e">
        <f t="shared" si="173"/>
        <v>#N/A</v>
      </c>
      <c r="VJ26">
        <f>IF(COUNTIF('Final Calculation Sheet'!$AL26:$BP26,0)+COUNTIF('Final Calculation Sheet'!$BR26:$BS26,0)&gt;0,0,1)</f>
        <v>1</v>
      </c>
      <c r="VK26" t="e">
        <f>IF($FN$26="",FALSE,SUMPRODUCT(('Final Calculation Sheet'!$AF$4:$AF$40=$FN$26)*($VJ$4:$VJ$40=1))&gt;0)</f>
        <v>#N/A</v>
      </c>
      <c r="VL26" t="e">
        <f t="shared" si="208"/>
        <v>#N/A</v>
      </c>
      <c r="VM26" t="e">
        <f t="shared" si="174"/>
        <v>#N/A</v>
      </c>
      <c r="VN26">
        <f>IF(COUNTIF('Final Calculation Sheet'!$AL26:$BQ26,0)+COUNTIF('Final Calculation Sheet'!$BS26:$BS26,0)&gt;0,0,1)</f>
        <v>1</v>
      </c>
      <c r="VO26" t="e">
        <f>IF($FS$26="",FALSE,SUMPRODUCT(('Final Calculation Sheet'!$AG$4:$AG$40=$FS$26)*($VN$4:$VN$40=1))&gt;0)</f>
        <v>#N/A</v>
      </c>
      <c r="VP26" t="e">
        <f t="shared" si="209"/>
        <v>#N/A</v>
      </c>
      <c r="VQ26" t="e">
        <f t="shared" si="175"/>
        <v>#N/A</v>
      </c>
      <c r="VR26">
        <f>IF(COUNTIF('Final Calculation Sheet'!$AL26:$BR26,0)&gt;0,0,1)</f>
        <v>1</v>
      </c>
      <c r="VS26" t="e">
        <f>IF($QO$26="",FALSE,SUMPRODUCT(('Final Calculation Sheet'!$AH$4:$AH$40=$QO$26)*($VR$4:$VR$40=1))&gt;0)</f>
        <v>#N/A</v>
      </c>
      <c r="VT26" t="e">
        <f t="shared" si="210"/>
        <v>#N/A</v>
      </c>
      <c r="VU26" t="e">
        <f t="shared" si="176"/>
        <v>#N/A</v>
      </c>
    </row>
    <row r="27" spans="1:593" x14ac:dyDescent="0.3">
      <c r="A27">
        <f>IF('Final Calculation Sheet'!$F$27="","",'Final Calculation Sheet'!$F$27)</f>
        <v>2036</v>
      </c>
      <c r="B27">
        <f>IF(A27="","",COUNTIFS(A$4:A$114,"&lt;"&amp;A27,A$4:A$114,"&lt;&gt;"&amp;"")+COUNTIF(A$4:A27,A27))</f>
        <v>24</v>
      </c>
      <c r="C27">
        <f t="shared" si="0"/>
        <v>2036</v>
      </c>
      <c r="D27">
        <f>D26+IF(AND(C27&lt;&gt;"",COUNTIF(C$4:C27,C27)=1),1,0)</f>
        <v>24</v>
      </c>
      <c r="E27" t="e">
        <f t="shared" si="1"/>
        <v>#N/A</v>
      </c>
      <c r="F27">
        <f t="shared" si="2"/>
        <v>24</v>
      </c>
      <c r="G27">
        <f>IF(F27="","",COUNTIFS(F$4:F$40,"&lt;"&amp;F27,F$4:F$40,"&lt;&gt;"&amp;"")+COUNTIF(F$4:F27,F27))</f>
        <v>24</v>
      </c>
      <c r="H27">
        <f t="shared" si="3"/>
        <v>24</v>
      </c>
      <c r="I27">
        <f>I26+IF(AND(H27&lt;&gt;"",COUNTIF(H$4:H27,H27)=1),1,0)</f>
        <v>24</v>
      </c>
      <c r="J27">
        <f t="shared" si="4"/>
        <v>24</v>
      </c>
      <c r="K27">
        <f>IF('Final Calculation Sheet'!$F$27="","",'Final Calculation Sheet'!$F$27)</f>
        <v>2036</v>
      </c>
      <c r="L27">
        <f>IF(K27="","",COUNTIFS(K$4:K$40,"&lt;"&amp;K27,K$4:K$40,"&lt;&gt;"&amp;"")+COUNTIF(K$4:K27,K27))</f>
        <v>24</v>
      </c>
      <c r="M27">
        <f t="shared" si="5"/>
        <v>2036</v>
      </c>
      <c r="N27">
        <f>N26+IF(AND(M27&lt;&gt;"",COUNTIF(M$4:M27,M27)=1),1,0)</f>
        <v>24</v>
      </c>
      <c r="O27">
        <f t="shared" si="6"/>
        <v>2036</v>
      </c>
      <c r="P27" t="str">
        <f>IF('Final Calculation Sheet'!$G$27="","",'Final Calculation Sheet'!$G$27)</f>
        <v>M I SCRAP TRADERS</v>
      </c>
      <c r="Q27">
        <f>IF(P27="","",COUNTIFS(P$4:P$40,"&lt;"&amp;P27,P$4:P$40,"&lt;&gt;"&amp;"")+COUNTIF(P$4:P27,P27))</f>
        <v>6</v>
      </c>
      <c r="R27" t="str">
        <f t="shared" si="7"/>
        <v>S M ENTERPRISES</v>
      </c>
      <c r="S27">
        <f>S26+IF(AND(R27&lt;&gt;"",COUNTIF(R$4:R27,R27)=1),1,0)</f>
        <v>9</v>
      </c>
      <c r="T27" t="str">
        <f t="shared" si="8"/>
        <v/>
      </c>
      <c r="U27" t="str">
        <f>IF('Final Calculation Sheet'!$B$27="","",'Final Calculation Sheet'!$B$27)</f>
        <v>Mix Scrap (Tower angles &amp; 0.2 ACSR Condutor pieces)</v>
      </c>
      <c r="V27">
        <f>IF(U27="","",COUNTIFS(U$4:U$40,"&lt;"&amp;U27,U$4:U$40,"&lt;&gt;"&amp;"")+COUNTIF(U$4:U27,U27))</f>
        <v>1</v>
      </c>
      <c r="W27" t="str">
        <f t="shared" si="9"/>
        <v>Scrap of AAAC Earth wire</v>
      </c>
      <c r="X27">
        <f>X26+IF(AND(W27&lt;&gt;"",COUNTIF(W$4:W27,W27)=1),1,0)</f>
        <v>17</v>
      </c>
      <c r="Y27" t="str">
        <f t="shared" si="10"/>
        <v>Scrap of MS (extracted from equip cage and empty Sf6 gas cylinder)</v>
      </c>
      <c r="Z27">
        <f>IF('Final Calculation Sheet'!$D$27="","",'Final Calculation Sheet'!$D$27)</f>
        <v>21978</v>
      </c>
      <c r="AA27">
        <f>IF(Z27="","",COUNTIFS(Z$4:Z$40,"&lt;"&amp;Z27,Z$4:Z$40,"&lt;&gt;"&amp;"")+COUNTIF(Z$4:Z27,Z27))</f>
        <v>22</v>
      </c>
      <c r="AB27">
        <f t="shared" si="11"/>
        <v>21978</v>
      </c>
      <c r="AC27">
        <f>AC26+IF(AND(AB27&lt;&gt;"",COUNTIF(AB$4:AB27,AB27)=1),1,0)</f>
        <v>2</v>
      </c>
      <c r="AD27" t="str">
        <f t="shared" si="12"/>
        <v/>
      </c>
      <c r="AE27">
        <f>IF('Final Calculation Sheet'!$A$27="","",'Final Calculation Sheet'!$A$27)</f>
        <v>8.1999999999999993</v>
      </c>
      <c r="AF27">
        <f>IF(AE27="","",COUNTIFS(AE$4:AE$40,"&lt;"&amp;AE27,AE$4:AE$40,"&lt;&gt;"&amp;"")+COUNTIF(AE$4:AE27,AE27))</f>
        <v>21</v>
      </c>
      <c r="AG27">
        <f t="shared" si="13"/>
        <v>28</v>
      </c>
      <c r="AH27">
        <f>AH26+IF(AND(AG27&lt;&gt;"",COUNTIF(AG$4:AG27,AG27)=1),1,0)</f>
        <v>9</v>
      </c>
      <c r="AI27" t="str">
        <f t="shared" si="14"/>
        <v/>
      </c>
      <c r="AJ27" t="str">
        <f>IF('Final Calculation Sheet'!$E$27="","",'Final Calculation Sheet'!$E$27)</f>
        <v>MT</v>
      </c>
      <c r="AK27">
        <f>IF(AJ27="","",COUNTIFS(AJ$4:AJ$40,"&lt;"&amp;AJ27,AJ$4:AJ$40,"&lt;&gt;"&amp;"")+COUNTIF(AJ$4:AJ27,AJ27))</f>
        <v>7</v>
      </c>
      <c r="AL27" t="str">
        <f t="shared" si="15"/>
        <v>NO</v>
      </c>
      <c r="AM27">
        <f>AM26+IF(AND(AL27&lt;&gt;"",COUNTIF(AL$4:AL27,AL27)=1),1,0)</f>
        <v>3</v>
      </c>
      <c r="AN27" t="str">
        <f t="shared" si="16"/>
        <v/>
      </c>
      <c r="AO27" s="50">
        <f>IF('Final Calculation Sheet'!$C$27="","",'Final Calculation Sheet'!$C$27)</f>
        <v>67000</v>
      </c>
      <c r="AP27">
        <f>IF(AO27="","",COUNTIFS(AO$4:AO$40,"&lt;"&amp;AO27,AO$4:AO$40,"&lt;&gt;"&amp;"")+COUNTIF(AO$4:AO27,AO27))</f>
        <v>26</v>
      </c>
      <c r="AQ27" s="50">
        <f t="shared" si="17"/>
        <v>54000</v>
      </c>
      <c r="AR27">
        <f>AR26+IF(AND(AQ27&lt;&gt;"",COUNTIF(AQ$4:AQ27,AQ27)=1),1,0)</f>
        <v>22</v>
      </c>
      <c r="AS27" s="50">
        <f t="shared" si="18"/>
        <v>67000</v>
      </c>
      <c r="AT27" s="50">
        <f>IF('Final Calculation Sheet'!$H$27="","",'Final Calculation Sheet'!$H$27)</f>
        <v>549400</v>
      </c>
      <c r="AU27">
        <f>IF(AT27="","",COUNTIFS(AT$4:AT$40,"&lt;"&amp;AT27,AT$4:AT$40,"&lt;&gt;"&amp;"")+COUNTIF(AT$4:AT27,AT27))</f>
        <v>32</v>
      </c>
      <c r="AV27" s="50">
        <f t="shared" si="19"/>
        <v>210001</v>
      </c>
      <c r="AW27">
        <f>AW26+IF(AND(AV27&lt;&gt;"",COUNTIF(AV$4:AV27,AV27)=1),1,0)</f>
        <v>24</v>
      </c>
      <c r="AX27" s="50">
        <f t="shared" si="20"/>
        <v>210001</v>
      </c>
      <c r="AY27" s="50">
        <f>IF('Final Calculation Sheet'!$I$27="","",'Final Calculation Sheet'!$I$27)</f>
        <v>98892</v>
      </c>
      <c r="AZ27">
        <f>IF(AY27="","",COUNTIFS(AY$4:AY$40,"&lt;"&amp;AY27,AY$4:AY$40,"&lt;&gt;"&amp;"")+COUNTIF(AY$4:AY27,AY27))</f>
        <v>32</v>
      </c>
      <c r="BA27" s="50">
        <f t="shared" si="21"/>
        <v>37800</v>
      </c>
      <c r="BB27">
        <f>BB26+IF(AND(BA27&lt;&gt;"",COUNTIF(BA$4:BA27,BA27)=1),1,0)</f>
        <v>24</v>
      </c>
      <c r="BC27" s="50">
        <f t="shared" si="22"/>
        <v>37800</v>
      </c>
      <c r="BD27" s="50">
        <f>IF('Final Calculation Sheet'!$J$27="","",'Final Calculation Sheet'!$J$27)</f>
        <v>648292</v>
      </c>
      <c r="BE27">
        <f>IF(BD27="","",COUNTIFS(BD$4:BD$40,"&lt;"&amp;BD27,BD$4:BD$40,"&lt;&gt;"&amp;"")+COUNTIF(BD$4:BD27,BD27))</f>
        <v>32</v>
      </c>
      <c r="BF27" s="50">
        <f t="shared" si="23"/>
        <v>247801</v>
      </c>
      <c r="BG27">
        <f>BG26+IF(AND(BF27&lt;&gt;"",COUNTIF(BF$4:BF27,BF27)=1),1,0)</f>
        <v>24</v>
      </c>
      <c r="BH27" s="50">
        <f t="shared" si="24"/>
        <v>247801</v>
      </c>
      <c r="BI27" s="50">
        <f>IF('Final Calculation Sheet'!$K$27="","",'Final Calculation Sheet'!$K$27)</f>
        <v>12966</v>
      </c>
      <c r="BJ27">
        <f>IF(BI27="","",COUNTIFS(BI$4:BI$40,"&lt;"&amp;BI27,BI$4:BI$40,"&lt;&gt;"&amp;"")+COUNTIF(BI$4:BI27,BI27))</f>
        <v>32</v>
      </c>
      <c r="BK27" s="50">
        <f t="shared" si="25"/>
        <v>4956</v>
      </c>
      <c r="BL27">
        <f>BL26+IF(AND(BK27&lt;&gt;"",COUNTIF(BK$4:BK27,BK27)=1),1,0)</f>
        <v>24</v>
      </c>
      <c r="BM27" s="50">
        <f t="shared" si="26"/>
        <v>4956</v>
      </c>
      <c r="BN27" s="50">
        <f>IF('Final Calculation Sheet'!$L$27="","",'Final Calculation Sheet'!$L$27)</f>
        <v>549.4</v>
      </c>
      <c r="BO27">
        <f>IF(BN27="","",COUNTIFS(BN$4:BN$40,"&lt;"&amp;BN27,BN$4:BN$40,"&lt;&gt;"&amp;"")+COUNTIF(BN$4:BN27,BN27))</f>
        <v>32</v>
      </c>
      <c r="BP27" s="50">
        <f t="shared" si="27"/>
        <v>210.001</v>
      </c>
      <c r="BQ27">
        <f>BQ26+IF(AND(BP27&lt;&gt;"",COUNTIF(BP$4:BP27,BP27)=1),1,0)</f>
        <v>24</v>
      </c>
      <c r="BR27" s="50">
        <f t="shared" si="28"/>
        <v>210.001</v>
      </c>
      <c r="BS27" s="50">
        <f>IF('Final Calculation Sheet'!$M$27="","",'Final Calculation Sheet'!$M$27)</f>
        <v>14586.57</v>
      </c>
      <c r="BT27">
        <f>IF(BS27="","",COUNTIFS(BS$4:BS$40,"&lt;"&amp;BS27,BS$4:BS$40,"&lt;&gt;"&amp;"")+COUNTIF(BS$4:BS27,BS27))</f>
        <v>32</v>
      </c>
      <c r="BU27" s="50">
        <f t="shared" si="29"/>
        <v>5575.5265499999996</v>
      </c>
      <c r="BV27">
        <f>BV26+IF(AND(BU27&lt;&gt;"",COUNTIF(BU$4:BU27,BU27)=1),1,0)</f>
        <v>24</v>
      </c>
      <c r="BW27" s="50">
        <f t="shared" si="30"/>
        <v>5575.5265499999996</v>
      </c>
      <c r="BX27" s="126">
        <f>IF('Final Calculation Sheet'!$N$27="","",'Final Calculation Sheet'!$N$27)</f>
        <v>247.23000000000002</v>
      </c>
      <c r="BY27">
        <f>IF(BX27="","",COUNTIFS(BX$4:BX$40,"&lt;"&amp;BX27,BX$4:BX$40,"&lt;&gt;"&amp;"")+COUNTIF(BX$4:BX27,BX27))</f>
        <v>32</v>
      </c>
      <c r="BZ27" s="126">
        <f t="shared" si="31"/>
        <v>94.500450000000001</v>
      </c>
      <c r="CA27">
        <f>CA26+IF(AND(BZ27&lt;&gt;"",COUNTIF(BZ$4:BZ27,BZ27)=1),1,0)</f>
        <v>24</v>
      </c>
      <c r="CB27" s="126">
        <f t="shared" si="32"/>
        <v>94.500450000000001</v>
      </c>
      <c r="CC27" s="50">
        <f>IF('Final Calculation Sheet'!$O$27="","",'Final Calculation Sheet'!$O$27)</f>
        <v>14339.34</v>
      </c>
      <c r="CD27">
        <f>IF(CC27="","",COUNTIFS(CC$4:CC$40,"&lt;"&amp;CC27,CC$4:CC$40,"&lt;&gt;"&amp;"")+COUNTIF(CC$4:CC27,CC27))</f>
        <v>32</v>
      </c>
      <c r="CE27" s="50">
        <f t="shared" si="33"/>
        <v>5481.0260999999991</v>
      </c>
      <c r="CF27">
        <f>CF26+IF(AND(CE27&lt;&gt;"",COUNTIF(CE$4:CE27,CE27)=1),1,0)</f>
        <v>24</v>
      </c>
      <c r="CG27" s="50">
        <f t="shared" si="34"/>
        <v>5481.0260999999991</v>
      </c>
      <c r="CH27" s="50">
        <f>IF('Final Calculation Sheet'!$P$27="","",'Final Calculation Sheet'!$P$27)</f>
        <v>14889</v>
      </c>
      <c r="CI27">
        <f>IF(CH27="","",COUNTIFS(CH$4:CH$40,"&lt;"&amp;CH27,CH$4:CH$40,"&lt;&gt;"&amp;"")+COUNTIF(CH$4:CH27,CH27))</f>
        <v>32</v>
      </c>
      <c r="CJ27" s="50">
        <f t="shared" si="35"/>
        <v>5691</v>
      </c>
      <c r="CK27">
        <f>CK26+IF(AND(CJ27&lt;&gt;"",COUNTIF(CJ$4:CJ27,CJ27)=1),1,0)</f>
        <v>24</v>
      </c>
      <c r="CL27" s="50">
        <f t="shared" si="36"/>
        <v>5691</v>
      </c>
      <c r="CM27" s="127">
        <f>IF('Final Calculation Sheet'!$Q$27="","",'Final Calculation Sheet'!$Q$27)</f>
        <v>0.02</v>
      </c>
      <c r="CN27">
        <f>IF(CM27="","",COUNTIFS(CM$4:CM$40,"&lt;"&amp;CM27,CM$4:CM$40,"&lt;&gt;"&amp;"")+COUNTIF(CM$4:CM27,CM27))</f>
        <v>37</v>
      </c>
      <c r="CO27" s="127">
        <f t="shared" si="37"/>
        <v>0</v>
      </c>
      <c r="CP27">
        <f>CP26+IF(AND(CO27&lt;&gt;"",COUNTIF(CO$4:CO27,CO27)=1),1,0)</f>
        <v>1</v>
      </c>
      <c r="CQ27" t="str">
        <f t="shared" si="38"/>
        <v/>
      </c>
      <c r="CR27" s="50">
        <f>IF('Final Calculation Sheet'!$R$27="","",'Final Calculation Sheet'!$R$27)</f>
        <v>10988</v>
      </c>
      <c r="CS27">
        <f>IF(CR27="","",COUNTIFS(CR$4:CR$40,"&lt;"&amp;CR27,CR$4:CR$40,"&lt;&gt;"&amp;"")+COUNTIF(CR$4:CR27,CR27))</f>
        <v>34</v>
      </c>
      <c r="CT27" s="50">
        <f t="shared" si="39"/>
        <v>0</v>
      </c>
      <c r="CU27">
        <f>CU26+IF(AND(CT27&lt;&gt;"",COUNTIF(CT$4:CT27,CT27)=1),1,0)</f>
        <v>1</v>
      </c>
      <c r="CV27" t="str">
        <f t="shared" si="40"/>
        <v/>
      </c>
      <c r="CW27" s="50">
        <f>IF('Final Calculation Sheet'!$S$27="","",'Final Calculation Sheet'!$S$27)</f>
        <v>635381</v>
      </c>
      <c r="CX27">
        <f>IF(CW27="","",COUNTIFS(CW$4:CW$40,"&lt;"&amp;CW27,CW$4:CW$40,"&lt;&gt;"&amp;"")+COUNTIF(CW$4:CW27,CW27))</f>
        <v>32</v>
      </c>
      <c r="CY27" s="50">
        <f t="shared" si="41"/>
        <v>247066</v>
      </c>
      <c r="CZ27">
        <f>CZ26+IF(AND(CY27&lt;&gt;"",COUNTIF(CY$4:CY27,CY27)=1),1,0)</f>
        <v>24</v>
      </c>
      <c r="DA27" s="50">
        <f t="shared" si="42"/>
        <v>247066</v>
      </c>
      <c r="DB27" s="50">
        <f>IF('Final Calculation Sheet'!$T$27="","",'Final Calculation Sheet'!$T$27)</f>
        <v>137350</v>
      </c>
      <c r="DC27">
        <f>IF(DB27="","",COUNTIFS(DB$4:DB$40,"&lt;"&amp;DB27,DB$4:DB$40,"&lt;&gt;"&amp;"")+COUNTIF(DB$4:DB27,DB27))</f>
        <v>32</v>
      </c>
      <c r="DD27" s="50">
        <f t="shared" si="43"/>
        <v>52500</v>
      </c>
      <c r="DE27">
        <f>DE26+IF(AND(DD27&lt;&gt;"",COUNTIF(DD$4:DD27,DD27)=1),1,0)</f>
        <v>24</v>
      </c>
      <c r="DF27" s="50">
        <f t="shared" si="44"/>
        <v>52500</v>
      </c>
      <c r="DG27" s="128">
        <f>IF('Final Calculation Sheet'!$U$27="","",'Final Calculation Sheet'!$U$27)</f>
        <v>137350</v>
      </c>
      <c r="DH27">
        <f>IF(DG27="","",COUNTIFS(DG$4:DG$40,"&lt;"&amp;DG27,DG$4:DG$40,"&lt;&gt;"&amp;"")+COUNTIF(DG$4:DG27,DG27))</f>
        <v>32</v>
      </c>
      <c r="DI27" s="128">
        <f t="shared" si="45"/>
        <v>52500</v>
      </c>
      <c r="DJ27">
        <f>DJ26+IF(AND(DI27&lt;&gt;"",COUNTIF(DI$4:DI27,DI27)=1),1,0)</f>
        <v>24</v>
      </c>
      <c r="DK27" s="128">
        <f t="shared" si="46"/>
        <v>52500</v>
      </c>
      <c r="DL27" t="str">
        <f>IF('Final Calculation Sheet'!$V$27="","",'Final Calculation Sheet'!$V$27)</f>
        <v>14.08.2026</v>
      </c>
      <c r="DM27">
        <f>IF(DL27="","",COUNTIFS(DL$4:DL$40,"&lt;"&amp;DL27,DL$4:DL$40,"&lt;&gt;"&amp;"")+COUNTIF(DL$4:DL27,DL27))</f>
        <v>31</v>
      </c>
      <c r="DN27" t="str">
        <f t="shared" si="47"/>
        <v>13.08.2026</v>
      </c>
      <c r="DO27">
        <f>DO26+IF(AND(DN27&lt;&gt;"",COUNTIF(DN$4:DN27,DN27)=1),1,0)</f>
        <v>3</v>
      </c>
      <c r="DP27" t="str">
        <f t="shared" si="48"/>
        <v/>
      </c>
      <c r="DQ27" s="50">
        <f>IF('Final Calculation Sheet'!$W$27="","",'Final Calculation Sheet'!$W$27)</f>
        <v>498031</v>
      </c>
      <c r="DR27">
        <f>IF(DQ27="","",COUNTIFS(DQ$4:DQ$40,"&lt;"&amp;DQ27,DQ$4:DQ$40,"&lt;&gt;"&amp;"")+COUNTIF(DQ$4:DQ27,DQ27))</f>
        <v>32</v>
      </c>
      <c r="DS27" s="50">
        <f t="shared" si="49"/>
        <v>194566</v>
      </c>
      <c r="DT27">
        <f>DT26+IF(AND(DS27&lt;&gt;"",COUNTIF(DS$4:DS27,DS27)=1),1,0)</f>
        <v>24</v>
      </c>
      <c r="DU27" s="50">
        <f t="shared" si="50"/>
        <v>194566</v>
      </c>
      <c r="DV27" t="str">
        <f>IF('Final Calculation Sheet'!$X$27="","",'Final Calculation Sheet'!$X$27)</f>
        <v/>
      </c>
      <c r="DW27" t="str">
        <f>IF(DV27="","",COUNTIFS(DV$4:DV$40,"&lt;"&amp;DV27,DV$4:DV$40,"&lt;&gt;"&amp;"")+COUNTIF(DV$4:DV27,DV27))</f>
        <v/>
      </c>
      <c r="DX27" s="50">
        <f t="shared" si="51"/>
        <v>194568</v>
      </c>
      <c r="DY27">
        <f>DY26+IF(AND(DX27&lt;&gt;"",COUNTIF(DX$4:DX27,DX27)=1),1,0)</f>
        <v>24</v>
      </c>
      <c r="DZ27" t="e">
        <f t="shared" si="52"/>
        <v>#N/A</v>
      </c>
      <c r="EA27" s="50">
        <f>IF('Final Calculation Sheet'!$Y$27="","",'Final Calculation Sheet'!$Y$27)</f>
        <v>0</v>
      </c>
      <c r="EB27">
        <f>IF(EA27="","",COUNTIFS(EA$4:EA$40,"&lt;"&amp;EA27,EA$4:EA$40,"&lt;&gt;"&amp;"")+COUNTIF(EA$4:EA27,EA27))</f>
        <v>1</v>
      </c>
      <c r="EC27" t="str">
        <f t="shared" si="53"/>
        <v>24.08.2026</v>
      </c>
      <c r="ED27">
        <f>ED26+IF(AND(EC27&lt;&gt;"",COUNTIF(EC$4:EC27,EC27)=1),1,0)</f>
        <v>9</v>
      </c>
      <c r="EE27" t="e">
        <f t="shared" si="54"/>
        <v>#N/A</v>
      </c>
      <c r="EF27" s="50">
        <f ca="1">IF('Final Calculation Sheet'!$Z$27="","",'Final Calculation Sheet'!$Z$27)</f>
        <v>19448.760000000002</v>
      </c>
      <c r="EG27">
        <f ca="1">IF(EF27="","",COUNTIFS(EF$4:EF$40,"&lt;"&amp;EF27,EF$4:EF$40,"&lt;&gt;"&amp;"")+COUNTIF(EF$4:EF27,EF27))</f>
        <v>32</v>
      </c>
      <c r="EH27" s="50">
        <f t="shared" ca="1" si="55"/>
        <v>7434.0353999999988</v>
      </c>
      <c r="EI27">
        <f ca="1">EI26+IF(AND(EH27&lt;&gt;"",COUNTIF(EH$4:EH27,EH27)=1),1,0)</f>
        <v>24</v>
      </c>
      <c r="EJ27">
        <f t="shared" ca="1" si="56"/>
        <v>7434.0353999999988</v>
      </c>
      <c r="EK27" t="str">
        <f>IF('Final Calculation Sheet'!$AA$27="","",'Final Calculation Sheet'!$AA$27)</f>
        <v/>
      </c>
      <c r="EL27" t="str">
        <f>IF(EK27="","",COUNTIFS(EK$4:EK$40,"&lt;"&amp;EK27,EK$4:EK$40,"&lt;&gt;"&amp;"")+COUNTIF(EK$4:EK27,EK27))</f>
        <v/>
      </c>
      <c r="EM27" t="e">
        <f t="shared" si="57"/>
        <v>#N/A</v>
      </c>
      <c r="EN27" t="e">
        <f>EN26+IF(AND(EM27&lt;&gt;"",COUNTIF(EM$4:EM27,EM27)=1),1,0)</f>
        <v>#N/A</v>
      </c>
      <c r="EO27" t="e">
        <f t="shared" si="58"/>
        <v>#N/A</v>
      </c>
      <c r="EP27" t="str">
        <f>IF('Final Calculation Sheet'!$AB$27="","",'Final Calculation Sheet'!$AB$27)</f>
        <v/>
      </c>
      <c r="EQ27" t="str">
        <f>IF(EP27="","",COUNTIFS(EP$4:EP$40,"&lt;"&amp;EP27,EP$4:EP$40,"&lt;&gt;"&amp;"")+COUNTIF(EP$4:EP27,EP27))</f>
        <v/>
      </c>
      <c r="ER27" t="e">
        <f t="shared" si="59"/>
        <v>#N/A</v>
      </c>
      <c r="ES27" t="e">
        <f>ES26+IF(AND(ER27&lt;&gt;"",COUNTIF(ER$4:ER27,ER27)=1),1,0)</f>
        <v>#N/A</v>
      </c>
      <c r="ET27" t="e">
        <f t="shared" si="60"/>
        <v>#N/A</v>
      </c>
      <c r="EU27" s="50">
        <f>IF('Final Calculation Sheet'!$AC$27="","",'Final Calculation Sheet'!$AC$27)</f>
        <v>137350</v>
      </c>
      <c r="EV27">
        <f>IF(EU27="","",COUNTIFS(EU$4:EU$40,"&lt;"&amp;EU27,EU$4:EU$40,"&lt;&gt;"&amp;"")+COUNTIF(EU$4:EU27,EU27))</f>
        <v>18</v>
      </c>
      <c r="EW27" s="50">
        <f t="shared" si="61"/>
        <v>242411</v>
      </c>
      <c r="EX27">
        <f>EX26+IF(AND(EW27&lt;&gt;"",COUNTIF(EW$4:EW27,EW27)=1),1,0)</f>
        <v>24</v>
      </c>
      <c r="EY27" s="50">
        <f t="shared" si="62"/>
        <v>242411</v>
      </c>
      <c r="EZ27" s="50">
        <f>IF('Final Calculation Sheet'!$AD$27="","",'Final Calculation Sheet'!$AD$27)</f>
        <v>498031</v>
      </c>
      <c r="FA27">
        <f>IF(EZ27="","",COUNTIFS(EZ$4:EZ$40,"&lt;"&amp;EZ27,EZ$4:EZ$40,"&lt;&gt;"&amp;"")+COUNTIF(EZ$4:EZ27,EZ27))</f>
        <v>37</v>
      </c>
      <c r="FB27" s="50">
        <f t="shared" si="63"/>
        <v>0</v>
      </c>
      <c r="FC27">
        <f>FC26+IF(AND(FB27&lt;&gt;"",COUNTIF(FB$4:FB27,FB27)=1),1,0)</f>
        <v>7</v>
      </c>
      <c r="FD27" t="str">
        <f t="shared" si="64"/>
        <v/>
      </c>
      <c r="FE27" t="str">
        <f>IF('Final Calculation Sheet'!$AF$27="","",'Final Calculation Sheet'!$AF$27)</f>
        <v/>
      </c>
      <c r="FF27" t="str">
        <f>IF(FE27="","",COUNTIFS(FE$4:FE$40,"&lt;"&amp;FE27,FE$4:FE$40,"&lt;&gt;"&amp;"")+COUNTIF(FE$4:FE27,FE27))</f>
        <v/>
      </c>
      <c r="FG27" t="str">
        <f t="shared" si="65"/>
        <v>DR2640100035</v>
      </c>
      <c r="FH27" t="e">
        <f>FH26+IF(AND(FG27&lt;&gt;"",COUNTIF(FG$4:FG27,FG27)=1),1,0)</f>
        <v>#N/A</v>
      </c>
      <c r="FI27" t="e">
        <f t="shared" si="66"/>
        <v>#N/A</v>
      </c>
      <c r="FJ27" t="str">
        <f>IF('Final Calculation Sheet'!$AG$27="","",'Final Calculation Sheet'!$AG$27)</f>
        <v/>
      </c>
      <c r="FK27" t="str">
        <f>IF(FJ27="","",COUNTIFS(FJ$4:FJ$40,"&lt;"&amp;FJ27,FJ$4:FJ$40,"&lt;&gt;"&amp;"")+COUNTIF(FJ$4:FJ27,FJ27))</f>
        <v/>
      </c>
      <c r="FL27" s="129">
        <f t="shared" si="67"/>
        <v>1800003312</v>
      </c>
      <c r="FM27">
        <f>FM26+IF(AND(FL27&lt;&gt;"",COUNTIF(FL$4:FL27,FL27)=1),1,0)</f>
        <v>24</v>
      </c>
      <c r="FN27" t="e">
        <f t="shared" si="68"/>
        <v>#N/A</v>
      </c>
      <c r="FO27" t="str">
        <f>IF('Final Calculation Sheet'!$AH$27="","",'Final Calculation Sheet'!$AH$27)</f>
        <v/>
      </c>
      <c r="FP27" t="str">
        <f>IF(FO27="","",COUNTIFS(FO$4:FO$40,"&lt;"&amp;FO27,FO$4:FO$40,"&lt;&gt;"&amp;"")+COUNTIF(FO$4:FO27,FO27))</f>
        <v/>
      </c>
      <c r="FQ27" t="str">
        <f t="shared" si="69"/>
        <v>27.08.2026</v>
      </c>
      <c r="FR27" t="e">
        <f>FR26+IF(AND(FQ27&lt;&gt;"",COUNTIF(FQ$4:FQ27,FQ27)=1),1,0)</f>
        <v>#N/A</v>
      </c>
      <c r="FS27" t="e">
        <f t="shared" si="70"/>
        <v>#N/A</v>
      </c>
      <c r="FU27" t="str">
        <f>IF(FT27="","",COUNTIFS(FT$4:FT$40,"&lt;"&amp;FT27,FT$4:FT$40,"&lt;&gt;"&amp;"")+COUNTIF(FT$4:FT27,FT27))</f>
        <v/>
      </c>
      <c r="FV27" t="str">
        <f t="shared" si="71"/>
        <v/>
      </c>
      <c r="FW27">
        <f>FW26+IF(AND(FV27&lt;&gt;"",COUNTIF(FV$4:FV27,FV27)=1),1,0)</f>
        <v>2</v>
      </c>
      <c r="FX27" t="str">
        <f t="shared" si="72"/>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7" t="b">
        <f>IF($Y$27="",FALSE,SUMPRODUCT(('Final Calculation Sheet'!$B$4:$B$40=$Y$27)*($FY$6:$FY$42=1))&gt;0)</f>
        <v>1</v>
      </c>
      <c r="GA27">
        <f>$GA$26+--($FZ$27)</f>
        <v>24</v>
      </c>
      <c r="GB27" t="str">
        <f t="shared" si="73"/>
        <v>Scrap of MS (extracted from equip cage and empty Sf6 gas cylinder)</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D27" t="b">
        <f>IF($O$27="",FALSE,SUMPRODUCT(('Final Calculation Sheet'!$F$4:$F$40=$O$27)*($GC$6:$GC$42=1))&gt;0)</f>
        <v>1</v>
      </c>
      <c r="GE27">
        <f>$GE$26+--($GD27)</f>
        <v>24</v>
      </c>
      <c r="GF27">
        <f t="shared" si="74"/>
        <v>2036</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H27" t="b">
        <f>IF($T$27="",FALSE,SUMPRODUCT(('Final Calculation Sheet'!$G$4:$G$40=$T$27)*($GG$6:$GG$42=1))&gt;0)</f>
        <v>0</v>
      </c>
      <c r="GI27">
        <f>$GI$26+--($GH27)</f>
        <v>13</v>
      </c>
      <c r="GJ27" t="str">
        <f t="shared" si="75"/>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L27" t="b">
        <f>IF($AD$27="",FALSE,SUMPRODUCT(('Final Calculation Sheet'!$D$4:$D$40=$AD$27)*($GK$6:$GK$42=1))&gt;0)</f>
        <v>0</v>
      </c>
      <c r="GM27">
        <f>$GM$26+--($GL27)</f>
        <v>4</v>
      </c>
      <c r="GN27" t="str">
        <f t="shared" si="76"/>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P27" t="b">
        <f>IF($AI$27="",FALSE,SUMPRODUCT(('Final Calculation Sheet'!$A$4:$A$40=$AI$27)*($GO$6:$GO$42=1))&gt;0)</f>
        <v>0</v>
      </c>
      <c r="GQ27">
        <f>$GQ$26+--($GP27)</f>
        <v>22</v>
      </c>
      <c r="GR27" t="str">
        <f t="shared" si="77"/>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T27" t="b">
        <f>IF($AN$27="",FALSE,SUMPRODUCT(('Final Calculation Sheet'!$E$4:$E$40=$AN$27)*($GS$6:$GS$42=1))&gt;0)</f>
        <v>0</v>
      </c>
      <c r="GU27">
        <f>$GU$26+--($GT27)</f>
        <v>3</v>
      </c>
      <c r="GV27" t="str">
        <f t="shared" si="78"/>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GX27" t="b">
        <f>IF($AS$27="",FALSE,SUMPRODUCT(('Final Calculation Sheet'!$C$4:$C$40=$AS$27)*($GW$6:$GW$42=1))&gt;0)</f>
        <v>1</v>
      </c>
      <c r="GY27">
        <f>$GY$26+--($GX27)</f>
        <v>24</v>
      </c>
      <c r="GZ27">
        <f t="shared" si="79"/>
        <v>67000</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B27" t="b">
        <f>IF($AX$27="",FALSE,SUMPRODUCT(('Final Calculation Sheet'!$H$4:$H$40=$AX$27)*($HA$6:$HA$42=1))&gt;0)</f>
        <v>1</v>
      </c>
      <c r="HC27">
        <f>$HC$26+--($HB27)</f>
        <v>24</v>
      </c>
      <c r="HD27">
        <f t="shared" si="80"/>
        <v>210001</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F27" t="b">
        <f>IF($BC$27="",FALSE,SUMPRODUCT(('Final Calculation Sheet'!$I$4:$I$40=$BC$27)*($HE$6:$HE$42=1))&gt;0)</f>
        <v>1</v>
      </c>
      <c r="HG27">
        <f>$HG$26+--($HF27)</f>
        <v>24</v>
      </c>
      <c r="HH27">
        <f t="shared" si="81"/>
        <v>37800</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J27" t="b">
        <f>IF($BH$27="",FALSE,SUMPRODUCT(('Final Calculation Sheet'!$J$4:$J$40=$BH$27)*($HI$6:$HI$42=1))&gt;0)</f>
        <v>1</v>
      </c>
      <c r="HK27">
        <f>$HK$26+--($HJ27)</f>
        <v>24</v>
      </c>
      <c r="HL27">
        <f t="shared" si="82"/>
        <v>247801</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N27" t="b">
        <f>IF($BM$27="",FALSE,SUMPRODUCT(('Final Calculation Sheet'!$K$4:$K$40=$BM$27)*($HM$6:$HM$42=1))&gt;0)</f>
        <v>1</v>
      </c>
      <c r="HO27">
        <f>$HO$26+--($HN27)</f>
        <v>24</v>
      </c>
      <c r="HP27">
        <f t="shared" si="83"/>
        <v>4956</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R27" t="b">
        <f>IF($BR$27="",FALSE,SUMPRODUCT(('Final Calculation Sheet'!$L$4:$L$40=$BR$27)*($HQ$6:$HQ$42=1))&gt;0)</f>
        <v>1</v>
      </c>
      <c r="HS27">
        <f>$HS$26+--($HR27)</f>
        <v>24</v>
      </c>
      <c r="HT27">
        <f t="shared" si="84"/>
        <v>210.001</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V27" t="b">
        <f>IF($BW$27="",FALSE,SUMPRODUCT(('Final Calculation Sheet'!$M$4:$M$40=$BW$27)*($HU$6:$HU$42=1))&gt;0)</f>
        <v>1</v>
      </c>
      <c r="HW27">
        <f>$HW$26+--($HV27)</f>
        <v>24</v>
      </c>
      <c r="HX27">
        <f t="shared" si="85"/>
        <v>5575.5265499999996</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HZ27" t="b">
        <f>IF($CB$27="",FALSE,SUMPRODUCT(('Final Calculation Sheet'!$N$4:$N$40=$CB$27)*($HY$6:$HY$42=1))&gt;0)</f>
        <v>1</v>
      </c>
      <c r="IA27">
        <f>$IA$26+--($HZ27)</f>
        <v>24</v>
      </c>
      <c r="IB27">
        <f t="shared" si="86"/>
        <v>94.500450000000001</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D27" t="b">
        <f>IF($CG$27="",FALSE,SUMPRODUCT(('Final Calculation Sheet'!$O$4:$O$40=$CG$27)*($IC$6:$IC$42=1))&gt;0)</f>
        <v>1</v>
      </c>
      <c r="IE27">
        <f>$IE$26+--($ID27)</f>
        <v>24</v>
      </c>
      <c r="IF27">
        <f t="shared" si="87"/>
        <v>5481.0260999999991</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H27" t="b">
        <f>IF($CL$27="",FALSE,SUMPRODUCT(('Final Calculation Sheet'!$P$4:$P$40=$CL$27)*($IG$6:$IG$42=1))&gt;0)</f>
        <v>1</v>
      </c>
      <c r="II27">
        <f>$II$26+--($IH27)</f>
        <v>24</v>
      </c>
      <c r="IJ27">
        <f t="shared" si="88"/>
        <v>5691</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L27" t="b">
        <f>IF($CQ$27="",FALSE,SUMPRODUCT(('Final Calculation Sheet'!$Q$4:$Q$40=$CQ$27)*($IK$6:$IK$42=1))&gt;0)</f>
        <v>0</v>
      </c>
      <c r="IM27">
        <f>$IM$26+--($IL27)</f>
        <v>2</v>
      </c>
      <c r="IN27" t="str">
        <f t="shared" si="89"/>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P27" t="b">
        <f>IF($CV$27="",FALSE,SUMPRODUCT(('Final Calculation Sheet'!$R$4:$R$40=$CV$27)*($IO$6:$IO$42=1))&gt;0)</f>
        <v>0</v>
      </c>
      <c r="IQ27">
        <f>$IQ$26+--($IP27)</f>
        <v>5</v>
      </c>
      <c r="IR27" t="str">
        <f t="shared" si="90"/>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T27" t="b">
        <f>IF($DA$27="",FALSE,SUMPRODUCT(('Final Calculation Sheet'!$S$4:$S$40=$DA$27)*($IS$6:$IS$42=1))&gt;0)</f>
        <v>1</v>
      </c>
      <c r="IU27">
        <f>$IU$26+--($IT27)</f>
        <v>24</v>
      </c>
      <c r="IV27">
        <f t="shared" si="91"/>
        <v>247066</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IX27" t="b">
        <f>IF($DF$27="",FALSE,SUMPRODUCT(('Final Calculation Sheet'!$T$4:$T$40=$DF$27)*($IW$6:$IW$42=1))&gt;0)</f>
        <v>1</v>
      </c>
      <c r="IY27">
        <f>$IY$26+--($IX27)</f>
        <v>24</v>
      </c>
      <c r="IZ27">
        <f t="shared" si="92"/>
        <v>52500</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B27" t="b">
        <f>IF($DK$27="",FALSE,SUMPRODUCT(('Final Calculation Sheet'!$U$4:$U$40=$DK$27)*($JA$6:$JA$42=1))&gt;0)</f>
        <v>1</v>
      </c>
      <c r="JC27">
        <f>$JC$26+--($JB27)</f>
        <v>24</v>
      </c>
      <c r="JD27">
        <f t="shared" si="93"/>
        <v>52500</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F27" t="b">
        <f>IF($DP$27="",FALSE,SUMPRODUCT(('Final Calculation Sheet'!$V$4:$V$40=$DP$27)*($JE$6:$JE$42=1))&gt;0)</f>
        <v>0</v>
      </c>
      <c r="JG27">
        <f>$JG$26+--($JF27)</f>
        <v>6</v>
      </c>
      <c r="JH27" t="str">
        <f t="shared" si="94"/>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J27" t="b">
        <f>IF($DU$27="",FALSE,SUMPRODUCT(('Final Calculation Sheet'!$W$4:$W$40=$DU$27)*($JI$6:$JI$42=1))&gt;0)</f>
        <v>1</v>
      </c>
      <c r="JK27">
        <f>$JK$26+--($JJ27)</f>
        <v>24</v>
      </c>
      <c r="JL27">
        <f t="shared" si="95"/>
        <v>194566</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N27" t="e">
        <f>IF($DZ$27="",FALSE,SUMPRODUCT(('Final Calculation Sheet'!$X$4:$X$40=$DZ$27)*($JM$6:$JM$42=1))&gt;0)</f>
        <v>#N/A</v>
      </c>
      <c r="JO27" t="e">
        <f>$JO$26+--($JN27)</f>
        <v>#N/A</v>
      </c>
      <c r="JP27" t="e">
        <f t="shared" si="96"/>
        <v>#N/A</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R27" t="e">
        <f>IF($EE$27="",FALSE,SUMPRODUCT(('Final Calculation Sheet'!$Y$4:$Y$40=$EE$27)*($JQ$6:$JQ$42=1))&gt;0)</f>
        <v>#N/A</v>
      </c>
      <c r="JS27" t="e">
        <f>$JS$26+--($JR27)</f>
        <v>#N/A</v>
      </c>
      <c r="JT27" t="e">
        <f t="shared" si="97"/>
        <v>#N/A</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V27" t="b">
        <f ca="1">IF($EJ$27="",FALSE,SUMPRODUCT(('Final Calculation Sheet'!$Z$4:$Z$40=$EJ$27)*($JU$6:$JU$42=1))&gt;0)</f>
        <v>1</v>
      </c>
      <c r="JW27">
        <f ca="1">$JW$26+--($JV27)</f>
        <v>24</v>
      </c>
      <c r="JX27">
        <f t="shared" ca="1" si="98"/>
        <v>7434.0353999999988</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JZ27" t="e">
        <f>IF($EO$27="",FALSE,SUMPRODUCT(('Final Calculation Sheet'!$AA$4:$AA$40=$EO$27)*($JY$6:$JY$42=1))&gt;0)</f>
        <v>#N/A</v>
      </c>
      <c r="KA27" t="e">
        <f>$KA$26+--($JZ27)</f>
        <v>#N/A</v>
      </c>
      <c r="KB27" t="e">
        <f t="shared" si="99"/>
        <v>#N/A</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D27" t="e">
        <f>IF($ET$27="",FALSE,SUMPRODUCT(('Final Calculation Sheet'!$AB$4:$AB$40=$ET$27)*($KC$6:$KC$42=1))&gt;0)</f>
        <v>#N/A</v>
      </c>
      <c r="KE27" t="e">
        <f>$KE$26+--($KD27)</f>
        <v>#N/A</v>
      </c>
      <c r="KF27" t="e">
        <f t="shared" si="100"/>
        <v>#N/A</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H27" t="b">
        <f>IF($EY$27="",FALSE,SUMPRODUCT(('Final Calculation Sheet'!$AC$4:$AC$40=$EY$27)*($KG$6:$KG$42=1))&gt;0)</f>
        <v>1</v>
      </c>
      <c r="KI27">
        <f>$KI$26+--($KH27)</f>
        <v>24</v>
      </c>
      <c r="KJ27">
        <f t="shared" si="101"/>
        <v>242411</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L27" t="b">
        <f>IF($FD$27="",FALSE,SUMPRODUCT(('Final Calculation Sheet'!$AD$4:$AD$40=$FD$27)*($KK$6:$KK$42=1))&gt;0)</f>
        <v>0</v>
      </c>
      <c r="KM27">
        <f>$KM$26+--($KL27)</f>
        <v>11</v>
      </c>
      <c r="KN27" t="str">
        <f t="shared" si="102"/>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P27" t="b">
        <f>IF($FX$27="",FALSE,SUMPRODUCT((IF('Final Calculation Sheet'!$AD$4:$AD$40&lt;=5,"SETTLED","OUTSTANDING")=$FX$27)*($KO$6:$KO$42=1))&gt;0)</f>
        <v>0</v>
      </c>
      <c r="KQ27">
        <f>$KQ$26+--($KP27)</f>
        <v>1</v>
      </c>
      <c r="KR27" t="str">
        <f t="shared" si="103"/>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T27" t="e">
        <f>IF($FI$27="",FALSE,SUMPRODUCT(('Final Calculation Sheet'!$AF$4:$AF$40=$FI$27)*($KS$6:$KS$42=1))&gt;0)</f>
        <v>#N/A</v>
      </c>
      <c r="KU27" t="e">
        <f>$KU$26+--($KT27)</f>
        <v>#N/A</v>
      </c>
      <c r="KV27" t="e">
        <f t="shared" si="104"/>
        <v>#N/A</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KX27" t="e">
        <f>IF($FN$27="",FALSE,SUMPRODUCT(('Final Calculation Sheet'!$AG$4:$AG$40=$FN$27)*($KW$6:$KW$42=1))&gt;0)</f>
        <v>#N/A</v>
      </c>
      <c r="KY27" t="e">
        <f>$KY$26+--($KX27)</f>
        <v>#N/A</v>
      </c>
      <c r="KZ27" t="e">
        <f t="shared" si="105"/>
        <v>#N/A</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LB27" t="e">
        <f>IF($FS$27="",FALSE,SUMPRODUCT(('Final Calculation Sheet'!$AH$4:$AH$40=$FS$27)*($LA$6:$LA$42=1))&gt;0)</f>
        <v>#N/A</v>
      </c>
      <c r="LC27" t="e">
        <f>$LC$26+--($LB27)</f>
        <v>#N/A</v>
      </c>
      <c r="LD27" t="e">
        <f t="shared" si="106"/>
        <v>#N/A</v>
      </c>
      <c r="LE27">
        <f>IF(COUNTIF('Buyer Groups'!DH27:EN27,0)&gt;0,0,1)</f>
        <v>1</v>
      </c>
      <c r="LF27" t="b">
        <f>IF($O$27="",FALSE,SUMPRODUCT(('Final Calculation Sheet'!$F$4:$F$40=$O$27)*($LE$6:$LE$42=1))&gt;0)</f>
        <v>1</v>
      </c>
      <c r="LG27">
        <f>$LG$26+--($LF27)</f>
        <v>24</v>
      </c>
      <c r="LH27">
        <f t="shared" si="107"/>
        <v>2036</v>
      </c>
      <c r="LI27">
        <f>IF(COUNTIF('Buyer Groups'!DG27:DG27,0)+COUNTIF('Buyer Groups'!DI27:EN27,0)&gt;0,0,1)</f>
        <v>1</v>
      </c>
      <c r="LJ27" t="b">
        <f>IF($T$27="",FALSE,SUMPRODUCT(('Final Calculation Sheet'!$G$4:$G$40=$T$27)*($LI$6:$LI$42=1))&gt;0)</f>
        <v>0</v>
      </c>
      <c r="LK27">
        <f>$LK$26+--($LJ27)</f>
        <v>13</v>
      </c>
      <c r="LL27" t="str">
        <f t="shared" si="108"/>
        <v/>
      </c>
      <c r="LM27">
        <f>IF(COUNTIF('Buyer Groups'!DG27:DH27,0)+COUNTIF('Buyer Groups'!DJ27:EN27,0)&gt;0,0,1)</f>
        <v>1</v>
      </c>
      <c r="LN27" t="b">
        <f>IF($Y$27="",FALSE,SUMPRODUCT(('Final Calculation Sheet'!$B$4:$B$40=$Y$27)*($LM$6:$LM$42=1))&gt;0)</f>
        <v>1</v>
      </c>
      <c r="LO27">
        <f>$LO$26+--($LN27)</f>
        <v>24</v>
      </c>
      <c r="LP27" t="str">
        <f t="shared" si="109"/>
        <v>Scrap of MS (extracted from equip cage and empty Sf6 gas cylinder)</v>
      </c>
      <c r="LQ27">
        <f>IF(COUNTIF('Buyer Groups'!DG27:DI27,0)+COUNTIF('Buyer Groups'!DK27:EN27,0)&gt;0,0,1)</f>
        <v>1</v>
      </c>
      <c r="LR27" t="b">
        <f>IF($AD$27="",FALSE,SUMPRODUCT(('Final Calculation Sheet'!$D$4:$D$40=$AD$27)*($LQ$6:$LQ$42=1))&gt;0)</f>
        <v>0</v>
      </c>
      <c r="LS27">
        <f>$LS$26+--($LR27)</f>
        <v>4</v>
      </c>
      <c r="LT27" t="str">
        <f t="shared" si="110"/>
        <v/>
      </c>
      <c r="LU27">
        <f>IF(COUNTIF('Buyer Groups'!DG27:DJ27,0)+COUNTIF('Buyer Groups'!DL27:EN27,0)&gt;0,0,1)</f>
        <v>1</v>
      </c>
      <c r="LV27" t="b">
        <f>IF($AI$27="",FALSE,SUMPRODUCT(('Final Calculation Sheet'!$A$4:$A$40=$AI$27)*($LU$6:$LU$42=1))&gt;0)</f>
        <v>0</v>
      </c>
      <c r="LW27">
        <f>$LW$26+--($LV27)</f>
        <v>22</v>
      </c>
      <c r="LX27" t="str">
        <f t="shared" si="111"/>
        <v/>
      </c>
      <c r="LY27">
        <f>IF(COUNTIF('Buyer Groups'!DG27:DK27,0)+COUNTIF('Buyer Groups'!DM27:EN27,0)&gt;0,0,1)</f>
        <v>1</v>
      </c>
      <c r="LZ27" t="b">
        <f>IF($AN$27="",FALSE,SUMPRODUCT(('Final Calculation Sheet'!$E$4:$E$40=$AN$27)*($LY$6:$LY$42=1))&gt;0)</f>
        <v>0</v>
      </c>
      <c r="MA27">
        <f>$MA$26+--($LZ27)</f>
        <v>3</v>
      </c>
      <c r="MB27" t="str">
        <f t="shared" si="112"/>
        <v/>
      </c>
      <c r="MC27">
        <f>IF(COUNTIF('Buyer Groups'!DG27:DL27,0)+COUNTIF('Buyer Groups'!DN27:EN27,0)&gt;0,0,1)</f>
        <v>1</v>
      </c>
      <c r="MD27" t="b">
        <f>IF($AS$27="",FALSE,SUMPRODUCT(('Final Calculation Sheet'!$C$4:$C$40=$AS$27)*($MC$6:$MC$42=1))&gt;0)</f>
        <v>1</v>
      </c>
      <c r="ME27">
        <f>$ME$26+--($MD27)</f>
        <v>24</v>
      </c>
      <c r="MF27">
        <f t="shared" si="113"/>
        <v>67000</v>
      </c>
      <c r="MG27">
        <f>IF(COUNTIF('Buyer Groups'!DG27:DM27,0)+COUNTIF('Buyer Groups'!DO27:EN27,0)&gt;0,0,1)</f>
        <v>1</v>
      </c>
      <c r="MH27" t="b">
        <f>IF($AX$27="",FALSE,SUMPRODUCT(('Final Calculation Sheet'!$H$4:$H$40=$AX$27)*($MG$6:$MG$42=1))&gt;0)</f>
        <v>1</v>
      </c>
      <c r="MI27">
        <f>$MI$26+--($MH27)</f>
        <v>24</v>
      </c>
      <c r="MJ27">
        <f t="shared" si="114"/>
        <v>210001</v>
      </c>
      <c r="MK27">
        <f>IF(COUNTIF('Buyer Groups'!DG27:DN27,0)+COUNTIF('Buyer Groups'!DP27:EN27,0)&gt;0,0,1)</f>
        <v>1</v>
      </c>
      <c r="ML27" t="b">
        <f>IF($BC$27="",FALSE,SUMPRODUCT(('Final Calculation Sheet'!$I$4:$I$40=$BC$27)*($MK$6:$MK$42=1))&gt;0)</f>
        <v>1</v>
      </c>
      <c r="MM27">
        <f>$MM$26+--($ML27)</f>
        <v>24</v>
      </c>
      <c r="MN27">
        <f t="shared" si="115"/>
        <v>37800</v>
      </c>
      <c r="MO27">
        <f>IF(COUNTIF('Buyer Groups'!DG27:DO27,0)+COUNTIF('Buyer Groups'!DQ27:EN27,0)&gt;0,0,1)</f>
        <v>1</v>
      </c>
      <c r="MP27" t="b">
        <f>IF($BH$27="",FALSE,SUMPRODUCT(('Final Calculation Sheet'!$J$4:$J$40=$BH$27)*($MO$6:$MO$42=1))&gt;0)</f>
        <v>1</v>
      </c>
      <c r="MQ27">
        <f>$MQ$26+--($MP27)</f>
        <v>24</v>
      </c>
      <c r="MR27">
        <f t="shared" si="116"/>
        <v>247801</v>
      </c>
      <c r="MS27">
        <f>IF(COUNTIF('Buyer Groups'!DG27:DP27,0)+COUNTIF('Buyer Groups'!DR27:EN27,0)&gt;0,0,1)</f>
        <v>1</v>
      </c>
      <c r="MT27" t="b">
        <f>IF($BM$27="",FALSE,SUMPRODUCT(('Final Calculation Sheet'!$K$4:$K$40=$BM$27)*($MS$6:$MS$42=1))&gt;0)</f>
        <v>1</v>
      </c>
      <c r="MU27">
        <f>$MU$26+--($MT27)</f>
        <v>24</v>
      </c>
      <c r="MV27">
        <f t="shared" si="117"/>
        <v>4956</v>
      </c>
      <c r="MW27">
        <f>IF(COUNTIF('Buyer Groups'!DG27:DQ27,0)+COUNTIF('Buyer Groups'!DS27:EN27,0)&gt;0,0,1)</f>
        <v>1</v>
      </c>
      <c r="MX27" t="b">
        <f>IF($BR$27="",FALSE,SUMPRODUCT(('Final Calculation Sheet'!$L$4:$L$40=$BR$27)*($MW$6:$MW$42=1))&gt;0)</f>
        <v>1</v>
      </c>
      <c r="MY27">
        <f>$MY$26+--($MX27)</f>
        <v>24</v>
      </c>
      <c r="MZ27">
        <f t="shared" si="118"/>
        <v>210.001</v>
      </c>
      <c r="NA27">
        <f>IF(COUNTIF('Buyer Groups'!DG27:DR27,0)+COUNTIF('Buyer Groups'!DT27:EN27,0)&gt;0,0,1)</f>
        <v>1</v>
      </c>
      <c r="NB27" t="b">
        <f>IF($BW$27="",FALSE,SUMPRODUCT(('Final Calculation Sheet'!$M$4:$M$40=$BW$27)*($NA$6:$NA$42=1))&gt;0)</f>
        <v>1</v>
      </c>
      <c r="NC27">
        <f>$NC$26+--($NB27)</f>
        <v>24</v>
      </c>
      <c r="ND27">
        <f t="shared" si="119"/>
        <v>5575.5265499999996</v>
      </c>
      <c r="NE27">
        <f>IF(COUNTIF('Buyer Groups'!DG27:DS27,0)+COUNTIF('Buyer Groups'!DU27:EN27,0)&gt;0,0,1)</f>
        <v>1</v>
      </c>
      <c r="NF27" t="b">
        <f>IF($CB$27="",FALSE,SUMPRODUCT(('Final Calculation Sheet'!$N$4:$N$40=$CB$27)*($NE$6:$NE$42=1))&gt;0)</f>
        <v>1</v>
      </c>
      <c r="NG27">
        <f>$NG$26+--($NF27)</f>
        <v>24</v>
      </c>
      <c r="NH27">
        <f t="shared" si="120"/>
        <v>94.500450000000001</v>
      </c>
      <c r="NI27">
        <f>IF(COUNTIF('Buyer Groups'!DG27:DT27,0)+COUNTIF('Buyer Groups'!DV27:EN27,0)&gt;0,0,1)</f>
        <v>1</v>
      </c>
      <c r="NJ27" t="b">
        <f>IF($CG$27="",FALSE,SUMPRODUCT(('Final Calculation Sheet'!$O$4:$O$40=$CG$27)*($NI$6:$NI$42=1))&gt;0)</f>
        <v>1</v>
      </c>
      <c r="NK27">
        <f>$NK$26+--($NJ27)</f>
        <v>24</v>
      </c>
      <c r="NL27">
        <f t="shared" si="121"/>
        <v>5481.0260999999991</v>
      </c>
      <c r="NM27">
        <f>IF(COUNTIF('Buyer Groups'!DG27:DU27,0)+COUNTIF('Buyer Groups'!DW27:EN27,0)&gt;0,0,1)</f>
        <v>1</v>
      </c>
      <c r="NN27" t="b">
        <f>IF($CL$27="",FALSE,SUMPRODUCT(('Final Calculation Sheet'!$P$4:$P$40=$CL$27)*($NM$6:$NM$42=1))&gt;0)</f>
        <v>1</v>
      </c>
      <c r="NO27">
        <f>$NO$26+--($NN27)</f>
        <v>24</v>
      </c>
      <c r="NP27">
        <f t="shared" si="122"/>
        <v>5691</v>
      </c>
      <c r="NQ27">
        <f>IF(COUNTIF('Buyer Groups'!DG27:DV27,0)+COUNTIF('Buyer Groups'!DX27:EN27,0)&gt;0,0,1)</f>
        <v>1</v>
      </c>
      <c r="NR27" t="b">
        <f>IF($CQ$27="",FALSE,SUMPRODUCT(('Final Calculation Sheet'!$Q$4:$Q$40=$CQ$27)*($NQ$6:$NQ$42=1))&gt;0)</f>
        <v>0</v>
      </c>
      <c r="NS27">
        <f>$NS$26+--($NR27)</f>
        <v>2</v>
      </c>
      <c r="NT27" t="str">
        <f t="shared" si="123"/>
        <v/>
      </c>
      <c r="NU27">
        <f>IF(COUNTIF('Buyer Groups'!DG27:DW27,0)+COUNTIF('Buyer Groups'!DY27:EN27,0)&gt;0,0,1)</f>
        <v>1</v>
      </c>
      <c r="NV27" t="b">
        <f>IF($CV$27="",FALSE,SUMPRODUCT(('Final Calculation Sheet'!$R$4:$R$40=$CV$27)*($NU$6:$NU$42=1))&gt;0)</f>
        <v>0</v>
      </c>
      <c r="NW27">
        <f>$NW$26+--($NV27)</f>
        <v>5</v>
      </c>
      <c r="NX27" t="str">
        <f t="shared" si="124"/>
        <v/>
      </c>
      <c r="NY27">
        <f>IF(COUNTIF('Buyer Groups'!DG27:DX27,0)+COUNTIF('Buyer Groups'!DZ27:EN27,0)&gt;0,0,1)</f>
        <v>1</v>
      </c>
      <c r="NZ27" t="b">
        <f>IF($DA$27="",FALSE,SUMPRODUCT(('Final Calculation Sheet'!$S$4:$S$40=$DA$27)*($NY$6:$NY$42=1))&gt;0)</f>
        <v>1</v>
      </c>
      <c r="OA27">
        <f>$OA$26+--($NZ27)</f>
        <v>24</v>
      </c>
      <c r="OB27">
        <f t="shared" si="125"/>
        <v>247066</v>
      </c>
      <c r="OC27">
        <f>IF(COUNTIF('Buyer Groups'!DG27:DY27,0)+COUNTIF('Buyer Groups'!EA27:EN27,0)&gt;0,0,1)</f>
        <v>1</v>
      </c>
      <c r="OD27" t="b">
        <f>IF($DF$27="",FALSE,SUMPRODUCT(('Final Calculation Sheet'!$T$4:$T$40=$DF$27)*($OC$6:$OC$42=1))&gt;0)</f>
        <v>1</v>
      </c>
      <c r="OE27">
        <f>$OE$26+--($OD27)</f>
        <v>24</v>
      </c>
      <c r="OF27">
        <f t="shared" si="126"/>
        <v>52500</v>
      </c>
      <c r="OG27">
        <f>IF(COUNTIF('Buyer Groups'!DG27:DZ27,0)+COUNTIF('Buyer Groups'!EB27:EN27,0)&gt;0,0,1)</f>
        <v>1</v>
      </c>
      <c r="OH27" t="b">
        <f>IF($DK$27="",FALSE,SUMPRODUCT(('Final Calculation Sheet'!$U$4:$U$40=$DK$27)*($OG$6:$OG$42=1))&gt;0)</f>
        <v>1</v>
      </c>
      <c r="OI27">
        <f>$OI$26+--($OH27)</f>
        <v>24</v>
      </c>
      <c r="OJ27">
        <f t="shared" si="127"/>
        <v>52500</v>
      </c>
      <c r="OK27">
        <f>IF(COUNTIF('Buyer Groups'!DG27:EA27,0)+COUNTIF('Buyer Groups'!EC27:EN27,0)&gt;0,0,1)</f>
        <v>1</v>
      </c>
      <c r="OL27" t="b">
        <f>IF($DP$27="",FALSE,SUMPRODUCT(('Final Calculation Sheet'!$V$4:$V$40=$DP$27)*($OK$6:$OK$42=1))&gt;0)</f>
        <v>0</v>
      </c>
      <c r="OM27">
        <f>$OM$26+--($OL27)</f>
        <v>6</v>
      </c>
      <c r="ON27" t="str">
        <f t="shared" si="128"/>
        <v/>
      </c>
      <c r="OO27">
        <f>IF(COUNTIF('Buyer Groups'!DG27:EB27,0)+COUNTIF('Buyer Groups'!ED27:EN27,0)&gt;0,0,1)</f>
        <v>1</v>
      </c>
      <c r="OP27" t="b">
        <f>IF($DU$27="",FALSE,SUMPRODUCT(('Final Calculation Sheet'!$W$4:$W$40=$DU$27)*($OO$6:$OO$42=1))&gt;0)</f>
        <v>1</v>
      </c>
      <c r="OQ27">
        <f>$OQ$26+--($OP27)</f>
        <v>24</v>
      </c>
      <c r="OR27">
        <f t="shared" si="129"/>
        <v>194566</v>
      </c>
      <c r="OS27">
        <f>IF(COUNTIF('Buyer Groups'!DG27:EC27,0)+COUNTIF('Buyer Groups'!EE27:EN27,0)&gt;0,0,1)</f>
        <v>1</v>
      </c>
      <c r="OT27" t="e">
        <f>IF($DZ$27="",FALSE,SUMPRODUCT(('Final Calculation Sheet'!$X$4:$X$40=$DZ$27)*($OS$6:$OS$42=1))&gt;0)</f>
        <v>#N/A</v>
      </c>
      <c r="OU27" t="e">
        <f>$OU$26+--($OT27)</f>
        <v>#N/A</v>
      </c>
      <c r="OV27" t="e">
        <f t="shared" si="130"/>
        <v>#N/A</v>
      </c>
      <c r="OW27">
        <f>IF(COUNTIF('Buyer Groups'!DG27:ED27,0)+COUNTIF('Buyer Groups'!EF27:EN27,0)&gt;0,0,1)</f>
        <v>1</v>
      </c>
      <c r="OX27" t="e">
        <f>IF($EE$27="",FALSE,SUMPRODUCT(('Final Calculation Sheet'!$Y$4:$Y$40=$EE$27)*($OW$6:$OW$42=1))&gt;0)</f>
        <v>#N/A</v>
      </c>
      <c r="OY27" t="e">
        <f>$OY$26+--($OX27)</f>
        <v>#N/A</v>
      </c>
      <c r="OZ27" t="e">
        <f t="shared" si="131"/>
        <v>#N/A</v>
      </c>
      <c r="PA27">
        <f>IF(COUNTIF('Buyer Groups'!DG27:EE27,0)+COUNTIF('Buyer Groups'!EG27:EN27,0)&gt;0,0,1)</f>
        <v>1</v>
      </c>
      <c r="PB27" t="b">
        <f ca="1">IF($EJ$27="",FALSE,SUMPRODUCT(('Final Calculation Sheet'!$Z$4:$Z$40=$EJ$27)*($PA$6:$PA$42=1))&gt;0)</f>
        <v>1</v>
      </c>
      <c r="PC27">
        <f ca="1">$PC$26+--($PB27)</f>
        <v>24</v>
      </c>
      <c r="PD27">
        <f t="shared" ca="1" si="132"/>
        <v>7434.0353999999988</v>
      </c>
      <c r="PE27">
        <f>IF(COUNTIF('Buyer Groups'!DG27:EF27,0)+COUNTIF('Buyer Groups'!EH27:EN27,0)&gt;0,0,1)</f>
        <v>1</v>
      </c>
      <c r="PF27" t="e">
        <f>IF($EO$27="",FALSE,SUMPRODUCT(('Final Calculation Sheet'!$AA$4:$AA$40=$EO$27)*($PE$6:$PE$42=1))&gt;0)</f>
        <v>#N/A</v>
      </c>
      <c r="PG27" t="e">
        <f>$PG$26+--($PF27)</f>
        <v>#N/A</v>
      </c>
      <c r="PH27" t="e">
        <f t="shared" si="133"/>
        <v>#N/A</v>
      </c>
      <c r="PI27">
        <f>IF(COUNTIF('Buyer Groups'!DG27:EG27,0)+COUNTIF('Buyer Groups'!EI27:EN27,0)&gt;0,0,1)</f>
        <v>1</v>
      </c>
      <c r="PJ27" t="e">
        <f>IF($ET$27="",FALSE,SUMPRODUCT(('Final Calculation Sheet'!$AB$4:$AB$40=$ET$27)*($PI$6:$PI$42=1))&gt;0)</f>
        <v>#N/A</v>
      </c>
      <c r="PK27" t="e">
        <f>$PK$26+--($PJ27)</f>
        <v>#N/A</v>
      </c>
      <c r="PL27" t="e">
        <f t="shared" si="134"/>
        <v>#N/A</v>
      </c>
      <c r="PM27">
        <f>IF(COUNTIF('Buyer Groups'!DG27:EH27,0)+COUNTIF('Buyer Groups'!EJ27:EN27,0)&gt;0,0,1)</f>
        <v>1</v>
      </c>
      <c r="PN27" t="b">
        <f>IF($EY$27="",FALSE,SUMPRODUCT(('Final Calculation Sheet'!$AC$4:$AC$40=$EY$27)*($PM$6:$PM$42=1))&gt;0)</f>
        <v>1</v>
      </c>
      <c r="PO27">
        <f>$PO$26+--($PN27)</f>
        <v>24</v>
      </c>
      <c r="PP27">
        <f t="shared" si="135"/>
        <v>242411</v>
      </c>
      <c r="PQ27">
        <f>IF(COUNTIF('Buyer Groups'!DG27:EI27,0)+COUNTIF('Buyer Groups'!EK27:EN27,0)&gt;0,0,1)</f>
        <v>1</v>
      </c>
      <c r="PR27" t="b">
        <f>IF($FD$27="",FALSE,SUMPRODUCT(('Final Calculation Sheet'!$AD$4:$AD$40=$FD$27)*($PQ$6:$PQ$42=1))&gt;0)</f>
        <v>0</v>
      </c>
      <c r="PS27">
        <f>$PS$26+--($PR27)</f>
        <v>11</v>
      </c>
      <c r="PT27" t="str">
        <f t="shared" si="136"/>
        <v/>
      </c>
      <c r="PU27">
        <f>IF(COUNTIF('Buyer Groups'!DG27:EJ27,0)+COUNTIF('Buyer Groups'!EL27:EN27,0)&gt;0,0,1)</f>
        <v>1</v>
      </c>
      <c r="PV27" t="b">
        <f>IF($FX$27="",FALSE,SUMPRODUCT((IF('Final Calculation Sheet'!$AD$4:$AD$40&lt;=5,"SETTLED","OUTSTANDING")=$FX$27)*($PU$6:$PU$42=1))&gt;0)</f>
        <v>0</v>
      </c>
      <c r="PW27">
        <f>$PW$26+--($PV27)</f>
        <v>1</v>
      </c>
      <c r="PX27" t="str">
        <f t="shared" si="137"/>
        <v/>
      </c>
      <c r="PY27">
        <f>IF(COUNTIF('Buyer Groups'!DG27:EK27,0)+COUNTIF('Buyer Groups'!EM27:EN27,0)&gt;0,0,1)</f>
        <v>1</v>
      </c>
      <c r="PZ27" t="e">
        <f>IF($FI$27="",FALSE,SUMPRODUCT(('Final Calculation Sheet'!$AF$4:$AF$40=$FI$27)*($PY$6:$PY$42=1))&gt;0)</f>
        <v>#N/A</v>
      </c>
      <c r="QA27" t="e">
        <f>$QA$26+--($PZ27)</f>
        <v>#N/A</v>
      </c>
      <c r="QB27" t="e">
        <f t="shared" si="138"/>
        <v>#N/A</v>
      </c>
      <c r="QC27">
        <f>IF(COUNTIF('Buyer Groups'!DG27:EL27,0)+COUNTIF('Buyer Groups'!EN27:EN27,0)&gt;0,0,1)</f>
        <v>1</v>
      </c>
      <c r="QD27" t="e">
        <f>IF($FN$27="",FALSE,SUMPRODUCT(('Final Calculation Sheet'!$AG$4:$AG$40=$FN$27)*($QC$6:$QC$42=1))&gt;0)</f>
        <v>#N/A</v>
      </c>
      <c r="QE27" t="e">
        <f>$QE$26+--($QD27)</f>
        <v>#N/A</v>
      </c>
      <c r="QF27" t="e">
        <f t="shared" si="139"/>
        <v>#N/A</v>
      </c>
      <c r="QG27">
        <f>IF(COUNTIF('Buyer Groups'!DG27:EM27,0)&gt;0,0,1)</f>
        <v>1</v>
      </c>
      <c r="QH27" t="e">
        <f>IF($FS$27="",FALSE,SUMPRODUCT(('Final Calculation Sheet'!$AH$4:$AH$40=$FS$27)*($QG$6:$QG$42=1))&gt;0)</f>
        <v>#N/A</v>
      </c>
      <c r="QI27" t="e">
        <f>$QI$26+--($QH27)</f>
        <v>#N/A</v>
      </c>
      <c r="QJ27" t="e">
        <f t="shared" si="140"/>
        <v>#N/A</v>
      </c>
      <c r="QK27" t="str">
        <f>IF('Final Calculation Sheet'!$AH$27="","",'Final Calculation Sheet'!$AH$27)</f>
        <v/>
      </c>
      <c r="QL27" t="str">
        <f>IF(QK27="","",COUNTIFS(QK$4:QK$40,"&lt;"&amp;QK27,QK$4:QK$40,"&lt;&gt;"&amp;"")+COUNTIF(QK$4:QK27,QK27))</f>
        <v/>
      </c>
      <c r="QM27" t="str">
        <f t="shared" si="141"/>
        <v>27.08.2026</v>
      </c>
      <c r="QN27" t="e">
        <f ca="1">QN26+F(AND(QM27&lt;&gt;"",COUNTIF(QM$4:QM27,QM27)=1),1,0)</f>
        <v>#N/A</v>
      </c>
      <c r="QO27" t="e">
        <f t="shared" si="142"/>
        <v>#N/A</v>
      </c>
      <c r="QP27">
        <f>IF(COUNTIF('Final Calculation Sheet'!$AM27:$BS27,0)&gt;0,0,1)</f>
        <v>1</v>
      </c>
      <c r="QQ27" t="b">
        <f>IF($AI$27="",FALSE,SUMPRODUCT(('Final Calculation Sheet'!$A$4:$A$40=$AI$27)*($QP$4:$QP$40=1))&gt;0)</f>
        <v>0</v>
      </c>
      <c r="QR27">
        <f t="shared" si="177"/>
        <v>22</v>
      </c>
      <c r="QS27" t="str">
        <f t="shared" si="143"/>
        <v/>
      </c>
      <c r="QT27">
        <f>IF(COUNTIF('Final Calculation Sheet'!$AL27:$AL27,0)+COUNTIF('Final Calculation Sheet'!$AN27:$BS27,0)&gt;0,0,1)</f>
        <v>1</v>
      </c>
      <c r="QU27" t="b">
        <f>IF($Y$27="",FALSE,SUMPRODUCT(('Final Calculation Sheet'!$B$4:$B$40=$Y$27)*($QT$4:$QT$40=1))&gt;0)</f>
        <v>1</v>
      </c>
      <c r="QV27">
        <f t="shared" si="178"/>
        <v>24</v>
      </c>
      <c r="QW27" t="str">
        <f t="shared" si="144"/>
        <v>Scrap of MS (extracted from equip cage and empty Sf6 gas cylinder)</v>
      </c>
      <c r="QX27">
        <f>IF(COUNTIF('Final Calculation Sheet'!$AL27:$AM27,0)+COUNTIF('Final Calculation Sheet'!$AO27:$BS27,0)&gt;0,0,1)</f>
        <v>1</v>
      </c>
      <c r="QY27" t="b">
        <f>IF($AS$27="",FALSE,SUMPRODUCT(('Final Calculation Sheet'!$C$4:$C$40=$AS$27)*($QX$4:$QX$40=1))&gt;0)</f>
        <v>1</v>
      </c>
      <c r="QZ27">
        <f t="shared" si="179"/>
        <v>24</v>
      </c>
      <c r="RA27">
        <f t="shared" si="145"/>
        <v>67000</v>
      </c>
      <c r="RB27">
        <f>IF(COUNTIF('Final Calculation Sheet'!$AL27:$AN27,0)+COUNTIF('Final Calculation Sheet'!$AP27:$BS27,0)&gt;0,0,1)</f>
        <v>1</v>
      </c>
      <c r="RC27" t="b">
        <f>IF($AD$27="",FALSE,SUMPRODUCT(('Final Calculation Sheet'!$D$4:$D$40=$AD$27)*($RB$4:$RB$40=1))&gt;0)</f>
        <v>0</v>
      </c>
      <c r="RD27">
        <f t="shared" si="180"/>
        <v>4</v>
      </c>
      <c r="RE27" t="str">
        <f t="shared" si="146"/>
        <v/>
      </c>
      <c r="RF27">
        <f>IF(COUNTIF('Final Calculation Sheet'!$AL27:$AO27,0)+COUNTIF('Final Calculation Sheet'!$AQ27:$BS27,0)&gt;0,0,1)</f>
        <v>1</v>
      </c>
      <c r="RG27" t="b">
        <f>IF($AN$27="",FALSE,SUMPRODUCT(('Final Calculation Sheet'!$E$4:$E$40=$AN$27)*($RF$4:$RF$40=1))&gt;0)</f>
        <v>0</v>
      </c>
      <c r="RH27">
        <f t="shared" si="181"/>
        <v>3</v>
      </c>
      <c r="RI27" t="str">
        <f t="shared" si="147"/>
        <v/>
      </c>
      <c r="RJ27">
        <f>IF(COUNTIF('Final Calculation Sheet'!$AL27:$AP27,0)+COUNTIF('Final Calculation Sheet'!$AR27:$BS27,0)&gt;0,0,1)</f>
        <v>1</v>
      </c>
      <c r="RK27" t="b">
        <f>IF($O$27="",FALSE,SUMPRODUCT(('Final Calculation Sheet'!$F$4:$F$40=$O$27)*($RJ$4:$RJ$40=1))&gt;0)</f>
        <v>1</v>
      </c>
      <c r="RL27">
        <f t="shared" si="182"/>
        <v>24</v>
      </c>
      <c r="RM27">
        <f t="shared" si="148"/>
        <v>2036</v>
      </c>
      <c r="RN27">
        <f>IF(COUNTIF('Final Calculation Sheet'!$AL27:$AQ27,0)+COUNTIF('Final Calculation Sheet'!$AS27:$BS27,0)&gt;0,0,1)</f>
        <v>1</v>
      </c>
      <c r="RO27" t="b">
        <f>IF($T$27="",FALSE,SUMPRODUCT(('Final Calculation Sheet'!$G$4:$G$40=$T$27)*($RN$4:$RN$40=1))&gt;0)</f>
        <v>0</v>
      </c>
      <c r="RP27">
        <f t="shared" si="183"/>
        <v>13</v>
      </c>
      <c r="RQ27" t="str">
        <f t="shared" si="149"/>
        <v/>
      </c>
      <c r="RR27">
        <f>IF(COUNTIF('Final Calculation Sheet'!$AL27:$AR27,0)+COUNTIF('Final Calculation Sheet'!$AT27:$BS27,0)&gt;0,0,1)</f>
        <v>1</v>
      </c>
      <c r="RS27" t="b">
        <f>IF($AX$27="",FALSE,SUMPRODUCT(('Final Calculation Sheet'!$H$4:$H$40=$AX$27)*($RR$4:$RR$40=1))&gt;0)</f>
        <v>1</v>
      </c>
      <c r="RT27">
        <f t="shared" si="184"/>
        <v>24</v>
      </c>
      <c r="RU27">
        <f t="shared" si="150"/>
        <v>210001</v>
      </c>
      <c r="RV27">
        <f>IF(COUNTIF('Final Calculation Sheet'!$AL27:$AS27,0)+COUNTIF('Final Calculation Sheet'!$AU27:$BS27,0)&gt;0,0,1)</f>
        <v>1</v>
      </c>
      <c r="RW27" t="b">
        <f>IF($BC$27="",FALSE,SUMPRODUCT(('Final Calculation Sheet'!$I$4:$I$40=$BC$27)*($RV$4:$RV$40=1))&gt;0)</f>
        <v>1</v>
      </c>
      <c r="RX27">
        <f t="shared" si="185"/>
        <v>24</v>
      </c>
      <c r="RY27">
        <f t="shared" si="151"/>
        <v>37800</v>
      </c>
      <c r="RZ27">
        <f>IF(COUNTIF('Final Calculation Sheet'!$AL27:$AT27,0)+COUNTIF('Final Calculation Sheet'!$AV27:$BS27,0)&gt;0,0,1)</f>
        <v>1</v>
      </c>
      <c r="SA27" t="b">
        <f>IF($BH$27="",FALSE,SUMPRODUCT(('Final Calculation Sheet'!$J$4:$J$40=$BH$27)*($RZ$4:$RZ$40=1))&gt;0)</f>
        <v>1</v>
      </c>
      <c r="SB27">
        <f t="shared" si="186"/>
        <v>24</v>
      </c>
      <c r="SC27">
        <f t="shared" si="152"/>
        <v>247801</v>
      </c>
      <c r="SD27">
        <f>IF(COUNTIF('Final Calculation Sheet'!$AL27:$AU27,0)+COUNTIF('Final Calculation Sheet'!$AW27:$BS27,0)&gt;0,0,1)</f>
        <v>1</v>
      </c>
      <c r="SE27" t="b">
        <f>IF($BM$27="",FALSE,SUMPRODUCT(('Final Calculation Sheet'!$K$4:$K$40=$BM$27)*($SD$4:$SD$40=1))&gt;0)</f>
        <v>1</v>
      </c>
      <c r="SF27">
        <f t="shared" si="187"/>
        <v>24</v>
      </c>
      <c r="SG27">
        <f t="shared" si="153"/>
        <v>4956</v>
      </c>
      <c r="SH27">
        <f>IF(COUNTIF('Final Calculation Sheet'!$AL27:$AV27,0)+COUNTIF('Final Calculation Sheet'!$AX27:$BS27,0)&gt;0,0,1)</f>
        <v>1</v>
      </c>
      <c r="SI27" t="b">
        <f>IF($BR$27="",FALSE,SUMPRODUCT(('Final Calculation Sheet'!$L$4:$L$40=$BR$27)*($SH$4:$SH$40=1))&gt;0)</f>
        <v>1</v>
      </c>
      <c r="SJ27">
        <f t="shared" si="188"/>
        <v>24</v>
      </c>
      <c r="SK27">
        <f t="shared" si="154"/>
        <v>210.001</v>
      </c>
      <c r="SL27">
        <f>IF(COUNTIF('Final Calculation Sheet'!$AL27:$AW27,0)+COUNTIF('Final Calculation Sheet'!$AY27:$BS27,0)&gt;0,0,1)</f>
        <v>1</v>
      </c>
      <c r="SM27" t="b">
        <f>IF($BW$27="",FALSE,SUMPRODUCT(('Final Calculation Sheet'!$M$4:$M$40=$BW$27)*($SL$4:$SL$40=1))&gt;0)</f>
        <v>1</v>
      </c>
      <c r="SN27">
        <f t="shared" si="189"/>
        <v>24</v>
      </c>
      <c r="SO27">
        <f t="shared" si="155"/>
        <v>5575.5265499999996</v>
      </c>
      <c r="SP27">
        <f>IF(COUNTIF('Final Calculation Sheet'!$AL27:$AX27,0)+COUNTIF('Final Calculation Sheet'!$AZ27:$BS27,0)&gt;0,0,1)</f>
        <v>1</v>
      </c>
      <c r="SQ27" t="b">
        <f>IF($CB$27="",FALSE,SUMPRODUCT(('Final Calculation Sheet'!$N$4:$N$40=$CB$27)*($SP$4:$SP$40=1))&gt;0)</f>
        <v>1</v>
      </c>
      <c r="SR27">
        <f t="shared" si="190"/>
        <v>24</v>
      </c>
      <c r="SS27">
        <f t="shared" si="156"/>
        <v>94.500450000000001</v>
      </c>
      <c r="ST27">
        <f>IF(COUNTIF('Final Calculation Sheet'!$AL27:$AY27,0)+COUNTIF('Final Calculation Sheet'!$BA27:$BS27,0)&gt;0,0,1)</f>
        <v>1</v>
      </c>
      <c r="SU27" t="b">
        <f>IF($CG$27="",FALSE,SUMPRODUCT(('Final Calculation Sheet'!$O$4:$O$40=$CG$27)*($ST$4:$ST$40=1))&gt;0)</f>
        <v>1</v>
      </c>
      <c r="SV27">
        <f t="shared" si="191"/>
        <v>24</v>
      </c>
      <c r="SW27">
        <f t="shared" si="157"/>
        <v>5481.0260999999991</v>
      </c>
      <c r="SX27">
        <f>IF(COUNTIF('Final Calculation Sheet'!$AL27:$AZ27,0)+COUNTIF('Final Calculation Sheet'!$BB27:$BS27,0)&gt;0,0,1)</f>
        <v>1</v>
      </c>
      <c r="SY27" t="b">
        <f>IF($CL$27="",FALSE,SUMPRODUCT(('Final Calculation Sheet'!$P$4:$P$40=$CL$27)*($SX$4:$SX$40=1))&gt;0)</f>
        <v>1</v>
      </c>
      <c r="SZ27">
        <f t="shared" si="192"/>
        <v>24</v>
      </c>
      <c r="TA27">
        <f t="shared" si="158"/>
        <v>5691</v>
      </c>
      <c r="TB27">
        <f>IF(COUNTIF('Final Calculation Sheet'!$AL27:$BA27,0)+COUNTIF('Final Calculation Sheet'!$BC27:$BS27,0)&gt;0,0,1)</f>
        <v>1</v>
      </c>
      <c r="TC27" t="b">
        <f>IF($CQ$27="",FALSE,SUMPRODUCT(('Final Calculation Sheet'!$Q$4:$Q$40=$CQ$27)*($TB$4:$TB$40=1))&gt;0)</f>
        <v>0</v>
      </c>
      <c r="TD27">
        <f t="shared" si="193"/>
        <v>2</v>
      </c>
      <c r="TE27" t="str">
        <f t="shared" si="159"/>
        <v/>
      </c>
      <c r="TF27">
        <f>IF(COUNTIF('Final Calculation Sheet'!$AL27:$BB27,0)+COUNTIF('Final Calculation Sheet'!$BD27:$BS27,0)&gt;0,0,1)</f>
        <v>1</v>
      </c>
      <c r="TG27" t="b">
        <f>IF($CV$27="",FALSE,SUMPRODUCT(('Final Calculation Sheet'!$R$4:$R$40=$CV$27)*($TF$4:$TF$40=1))&gt;0)</f>
        <v>0</v>
      </c>
      <c r="TH27">
        <f t="shared" si="194"/>
        <v>5</v>
      </c>
      <c r="TI27" t="str">
        <f t="shared" si="160"/>
        <v/>
      </c>
      <c r="TJ27">
        <f>IF(COUNTIF('Final Calculation Sheet'!$AL27:$BC27,0)+COUNTIF('Final Calculation Sheet'!$BE27:$BS27,0)&gt;0,0,1)</f>
        <v>1</v>
      </c>
      <c r="TK27" t="b">
        <f>IF($DA$27="",FALSE,SUMPRODUCT(('Final Calculation Sheet'!$S$4:$S$40=$DA$27)*($TJ$4:$TJ$40=1))&gt;0)</f>
        <v>1</v>
      </c>
      <c r="TL27">
        <f t="shared" si="195"/>
        <v>24</v>
      </c>
      <c r="TM27">
        <f t="shared" si="161"/>
        <v>247066</v>
      </c>
      <c r="TN27">
        <f>IF(COUNTIF('Final Calculation Sheet'!$AL27:$BD27,0)+COUNTIF('Final Calculation Sheet'!$BF27:$BS27,0)&gt;0,0,1)</f>
        <v>1</v>
      </c>
      <c r="TO27" t="b">
        <f>IF($DF$27="",FALSE,SUMPRODUCT(('Final Calculation Sheet'!$T$4:$T$40=$DF$27)*($TN$4:$TN$40=1))&gt;0)</f>
        <v>1</v>
      </c>
      <c r="TP27">
        <f t="shared" si="196"/>
        <v>24</v>
      </c>
      <c r="TQ27">
        <f t="shared" si="162"/>
        <v>52500</v>
      </c>
      <c r="TR27">
        <f>IF(COUNTIF('Final Calculation Sheet'!$AL27:$BE27,0)+COUNTIF('Final Calculation Sheet'!$BG27:$BS27,0)&gt;0,0,1)</f>
        <v>1</v>
      </c>
      <c r="TS27" t="b">
        <f>IF($DK$27="",FALSE,SUMPRODUCT(('Final Calculation Sheet'!$U$4:$U$40=$DK$27)*($TR$4:$TR$40=1))&gt;0)</f>
        <v>1</v>
      </c>
      <c r="TT27">
        <f t="shared" si="197"/>
        <v>24</v>
      </c>
      <c r="TU27">
        <f t="shared" si="163"/>
        <v>52500</v>
      </c>
      <c r="TV27">
        <f>IF(COUNTIF('Final Calculation Sheet'!$AL27:$BF27,0)+COUNTIF('Final Calculation Sheet'!$BH27:$BS27,0)&gt;0,0,1)</f>
        <v>1</v>
      </c>
      <c r="TW27" t="b">
        <f>IF($DP$27="",FALSE,SUMPRODUCT(('Final Calculation Sheet'!$V$4:$V$40=$DP$27)*($TV$4:$TV$40=1))&gt;0)</f>
        <v>0</v>
      </c>
      <c r="TX27">
        <f t="shared" si="198"/>
        <v>6</v>
      </c>
      <c r="TY27" t="str">
        <f t="shared" si="164"/>
        <v/>
      </c>
      <c r="TZ27">
        <f>IF(COUNTIF('Final Calculation Sheet'!$AL27:$BG27,0)+COUNTIF('Final Calculation Sheet'!$BI27:$BS27,0)&gt;0,0,1)</f>
        <v>1</v>
      </c>
      <c r="UA27" t="b">
        <f>IF($DU$27="",FALSE,SUMPRODUCT(('Final Calculation Sheet'!$W$4:$W$40=$DU$27)*($TZ$4:$TZ$40=1))&gt;0)</f>
        <v>1</v>
      </c>
      <c r="UB27">
        <f t="shared" si="199"/>
        <v>24</v>
      </c>
      <c r="UC27">
        <f t="shared" si="165"/>
        <v>194566</v>
      </c>
      <c r="UD27">
        <f>IF(COUNTIF('Final Calculation Sheet'!$AL27:$BH27,0)+COUNTIF('Final Calculation Sheet'!$BJ27:$BS27,0)&gt;0,0,1)</f>
        <v>1</v>
      </c>
      <c r="UE27" t="e">
        <f>IF($DZ$27="",FALSE,SUMPRODUCT(('Final Calculation Sheet'!$X$4:$X$40=$DZ$27)*($UD$4:$UD$40=1))&gt;0)</f>
        <v>#N/A</v>
      </c>
      <c r="UF27" t="e">
        <f t="shared" si="200"/>
        <v>#N/A</v>
      </c>
      <c r="UG27" t="e">
        <f t="shared" si="166"/>
        <v>#N/A</v>
      </c>
      <c r="UH27">
        <f>IF(COUNTIF('Final Calculation Sheet'!$AL27:$BI27,0)+COUNTIF('Final Calculation Sheet'!$BK27:$BS27,0)&gt;0,0,1)</f>
        <v>1</v>
      </c>
      <c r="UI27" t="e">
        <f>IF($EE$27="",FALSE,SUMPRODUCT(('Final Calculation Sheet'!$Y$4:$Y$40=$EE$27)*($UH$4:$UH$40=1))&gt;0)</f>
        <v>#N/A</v>
      </c>
      <c r="UJ27" t="e">
        <f t="shared" si="201"/>
        <v>#N/A</v>
      </c>
      <c r="UK27" t="e">
        <f t="shared" si="167"/>
        <v>#N/A</v>
      </c>
      <c r="UL27">
        <f>IF(COUNTIF('Final Calculation Sheet'!$AL27:$BJ27,0)+COUNTIF('Final Calculation Sheet'!$BL27:$BS27,0)&gt;0,0,1)</f>
        <v>1</v>
      </c>
      <c r="UM27" t="b">
        <f ca="1">IF($EJ$27="",FALSE,SUMPRODUCT(('Final Calculation Sheet'!$Z$4:$Z$40=$EJ$27)*($UL$4:$UL$40=1))&gt;0)</f>
        <v>1</v>
      </c>
      <c r="UN27">
        <f t="shared" ca="1" si="202"/>
        <v>24</v>
      </c>
      <c r="UO27">
        <f t="shared" ca="1" si="168"/>
        <v>7434.0353999999988</v>
      </c>
      <c r="UP27">
        <f>IF(COUNTIF('Final Calculation Sheet'!$AL27:$BK27,0)+COUNTIF('Final Calculation Sheet'!$BM27:$BS27,0)&gt;0,0,1)</f>
        <v>1</v>
      </c>
      <c r="UQ27" t="e">
        <f>IF($EO$27="",FALSE,SUMPRODUCT(('Final Calculation Sheet'!$AA$4:$AA$40=$EO$27)*($UP$4:$UP$40=1))&gt;0)</f>
        <v>#N/A</v>
      </c>
      <c r="UR27" t="e">
        <f t="shared" si="203"/>
        <v>#N/A</v>
      </c>
      <c r="US27" t="e">
        <f t="shared" si="169"/>
        <v>#N/A</v>
      </c>
      <c r="UT27">
        <f>IF(COUNTIF('Final Calculation Sheet'!$AL27:$BL27,0)+COUNTIF('Final Calculation Sheet'!$BN27:$BS27,0)&gt;0,0,1)</f>
        <v>1</v>
      </c>
      <c r="UU27" t="e">
        <f>IF($ET$27="",FALSE,SUMPRODUCT(('Final Calculation Sheet'!$AB$4:$AB$40=$ET$27)*($UT$4:$UT$40=1))&gt;0)</f>
        <v>#N/A</v>
      </c>
      <c r="UV27" t="e">
        <f t="shared" si="204"/>
        <v>#N/A</v>
      </c>
      <c r="UW27" t="e">
        <f t="shared" si="170"/>
        <v>#N/A</v>
      </c>
      <c r="UX27">
        <f>IF(COUNTIF('Final Calculation Sheet'!$AL27:$BM27,0)+COUNTIF('Final Calculation Sheet'!$BO27:$BS27,0)&gt;0,0,1)</f>
        <v>1</v>
      </c>
      <c r="UY27" t="b">
        <f>IF($EY$27="",FALSE,SUMPRODUCT(('Final Calculation Sheet'!$AC$4:$AC$40=$EY$27)*($UX$4:$UX$40=1))&gt;0)</f>
        <v>1</v>
      </c>
      <c r="UZ27">
        <f t="shared" si="205"/>
        <v>24</v>
      </c>
      <c r="VA27">
        <f t="shared" si="171"/>
        <v>242411</v>
      </c>
      <c r="VB27">
        <f>IF(COUNTIF('Final Calculation Sheet'!$AL27:$BN27,0)+COUNTIF('Final Calculation Sheet'!$BP27:$BS27,0)&gt;0,0,1)</f>
        <v>1</v>
      </c>
      <c r="VC27" t="b">
        <f>IF($FD$27="",FALSE,SUMPRODUCT(('Final Calculation Sheet'!$AD$4:$AD$40=$FD$27)*($VB$4:$VB$40=1))&gt;0)</f>
        <v>0</v>
      </c>
      <c r="VD27">
        <f t="shared" si="206"/>
        <v>11</v>
      </c>
      <c r="VE27" t="str">
        <f t="shared" si="172"/>
        <v/>
      </c>
      <c r="VF27">
        <f>IF(COUNTIF('Final Calculation Sheet'!$AL27:$BO27,0)+COUNTIF('Final Calculation Sheet'!$BQ27:$BS27,0)&gt;0,0,1)</f>
        <v>1</v>
      </c>
      <c r="VG27" t="e">
        <f>IF($FI$27="",FALSE,SUMPRODUCT(('Final Calculation Sheet'!$AE$4:$AE$40=$FI$27)*($VF$4:$VF$40=1))&gt;0)</f>
        <v>#N/A</v>
      </c>
      <c r="VH27" t="e">
        <f t="shared" si="207"/>
        <v>#N/A</v>
      </c>
      <c r="VI27" t="e">
        <f t="shared" si="173"/>
        <v>#N/A</v>
      </c>
      <c r="VJ27">
        <f>IF(COUNTIF('Final Calculation Sheet'!$AL27:$BP27,0)+COUNTIF('Final Calculation Sheet'!$BR27:$BS27,0)&gt;0,0,1)</f>
        <v>1</v>
      </c>
      <c r="VK27" t="e">
        <f>IF($FN$27="",FALSE,SUMPRODUCT(('Final Calculation Sheet'!$AF$4:$AF$40=$FN$27)*($VJ$4:$VJ$40=1))&gt;0)</f>
        <v>#N/A</v>
      </c>
      <c r="VL27" t="e">
        <f t="shared" si="208"/>
        <v>#N/A</v>
      </c>
      <c r="VM27" t="e">
        <f t="shared" si="174"/>
        <v>#N/A</v>
      </c>
      <c r="VN27">
        <f>IF(COUNTIF('Final Calculation Sheet'!$AL27:$BQ27,0)+COUNTIF('Final Calculation Sheet'!$BS27:$BS27,0)&gt;0,0,1)</f>
        <v>1</v>
      </c>
      <c r="VO27" t="e">
        <f>IF($FS$27="",FALSE,SUMPRODUCT(('Final Calculation Sheet'!$AG$4:$AG$40=$FS$27)*($VN$4:$VN$40=1))&gt;0)</f>
        <v>#N/A</v>
      </c>
      <c r="VP27" t="e">
        <f t="shared" si="209"/>
        <v>#N/A</v>
      </c>
      <c r="VQ27" t="e">
        <f t="shared" si="175"/>
        <v>#N/A</v>
      </c>
      <c r="VR27">
        <f>IF(COUNTIF('Final Calculation Sheet'!$AL27:$BR27,0)&gt;0,0,1)</f>
        <v>1</v>
      </c>
      <c r="VS27" t="e">
        <f>IF($QO$27="",FALSE,SUMPRODUCT(('Final Calculation Sheet'!$AH$4:$AH$40=$QO$27)*($VR$4:$VR$40=1))&gt;0)</f>
        <v>#N/A</v>
      </c>
      <c r="VT27" t="e">
        <f t="shared" si="210"/>
        <v>#N/A</v>
      </c>
      <c r="VU27" t="e">
        <f t="shared" si="176"/>
        <v>#N/A</v>
      </c>
    </row>
    <row r="28" spans="1:593" x14ac:dyDescent="0.3">
      <c r="A28">
        <f>IF('Final Calculation Sheet'!$F$28="","",'Final Calculation Sheet'!$F$28)</f>
        <v>2037</v>
      </c>
      <c r="B28">
        <f>IF(A28="","",COUNTIFS(A$4:A$114,"&lt;"&amp;A28,A$4:A$114,"&lt;&gt;"&amp;"")+COUNTIF(A$4:A28,A28))</f>
        <v>25</v>
      </c>
      <c r="C28">
        <f t="shared" si="0"/>
        <v>2037</v>
      </c>
      <c r="D28">
        <f>D27+IF(AND(C28&lt;&gt;"",COUNTIF(C$4:C28,C28)=1),1,0)</f>
        <v>25</v>
      </c>
      <c r="E28" t="e">
        <f t="shared" si="1"/>
        <v>#N/A</v>
      </c>
      <c r="F28">
        <f t="shared" si="2"/>
        <v>25</v>
      </c>
      <c r="G28">
        <f>IF(F28="","",COUNTIFS(F$4:F$40,"&lt;"&amp;F28,F$4:F$40,"&lt;&gt;"&amp;"")+COUNTIF(F$4:F28,F28))</f>
        <v>25</v>
      </c>
      <c r="H28">
        <f t="shared" si="3"/>
        <v>25</v>
      </c>
      <c r="I28">
        <f>I27+IF(AND(H28&lt;&gt;"",COUNTIF(H$4:H28,H28)=1),1,0)</f>
        <v>25</v>
      </c>
      <c r="J28">
        <f t="shared" si="4"/>
        <v>25</v>
      </c>
      <c r="K28">
        <f>IF('Final Calculation Sheet'!$F$28="","",'Final Calculation Sheet'!$F$28)</f>
        <v>2037</v>
      </c>
      <c r="L28">
        <f>IF(K28="","",COUNTIFS(K$4:K$40,"&lt;"&amp;K28,K$4:K$40,"&lt;&gt;"&amp;"")+COUNTIF(K$4:K28,K28))</f>
        <v>25</v>
      </c>
      <c r="M28">
        <f t="shared" si="5"/>
        <v>2037</v>
      </c>
      <c r="N28">
        <f>N27+IF(AND(M28&lt;&gt;"",COUNTIF(M$4:M28,M28)=1),1,0)</f>
        <v>25</v>
      </c>
      <c r="O28">
        <f t="shared" si="6"/>
        <v>2037</v>
      </c>
      <c r="P28" t="str">
        <f>IF('Final Calculation Sheet'!$G$28="","",'Final Calculation Sheet'!$G$28)</f>
        <v>WATAN SCRAP TRADERS</v>
      </c>
      <c r="Q28">
        <f>IF(P28="","",COUNTIFS(P$4:P$40,"&lt;"&amp;P28,P$4:P$40,"&lt;&gt;"&amp;"")+COUNTIF(P$4:P28,P28))</f>
        <v>36</v>
      </c>
      <c r="R28" t="str">
        <f t="shared" si="7"/>
        <v>SAHARA ENTERPRISES</v>
      </c>
      <c r="S28">
        <f>S27+IF(AND(R28&lt;&gt;"",COUNTIF(R$4:R28,R28)=1),1,0)</f>
        <v>10</v>
      </c>
      <c r="T28" t="str">
        <f t="shared" si="8"/>
        <v/>
      </c>
      <c r="U28" t="str">
        <f>IF('Final Calculation Sheet'!$B$28="","",'Final Calculation Sheet'!$B$28)</f>
        <v>Scrap of empty oil Barrels</v>
      </c>
      <c r="V28">
        <f>IF(U28="","",COUNTIFS(U$4:U$40,"&lt;"&amp;U28,U$4:U$40,"&lt;&gt;"&amp;"")+COUNTIF(U$4:U28,U28))</f>
        <v>29</v>
      </c>
      <c r="W28" t="str">
        <f t="shared" si="9"/>
        <v>Scrap of Copper of faulty AC compressor</v>
      </c>
      <c r="X28">
        <f>X27+IF(AND(W28&lt;&gt;"",COUNTIF(W$4:W28,W28)=1),1,0)</f>
        <v>18</v>
      </c>
      <c r="Y28" t="str">
        <f t="shared" si="10"/>
        <v>Scrap Power Transformer</v>
      </c>
      <c r="Z28">
        <f>IF('Final Calculation Sheet'!$D$28="","",'Final Calculation Sheet'!$D$28)</f>
        <v>21978</v>
      </c>
      <c r="AA28">
        <f>IF(Z28="","",COUNTIFS(Z$4:Z$40,"&lt;"&amp;Z28,Z$4:Z$40,"&lt;&gt;"&amp;"")+COUNTIF(Z$4:Z28,Z28))</f>
        <v>23</v>
      </c>
      <c r="AB28">
        <f t="shared" si="11"/>
        <v>21979</v>
      </c>
      <c r="AC28">
        <f>AC27+IF(AND(AB28&lt;&gt;"",COUNTIF(AB$4:AB28,AB28)=1),1,0)</f>
        <v>3</v>
      </c>
      <c r="AD28" t="str">
        <f t="shared" si="12"/>
        <v/>
      </c>
      <c r="AE28">
        <f>IF('Final Calculation Sheet'!$A$28="","",'Final Calculation Sheet'!$A$28)</f>
        <v>50</v>
      </c>
      <c r="AF28">
        <f>IF(AE28="","",COUNTIFS(AE$4:AE$40,"&lt;"&amp;AE28,AE$4:AE$40,"&lt;&gt;"&amp;"")+COUNTIF(AE$4:AE28,AE28))</f>
        <v>26</v>
      </c>
      <c r="AG28">
        <f t="shared" si="13"/>
        <v>30</v>
      </c>
      <c r="AH28">
        <f>AH27+IF(AND(AG28&lt;&gt;"",COUNTIF(AG$4:AG28,AG28)=1),1,0)</f>
        <v>10</v>
      </c>
      <c r="AI28" t="str">
        <f t="shared" si="14"/>
        <v/>
      </c>
      <c r="AJ28" t="str">
        <f>IF('Final Calculation Sheet'!$E$28="","",'Final Calculation Sheet'!$E$28)</f>
        <v>NO</v>
      </c>
      <c r="AK28">
        <f>IF(AJ28="","",COUNTIFS(AJ$4:AJ$40,"&lt;"&amp;AJ28,AJ$4:AJ$40,"&lt;&gt;"&amp;"")+COUNTIF(AJ$4:AJ28,AJ28))</f>
        <v>26</v>
      </c>
      <c r="AL28" t="str">
        <f t="shared" si="15"/>
        <v>NO</v>
      </c>
      <c r="AM28">
        <f>AM27+IF(AND(AL28&lt;&gt;"",COUNTIF(AL$4:AL28,AL28)=1),1,0)</f>
        <v>3</v>
      </c>
      <c r="AN28" t="str">
        <f t="shared" si="16"/>
        <v/>
      </c>
      <c r="AO28" s="50">
        <f>IF('Final Calculation Sheet'!$C$28="","",'Final Calculation Sheet'!$C$28)</f>
        <v>531</v>
      </c>
      <c r="AP28">
        <f>IF(AO28="","",COUNTIFS(AO$4:AO$40,"&lt;"&amp;AO28,AO$4:AO$40,"&lt;&gt;"&amp;"")+COUNTIF(AO$4:AO28,AO28))</f>
        <v>6</v>
      </c>
      <c r="AQ28" s="50">
        <f t="shared" si="17"/>
        <v>65007</v>
      </c>
      <c r="AR28">
        <f>AR27+IF(AND(AQ28&lt;&gt;"",COUNTIF(AQ$4:AQ28,AQ28)=1),1,0)</f>
        <v>23</v>
      </c>
      <c r="AS28" s="50">
        <f t="shared" si="18"/>
        <v>70001</v>
      </c>
      <c r="AT28" s="50">
        <f>IF('Final Calculation Sheet'!$H$28="","",'Final Calculation Sheet'!$H$28)</f>
        <v>26550</v>
      </c>
      <c r="AU28">
        <f>IF(AT28="","",COUNTIFS(AT$4:AT$40,"&lt;"&amp;AT28,AT$4:AT$40,"&lt;&gt;"&amp;"")+COUNTIF(AT$4:AT28,AT28))</f>
        <v>4</v>
      </c>
      <c r="AV28" s="50">
        <f t="shared" si="19"/>
        <v>210003</v>
      </c>
      <c r="AW28">
        <f>AW27+IF(AND(AV28&lt;&gt;"",COUNTIF(AV$4:AV28,AV28)=1),1,0)</f>
        <v>25</v>
      </c>
      <c r="AX28" s="50">
        <f t="shared" si="20"/>
        <v>210003</v>
      </c>
      <c r="AY28" s="50">
        <f>IF('Final Calculation Sheet'!$I$28="","",'Final Calculation Sheet'!$I$28)</f>
        <v>4779</v>
      </c>
      <c r="AZ28">
        <f>IF(AY28="","",COUNTIFS(AY$4:AY$40,"&lt;"&amp;AY28,AY$4:AY$40,"&lt;&gt;"&amp;"")+COUNTIF(AY$4:AY28,AY28))</f>
        <v>4</v>
      </c>
      <c r="BA28" s="50">
        <f t="shared" si="21"/>
        <v>37801</v>
      </c>
      <c r="BB28">
        <f>BB27+IF(AND(BA28&lt;&gt;"",COUNTIF(BA$4:BA28,BA28)=1),1,0)</f>
        <v>25</v>
      </c>
      <c r="BC28" s="50">
        <f t="shared" si="22"/>
        <v>37801</v>
      </c>
      <c r="BD28" s="50">
        <f>IF('Final Calculation Sheet'!$J$28="","",'Final Calculation Sheet'!$J$28)</f>
        <v>31329</v>
      </c>
      <c r="BE28">
        <f>IF(BD28="","",COUNTIFS(BD$4:BD$40,"&lt;"&amp;BD28,BD$4:BD$40,"&lt;&gt;"&amp;"")+COUNTIF(BD$4:BD28,BD28))</f>
        <v>4</v>
      </c>
      <c r="BF28" s="50">
        <f t="shared" si="23"/>
        <v>247804</v>
      </c>
      <c r="BG28">
        <f>BG27+IF(AND(BF28&lt;&gt;"",COUNTIF(BF$4:BF28,BF28)=1),1,0)</f>
        <v>25</v>
      </c>
      <c r="BH28" s="50">
        <f t="shared" si="24"/>
        <v>247804</v>
      </c>
      <c r="BI28" s="50">
        <f>IF('Final Calculation Sheet'!$K$28="","",'Final Calculation Sheet'!$K$28)</f>
        <v>627</v>
      </c>
      <c r="BJ28">
        <f>IF(BI28="","",COUNTIFS(BI$4:BI$40,"&lt;"&amp;BI28,BI$4:BI$40,"&lt;&gt;"&amp;"")+COUNTIF(BI$4:BI28,BI28))</f>
        <v>4</v>
      </c>
      <c r="BK28" s="50">
        <f t="shared" si="25"/>
        <v>4956</v>
      </c>
      <c r="BL28">
        <f>BL27+IF(AND(BK28&lt;&gt;"",COUNTIF(BK$4:BK28,BK28)=1),1,0)</f>
        <v>24</v>
      </c>
      <c r="BM28" s="50">
        <f t="shared" si="26"/>
        <v>5192</v>
      </c>
      <c r="BN28" s="50">
        <f>IF('Final Calculation Sheet'!$L$28="","",'Final Calculation Sheet'!$L$28)</f>
        <v>26.55</v>
      </c>
      <c r="BO28">
        <f>IF(BN28="","",COUNTIFS(BN$4:BN$40,"&lt;"&amp;BN28,BN$4:BN$40,"&lt;&gt;"&amp;"")+COUNTIF(BN$4:BN28,BN28))</f>
        <v>4</v>
      </c>
      <c r="BP28" s="50">
        <f t="shared" si="27"/>
        <v>210.00300000000001</v>
      </c>
      <c r="BQ28">
        <f>BQ27+IF(AND(BP28&lt;&gt;"",COUNTIF(BP$4:BP28,BP28)=1),1,0)</f>
        <v>25</v>
      </c>
      <c r="BR28" s="50">
        <f t="shared" si="28"/>
        <v>210.00300000000001</v>
      </c>
      <c r="BS28" s="50">
        <f>IF('Final Calculation Sheet'!$M$28="","",'Final Calculation Sheet'!$M$28)</f>
        <v>704.90249999999992</v>
      </c>
      <c r="BT28">
        <f>IF(BS28="","",COUNTIFS(BS$4:BS$40,"&lt;"&amp;BS28,BS$4:BS$40,"&lt;&gt;"&amp;"")+COUNTIF(BS$4:BS28,BS28))</f>
        <v>4</v>
      </c>
      <c r="BU28" s="50">
        <f t="shared" si="29"/>
        <v>5575.5796499999997</v>
      </c>
      <c r="BV28">
        <f>BV27+IF(AND(BU28&lt;&gt;"",COUNTIF(BU$4:BU28,BU28)=1),1,0)</f>
        <v>25</v>
      </c>
      <c r="BW28" s="50">
        <f t="shared" si="30"/>
        <v>5575.5796499999997</v>
      </c>
      <c r="BX28" s="126">
        <f>IF('Final Calculation Sheet'!$N$28="","",'Final Calculation Sheet'!$N$28)</f>
        <v>11.9475</v>
      </c>
      <c r="BY28">
        <f>IF(BX28="","",COUNTIFS(BX$4:BX$40,"&lt;"&amp;BX28,BX$4:BX$40,"&lt;&gt;"&amp;"")+COUNTIF(BX$4:BX28,BX28))</f>
        <v>4</v>
      </c>
      <c r="BZ28" s="126">
        <f t="shared" si="31"/>
        <v>94.501350000000002</v>
      </c>
      <c r="CA28">
        <f>CA27+IF(AND(BZ28&lt;&gt;"",COUNTIF(BZ$4:BZ28,BZ28)=1),1,0)</f>
        <v>25</v>
      </c>
      <c r="CB28" s="126">
        <f t="shared" si="32"/>
        <v>94.501350000000002</v>
      </c>
      <c r="CC28" s="50">
        <f>IF('Final Calculation Sheet'!$O$28="","",'Final Calculation Sheet'!$O$28)</f>
        <v>692.95499999999993</v>
      </c>
      <c r="CD28">
        <f>IF(CC28="","",COUNTIFS(CC$4:CC$40,"&lt;"&amp;CC28,CC$4:CC$40,"&lt;&gt;"&amp;"")+COUNTIF(CC$4:CC28,CC28))</f>
        <v>4</v>
      </c>
      <c r="CE28" s="50">
        <f t="shared" si="33"/>
        <v>5481.0782999999992</v>
      </c>
      <c r="CF28">
        <f>CF27+IF(AND(CE28&lt;&gt;"",COUNTIF(CE$4:CE28,CE28)=1),1,0)</f>
        <v>25</v>
      </c>
      <c r="CG28" s="50">
        <f t="shared" si="34"/>
        <v>5481.0782999999992</v>
      </c>
      <c r="CH28" s="50">
        <f>IF('Final Calculation Sheet'!$P$28="","",'Final Calculation Sheet'!$P$28)</f>
        <v>720</v>
      </c>
      <c r="CI28">
        <f>IF(CH28="","",COUNTIFS(CH$4:CH$40,"&lt;"&amp;CH28,CH$4:CH$40,"&lt;&gt;"&amp;"")+COUNTIF(CH$4:CH28,CH28))</f>
        <v>4</v>
      </c>
      <c r="CJ28" s="50">
        <f t="shared" si="35"/>
        <v>5691</v>
      </c>
      <c r="CK28">
        <f>CK27+IF(AND(CJ28&lt;&gt;"",COUNTIF(CJ$4:CJ28,CJ28)=1),1,0)</f>
        <v>24</v>
      </c>
      <c r="CL28" s="50">
        <f t="shared" si="36"/>
        <v>5962</v>
      </c>
      <c r="CM28" s="127">
        <f>IF('Final Calculation Sheet'!$Q$28="","",'Final Calculation Sheet'!$Q$28)</f>
        <v>0</v>
      </c>
      <c r="CN28">
        <f>IF(CM28="","",COUNTIFS(CM$4:CM$40,"&lt;"&amp;CM28,CM$4:CM$40,"&lt;&gt;"&amp;"")+COUNTIF(CM$4:CM28,CM28))</f>
        <v>21</v>
      </c>
      <c r="CO28" s="127">
        <f t="shared" si="37"/>
        <v>0</v>
      </c>
      <c r="CP28">
        <f>CP27+IF(AND(CO28&lt;&gt;"",COUNTIF(CO$4:CO28,CO28)=1),1,0)</f>
        <v>1</v>
      </c>
      <c r="CQ28" t="str">
        <f t="shared" si="38"/>
        <v/>
      </c>
      <c r="CR28" s="50">
        <f>IF('Final Calculation Sheet'!$R$28="","",'Final Calculation Sheet'!$R$28)</f>
        <v>0</v>
      </c>
      <c r="CS28">
        <f>IF(CR28="","",COUNTIFS(CR$4:CR$40,"&lt;"&amp;CR28,CR$4:CR$40,"&lt;&gt;"&amp;"")+COUNTIF(CR$4:CR28,CR28))</f>
        <v>21</v>
      </c>
      <c r="CT28" s="50">
        <f t="shared" si="39"/>
        <v>0</v>
      </c>
      <c r="CU28">
        <f>CU27+IF(AND(CT28&lt;&gt;"",COUNTIF(CT$4:CT28,CT28)=1),1,0)</f>
        <v>1</v>
      </c>
      <c r="CV28" t="str">
        <f t="shared" si="40"/>
        <v/>
      </c>
      <c r="CW28" s="50">
        <f>IF('Final Calculation Sheet'!$S$28="","",'Final Calculation Sheet'!$S$28)</f>
        <v>31236</v>
      </c>
      <c r="CX28">
        <f>IF(CW28="","",COUNTIFS(CW$4:CW$40,"&lt;"&amp;CW28,CW$4:CW$40,"&lt;&gt;"&amp;"")+COUNTIF(CW$4:CW28,CW28))</f>
        <v>4</v>
      </c>
      <c r="CY28" s="50">
        <f t="shared" si="41"/>
        <v>247069</v>
      </c>
      <c r="CZ28">
        <f>CZ27+IF(AND(CY28&lt;&gt;"",COUNTIF(CY$4:CY28,CY28)=1),1,0)</f>
        <v>25</v>
      </c>
      <c r="DA28" s="50">
        <f t="shared" si="42"/>
        <v>247069</v>
      </c>
      <c r="DB28" s="50">
        <f>IF('Final Calculation Sheet'!$T$28="","",'Final Calculation Sheet'!$T$28)</f>
        <v>6638</v>
      </c>
      <c r="DC28">
        <f>IF(DB28="","",COUNTIFS(DB$4:DB$40,"&lt;"&amp;DB28,DB$4:DB$40,"&lt;&gt;"&amp;"")+COUNTIF(DB$4:DB28,DB28))</f>
        <v>4</v>
      </c>
      <c r="DD28" s="50">
        <f t="shared" si="43"/>
        <v>52501</v>
      </c>
      <c r="DE28">
        <f>DE27+IF(AND(DD28&lt;&gt;"",COUNTIF(DD$4:DD28,DD28)=1),1,0)</f>
        <v>25</v>
      </c>
      <c r="DF28" s="50">
        <f t="shared" si="44"/>
        <v>52501</v>
      </c>
      <c r="DG28" s="128">
        <f>IF('Final Calculation Sheet'!$U$28="","",'Final Calculation Sheet'!$U$28)</f>
        <v>6638</v>
      </c>
      <c r="DH28">
        <f>IF(DG28="","",COUNTIFS(DG$4:DG$40,"&lt;"&amp;DG28,DG$4:DG$40,"&lt;&gt;"&amp;"")+COUNTIF(DG$4:DG28,DG28))</f>
        <v>4</v>
      </c>
      <c r="DI28" s="128">
        <f t="shared" si="45"/>
        <v>52501</v>
      </c>
      <c r="DJ28">
        <f>DJ27+IF(AND(DI28&lt;&gt;"",COUNTIF(DI$4:DI28,DI28)=1),1,0)</f>
        <v>25</v>
      </c>
      <c r="DK28" s="128">
        <f t="shared" si="46"/>
        <v>52501</v>
      </c>
      <c r="DL28" t="str">
        <f>IF('Final Calculation Sheet'!$V$28="","",'Final Calculation Sheet'!$V$28)</f>
        <v>14.08.2026</v>
      </c>
      <c r="DM28">
        <f>IF(DL28="","",COUNTIFS(DL$4:DL$40,"&lt;"&amp;DL28,DL$4:DL$40,"&lt;&gt;"&amp;"")+COUNTIF(DL$4:DL28,DL28))</f>
        <v>32</v>
      </c>
      <c r="DN28" t="str">
        <f t="shared" si="47"/>
        <v>13.08.2026</v>
      </c>
      <c r="DO28">
        <f>DO27+IF(AND(DN28&lt;&gt;"",COUNTIF(DN$4:DN28,DN28)=1),1,0)</f>
        <v>3</v>
      </c>
      <c r="DP28" t="str">
        <f t="shared" si="48"/>
        <v/>
      </c>
      <c r="DQ28" s="50">
        <f>IF('Final Calculation Sheet'!$W$28="","",'Final Calculation Sheet'!$W$28)</f>
        <v>24599</v>
      </c>
      <c r="DR28">
        <f>IF(DQ28="","",COUNTIFS(DQ$4:DQ$40,"&lt;"&amp;DQ28,DQ$4:DQ$40,"&lt;&gt;"&amp;"")+COUNTIF(DQ$4:DQ28,DQ28))</f>
        <v>4</v>
      </c>
      <c r="DS28" s="50">
        <f t="shared" si="49"/>
        <v>194568</v>
      </c>
      <c r="DT28">
        <f>DT27+IF(AND(DS28&lt;&gt;"",COUNTIF(DS$4:DS28,DS28)=1),1,0)</f>
        <v>25</v>
      </c>
      <c r="DU28" s="50">
        <f t="shared" si="50"/>
        <v>194568</v>
      </c>
      <c r="DV28" s="50">
        <f>IF('Final Calculation Sheet'!$X$28="","",'Final Calculation Sheet'!$X$28)</f>
        <v>24598</v>
      </c>
      <c r="DW28">
        <f>IF(DV28="","",COUNTIFS(DV$4:DV$40,"&lt;"&amp;DV28,DV$4:DV$40,"&lt;&gt;"&amp;"")+COUNTIF(DV$4:DV28,DV28))</f>
        <v>4</v>
      </c>
      <c r="DX28" s="50">
        <f t="shared" si="51"/>
        <v>203831</v>
      </c>
      <c r="DY28">
        <f>DY27+IF(AND(DX28&lt;&gt;"",COUNTIF(DX$4:DX28,DX28)=1),1,0)</f>
        <v>25</v>
      </c>
      <c r="DZ28" t="e">
        <f t="shared" si="52"/>
        <v>#N/A</v>
      </c>
      <c r="EA28" t="str">
        <f>IF('Final Calculation Sheet'!$Y$28="","",'Final Calculation Sheet'!$Y$28)</f>
        <v>21.08.2026</v>
      </c>
      <c r="EB28">
        <f>IF(EA28="","",COUNTIFS(EA$4:EA$40,"&lt;"&amp;EA28,EA$4:EA$40,"&lt;&gt;"&amp;"")+COUNTIF(EA$4:EA28,EA28))</f>
        <v>19</v>
      </c>
      <c r="EC28" t="str">
        <f t="shared" si="53"/>
        <v>24.08.2026</v>
      </c>
      <c r="ED28">
        <f>ED27+IF(AND(EC28&lt;&gt;"",COUNTIF(EC$4:EC28,EC28)=1),1,0)</f>
        <v>9</v>
      </c>
      <c r="EE28" t="e">
        <f t="shared" si="54"/>
        <v>#N/A</v>
      </c>
      <c r="EF28" s="50">
        <f ca="1">IF('Final Calculation Sheet'!$Z$28="","",'Final Calculation Sheet'!$Z$28)</f>
        <v>939.87000000000012</v>
      </c>
      <c r="EG28">
        <f ca="1">IF(EF28="","",COUNTIFS(EF$4:EF$40,"&lt;"&amp;EF28,EF$4:EF$40,"&lt;&gt;"&amp;"")+COUNTIF(EF$4:EF28,EF28))</f>
        <v>5</v>
      </c>
      <c r="EH28" s="50">
        <f t="shared" ca="1" si="55"/>
        <v>7434.1061999999993</v>
      </c>
      <c r="EI28">
        <f ca="1">EI27+IF(AND(EH28&lt;&gt;"",COUNTIF(EH$4:EH28,EH28)=1),1,0)</f>
        <v>25</v>
      </c>
      <c r="EJ28">
        <f t="shared" ca="1" si="56"/>
        <v>7434.1061999999993</v>
      </c>
      <c r="EK28" t="str">
        <f>IF('Final Calculation Sheet'!$AA$28="","",'Final Calculation Sheet'!$AA$28)</f>
        <v/>
      </c>
      <c r="EL28" t="str">
        <f>IF(EK28="","",COUNTIFS(EK$4:EK$40,"&lt;"&amp;EK28,EK$4:EK$40,"&lt;&gt;"&amp;"")+COUNTIF(EK$4:EK28,EK28))</f>
        <v/>
      </c>
      <c r="EM28" t="e">
        <f t="shared" si="57"/>
        <v>#N/A</v>
      </c>
      <c r="EN28" t="e">
        <f>EN27+IF(AND(EM28&lt;&gt;"",COUNTIF(EM$4:EM28,EM28)=1),1,0)</f>
        <v>#N/A</v>
      </c>
      <c r="EO28" t="e">
        <f t="shared" si="58"/>
        <v>#N/A</v>
      </c>
      <c r="EP28" t="str">
        <f>IF('Final Calculation Sheet'!$AB$28="","",'Final Calculation Sheet'!$AB$28)</f>
        <v/>
      </c>
      <c r="EQ28" t="str">
        <f>IF(EP28="","",COUNTIFS(EP$4:EP$40,"&lt;"&amp;EP28,EP$4:EP$40,"&lt;&gt;"&amp;"")+COUNTIF(EP$4:EP28,EP28))</f>
        <v/>
      </c>
      <c r="ER28" t="e">
        <f t="shared" si="59"/>
        <v>#N/A</v>
      </c>
      <c r="ES28" t="e">
        <f>ES27+IF(AND(ER28&lt;&gt;"",COUNTIF(ER$4:ER28,ER28)=1),1,0)</f>
        <v>#N/A</v>
      </c>
      <c r="ET28" t="e">
        <f t="shared" si="60"/>
        <v>#N/A</v>
      </c>
      <c r="EU28" s="50">
        <f>IF('Final Calculation Sheet'!$AC$28="","",'Final Calculation Sheet'!$AC$28)</f>
        <v>31236</v>
      </c>
      <c r="EV28">
        <f>IF(EU28="","",COUNTIFS(EU$4:EU$40,"&lt;"&amp;EU28,EU$4:EU$40,"&lt;&gt;"&amp;"")+COUNTIF(EU$4:EU28,EU28))</f>
        <v>5</v>
      </c>
      <c r="EW28" s="50">
        <f t="shared" si="61"/>
        <v>243570</v>
      </c>
      <c r="EX28">
        <f>EX27+IF(AND(EW28&lt;&gt;"",COUNTIF(EW$4:EW28,EW28)=1),1,0)</f>
        <v>25</v>
      </c>
      <c r="EY28" s="50">
        <f t="shared" si="62"/>
        <v>243570</v>
      </c>
      <c r="EZ28" s="50">
        <f>IF('Final Calculation Sheet'!$AD$28="","",'Final Calculation Sheet'!$AD$28)</f>
        <v>0</v>
      </c>
      <c r="FA28">
        <f>IF(EZ28="","",COUNTIFS(EZ$4:EZ$40,"&lt;"&amp;EZ28,EZ$4:EZ$40,"&lt;&gt;"&amp;"")+COUNTIF(EZ$4:EZ28,EZ28))</f>
        <v>23</v>
      </c>
      <c r="FB28" s="50">
        <f t="shared" si="63"/>
        <v>0</v>
      </c>
      <c r="FC28">
        <f>FC27+IF(AND(FB28&lt;&gt;"",COUNTIF(FB$4:FB28,FB28)=1),1,0)</f>
        <v>7</v>
      </c>
      <c r="FD28" t="str">
        <f t="shared" si="64"/>
        <v/>
      </c>
      <c r="FE28" t="str">
        <f>IF('Final Calculation Sheet'!$AF$28="","",'Final Calculation Sheet'!$AF$28)</f>
        <v>DR2640100043</v>
      </c>
      <c r="FF28">
        <f>IF(FE28="","",COUNTIFS(FE$4:FE$40,"&lt;"&amp;FE28,FE$4:FE$40,"&lt;&gt;"&amp;"")+COUNTIF(FE$4:FE28,FE28))</f>
        <v>32</v>
      </c>
      <c r="FG28" t="str">
        <f t="shared" si="65"/>
        <v>DR2640100036</v>
      </c>
      <c r="FH28" t="e">
        <f>FH27+IF(AND(FG28&lt;&gt;"",COUNTIF(FG$4:FG28,FG28)=1),1,0)</f>
        <v>#N/A</v>
      </c>
      <c r="FI28" t="e">
        <f t="shared" si="66"/>
        <v>#N/A</v>
      </c>
      <c r="FJ28" s="129">
        <f>IF('Final Calculation Sheet'!$AG$28="","",'Final Calculation Sheet'!$AG$28)</f>
        <v>1800003318</v>
      </c>
      <c r="FK28">
        <f>IF(FJ28="","",COUNTIFS(FJ$4:FJ$40,"&lt;"&amp;FJ28,FJ$4:FJ$40,"&lt;&gt;"&amp;"")+COUNTIF(FJ$4:FJ28,FJ28))</f>
        <v>30</v>
      </c>
      <c r="FL28" s="129">
        <f t="shared" si="67"/>
        <v>1800003313</v>
      </c>
      <c r="FM28">
        <f>FM27+IF(AND(FL28&lt;&gt;"",COUNTIF(FL$4:FL28,FL28)=1),1,0)</f>
        <v>25</v>
      </c>
      <c r="FN28" t="e">
        <f t="shared" si="68"/>
        <v>#N/A</v>
      </c>
      <c r="FO28" t="str">
        <f>IF('Final Calculation Sheet'!$AH$28="","",'Final Calculation Sheet'!$AH$28)</f>
        <v>27.08.2026</v>
      </c>
      <c r="FP28">
        <f>IF(FO28="","",COUNTIFS(FO$4:FO$40,"&lt;"&amp;FO28,FO$4:FO$40,"&lt;&gt;"&amp;"")+COUNTIF(FO$4:FO28,FO28))</f>
        <v>32</v>
      </c>
      <c r="FQ28" t="str">
        <f t="shared" si="69"/>
        <v>27.08.2026</v>
      </c>
      <c r="FR28" t="e">
        <f>FR27+IF(AND(FQ28&lt;&gt;"",COUNTIF(FQ$4:FQ28,FQ28)=1),1,0)</f>
        <v>#N/A</v>
      </c>
      <c r="FS28" t="e">
        <f t="shared" si="70"/>
        <v>#N/A</v>
      </c>
      <c r="FU28" t="str">
        <f>IF(FT28="","",COUNTIFS(FT$4:FT$40,"&lt;"&amp;FT28,FT$4:FT$40,"&lt;&gt;"&amp;"")+COUNTIF(FT$4:FT28,FT28))</f>
        <v/>
      </c>
      <c r="FV28" t="str">
        <f t="shared" si="71"/>
        <v/>
      </c>
      <c r="FW28">
        <f>FW27+IF(AND(FV28&lt;&gt;"",COUNTIF(FV$4:FV28,FV28)=1),1,0)</f>
        <v>2</v>
      </c>
      <c r="FX28" t="str">
        <f t="shared" si="72"/>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8" t="b">
        <f>IF($Y$28="",FALSE,SUMPRODUCT(('Final Calculation Sheet'!$B$4:$B$40=$Y$28)*($FY$6:$FY$42=1))&gt;0)</f>
        <v>1</v>
      </c>
      <c r="GA28">
        <f>$GA$27+--($FZ$28)</f>
        <v>25</v>
      </c>
      <c r="GB28" t="str">
        <f t="shared" si="73"/>
        <v>Scrap Power Transformer</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D28" t="b">
        <f>IF($O$28="",FALSE,SUMPRODUCT(('Final Calculation Sheet'!$F$4:$F$40=$O$28)*($GC$6:$GC$42=1))&gt;0)</f>
        <v>1</v>
      </c>
      <c r="GE28">
        <f>$GE$27+--($GD28)</f>
        <v>25</v>
      </c>
      <c r="GF28">
        <f t="shared" si="74"/>
        <v>2037</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H28" t="b">
        <f>IF($T$28="",FALSE,SUMPRODUCT(('Final Calculation Sheet'!$G$4:$G$40=$T$28)*($GG$6:$GG$42=1))&gt;0)</f>
        <v>0</v>
      </c>
      <c r="GI28">
        <f>$GI$27+--($GH28)</f>
        <v>13</v>
      </c>
      <c r="GJ28" t="str">
        <f t="shared" si="75"/>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L28" t="b">
        <f>IF($AD$28="",FALSE,SUMPRODUCT(('Final Calculation Sheet'!$D$4:$D$40=$AD$28)*($GK$6:$GK$42=1))&gt;0)</f>
        <v>0</v>
      </c>
      <c r="GM28">
        <f>$GM$27+--($GL28)</f>
        <v>4</v>
      </c>
      <c r="GN28" t="str">
        <f t="shared" si="76"/>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P28" t="b">
        <f>IF($AI$28="",FALSE,SUMPRODUCT(('Final Calculation Sheet'!$A$4:$A$40=$AI$28)*($GO$6:$GO$42=1))&gt;0)</f>
        <v>0</v>
      </c>
      <c r="GQ28">
        <f>$GQ$27+--($GP28)</f>
        <v>22</v>
      </c>
      <c r="GR28" t="str">
        <f t="shared" si="77"/>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T28" t="b">
        <f>IF($AN$28="",FALSE,SUMPRODUCT(('Final Calculation Sheet'!$E$4:$E$40=$AN$28)*($GS$6:$GS$42=1))&gt;0)</f>
        <v>0</v>
      </c>
      <c r="GU28">
        <f>$GU$27+--($GT28)</f>
        <v>3</v>
      </c>
      <c r="GV28" t="str">
        <f t="shared" si="78"/>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GX28" t="b">
        <f>IF($AS$28="",FALSE,SUMPRODUCT(('Final Calculation Sheet'!$C$4:$C$40=$AS$28)*($GW$6:$GW$42=1))&gt;0)</f>
        <v>1</v>
      </c>
      <c r="GY28">
        <f>$GY$27+--($GX28)</f>
        <v>25</v>
      </c>
      <c r="GZ28">
        <f t="shared" si="79"/>
        <v>70001</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B28" t="b">
        <f>IF($AX$28="",FALSE,SUMPRODUCT(('Final Calculation Sheet'!$H$4:$H$40=$AX$28)*($HA$6:$HA$42=1))&gt;0)</f>
        <v>1</v>
      </c>
      <c r="HC28">
        <f>$HC$27+--($HB28)</f>
        <v>25</v>
      </c>
      <c r="HD28">
        <f t="shared" si="80"/>
        <v>210003</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F28" t="b">
        <f>IF($BC$28="",FALSE,SUMPRODUCT(('Final Calculation Sheet'!$I$4:$I$40=$BC$28)*($HE$6:$HE$42=1))&gt;0)</f>
        <v>1</v>
      </c>
      <c r="HG28">
        <f>$HG$27+--($HF28)</f>
        <v>25</v>
      </c>
      <c r="HH28">
        <f t="shared" si="81"/>
        <v>37801</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J28" t="b">
        <f>IF($BH$28="",FALSE,SUMPRODUCT(('Final Calculation Sheet'!$J$4:$J$40=$BH$28)*($HI$6:$HI$42=1))&gt;0)</f>
        <v>1</v>
      </c>
      <c r="HK28">
        <f>$HK$27+--($HJ28)</f>
        <v>25</v>
      </c>
      <c r="HL28">
        <f t="shared" si="82"/>
        <v>247804</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N28" t="b">
        <f>IF($BM$28="",FALSE,SUMPRODUCT(('Final Calculation Sheet'!$K$4:$K$40=$BM$28)*($HM$6:$HM$42=1))&gt;0)</f>
        <v>1</v>
      </c>
      <c r="HO28">
        <f>$HO$27+--($HN28)</f>
        <v>25</v>
      </c>
      <c r="HP28">
        <f t="shared" si="83"/>
        <v>5192</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R28" t="b">
        <f>IF($BR$28="",FALSE,SUMPRODUCT(('Final Calculation Sheet'!$L$4:$L$40=$BR$28)*($HQ$6:$HQ$42=1))&gt;0)</f>
        <v>1</v>
      </c>
      <c r="HS28">
        <f>$HS$27+--($HR28)</f>
        <v>25</v>
      </c>
      <c r="HT28">
        <f t="shared" si="84"/>
        <v>210.00300000000001</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V28" t="b">
        <f>IF($BW$28="",FALSE,SUMPRODUCT(('Final Calculation Sheet'!$M$4:$M$40=$BW$28)*($HU$6:$HU$42=1))&gt;0)</f>
        <v>1</v>
      </c>
      <c r="HW28">
        <f>$HW$27+--($HV28)</f>
        <v>25</v>
      </c>
      <c r="HX28">
        <f t="shared" si="85"/>
        <v>5575.5796499999997</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HZ28" t="b">
        <f>IF($CB$28="",FALSE,SUMPRODUCT(('Final Calculation Sheet'!$N$4:$N$40=$CB$28)*($HY$6:$HY$42=1))&gt;0)</f>
        <v>1</v>
      </c>
      <c r="IA28">
        <f>$IA$27+--($HZ28)</f>
        <v>25</v>
      </c>
      <c r="IB28">
        <f t="shared" si="86"/>
        <v>94.501350000000002</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D28" t="b">
        <f>IF($CG$28="",FALSE,SUMPRODUCT(('Final Calculation Sheet'!$O$4:$O$40=$CG$28)*($IC$6:$IC$42=1))&gt;0)</f>
        <v>1</v>
      </c>
      <c r="IE28">
        <f>$IE$27+--($ID28)</f>
        <v>25</v>
      </c>
      <c r="IF28">
        <f t="shared" si="87"/>
        <v>5481.0782999999992</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H28" t="b">
        <f>IF($CL$28="",FALSE,SUMPRODUCT(('Final Calculation Sheet'!$P$4:$P$40=$CL$28)*($IG$6:$IG$42=1))&gt;0)</f>
        <v>1</v>
      </c>
      <c r="II28">
        <f>$II$27+--($IH28)</f>
        <v>25</v>
      </c>
      <c r="IJ28">
        <f t="shared" si="88"/>
        <v>5962</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L28" t="b">
        <f>IF($CQ$28="",FALSE,SUMPRODUCT(('Final Calculation Sheet'!$Q$4:$Q$40=$CQ$28)*($IK$6:$IK$42=1))&gt;0)</f>
        <v>0</v>
      </c>
      <c r="IM28">
        <f>$IM$27+--($IL28)</f>
        <v>2</v>
      </c>
      <c r="IN28" t="str">
        <f t="shared" si="89"/>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P28" t="b">
        <f>IF($CV$28="",FALSE,SUMPRODUCT(('Final Calculation Sheet'!$R$4:$R$40=$CV$28)*($IO$6:$IO$42=1))&gt;0)</f>
        <v>0</v>
      </c>
      <c r="IQ28">
        <f>$IQ$27+--($IP28)</f>
        <v>5</v>
      </c>
      <c r="IR28" t="str">
        <f t="shared" si="90"/>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T28" t="b">
        <f>IF($DA$28="",FALSE,SUMPRODUCT(('Final Calculation Sheet'!$S$4:$S$40=$DA$28)*($IS$6:$IS$42=1))&gt;0)</f>
        <v>1</v>
      </c>
      <c r="IU28">
        <f>$IU$27+--($IT28)</f>
        <v>25</v>
      </c>
      <c r="IV28">
        <f t="shared" si="91"/>
        <v>247069</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IX28" t="b">
        <f>IF($DF$28="",FALSE,SUMPRODUCT(('Final Calculation Sheet'!$T$4:$T$40=$DF$28)*($IW$6:$IW$42=1))&gt;0)</f>
        <v>1</v>
      </c>
      <c r="IY28">
        <f>$IY$27+--($IX28)</f>
        <v>25</v>
      </c>
      <c r="IZ28">
        <f t="shared" si="92"/>
        <v>52501</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B28" t="b">
        <f>IF($DK$28="",FALSE,SUMPRODUCT(('Final Calculation Sheet'!$U$4:$U$40=$DK$28)*($JA$6:$JA$42=1))&gt;0)</f>
        <v>1</v>
      </c>
      <c r="JC28">
        <f>$JC$27+--($JB28)</f>
        <v>25</v>
      </c>
      <c r="JD28">
        <f t="shared" si="93"/>
        <v>52501</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F28" t="b">
        <f>IF($DP$28="",FALSE,SUMPRODUCT(('Final Calculation Sheet'!$V$4:$V$40=$DP$28)*($JE$6:$JE$42=1))&gt;0)</f>
        <v>0</v>
      </c>
      <c r="JG28">
        <f>$JG$27+--($JF28)</f>
        <v>6</v>
      </c>
      <c r="JH28" t="str">
        <f t="shared" si="94"/>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J28" t="b">
        <f>IF($DU$28="",FALSE,SUMPRODUCT(('Final Calculation Sheet'!$W$4:$W$40=$DU$28)*($JI$6:$JI$42=1))&gt;0)</f>
        <v>1</v>
      </c>
      <c r="JK28">
        <f>$JK$27+--($JJ28)</f>
        <v>25</v>
      </c>
      <c r="JL28">
        <f t="shared" si="95"/>
        <v>194568</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N28" t="e">
        <f>IF($DZ$28="",FALSE,SUMPRODUCT(('Final Calculation Sheet'!$X$4:$X$40=$DZ$28)*($JM$6:$JM$42=1))&gt;0)</f>
        <v>#N/A</v>
      </c>
      <c r="JO28" t="e">
        <f>$JO$27+--($JN28)</f>
        <v>#N/A</v>
      </c>
      <c r="JP28" t="e">
        <f t="shared" si="96"/>
        <v>#N/A</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R28" t="e">
        <f>IF($EE$28="",FALSE,SUMPRODUCT(('Final Calculation Sheet'!$Y$4:$Y$40=$EE$28)*($JQ$6:$JQ$42=1))&gt;0)</f>
        <v>#N/A</v>
      </c>
      <c r="JS28" t="e">
        <f>$JS$27+--($JR28)</f>
        <v>#N/A</v>
      </c>
      <c r="JT28" t="e">
        <f t="shared" si="97"/>
        <v>#N/A</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V28" t="b">
        <f ca="1">IF($EJ$28="",FALSE,SUMPRODUCT(('Final Calculation Sheet'!$Z$4:$Z$40=$EJ$28)*($JU$6:$JU$42=1))&gt;0)</f>
        <v>1</v>
      </c>
      <c r="JW28">
        <f ca="1">$JW$27+--($JV28)</f>
        <v>25</v>
      </c>
      <c r="JX28">
        <f t="shared" ca="1" si="98"/>
        <v>7434.1061999999993</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JZ28" t="e">
        <f>IF($EO$28="",FALSE,SUMPRODUCT(('Final Calculation Sheet'!$AA$4:$AA$40=$EO$28)*($JY$6:$JY$42=1))&gt;0)</f>
        <v>#N/A</v>
      </c>
      <c r="KA28" t="e">
        <f>$KA$27+--($JZ28)</f>
        <v>#N/A</v>
      </c>
      <c r="KB28" t="e">
        <f t="shared" si="99"/>
        <v>#N/A</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D28" t="e">
        <f>IF($ET$28="",FALSE,SUMPRODUCT(('Final Calculation Sheet'!$AB$4:$AB$40=$ET$28)*($KC$6:$KC$42=1))&gt;0)</f>
        <v>#N/A</v>
      </c>
      <c r="KE28" t="e">
        <f>$KE$27+--($KD28)</f>
        <v>#N/A</v>
      </c>
      <c r="KF28" t="e">
        <f t="shared" si="100"/>
        <v>#N/A</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H28" t="b">
        <f>IF($EY$28="",FALSE,SUMPRODUCT(('Final Calculation Sheet'!$AC$4:$AC$40=$EY$28)*($KG$6:$KG$42=1))&gt;0)</f>
        <v>1</v>
      </c>
      <c r="KI28">
        <f>$KI$27+--($KH28)</f>
        <v>25</v>
      </c>
      <c r="KJ28">
        <f t="shared" si="101"/>
        <v>243570</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L28" t="b">
        <f>IF($FD$28="",FALSE,SUMPRODUCT(('Final Calculation Sheet'!$AD$4:$AD$40=$FD$28)*($KK$6:$KK$42=1))&gt;0)</f>
        <v>0</v>
      </c>
      <c r="KM28">
        <f>$KM$27+--($KL28)</f>
        <v>11</v>
      </c>
      <c r="KN28" t="str">
        <f t="shared" si="102"/>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P28" t="b">
        <f>IF($FX$28="",FALSE,SUMPRODUCT((IF('Final Calculation Sheet'!$AD$4:$AD$40&lt;=5,"SETTLED","OUTSTANDING")=$FX$28)*($KO$6:$KO$42=1))&gt;0)</f>
        <v>0</v>
      </c>
      <c r="KQ28">
        <f>$KQ$27+--($KP28)</f>
        <v>1</v>
      </c>
      <c r="KR28" t="str">
        <f t="shared" si="103"/>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T28" t="e">
        <f>IF($FI$28="",FALSE,SUMPRODUCT(('Final Calculation Sheet'!$AF$4:$AF$40=$FI$28)*($KS$6:$KS$42=1))&gt;0)</f>
        <v>#N/A</v>
      </c>
      <c r="KU28" t="e">
        <f>$KU$27+--($KT28)</f>
        <v>#N/A</v>
      </c>
      <c r="KV28" t="e">
        <f t="shared" si="104"/>
        <v>#N/A</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KX28" t="e">
        <f>IF($FN$28="",FALSE,SUMPRODUCT(('Final Calculation Sheet'!$AG$4:$AG$40=$FN$28)*($KW$6:$KW$42=1))&gt;0)</f>
        <v>#N/A</v>
      </c>
      <c r="KY28" t="e">
        <f>$KY$27+--($KX28)</f>
        <v>#N/A</v>
      </c>
      <c r="KZ28" t="e">
        <f t="shared" si="105"/>
        <v>#N/A</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LB28" t="e">
        <f>IF($FS$28="",FALSE,SUMPRODUCT(('Final Calculation Sheet'!$AH$4:$AH$40=$FS$28)*($LA$6:$LA$42=1))&gt;0)</f>
        <v>#N/A</v>
      </c>
      <c r="LC28" t="e">
        <f>$LC$27+--($LB28)</f>
        <v>#N/A</v>
      </c>
      <c r="LD28" t="e">
        <f t="shared" si="106"/>
        <v>#N/A</v>
      </c>
      <c r="LE28">
        <f>IF(COUNTIF('Buyer Groups'!DH28:EN28,0)&gt;0,0,1)</f>
        <v>1</v>
      </c>
      <c r="LF28" t="b">
        <f>IF($O$28="",FALSE,SUMPRODUCT(('Final Calculation Sheet'!$F$4:$F$40=$O$28)*($LE$6:$LE$42=1))&gt;0)</f>
        <v>1</v>
      </c>
      <c r="LG28">
        <f>$LG$27+--($LF28)</f>
        <v>25</v>
      </c>
      <c r="LH28">
        <f t="shared" si="107"/>
        <v>2037</v>
      </c>
      <c r="LI28">
        <f>IF(COUNTIF('Buyer Groups'!DG28:DG28,0)+COUNTIF('Buyer Groups'!DI28:EN28,0)&gt;0,0,1)</f>
        <v>1</v>
      </c>
      <c r="LJ28" t="b">
        <f>IF($T$28="",FALSE,SUMPRODUCT(('Final Calculation Sheet'!$G$4:$G$40=$T$28)*($LI$6:$LI$42=1))&gt;0)</f>
        <v>0</v>
      </c>
      <c r="LK28">
        <f>$LK$27+--($LJ28)</f>
        <v>13</v>
      </c>
      <c r="LL28" t="str">
        <f t="shared" si="108"/>
        <v/>
      </c>
      <c r="LM28">
        <f>IF(COUNTIF('Buyer Groups'!DG28:DH28,0)+COUNTIF('Buyer Groups'!DJ28:EN28,0)&gt;0,0,1)</f>
        <v>1</v>
      </c>
      <c r="LN28" t="b">
        <f>IF($Y$28="",FALSE,SUMPRODUCT(('Final Calculation Sheet'!$B$4:$B$40=$Y$28)*($LM$6:$LM$42=1))&gt;0)</f>
        <v>1</v>
      </c>
      <c r="LO28">
        <f>$LO$27+--($LN28)</f>
        <v>25</v>
      </c>
      <c r="LP28" t="str">
        <f t="shared" si="109"/>
        <v>Scrap Power Transformer</v>
      </c>
      <c r="LQ28">
        <f>IF(COUNTIF('Buyer Groups'!DG28:DI28,0)+COUNTIF('Buyer Groups'!DK28:EN28,0)&gt;0,0,1)</f>
        <v>1</v>
      </c>
      <c r="LR28" t="b">
        <f>IF($AD$28="",FALSE,SUMPRODUCT(('Final Calculation Sheet'!$D$4:$D$40=$AD$28)*($LQ$6:$LQ$42=1))&gt;0)</f>
        <v>0</v>
      </c>
      <c r="LS28">
        <f>$LS$27+--($LR28)</f>
        <v>4</v>
      </c>
      <c r="LT28" t="str">
        <f t="shared" si="110"/>
        <v/>
      </c>
      <c r="LU28">
        <f>IF(COUNTIF('Buyer Groups'!DG28:DJ28,0)+COUNTIF('Buyer Groups'!DL28:EN28,0)&gt;0,0,1)</f>
        <v>1</v>
      </c>
      <c r="LV28" t="b">
        <f>IF($AI$28="",FALSE,SUMPRODUCT(('Final Calculation Sheet'!$A$4:$A$40=$AI$28)*($LU$6:$LU$42=1))&gt;0)</f>
        <v>0</v>
      </c>
      <c r="LW28">
        <f>$LW$27+--($LV28)</f>
        <v>22</v>
      </c>
      <c r="LX28" t="str">
        <f t="shared" si="111"/>
        <v/>
      </c>
      <c r="LY28">
        <f>IF(COUNTIF('Buyer Groups'!DG28:DK28,0)+COUNTIF('Buyer Groups'!DM28:EN28,0)&gt;0,0,1)</f>
        <v>1</v>
      </c>
      <c r="LZ28" t="b">
        <f>IF($AN$28="",FALSE,SUMPRODUCT(('Final Calculation Sheet'!$E$4:$E$40=$AN$28)*($LY$6:$LY$42=1))&gt;0)</f>
        <v>0</v>
      </c>
      <c r="MA28">
        <f>$MA$27+--($LZ28)</f>
        <v>3</v>
      </c>
      <c r="MB28" t="str">
        <f t="shared" si="112"/>
        <v/>
      </c>
      <c r="MC28">
        <f>IF(COUNTIF('Buyer Groups'!DG28:DL28,0)+COUNTIF('Buyer Groups'!DN28:EN28,0)&gt;0,0,1)</f>
        <v>1</v>
      </c>
      <c r="MD28" t="b">
        <f>IF($AS$28="",FALSE,SUMPRODUCT(('Final Calculation Sheet'!$C$4:$C$40=$AS$28)*($MC$6:$MC$42=1))&gt;0)</f>
        <v>1</v>
      </c>
      <c r="ME28">
        <f>$ME$27+--($MD28)</f>
        <v>25</v>
      </c>
      <c r="MF28">
        <f t="shared" si="113"/>
        <v>70001</v>
      </c>
      <c r="MG28">
        <f>IF(COUNTIF('Buyer Groups'!DG28:DM28,0)+COUNTIF('Buyer Groups'!DO28:EN28,0)&gt;0,0,1)</f>
        <v>1</v>
      </c>
      <c r="MH28" t="b">
        <f>IF($AX$28="",FALSE,SUMPRODUCT(('Final Calculation Sheet'!$H$4:$H$40=$AX$28)*($MG$6:$MG$42=1))&gt;0)</f>
        <v>1</v>
      </c>
      <c r="MI28">
        <f>$MI$27+--($MH28)</f>
        <v>25</v>
      </c>
      <c r="MJ28">
        <f t="shared" si="114"/>
        <v>210003</v>
      </c>
      <c r="MK28">
        <f>IF(COUNTIF('Buyer Groups'!DG28:DN28,0)+COUNTIF('Buyer Groups'!DP28:EN28,0)&gt;0,0,1)</f>
        <v>1</v>
      </c>
      <c r="ML28" t="b">
        <f>IF($BC$28="",FALSE,SUMPRODUCT(('Final Calculation Sheet'!$I$4:$I$40=$BC$28)*($MK$6:$MK$42=1))&gt;0)</f>
        <v>1</v>
      </c>
      <c r="MM28">
        <f>$MM$27+--($ML28)</f>
        <v>25</v>
      </c>
      <c r="MN28">
        <f t="shared" si="115"/>
        <v>37801</v>
      </c>
      <c r="MO28">
        <f>IF(COUNTIF('Buyer Groups'!DG28:DO28,0)+COUNTIF('Buyer Groups'!DQ28:EN28,0)&gt;0,0,1)</f>
        <v>1</v>
      </c>
      <c r="MP28" t="b">
        <f>IF($BH$28="",FALSE,SUMPRODUCT(('Final Calculation Sheet'!$J$4:$J$40=$BH$28)*($MO$6:$MO$42=1))&gt;0)</f>
        <v>1</v>
      </c>
      <c r="MQ28">
        <f>$MQ$27+--($MP28)</f>
        <v>25</v>
      </c>
      <c r="MR28">
        <f t="shared" si="116"/>
        <v>247804</v>
      </c>
      <c r="MS28">
        <f>IF(COUNTIF('Buyer Groups'!DG28:DP28,0)+COUNTIF('Buyer Groups'!DR28:EN28,0)&gt;0,0,1)</f>
        <v>1</v>
      </c>
      <c r="MT28" t="b">
        <f>IF($BM$28="",FALSE,SUMPRODUCT(('Final Calculation Sheet'!$K$4:$K$40=$BM$28)*($MS$6:$MS$42=1))&gt;0)</f>
        <v>1</v>
      </c>
      <c r="MU28">
        <f>$MU$27+--($MT28)</f>
        <v>25</v>
      </c>
      <c r="MV28">
        <f t="shared" si="117"/>
        <v>5192</v>
      </c>
      <c r="MW28">
        <f>IF(COUNTIF('Buyer Groups'!DG28:DQ28,0)+COUNTIF('Buyer Groups'!DS28:EN28,0)&gt;0,0,1)</f>
        <v>1</v>
      </c>
      <c r="MX28" t="b">
        <f>IF($BR$28="",FALSE,SUMPRODUCT(('Final Calculation Sheet'!$L$4:$L$40=$BR$28)*($MW$6:$MW$42=1))&gt;0)</f>
        <v>1</v>
      </c>
      <c r="MY28">
        <f>$MY$27+--($MX28)</f>
        <v>25</v>
      </c>
      <c r="MZ28">
        <f t="shared" si="118"/>
        <v>210.00300000000001</v>
      </c>
      <c r="NA28">
        <f>IF(COUNTIF('Buyer Groups'!DG28:DR28,0)+COUNTIF('Buyer Groups'!DT28:EN28,0)&gt;0,0,1)</f>
        <v>1</v>
      </c>
      <c r="NB28" t="b">
        <f>IF($BW$28="",FALSE,SUMPRODUCT(('Final Calculation Sheet'!$M$4:$M$40=$BW$28)*($NA$6:$NA$42=1))&gt;0)</f>
        <v>1</v>
      </c>
      <c r="NC28">
        <f>$NC$27+--($NB28)</f>
        <v>25</v>
      </c>
      <c r="ND28">
        <f t="shared" si="119"/>
        <v>5575.5796499999997</v>
      </c>
      <c r="NE28">
        <f>IF(COUNTIF('Buyer Groups'!DG28:DS28,0)+COUNTIF('Buyer Groups'!DU28:EN28,0)&gt;0,0,1)</f>
        <v>1</v>
      </c>
      <c r="NF28" t="b">
        <f>IF($CB$28="",FALSE,SUMPRODUCT(('Final Calculation Sheet'!$N$4:$N$40=$CB$28)*($NE$6:$NE$42=1))&gt;0)</f>
        <v>1</v>
      </c>
      <c r="NG28">
        <f>$NG$27+--($NF28)</f>
        <v>25</v>
      </c>
      <c r="NH28">
        <f t="shared" si="120"/>
        <v>94.501350000000002</v>
      </c>
      <c r="NI28">
        <f>IF(COUNTIF('Buyer Groups'!DG28:DT28,0)+COUNTIF('Buyer Groups'!DV28:EN28,0)&gt;0,0,1)</f>
        <v>1</v>
      </c>
      <c r="NJ28" t="b">
        <f>IF($CG$28="",FALSE,SUMPRODUCT(('Final Calculation Sheet'!$O$4:$O$40=$CG$28)*($NI$6:$NI$42=1))&gt;0)</f>
        <v>1</v>
      </c>
      <c r="NK28">
        <f>$NK$27+--($NJ28)</f>
        <v>25</v>
      </c>
      <c r="NL28">
        <f t="shared" si="121"/>
        <v>5481.0782999999992</v>
      </c>
      <c r="NM28">
        <f>IF(COUNTIF('Buyer Groups'!DG28:DU28,0)+COUNTIF('Buyer Groups'!DW28:EN28,0)&gt;0,0,1)</f>
        <v>1</v>
      </c>
      <c r="NN28" t="b">
        <f>IF($CL$28="",FALSE,SUMPRODUCT(('Final Calculation Sheet'!$P$4:$P$40=$CL$28)*($NM$6:$NM$42=1))&gt;0)</f>
        <v>1</v>
      </c>
      <c r="NO28">
        <f>$NO$27+--($NN28)</f>
        <v>25</v>
      </c>
      <c r="NP28">
        <f t="shared" si="122"/>
        <v>5962</v>
      </c>
      <c r="NQ28">
        <f>IF(COUNTIF('Buyer Groups'!DG28:DV28,0)+COUNTIF('Buyer Groups'!DX28:EN28,0)&gt;0,0,1)</f>
        <v>1</v>
      </c>
      <c r="NR28" t="b">
        <f>IF($CQ$28="",FALSE,SUMPRODUCT(('Final Calculation Sheet'!$Q$4:$Q$40=$CQ$28)*($NQ$6:$NQ$42=1))&gt;0)</f>
        <v>0</v>
      </c>
      <c r="NS28">
        <f>$NS$27+--($NR28)</f>
        <v>2</v>
      </c>
      <c r="NT28" t="str">
        <f t="shared" si="123"/>
        <v/>
      </c>
      <c r="NU28">
        <f>IF(COUNTIF('Buyer Groups'!DG28:DW28,0)+COUNTIF('Buyer Groups'!DY28:EN28,0)&gt;0,0,1)</f>
        <v>1</v>
      </c>
      <c r="NV28" t="b">
        <f>IF($CV$28="",FALSE,SUMPRODUCT(('Final Calculation Sheet'!$R$4:$R$40=$CV$28)*($NU$6:$NU$42=1))&gt;0)</f>
        <v>0</v>
      </c>
      <c r="NW28">
        <f>$NW$27+--($NV28)</f>
        <v>5</v>
      </c>
      <c r="NX28" t="str">
        <f t="shared" si="124"/>
        <v/>
      </c>
      <c r="NY28">
        <f>IF(COUNTIF('Buyer Groups'!DG28:DX28,0)+COUNTIF('Buyer Groups'!DZ28:EN28,0)&gt;0,0,1)</f>
        <v>1</v>
      </c>
      <c r="NZ28" t="b">
        <f>IF($DA$28="",FALSE,SUMPRODUCT(('Final Calculation Sheet'!$S$4:$S$40=$DA$28)*($NY$6:$NY$42=1))&gt;0)</f>
        <v>1</v>
      </c>
      <c r="OA28">
        <f>$OA$27+--($NZ28)</f>
        <v>25</v>
      </c>
      <c r="OB28">
        <f t="shared" si="125"/>
        <v>247069</v>
      </c>
      <c r="OC28">
        <f>IF(COUNTIF('Buyer Groups'!DG28:DY28,0)+COUNTIF('Buyer Groups'!EA28:EN28,0)&gt;0,0,1)</f>
        <v>1</v>
      </c>
      <c r="OD28" t="b">
        <f>IF($DF$28="",FALSE,SUMPRODUCT(('Final Calculation Sheet'!$T$4:$T$40=$DF$28)*($OC$6:$OC$42=1))&gt;0)</f>
        <v>1</v>
      </c>
      <c r="OE28">
        <f>$OE$27+--($OD28)</f>
        <v>25</v>
      </c>
      <c r="OF28">
        <f t="shared" si="126"/>
        <v>52501</v>
      </c>
      <c r="OG28">
        <f>IF(COUNTIF('Buyer Groups'!DG28:DZ28,0)+COUNTIF('Buyer Groups'!EB28:EN28,0)&gt;0,0,1)</f>
        <v>1</v>
      </c>
      <c r="OH28" t="b">
        <f>IF($DK$28="",FALSE,SUMPRODUCT(('Final Calculation Sheet'!$U$4:$U$40=$DK$28)*($OG$6:$OG$42=1))&gt;0)</f>
        <v>1</v>
      </c>
      <c r="OI28">
        <f>$OI$27+--($OH28)</f>
        <v>25</v>
      </c>
      <c r="OJ28">
        <f t="shared" si="127"/>
        <v>52501</v>
      </c>
      <c r="OK28">
        <f>IF(COUNTIF('Buyer Groups'!DG28:EA28,0)+COUNTIF('Buyer Groups'!EC28:EN28,0)&gt;0,0,1)</f>
        <v>1</v>
      </c>
      <c r="OL28" t="b">
        <f>IF($DP$28="",FALSE,SUMPRODUCT(('Final Calculation Sheet'!$V$4:$V$40=$DP$28)*($OK$6:$OK$42=1))&gt;0)</f>
        <v>0</v>
      </c>
      <c r="OM28">
        <f>$OM$27+--($OL28)</f>
        <v>6</v>
      </c>
      <c r="ON28" t="str">
        <f t="shared" si="128"/>
        <v/>
      </c>
      <c r="OO28">
        <f>IF(COUNTIF('Buyer Groups'!DG28:EB28,0)+COUNTIF('Buyer Groups'!ED28:EN28,0)&gt;0,0,1)</f>
        <v>1</v>
      </c>
      <c r="OP28" t="b">
        <f>IF($DU$28="",FALSE,SUMPRODUCT(('Final Calculation Sheet'!$W$4:$W$40=$DU$28)*($OO$6:$OO$42=1))&gt;0)</f>
        <v>1</v>
      </c>
      <c r="OQ28">
        <f>$OQ$27+--($OP28)</f>
        <v>25</v>
      </c>
      <c r="OR28">
        <f t="shared" si="129"/>
        <v>194568</v>
      </c>
      <c r="OS28">
        <f>IF(COUNTIF('Buyer Groups'!DG28:EC28,0)+COUNTIF('Buyer Groups'!EE28:EN28,0)&gt;0,0,1)</f>
        <v>1</v>
      </c>
      <c r="OT28" t="e">
        <f>IF($DZ$28="",FALSE,SUMPRODUCT(('Final Calculation Sheet'!$X$4:$X$40=$DZ$28)*($OS$6:$OS$42=1))&gt;0)</f>
        <v>#N/A</v>
      </c>
      <c r="OU28" t="e">
        <f>$OU$27+--($OT28)</f>
        <v>#N/A</v>
      </c>
      <c r="OV28" t="e">
        <f t="shared" si="130"/>
        <v>#N/A</v>
      </c>
      <c r="OW28">
        <f>IF(COUNTIF('Buyer Groups'!DG28:ED28,0)+COUNTIF('Buyer Groups'!EF28:EN28,0)&gt;0,0,1)</f>
        <v>1</v>
      </c>
      <c r="OX28" t="e">
        <f>IF($EE$28="",FALSE,SUMPRODUCT(('Final Calculation Sheet'!$Y$4:$Y$40=$EE$28)*($OW$6:$OW$42=1))&gt;0)</f>
        <v>#N/A</v>
      </c>
      <c r="OY28" t="e">
        <f>$OY$27+--($OX28)</f>
        <v>#N/A</v>
      </c>
      <c r="OZ28" t="e">
        <f t="shared" si="131"/>
        <v>#N/A</v>
      </c>
      <c r="PA28">
        <f>IF(COUNTIF('Buyer Groups'!DG28:EE28,0)+COUNTIF('Buyer Groups'!EG28:EN28,0)&gt;0,0,1)</f>
        <v>1</v>
      </c>
      <c r="PB28" t="b">
        <f ca="1">IF($EJ$28="",FALSE,SUMPRODUCT(('Final Calculation Sheet'!$Z$4:$Z$40=$EJ$28)*($PA$6:$PA$42=1))&gt;0)</f>
        <v>1</v>
      </c>
      <c r="PC28">
        <f ca="1">$PC$27+--($PB28)</f>
        <v>25</v>
      </c>
      <c r="PD28">
        <f t="shared" ca="1" si="132"/>
        <v>7434.1061999999993</v>
      </c>
      <c r="PE28">
        <f>IF(COUNTIF('Buyer Groups'!DG28:EF28,0)+COUNTIF('Buyer Groups'!EH28:EN28,0)&gt;0,0,1)</f>
        <v>1</v>
      </c>
      <c r="PF28" t="e">
        <f>IF($EO$28="",FALSE,SUMPRODUCT(('Final Calculation Sheet'!$AA$4:$AA$40=$EO$28)*($PE$6:$PE$42=1))&gt;0)</f>
        <v>#N/A</v>
      </c>
      <c r="PG28" t="e">
        <f>$PG$27+--($PF28)</f>
        <v>#N/A</v>
      </c>
      <c r="PH28" t="e">
        <f t="shared" si="133"/>
        <v>#N/A</v>
      </c>
      <c r="PI28">
        <f>IF(COUNTIF('Buyer Groups'!DG28:EG28,0)+COUNTIF('Buyer Groups'!EI28:EN28,0)&gt;0,0,1)</f>
        <v>1</v>
      </c>
      <c r="PJ28" t="e">
        <f>IF($ET$28="",FALSE,SUMPRODUCT(('Final Calculation Sheet'!$AB$4:$AB$40=$ET$28)*($PI$6:$PI$42=1))&gt;0)</f>
        <v>#N/A</v>
      </c>
      <c r="PK28" t="e">
        <f>$PK$27+--($PJ28)</f>
        <v>#N/A</v>
      </c>
      <c r="PL28" t="e">
        <f t="shared" si="134"/>
        <v>#N/A</v>
      </c>
      <c r="PM28">
        <f>IF(COUNTIF('Buyer Groups'!DG28:EH28,0)+COUNTIF('Buyer Groups'!EJ28:EN28,0)&gt;0,0,1)</f>
        <v>1</v>
      </c>
      <c r="PN28" t="b">
        <f>IF($EY$28="",FALSE,SUMPRODUCT(('Final Calculation Sheet'!$AC$4:$AC$40=$EY$28)*($PM$6:$PM$42=1))&gt;0)</f>
        <v>1</v>
      </c>
      <c r="PO28">
        <f>$PO$27+--($PN28)</f>
        <v>25</v>
      </c>
      <c r="PP28">
        <f t="shared" si="135"/>
        <v>243570</v>
      </c>
      <c r="PQ28">
        <f>IF(COUNTIF('Buyer Groups'!DG28:EI28,0)+COUNTIF('Buyer Groups'!EK28:EN28,0)&gt;0,0,1)</f>
        <v>1</v>
      </c>
      <c r="PR28" t="b">
        <f>IF($FD$28="",FALSE,SUMPRODUCT(('Final Calculation Sheet'!$AD$4:$AD$40=$FD$28)*($PQ$6:$PQ$42=1))&gt;0)</f>
        <v>0</v>
      </c>
      <c r="PS28">
        <f>$PS$27+--($PR28)</f>
        <v>11</v>
      </c>
      <c r="PT28" t="str">
        <f t="shared" si="136"/>
        <v/>
      </c>
      <c r="PU28">
        <f>IF(COUNTIF('Buyer Groups'!DG28:EJ28,0)+COUNTIF('Buyer Groups'!EL28:EN28,0)&gt;0,0,1)</f>
        <v>1</v>
      </c>
      <c r="PV28" t="b">
        <f>IF($FX$28="",FALSE,SUMPRODUCT((IF('Final Calculation Sheet'!$AD$4:$AD$40&lt;=5,"SETTLED","OUTSTANDING")=$FX$28)*($PU$6:$PU$42=1))&gt;0)</f>
        <v>0</v>
      </c>
      <c r="PW28">
        <f>$PW$27+--($PV28)</f>
        <v>1</v>
      </c>
      <c r="PX28" t="str">
        <f t="shared" si="137"/>
        <v/>
      </c>
      <c r="PY28">
        <f>IF(COUNTIF('Buyer Groups'!DG28:EK28,0)+COUNTIF('Buyer Groups'!EM28:EN28,0)&gt;0,0,1)</f>
        <v>1</v>
      </c>
      <c r="PZ28" t="e">
        <f>IF($FI$28="",FALSE,SUMPRODUCT(('Final Calculation Sheet'!$AF$4:$AF$40=$FI$28)*($PY$6:$PY$42=1))&gt;0)</f>
        <v>#N/A</v>
      </c>
      <c r="QA28" t="e">
        <f>$QA$27+--($PZ28)</f>
        <v>#N/A</v>
      </c>
      <c r="QB28" t="e">
        <f t="shared" si="138"/>
        <v>#N/A</v>
      </c>
      <c r="QC28">
        <f>IF(COUNTIF('Buyer Groups'!DG28:EL28,0)+COUNTIF('Buyer Groups'!EN28:EN28,0)&gt;0,0,1)</f>
        <v>1</v>
      </c>
      <c r="QD28" t="e">
        <f>IF($FN$28="",FALSE,SUMPRODUCT(('Final Calculation Sheet'!$AG$4:$AG$40=$FN$28)*($QC$6:$QC$42=1))&gt;0)</f>
        <v>#N/A</v>
      </c>
      <c r="QE28" t="e">
        <f>$QE$27+--($QD28)</f>
        <v>#N/A</v>
      </c>
      <c r="QF28" t="e">
        <f t="shared" si="139"/>
        <v>#N/A</v>
      </c>
      <c r="QG28">
        <f>IF(COUNTIF('Buyer Groups'!DG28:EM28,0)&gt;0,0,1)</f>
        <v>1</v>
      </c>
      <c r="QH28" t="e">
        <f>IF($FS$28="",FALSE,SUMPRODUCT(('Final Calculation Sheet'!$AH$4:$AH$40=$FS$28)*($QG$6:$QG$42=1))&gt;0)</f>
        <v>#N/A</v>
      </c>
      <c r="QI28" t="e">
        <f>$QI$27+--($QH28)</f>
        <v>#N/A</v>
      </c>
      <c r="QJ28" t="e">
        <f t="shared" si="140"/>
        <v>#N/A</v>
      </c>
      <c r="QK28" t="str">
        <f>IF('Final Calculation Sheet'!$AH$28="","",'Final Calculation Sheet'!$AH$28)</f>
        <v>27.08.2026</v>
      </c>
      <c r="QL28">
        <f>IF(QK28="","",COUNTIFS(QK$4:QK$40,"&lt;"&amp;QK28,QK$4:QK$40,"&lt;&gt;"&amp;"")+COUNTIF(QK$4:QK28,QK28))</f>
        <v>32</v>
      </c>
      <c r="QM28" t="str">
        <f t="shared" si="141"/>
        <v>27.08.2026</v>
      </c>
      <c r="QN28" t="e">
        <f ca="1">QN27+F(AND(QM28&lt;&gt;"",COUNTIF(QM$4:QM28,QM28)=1),1,0)</f>
        <v>#N/A</v>
      </c>
      <c r="QO28" t="e">
        <f t="shared" si="142"/>
        <v>#N/A</v>
      </c>
      <c r="QP28">
        <f>IF(COUNTIF('Final Calculation Sheet'!$AM28:$BS28,0)&gt;0,0,1)</f>
        <v>1</v>
      </c>
      <c r="QQ28" t="b">
        <f>IF($AI$28="",FALSE,SUMPRODUCT(('Final Calculation Sheet'!$A$4:$A$40=$AI$28)*($QP$4:$QP$40=1))&gt;0)</f>
        <v>0</v>
      </c>
      <c r="QR28">
        <f t="shared" si="177"/>
        <v>22</v>
      </c>
      <c r="QS28" t="str">
        <f t="shared" si="143"/>
        <v/>
      </c>
      <c r="QT28">
        <f>IF(COUNTIF('Final Calculation Sheet'!$AL28:$AL28,0)+COUNTIF('Final Calculation Sheet'!$AN28:$BS28,0)&gt;0,0,1)</f>
        <v>1</v>
      </c>
      <c r="QU28" t="b">
        <f>IF($Y$28="",FALSE,SUMPRODUCT(('Final Calculation Sheet'!$B$4:$B$40=$Y$28)*($QT$4:$QT$40=1))&gt;0)</f>
        <v>1</v>
      </c>
      <c r="QV28">
        <f t="shared" si="178"/>
        <v>25</v>
      </c>
      <c r="QW28" t="str">
        <f t="shared" si="144"/>
        <v>Scrap Power Transformer</v>
      </c>
      <c r="QX28">
        <f>IF(COUNTIF('Final Calculation Sheet'!$AL28:$AM28,0)+COUNTIF('Final Calculation Sheet'!$AO28:$BS28,0)&gt;0,0,1)</f>
        <v>1</v>
      </c>
      <c r="QY28" t="b">
        <f>IF($AS$28="",FALSE,SUMPRODUCT(('Final Calculation Sheet'!$C$4:$C$40=$AS$28)*($QX$4:$QX$40=1))&gt;0)</f>
        <v>1</v>
      </c>
      <c r="QZ28">
        <f t="shared" si="179"/>
        <v>25</v>
      </c>
      <c r="RA28">
        <f t="shared" si="145"/>
        <v>70001</v>
      </c>
      <c r="RB28">
        <f>IF(COUNTIF('Final Calculation Sheet'!$AL28:$AN28,0)+COUNTIF('Final Calculation Sheet'!$AP28:$BS28,0)&gt;0,0,1)</f>
        <v>1</v>
      </c>
      <c r="RC28" t="b">
        <f>IF($AD$28="",FALSE,SUMPRODUCT(('Final Calculation Sheet'!$D$4:$D$40=$AD$28)*($RB$4:$RB$40=1))&gt;0)</f>
        <v>0</v>
      </c>
      <c r="RD28">
        <f t="shared" si="180"/>
        <v>4</v>
      </c>
      <c r="RE28" t="str">
        <f t="shared" si="146"/>
        <v/>
      </c>
      <c r="RF28">
        <f>IF(COUNTIF('Final Calculation Sheet'!$AL28:$AO28,0)+COUNTIF('Final Calculation Sheet'!$AQ28:$BS28,0)&gt;0,0,1)</f>
        <v>1</v>
      </c>
      <c r="RG28" t="b">
        <f>IF($AN$28="",FALSE,SUMPRODUCT(('Final Calculation Sheet'!$E$4:$E$40=$AN$28)*($RF$4:$RF$40=1))&gt;0)</f>
        <v>0</v>
      </c>
      <c r="RH28">
        <f t="shared" si="181"/>
        <v>3</v>
      </c>
      <c r="RI28" t="str">
        <f t="shared" si="147"/>
        <v/>
      </c>
      <c r="RJ28">
        <f>IF(COUNTIF('Final Calculation Sheet'!$AL28:$AP28,0)+COUNTIF('Final Calculation Sheet'!$AR28:$BS28,0)&gt;0,0,1)</f>
        <v>1</v>
      </c>
      <c r="RK28" t="b">
        <f>IF($O$28="",FALSE,SUMPRODUCT(('Final Calculation Sheet'!$F$4:$F$40=$O$28)*($RJ$4:$RJ$40=1))&gt;0)</f>
        <v>1</v>
      </c>
      <c r="RL28">
        <f t="shared" si="182"/>
        <v>25</v>
      </c>
      <c r="RM28">
        <f t="shared" si="148"/>
        <v>2037</v>
      </c>
      <c r="RN28">
        <f>IF(COUNTIF('Final Calculation Sheet'!$AL28:$AQ28,0)+COUNTIF('Final Calculation Sheet'!$AS28:$BS28,0)&gt;0,0,1)</f>
        <v>1</v>
      </c>
      <c r="RO28" t="b">
        <f>IF($T$28="",FALSE,SUMPRODUCT(('Final Calculation Sheet'!$G$4:$G$40=$T$28)*($RN$4:$RN$40=1))&gt;0)</f>
        <v>0</v>
      </c>
      <c r="RP28">
        <f t="shared" si="183"/>
        <v>13</v>
      </c>
      <c r="RQ28" t="str">
        <f t="shared" si="149"/>
        <v/>
      </c>
      <c r="RR28">
        <f>IF(COUNTIF('Final Calculation Sheet'!$AL28:$AR28,0)+COUNTIF('Final Calculation Sheet'!$AT28:$BS28,0)&gt;0,0,1)</f>
        <v>1</v>
      </c>
      <c r="RS28" t="b">
        <f>IF($AX$28="",FALSE,SUMPRODUCT(('Final Calculation Sheet'!$H$4:$H$40=$AX$28)*($RR$4:$RR$40=1))&gt;0)</f>
        <v>1</v>
      </c>
      <c r="RT28">
        <f t="shared" si="184"/>
        <v>25</v>
      </c>
      <c r="RU28">
        <f t="shared" si="150"/>
        <v>210003</v>
      </c>
      <c r="RV28">
        <f>IF(COUNTIF('Final Calculation Sheet'!$AL28:$AS28,0)+COUNTIF('Final Calculation Sheet'!$AU28:$BS28,0)&gt;0,0,1)</f>
        <v>1</v>
      </c>
      <c r="RW28" t="b">
        <f>IF($BC$28="",FALSE,SUMPRODUCT(('Final Calculation Sheet'!$I$4:$I$40=$BC$28)*($RV$4:$RV$40=1))&gt;0)</f>
        <v>1</v>
      </c>
      <c r="RX28">
        <f t="shared" si="185"/>
        <v>25</v>
      </c>
      <c r="RY28">
        <f t="shared" si="151"/>
        <v>37801</v>
      </c>
      <c r="RZ28">
        <f>IF(COUNTIF('Final Calculation Sheet'!$AL28:$AT28,0)+COUNTIF('Final Calculation Sheet'!$AV28:$BS28,0)&gt;0,0,1)</f>
        <v>1</v>
      </c>
      <c r="SA28" t="b">
        <f>IF($BH$28="",FALSE,SUMPRODUCT(('Final Calculation Sheet'!$J$4:$J$40=$BH$28)*($RZ$4:$RZ$40=1))&gt;0)</f>
        <v>1</v>
      </c>
      <c r="SB28">
        <f t="shared" si="186"/>
        <v>25</v>
      </c>
      <c r="SC28">
        <f t="shared" si="152"/>
        <v>247804</v>
      </c>
      <c r="SD28">
        <f>IF(COUNTIF('Final Calculation Sheet'!$AL28:$AU28,0)+COUNTIF('Final Calculation Sheet'!$AW28:$BS28,0)&gt;0,0,1)</f>
        <v>1</v>
      </c>
      <c r="SE28" t="b">
        <f>IF($BM$28="",FALSE,SUMPRODUCT(('Final Calculation Sheet'!$K$4:$K$40=$BM$28)*($SD$4:$SD$40=1))&gt;0)</f>
        <v>1</v>
      </c>
      <c r="SF28">
        <f t="shared" si="187"/>
        <v>25</v>
      </c>
      <c r="SG28">
        <f t="shared" si="153"/>
        <v>5192</v>
      </c>
      <c r="SH28">
        <f>IF(COUNTIF('Final Calculation Sheet'!$AL28:$AV28,0)+COUNTIF('Final Calculation Sheet'!$AX28:$BS28,0)&gt;0,0,1)</f>
        <v>1</v>
      </c>
      <c r="SI28" t="b">
        <f>IF($BR$28="",FALSE,SUMPRODUCT(('Final Calculation Sheet'!$L$4:$L$40=$BR$28)*($SH$4:$SH$40=1))&gt;0)</f>
        <v>1</v>
      </c>
      <c r="SJ28">
        <f t="shared" si="188"/>
        <v>25</v>
      </c>
      <c r="SK28">
        <f t="shared" si="154"/>
        <v>210.00300000000001</v>
      </c>
      <c r="SL28">
        <f>IF(COUNTIF('Final Calculation Sheet'!$AL28:$AW28,0)+COUNTIF('Final Calculation Sheet'!$AY28:$BS28,0)&gt;0,0,1)</f>
        <v>1</v>
      </c>
      <c r="SM28" t="b">
        <f>IF($BW$28="",FALSE,SUMPRODUCT(('Final Calculation Sheet'!$M$4:$M$40=$BW$28)*($SL$4:$SL$40=1))&gt;0)</f>
        <v>1</v>
      </c>
      <c r="SN28">
        <f t="shared" si="189"/>
        <v>25</v>
      </c>
      <c r="SO28">
        <f t="shared" si="155"/>
        <v>5575.5796499999997</v>
      </c>
      <c r="SP28">
        <f>IF(COUNTIF('Final Calculation Sheet'!$AL28:$AX28,0)+COUNTIF('Final Calculation Sheet'!$AZ28:$BS28,0)&gt;0,0,1)</f>
        <v>1</v>
      </c>
      <c r="SQ28" t="b">
        <f>IF($CB$28="",FALSE,SUMPRODUCT(('Final Calculation Sheet'!$N$4:$N$40=$CB$28)*($SP$4:$SP$40=1))&gt;0)</f>
        <v>1</v>
      </c>
      <c r="SR28">
        <f t="shared" si="190"/>
        <v>25</v>
      </c>
      <c r="SS28">
        <f t="shared" si="156"/>
        <v>94.501350000000002</v>
      </c>
      <c r="ST28">
        <f>IF(COUNTIF('Final Calculation Sheet'!$AL28:$AY28,0)+COUNTIF('Final Calculation Sheet'!$BA28:$BS28,0)&gt;0,0,1)</f>
        <v>1</v>
      </c>
      <c r="SU28" t="b">
        <f>IF($CG$28="",FALSE,SUMPRODUCT(('Final Calculation Sheet'!$O$4:$O$40=$CG$28)*($ST$4:$ST$40=1))&gt;0)</f>
        <v>1</v>
      </c>
      <c r="SV28">
        <f t="shared" si="191"/>
        <v>25</v>
      </c>
      <c r="SW28">
        <f t="shared" si="157"/>
        <v>5481.0782999999992</v>
      </c>
      <c r="SX28">
        <f>IF(COUNTIF('Final Calculation Sheet'!$AL28:$AZ28,0)+COUNTIF('Final Calculation Sheet'!$BB28:$BS28,0)&gt;0,0,1)</f>
        <v>1</v>
      </c>
      <c r="SY28" t="b">
        <f>IF($CL$28="",FALSE,SUMPRODUCT(('Final Calculation Sheet'!$P$4:$P$40=$CL$28)*($SX$4:$SX$40=1))&gt;0)</f>
        <v>1</v>
      </c>
      <c r="SZ28">
        <f t="shared" si="192"/>
        <v>25</v>
      </c>
      <c r="TA28">
        <f t="shared" si="158"/>
        <v>5962</v>
      </c>
      <c r="TB28">
        <f>IF(COUNTIF('Final Calculation Sheet'!$AL28:$BA28,0)+COUNTIF('Final Calculation Sheet'!$BC28:$BS28,0)&gt;0,0,1)</f>
        <v>1</v>
      </c>
      <c r="TC28" t="b">
        <f>IF($CQ$28="",FALSE,SUMPRODUCT(('Final Calculation Sheet'!$Q$4:$Q$40=$CQ$28)*($TB$4:$TB$40=1))&gt;0)</f>
        <v>0</v>
      </c>
      <c r="TD28">
        <f t="shared" si="193"/>
        <v>2</v>
      </c>
      <c r="TE28" t="str">
        <f t="shared" si="159"/>
        <v/>
      </c>
      <c r="TF28">
        <f>IF(COUNTIF('Final Calculation Sheet'!$AL28:$BB28,0)+COUNTIF('Final Calculation Sheet'!$BD28:$BS28,0)&gt;0,0,1)</f>
        <v>1</v>
      </c>
      <c r="TG28" t="b">
        <f>IF($CV$28="",FALSE,SUMPRODUCT(('Final Calculation Sheet'!$R$4:$R$40=$CV$28)*($TF$4:$TF$40=1))&gt;0)</f>
        <v>0</v>
      </c>
      <c r="TH28">
        <f t="shared" si="194"/>
        <v>5</v>
      </c>
      <c r="TI28" t="str">
        <f t="shared" si="160"/>
        <v/>
      </c>
      <c r="TJ28">
        <f>IF(COUNTIF('Final Calculation Sheet'!$AL28:$BC28,0)+COUNTIF('Final Calculation Sheet'!$BE28:$BS28,0)&gt;0,0,1)</f>
        <v>1</v>
      </c>
      <c r="TK28" t="b">
        <f>IF($DA$28="",FALSE,SUMPRODUCT(('Final Calculation Sheet'!$S$4:$S$40=$DA$28)*($TJ$4:$TJ$40=1))&gt;0)</f>
        <v>1</v>
      </c>
      <c r="TL28">
        <f t="shared" si="195"/>
        <v>25</v>
      </c>
      <c r="TM28">
        <f t="shared" si="161"/>
        <v>247069</v>
      </c>
      <c r="TN28">
        <f>IF(COUNTIF('Final Calculation Sheet'!$AL28:$BD28,0)+COUNTIF('Final Calculation Sheet'!$BF28:$BS28,0)&gt;0,0,1)</f>
        <v>1</v>
      </c>
      <c r="TO28" t="b">
        <f>IF($DF$28="",FALSE,SUMPRODUCT(('Final Calculation Sheet'!$T$4:$T$40=$DF$28)*($TN$4:$TN$40=1))&gt;0)</f>
        <v>1</v>
      </c>
      <c r="TP28">
        <f t="shared" si="196"/>
        <v>25</v>
      </c>
      <c r="TQ28">
        <f t="shared" si="162"/>
        <v>52501</v>
      </c>
      <c r="TR28">
        <f>IF(COUNTIF('Final Calculation Sheet'!$AL28:$BE28,0)+COUNTIF('Final Calculation Sheet'!$BG28:$BS28,0)&gt;0,0,1)</f>
        <v>1</v>
      </c>
      <c r="TS28" t="b">
        <f>IF($DK$28="",FALSE,SUMPRODUCT(('Final Calculation Sheet'!$U$4:$U$40=$DK$28)*($TR$4:$TR$40=1))&gt;0)</f>
        <v>1</v>
      </c>
      <c r="TT28">
        <f t="shared" si="197"/>
        <v>25</v>
      </c>
      <c r="TU28">
        <f t="shared" si="163"/>
        <v>52501</v>
      </c>
      <c r="TV28">
        <f>IF(COUNTIF('Final Calculation Sheet'!$AL28:$BF28,0)+COUNTIF('Final Calculation Sheet'!$BH28:$BS28,0)&gt;0,0,1)</f>
        <v>1</v>
      </c>
      <c r="TW28" t="b">
        <f>IF($DP$28="",FALSE,SUMPRODUCT(('Final Calculation Sheet'!$V$4:$V$40=$DP$28)*($TV$4:$TV$40=1))&gt;0)</f>
        <v>0</v>
      </c>
      <c r="TX28">
        <f t="shared" si="198"/>
        <v>6</v>
      </c>
      <c r="TY28" t="str">
        <f t="shared" si="164"/>
        <v/>
      </c>
      <c r="TZ28">
        <f>IF(COUNTIF('Final Calculation Sheet'!$AL28:$BG28,0)+COUNTIF('Final Calculation Sheet'!$BI28:$BS28,0)&gt;0,0,1)</f>
        <v>1</v>
      </c>
      <c r="UA28" t="b">
        <f>IF($DU$28="",FALSE,SUMPRODUCT(('Final Calculation Sheet'!$W$4:$W$40=$DU$28)*($TZ$4:$TZ$40=1))&gt;0)</f>
        <v>1</v>
      </c>
      <c r="UB28">
        <f t="shared" si="199"/>
        <v>25</v>
      </c>
      <c r="UC28">
        <f t="shared" si="165"/>
        <v>194568</v>
      </c>
      <c r="UD28">
        <f>IF(COUNTIF('Final Calculation Sheet'!$AL28:$BH28,0)+COUNTIF('Final Calculation Sheet'!$BJ28:$BS28,0)&gt;0,0,1)</f>
        <v>1</v>
      </c>
      <c r="UE28" t="e">
        <f>IF($DZ$28="",FALSE,SUMPRODUCT(('Final Calculation Sheet'!$X$4:$X$40=$DZ$28)*($UD$4:$UD$40=1))&gt;0)</f>
        <v>#N/A</v>
      </c>
      <c r="UF28" t="e">
        <f t="shared" si="200"/>
        <v>#N/A</v>
      </c>
      <c r="UG28" t="e">
        <f t="shared" si="166"/>
        <v>#N/A</v>
      </c>
      <c r="UH28">
        <f>IF(COUNTIF('Final Calculation Sheet'!$AL28:$BI28,0)+COUNTIF('Final Calculation Sheet'!$BK28:$BS28,0)&gt;0,0,1)</f>
        <v>1</v>
      </c>
      <c r="UI28" t="e">
        <f>IF($EE$28="",FALSE,SUMPRODUCT(('Final Calculation Sheet'!$Y$4:$Y$40=$EE$28)*($UH$4:$UH$40=1))&gt;0)</f>
        <v>#N/A</v>
      </c>
      <c r="UJ28" t="e">
        <f t="shared" si="201"/>
        <v>#N/A</v>
      </c>
      <c r="UK28" t="e">
        <f t="shared" si="167"/>
        <v>#N/A</v>
      </c>
      <c r="UL28">
        <f>IF(COUNTIF('Final Calculation Sheet'!$AL28:$BJ28,0)+COUNTIF('Final Calculation Sheet'!$BL28:$BS28,0)&gt;0,0,1)</f>
        <v>1</v>
      </c>
      <c r="UM28" t="b">
        <f ca="1">IF($EJ$28="",FALSE,SUMPRODUCT(('Final Calculation Sheet'!$Z$4:$Z$40=$EJ$28)*($UL$4:$UL$40=1))&gt;0)</f>
        <v>1</v>
      </c>
      <c r="UN28">
        <f t="shared" ca="1" si="202"/>
        <v>25</v>
      </c>
      <c r="UO28">
        <f t="shared" ca="1" si="168"/>
        <v>7434.1061999999993</v>
      </c>
      <c r="UP28">
        <f>IF(COUNTIF('Final Calculation Sheet'!$AL28:$BK28,0)+COUNTIF('Final Calculation Sheet'!$BM28:$BS28,0)&gt;0,0,1)</f>
        <v>1</v>
      </c>
      <c r="UQ28" t="e">
        <f>IF($EO$28="",FALSE,SUMPRODUCT(('Final Calculation Sheet'!$AA$4:$AA$40=$EO$28)*($UP$4:$UP$40=1))&gt;0)</f>
        <v>#N/A</v>
      </c>
      <c r="UR28" t="e">
        <f t="shared" si="203"/>
        <v>#N/A</v>
      </c>
      <c r="US28" t="e">
        <f t="shared" si="169"/>
        <v>#N/A</v>
      </c>
      <c r="UT28">
        <f>IF(COUNTIF('Final Calculation Sheet'!$AL28:$BL28,0)+COUNTIF('Final Calculation Sheet'!$BN28:$BS28,0)&gt;0,0,1)</f>
        <v>1</v>
      </c>
      <c r="UU28" t="e">
        <f>IF($ET$28="",FALSE,SUMPRODUCT(('Final Calculation Sheet'!$AB$4:$AB$40=$ET$28)*($UT$4:$UT$40=1))&gt;0)</f>
        <v>#N/A</v>
      </c>
      <c r="UV28" t="e">
        <f t="shared" si="204"/>
        <v>#N/A</v>
      </c>
      <c r="UW28" t="e">
        <f t="shared" si="170"/>
        <v>#N/A</v>
      </c>
      <c r="UX28">
        <f>IF(COUNTIF('Final Calculation Sheet'!$AL28:$BM28,0)+COUNTIF('Final Calculation Sheet'!$BO28:$BS28,0)&gt;0,0,1)</f>
        <v>1</v>
      </c>
      <c r="UY28" t="b">
        <f>IF($EY$28="",FALSE,SUMPRODUCT(('Final Calculation Sheet'!$AC$4:$AC$40=$EY$28)*($UX$4:$UX$40=1))&gt;0)</f>
        <v>1</v>
      </c>
      <c r="UZ28">
        <f t="shared" si="205"/>
        <v>25</v>
      </c>
      <c r="VA28">
        <f t="shared" si="171"/>
        <v>243570</v>
      </c>
      <c r="VB28">
        <f>IF(COUNTIF('Final Calculation Sheet'!$AL28:$BN28,0)+COUNTIF('Final Calculation Sheet'!$BP28:$BS28,0)&gt;0,0,1)</f>
        <v>1</v>
      </c>
      <c r="VC28" t="b">
        <f>IF($FD$28="",FALSE,SUMPRODUCT(('Final Calculation Sheet'!$AD$4:$AD$40=$FD$28)*($VB$4:$VB$40=1))&gt;0)</f>
        <v>0</v>
      </c>
      <c r="VD28">
        <f t="shared" si="206"/>
        <v>11</v>
      </c>
      <c r="VE28" t="str">
        <f t="shared" si="172"/>
        <v/>
      </c>
      <c r="VF28">
        <f>IF(COUNTIF('Final Calculation Sheet'!$AL28:$BO28,0)+COUNTIF('Final Calculation Sheet'!$BQ28:$BS28,0)&gt;0,0,1)</f>
        <v>1</v>
      </c>
      <c r="VG28" t="e">
        <f>IF($FI$28="",FALSE,SUMPRODUCT(('Final Calculation Sheet'!$AE$4:$AE$40=$FI$28)*($VF$4:$VF$40=1))&gt;0)</f>
        <v>#N/A</v>
      </c>
      <c r="VH28" t="e">
        <f t="shared" si="207"/>
        <v>#N/A</v>
      </c>
      <c r="VI28" t="e">
        <f t="shared" si="173"/>
        <v>#N/A</v>
      </c>
      <c r="VJ28">
        <f>IF(COUNTIF('Final Calculation Sheet'!$AL28:$BP28,0)+COUNTIF('Final Calculation Sheet'!$BR28:$BS28,0)&gt;0,0,1)</f>
        <v>1</v>
      </c>
      <c r="VK28" t="e">
        <f>IF($FN$28="",FALSE,SUMPRODUCT(('Final Calculation Sheet'!$AF$4:$AF$40=$FN$28)*($VJ$4:$VJ$40=1))&gt;0)</f>
        <v>#N/A</v>
      </c>
      <c r="VL28" t="e">
        <f t="shared" si="208"/>
        <v>#N/A</v>
      </c>
      <c r="VM28" t="e">
        <f t="shared" si="174"/>
        <v>#N/A</v>
      </c>
      <c r="VN28">
        <f>IF(COUNTIF('Final Calculation Sheet'!$AL28:$BQ28,0)+COUNTIF('Final Calculation Sheet'!$BS28:$BS28,0)&gt;0,0,1)</f>
        <v>1</v>
      </c>
      <c r="VO28" t="e">
        <f>IF($FS$28="",FALSE,SUMPRODUCT(('Final Calculation Sheet'!$AG$4:$AG$40=$FS$28)*($VN$4:$VN$40=1))&gt;0)</f>
        <v>#N/A</v>
      </c>
      <c r="VP28" t="e">
        <f t="shared" si="209"/>
        <v>#N/A</v>
      </c>
      <c r="VQ28" t="e">
        <f t="shared" si="175"/>
        <v>#N/A</v>
      </c>
      <c r="VR28">
        <f>IF(COUNTIF('Final Calculation Sheet'!$AL28:$BR28,0)&gt;0,0,1)</f>
        <v>1</v>
      </c>
      <c r="VS28" t="e">
        <f>IF($QO$28="",FALSE,SUMPRODUCT(('Final Calculation Sheet'!$AH$4:$AH$40=$QO$28)*($VR$4:$VR$40=1))&gt;0)</f>
        <v>#N/A</v>
      </c>
      <c r="VT28" t="e">
        <f t="shared" si="210"/>
        <v>#N/A</v>
      </c>
      <c r="VU28" t="e">
        <f t="shared" si="176"/>
        <v>#N/A</v>
      </c>
    </row>
    <row r="29" spans="1:593" x14ac:dyDescent="0.3">
      <c r="A29">
        <f>IF('Final Calculation Sheet'!$F$29="","",'Final Calculation Sheet'!$F$29)</f>
        <v>2040</v>
      </c>
      <c r="B29">
        <f>IF(A29="","",COUNTIFS(A$4:A$114,"&lt;"&amp;A29,A$4:A$114,"&lt;&gt;"&amp;"")+COUNTIF(A$4:A29,A29))</f>
        <v>26</v>
      </c>
      <c r="C29">
        <f t="shared" si="0"/>
        <v>2040</v>
      </c>
      <c r="D29">
        <f>D28+IF(AND(C29&lt;&gt;"",COUNTIF(C$4:C29,C29)=1),1,0)</f>
        <v>26</v>
      </c>
      <c r="E29" t="e">
        <f t="shared" si="1"/>
        <v>#N/A</v>
      </c>
      <c r="F29">
        <f t="shared" si="2"/>
        <v>26</v>
      </c>
      <c r="G29">
        <f>IF(F29="","",COUNTIFS(F$4:F$40,"&lt;"&amp;F29,F$4:F$40,"&lt;&gt;"&amp;"")+COUNTIF(F$4:F29,F29))</f>
        <v>26</v>
      </c>
      <c r="H29">
        <f t="shared" si="3"/>
        <v>26</v>
      </c>
      <c r="I29">
        <f>I28+IF(AND(H29&lt;&gt;"",COUNTIF(H$4:H29,H29)=1),1,0)</f>
        <v>26</v>
      </c>
      <c r="J29">
        <f t="shared" si="4"/>
        <v>26</v>
      </c>
      <c r="K29">
        <f>IF('Final Calculation Sheet'!$F$29="","",'Final Calculation Sheet'!$F$29)</f>
        <v>2040</v>
      </c>
      <c r="L29">
        <f>IF(K29="","",COUNTIFS(K$4:K$40,"&lt;"&amp;K29,K$4:K$40,"&lt;&gt;"&amp;"")+COUNTIF(K$4:K29,K29))</f>
        <v>26</v>
      </c>
      <c r="M29">
        <f t="shared" si="5"/>
        <v>2040</v>
      </c>
      <c r="N29">
        <f>N28+IF(AND(M29&lt;&gt;"",COUNTIF(M$4:M29,M29)=1),1,0)</f>
        <v>26</v>
      </c>
      <c r="O29">
        <f t="shared" si="6"/>
        <v>2040</v>
      </c>
      <c r="P29" t="str">
        <f>IF('Final Calculation Sheet'!$G$29="","",'Final Calculation Sheet'!$G$29)</f>
        <v>STERLING ENTERPRISES</v>
      </c>
      <c r="Q29">
        <f>IF(P29="","",COUNTIFS(P$4:P$40,"&lt;"&amp;P29,P$4:P$40,"&lt;&gt;"&amp;"")+COUNTIF(P$4:P29,P29))</f>
        <v>32</v>
      </c>
      <c r="R29" t="str">
        <f t="shared" si="7"/>
        <v>SHAR JAHAN TRADERS</v>
      </c>
      <c r="S29">
        <f>S28+IF(AND(R29&lt;&gt;"",COUNTIF(R$4:R29,R29)=1),1,0)</f>
        <v>11</v>
      </c>
      <c r="T29" t="str">
        <f t="shared" si="8"/>
        <v/>
      </c>
      <c r="U29" t="str">
        <f>IF('Final Calculation Sheet'!$B$29="","",'Final Calculation Sheet'!$B$29)</f>
        <v>Scrap of 33 KV CT</v>
      </c>
      <c r="V29">
        <f>IF(U29="","",COUNTIFS(U$4:U$40,"&lt;"&amp;U29,U$4:U$40,"&lt;&gt;"&amp;"")+COUNTIF(U$4:U29,U29))</f>
        <v>20</v>
      </c>
      <c r="W29" t="str">
        <f t="shared" si="9"/>
        <v>Scrap of empty oil Barrel</v>
      </c>
      <c r="X29">
        <f>X28+IF(AND(W29&lt;&gt;"",COUNTIF(W$4:W29,W29)=1),1,0)</f>
        <v>19</v>
      </c>
      <c r="Y29" t="str">
        <f t="shared" si="10"/>
        <v/>
      </c>
      <c r="Z29">
        <f>IF('Final Calculation Sheet'!$D$29="","",'Final Calculation Sheet'!$D$29)</f>
        <v>21978</v>
      </c>
      <c r="AA29">
        <f>IF(Z29="","",COUNTIFS(Z$4:Z$40,"&lt;"&amp;Z29,Z$4:Z$40,"&lt;&gt;"&amp;"")+COUNTIF(Z$4:Z29,Z29))</f>
        <v>24</v>
      </c>
      <c r="AB29">
        <f t="shared" si="11"/>
        <v>21979</v>
      </c>
      <c r="AC29">
        <f>AC28+IF(AND(AB29&lt;&gt;"",COUNTIF(AB$4:AB29,AB29)=1),1,0)</f>
        <v>3</v>
      </c>
      <c r="AD29" t="str">
        <f t="shared" si="12"/>
        <v/>
      </c>
      <c r="AE29">
        <f>IF('Final Calculation Sheet'!$A$29="","",'Final Calculation Sheet'!$A$29)</f>
        <v>3</v>
      </c>
      <c r="AF29">
        <f>IF(AE29="","",COUNTIFS(AE$4:AE$40,"&lt;"&amp;AE29,AE$4:AE$40,"&lt;&gt;"&amp;"")+COUNTIF(AE$4:AE29,AE29))</f>
        <v>15</v>
      </c>
      <c r="AG29">
        <f t="shared" si="13"/>
        <v>50</v>
      </c>
      <c r="AH29">
        <f>AH28+IF(AND(AG29&lt;&gt;"",COUNTIF(AG$4:AG29,AG29)=1),1,0)</f>
        <v>11</v>
      </c>
      <c r="AI29" t="str">
        <f t="shared" si="14"/>
        <v/>
      </c>
      <c r="AJ29" t="str">
        <f>IF('Final Calculation Sheet'!$E$29="","",'Final Calculation Sheet'!$E$29)</f>
        <v>NO</v>
      </c>
      <c r="AK29">
        <f>IF(AJ29="","",COUNTIFS(AJ$4:AJ$40,"&lt;"&amp;AJ29,AJ$4:AJ$40,"&lt;&gt;"&amp;"")+COUNTIF(AJ$4:AJ29,AJ29))</f>
        <v>27</v>
      </c>
      <c r="AL29" t="str">
        <f t="shared" si="15"/>
        <v>NO</v>
      </c>
      <c r="AM29">
        <f>AM28+IF(AND(AL29&lt;&gt;"",COUNTIF(AL$4:AL29,AL29)=1),1,0)</f>
        <v>3</v>
      </c>
      <c r="AN29" t="str">
        <f t="shared" si="16"/>
        <v/>
      </c>
      <c r="AO29" s="50">
        <f>IF('Final Calculation Sheet'!$C$29="","",'Final Calculation Sheet'!$C$29)</f>
        <v>90002</v>
      </c>
      <c r="AP29">
        <f>IF(AO29="","",COUNTIFS(AO$4:AO$40,"&lt;"&amp;AO29,AO$4:AO$40,"&lt;&gt;"&amp;"")+COUNTIF(AO$4:AO29,AO29))</f>
        <v>32</v>
      </c>
      <c r="AQ29" s="50">
        <f t="shared" si="17"/>
        <v>67000</v>
      </c>
      <c r="AR29">
        <f>AR28+IF(AND(AQ29&lt;&gt;"",COUNTIF(AQ$4:AQ29,AQ29)=1),1,0)</f>
        <v>24</v>
      </c>
      <c r="AS29" s="50">
        <f t="shared" si="18"/>
        <v>70006</v>
      </c>
      <c r="AT29" s="50">
        <f>IF('Final Calculation Sheet'!$H$29="","",'Final Calculation Sheet'!$H$29)</f>
        <v>270006</v>
      </c>
      <c r="AU29">
        <f>IF(AT29="","",COUNTIFS(AT$4:AT$40,"&lt;"&amp;AT29,AT$4:AT$40,"&lt;&gt;"&amp;"")+COUNTIF(AT$4:AT29,AT29))</f>
        <v>28</v>
      </c>
      <c r="AV29" s="50">
        <f t="shared" si="19"/>
        <v>220001</v>
      </c>
      <c r="AW29">
        <f>AW28+IF(AND(AV29&lt;&gt;"",COUNTIF(AV$4:AV29,AV29)=1),1,0)</f>
        <v>26</v>
      </c>
      <c r="AX29" s="50">
        <f t="shared" si="20"/>
        <v>220001</v>
      </c>
      <c r="AY29" s="50">
        <f>IF('Final Calculation Sheet'!$I$29="","",'Final Calculation Sheet'!$I$29)</f>
        <v>48601</v>
      </c>
      <c r="AZ29">
        <f>IF(AY29="","",COUNTIFS(AY$4:AY$40,"&lt;"&amp;AY29,AY$4:AY$40,"&lt;&gt;"&amp;"")+COUNTIF(AY$4:AY29,AY29))</f>
        <v>28</v>
      </c>
      <c r="BA29" s="50">
        <f t="shared" si="21"/>
        <v>39600</v>
      </c>
      <c r="BB29">
        <f>BB28+IF(AND(BA29&lt;&gt;"",COUNTIF(BA$4:BA29,BA29)=1),1,0)</f>
        <v>26</v>
      </c>
      <c r="BC29" s="50">
        <f t="shared" si="22"/>
        <v>39600</v>
      </c>
      <c r="BD29" s="50">
        <f>IF('Final Calculation Sheet'!$J$29="","",'Final Calculation Sheet'!$J$29)</f>
        <v>318607</v>
      </c>
      <c r="BE29">
        <f>IF(BD29="","",COUNTIFS(BD$4:BD$40,"&lt;"&amp;BD29,BD$4:BD$40,"&lt;&gt;"&amp;"")+COUNTIF(BD$4:BD29,BD29))</f>
        <v>28</v>
      </c>
      <c r="BF29" s="50">
        <f t="shared" si="23"/>
        <v>259601</v>
      </c>
      <c r="BG29">
        <f>BG28+IF(AND(BF29&lt;&gt;"",COUNTIF(BF$4:BF29,BF29)=1),1,0)</f>
        <v>26</v>
      </c>
      <c r="BH29" s="50">
        <f t="shared" si="24"/>
        <v>259601</v>
      </c>
      <c r="BI29" s="50">
        <f>IF('Final Calculation Sheet'!$K$29="","",'Final Calculation Sheet'!$K$29)</f>
        <v>6372</v>
      </c>
      <c r="BJ29">
        <f>IF(BI29="","",COUNTIFS(BI$4:BI$40,"&lt;"&amp;BI29,BI$4:BI$40,"&lt;&gt;"&amp;"")+COUNTIF(BI$4:BI29,BI29))</f>
        <v>28</v>
      </c>
      <c r="BK29" s="50">
        <f t="shared" si="25"/>
        <v>5192</v>
      </c>
      <c r="BL29">
        <f>BL28+IF(AND(BK29&lt;&gt;"",COUNTIF(BK$4:BK29,BK29)=1),1,0)</f>
        <v>25</v>
      </c>
      <c r="BM29" s="50">
        <f t="shared" si="26"/>
        <v>5929</v>
      </c>
      <c r="BN29" s="50">
        <f>IF('Final Calculation Sheet'!$L$29="","",'Final Calculation Sheet'!$L$29)</f>
        <v>270.00600000000003</v>
      </c>
      <c r="BO29">
        <f>IF(BN29="","",COUNTIFS(BN$4:BN$40,"&lt;"&amp;BN29,BN$4:BN$40,"&lt;&gt;"&amp;"")+COUNTIF(BN$4:BN29,BN29))</f>
        <v>28</v>
      </c>
      <c r="BP29" s="50">
        <f t="shared" si="27"/>
        <v>220.001</v>
      </c>
      <c r="BQ29">
        <f>BQ28+IF(AND(BP29&lt;&gt;"",COUNTIF(BP$4:BP29,BP29)=1),1,0)</f>
        <v>26</v>
      </c>
      <c r="BR29" s="50">
        <f t="shared" si="28"/>
        <v>220.001</v>
      </c>
      <c r="BS29" s="50">
        <f>IF('Final Calculation Sheet'!$M$29="","",'Final Calculation Sheet'!$M$29)</f>
        <v>7168.6593000000003</v>
      </c>
      <c r="BT29">
        <f>IF(BS29="","",COUNTIFS(BS$4:BS$40,"&lt;"&amp;BS29,BS$4:BS$40,"&lt;&gt;"&amp;"")+COUNTIF(BS$4:BS29,BS29))</f>
        <v>28</v>
      </c>
      <c r="BU29" s="50">
        <f t="shared" si="29"/>
        <v>5841.0265499999996</v>
      </c>
      <c r="BV29">
        <f>BV28+IF(AND(BU29&lt;&gt;"",COUNTIF(BU$4:BU29,BU29)=1),1,0)</f>
        <v>26</v>
      </c>
      <c r="BW29" s="50">
        <f t="shared" si="30"/>
        <v>5841.0265499999996</v>
      </c>
      <c r="BX29" s="126">
        <f>IF('Final Calculation Sheet'!$N$29="","",'Final Calculation Sheet'!$N$29)</f>
        <v>121.5027</v>
      </c>
      <c r="BY29">
        <f>IF(BX29="","",COUNTIFS(BX$4:BX$40,"&lt;"&amp;BX29,BX$4:BX$40,"&lt;&gt;"&amp;"")+COUNTIF(BX$4:BX29,BX29))</f>
        <v>28</v>
      </c>
      <c r="BZ29" s="126">
        <f t="shared" si="31"/>
        <v>99.000450000000001</v>
      </c>
      <c r="CA29">
        <f>CA28+IF(AND(BZ29&lt;&gt;"",COUNTIF(BZ$4:BZ29,BZ29)=1),1,0)</f>
        <v>26</v>
      </c>
      <c r="CB29" s="126">
        <f t="shared" si="32"/>
        <v>99.000450000000001</v>
      </c>
      <c r="CC29" s="50">
        <f>IF('Final Calculation Sheet'!$O$29="","",'Final Calculation Sheet'!$O$29)</f>
        <v>7047.1566000000003</v>
      </c>
      <c r="CD29">
        <f>IF(CC29="","",COUNTIFS(CC$4:CC$40,"&lt;"&amp;CC29,CC$4:CC$40,"&lt;&gt;"&amp;"")+COUNTIF(CC$4:CC29,CC29))</f>
        <v>28</v>
      </c>
      <c r="CE29" s="50">
        <f t="shared" si="33"/>
        <v>5742.0260999999991</v>
      </c>
      <c r="CF29">
        <f>CF28+IF(AND(CE29&lt;&gt;"",COUNTIF(CE$4:CE29,CE29)=1),1,0)</f>
        <v>26</v>
      </c>
      <c r="CG29" s="50">
        <f t="shared" si="34"/>
        <v>5742.0260999999991</v>
      </c>
      <c r="CH29" s="50">
        <f>IF('Final Calculation Sheet'!$P$29="","",'Final Calculation Sheet'!$P$29)</f>
        <v>7317</v>
      </c>
      <c r="CI29">
        <f>IF(CH29="","",COUNTIFS(CH$4:CH$40,"&lt;"&amp;CH29,CH$4:CH$40,"&lt;&gt;"&amp;"")+COUNTIF(CH$4:CH29,CH29))</f>
        <v>28</v>
      </c>
      <c r="CJ29" s="50">
        <f t="shared" si="35"/>
        <v>5962</v>
      </c>
      <c r="CK29">
        <f>CK28+IF(AND(CJ29&lt;&gt;"",COUNTIF(CJ$4:CJ29,CJ29)=1),1,0)</f>
        <v>25</v>
      </c>
      <c r="CL29" s="50">
        <f t="shared" si="36"/>
        <v>6808</v>
      </c>
      <c r="CM29" s="127">
        <f>IF('Final Calculation Sheet'!$Q$29="","",'Final Calculation Sheet'!$Q$29)</f>
        <v>0</v>
      </c>
      <c r="CN29">
        <f>IF(CM29="","",COUNTIFS(CM$4:CM$40,"&lt;"&amp;CM29,CM$4:CM$40,"&lt;&gt;"&amp;"")+COUNTIF(CM$4:CM29,CM29))</f>
        <v>22</v>
      </c>
      <c r="CO29" s="127">
        <f t="shared" si="37"/>
        <v>0</v>
      </c>
      <c r="CP29">
        <f>CP28+IF(AND(CO29&lt;&gt;"",COUNTIF(CO$4:CO29,CO29)=1),1,0)</f>
        <v>1</v>
      </c>
      <c r="CQ29" t="str">
        <f t="shared" si="38"/>
        <v/>
      </c>
      <c r="CR29" s="50">
        <f>IF('Final Calculation Sheet'!$R$29="","",'Final Calculation Sheet'!$R$29)</f>
        <v>0</v>
      </c>
      <c r="CS29">
        <f>IF(CR29="","",COUNTIFS(CR$4:CR$40,"&lt;"&amp;CR29,CR$4:CR$40,"&lt;&gt;"&amp;"")+COUNTIF(CR$4:CR29,CR29))</f>
        <v>22</v>
      </c>
      <c r="CT29" s="50">
        <f t="shared" si="39"/>
        <v>0</v>
      </c>
      <c r="CU29">
        <f>CU28+IF(AND(CT29&lt;&gt;"",COUNTIF(CT$4:CT29,CT29)=1),1,0)</f>
        <v>1</v>
      </c>
      <c r="CV29" t="str">
        <f t="shared" si="40"/>
        <v/>
      </c>
      <c r="CW29" s="50">
        <f>IF('Final Calculation Sheet'!$S$29="","",'Final Calculation Sheet'!$S$29)</f>
        <v>317662</v>
      </c>
      <c r="CX29">
        <f>IF(CW29="","",COUNTIFS(CW$4:CW$40,"&lt;"&amp;CW29,CW$4:CW$40,"&lt;&gt;"&amp;"")+COUNTIF(CW$4:CW29,CW29))</f>
        <v>28</v>
      </c>
      <c r="CY29" s="50">
        <f t="shared" si="41"/>
        <v>258831</v>
      </c>
      <c r="CZ29">
        <f>CZ28+IF(AND(CY29&lt;&gt;"",COUNTIF(CY$4:CY29,CY29)=1),1,0)</f>
        <v>26</v>
      </c>
      <c r="DA29" s="50">
        <f t="shared" si="42"/>
        <v>258831</v>
      </c>
      <c r="DB29" s="50">
        <f>IF('Final Calculation Sheet'!$T$29="","",'Final Calculation Sheet'!$T$29)</f>
        <v>67502</v>
      </c>
      <c r="DC29">
        <f>IF(DB29="","",COUNTIFS(DB$4:DB$40,"&lt;"&amp;DB29,DB$4:DB$40,"&lt;&gt;"&amp;"")+COUNTIF(DB$4:DB29,DB29))</f>
        <v>28</v>
      </c>
      <c r="DD29" s="50">
        <f t="shared" si="43"/>
        <v>55000</v>
      </c>
      <c r="DE29">
        <f>DE28+IF(AND(DD29&lt;&gt;"",COUNTIF(DD$4:DD29,DD29)=1),1,0)</f>
        <v>26</v>
      </c>
      <c r="DF29" s="50">
        <f t="shared" si="44"/>
        <v>55000</v>
      </c>
      <c r="DG29" s="128">
        <f>IF('Final Calculation Sheet'!$U$29="","",'Final Calculation Sheet'!$U$29)</f>
        <v>67502</v>
      </c>
      <c r="DH29">
        <f>IF(DG29="","",COUNTIFS(DG$4:DG$40,"&lt;"&amp;DG29,DG$4:DG$40,"&lt;&gt;"&amp;"")+COUNTIF(DG$4:DG29,DG29))</f>
        <v>28</v>
      </c>
      <c r="DI29" s="128">
        <f t="shared" si="45"/>
        <v>55000</v>
      </c>
      <c r="DJ29">
        <f>DJ28+IF(AND(DI29&lt;&gt;"",COUNTIF(DI$4:DI29,DI29)=1),1,0)</f>
        <v>26</v>
      </c>
      <c r="DK29" s="128">
        <f t="shared" si="46"/>
        <v>55000</v>
      </c>
      <c r="DL29" t="str">
        <f>IF('Final Calculation Sheet'!$V$29="","",'Final Calculation Sheet'!$V$29)</f>
        <v>11.08.2026</v>
      </c>
      <c r="DM29">
        <f>IF(DL29="","",COUNTIFS(DL$4:DL$40,"&lt;"&amp;DL29,DL$4:DL$40,"&lt;&gt;"&amp;"")+COUNTIF(DL$4:DL29,DL29))</f>
        <v>8</v>
      </c>
      <c r="DN29" t="str">
        <f t="shared" si="47"/>
        <v>13.08.2026</v>
      </c>
      <c r="DO29">
        <f>DO28+IF(AND(DN29&lt;&gt;"",COUNTIF(DN$4:DN29,DN29)=1),1,0)</f>
        <v>3</v>
      </c>
      <c r="DP29" t="str">
        <f t="shared" si="48"/>
        <v/>
      </c>
      <c r="DQ29" s="50">
        <f>IF('Final Calculation Sheet'!$W$29="","",'Final Calculation Sheet'!$W$29)</f>
        <v>250161</v>
      </c>
      <c r="DR29">
        <f>IF(DQ29="","",COUNTIFS(DQ$4:DQ$40,"&lt;"&amp;DQ29,DQ$4:DQ$40,"&lt;&gt;"&amp;"")+COUNTIF(DQ$4:DQ29,DQ29))</f>
        <v>28</v>
      </c>
      <c r="DS29" s="50">
        <f t="shared" si="49"/>
        <v>203831</v>
      </c>
      <c r="DT29">
        <f>DT28+IF(AND(DS29&lt;&gt;"",COUNTIF(DS$4:DS29,DS29)=1),1,0)</f>
        <v>26</v>
      </c>
      <c r="DU29" s="50">
        <f t="shared" si="50"/>
        <v>203831</v>
      </c>
      <c r="DV29" t="str">
        <f>IF('Final Calculation Sheet'!$X$29="","",'Final Calculation Sheet'!$X$29)</f>
        <v/>
      </c>
      <c r="DW29" t="str">
        <f>IF(DV29="","",COUNTIFS(DV$4:DV$40,"&lt;"&amp;DV29,DV$4:DV$40,"&lt;&gt;"&amp;"")+COUNTIF(DV$4:DV29,DV29))</f>
        <v/>
      </c>
      <c r="DX29" s="50">
        <f t="shared" si="51"/>
        <v>232764</v>
      </c>
      <c r="DY29">
        <f>DY28+IF(AND(DX29&lt;&gt;"",COUNTIF(DX$4:DX29,DX29)=1),1,0)</f>
        <v>26</v>
      </c>
      <c r="DZ29" t="e">
        <f t="shared" si="52"/>
        <v>#N/A</v>
      </c>
      <c r="EA29" s="50">
        <f>IF('Final Calculation Sheet'!$Y$29="","",'Final Calculation Sheet'!$Y$29)</f>
        <v>0</v>
      </c>
      <c r="EB29">
        <f>IF(EA29="","",COUNTIFS(EA$4:EA$40,"&lt;"&amp;EA29,EA$4:EA$40,"&lt;&gt;"&amp;"")+COUNTIF(EA$4:EA29,EA29))</f>
        <v>2</v>
      </c>
      <c r="EC29" t="str">
        <f t="shared" si="53"/>
        <v>24.08.2026</v>
      </c>
      <c r="ED29">
        <f>ED28+IF(AND(EC29&lt;&gt;"",COUNTIF(EC$4:EC29,EC29)=1),1,0)</f>
        <v>9</v>
      </c>
      <c r="EE29" t="e">
        <f t="shared" si="54"/>
        <v>#N/A</v>
      </c>
      <c r="EF29" s="50">
        <f ca="1">IF('Final Calculation Sheet'!$Z$29="","",'Final Calculation Sheet'!$Z$29)</f>
        <v>9558.2124000000003</v>
      </c>
      <c r="EG29">
        <f ca="1">IF(EF29="","",COUNTIFS(EF$4:EF$40,"&lt;"&amp;EF29,EF$4:EF$40,"&lt;&gt;"&amp;"")+COUNTIF(EF$4:EF29,EF29))</f>
        <v>28</v>
      </c>
      <c r="EH29" s="50">
        <f t="shared" ca="1" si="55"/>
        <v>7788.0353999999988</v>
      </c>
      <c r="EI29">
        <f ca="1">EI28+IF(AND(EH29&lt;&gt;"",COUNTIF(EH$4:EH29,EH29)=1),1,0)</f>
        <v>26</v>
      </c>
      <c r="EJ29">
        <f t="shared" ca="1" si="56"/>
        <v>7788.0353999999988</v>
      </c>
      <c r="EK29" t="str">
        <f>IF('Final Calculation Sheet'!$AA$29="","",'Final Calculation Sheet'!$AA$29)</f>
        <v/>
      </c>
      <c r="EL29" t="str">
        <f>IF(EK29="","",COUNTIFS(EK$4:EK$40,"&lt;"&amp;EK29,EK$4:EK$40,"&lt;&gt;"&amp;"")+COUNTIF(EK$4:EK29,EK29))</f>
        <v/>
      </c>
      <c r="EM29" t="e">
        <f t="shared" si="57"/>
        <v>#N/A</v>
      </c>
      <c r="EN29" t="e">
        <f>EN28+IF(AND(EM29&lt;&gt;"",COUNTIF(EM$4:EM29,EM29)=1),1,0)</f>
        <v>#N/A</v>
      </c>
      <c r="EO29" t="e">
        <f t="shared" si="58"/>
        <v>#N/A</v>
      </c>
      <c r="EP29" t="str">
        <f>IF('Final Calculation Sheet'!$AB$29="","",'Final Calculation Sheet'!$AB$29)</f>
        <v/>
      </c>
      <c r="EQ29" t="str">
        <f>IF(EP29="","",COUNTIFS(EP$4:EP$40,"&lt;"&amp;EP29,EP$4:EP$40,"&lt;&gt;"&amp;"")+COUNTIF(EP$4:EP29,EP29))</f>
        <v/>
      </c>
      <c r="ER29" t="e">
        <f t="shared" si="59"/>
        <v>#N/A</v>
      </c>
      <c r="ES29" t="e">
        <f>ES28+IF(AND(ER29&lt;&gt;"",COUNTIF(ER$4:ER29,ER29)=1),1,0)</f>
        <v>#N/A</v>
      </c>
      <c r="ET29" t="e">
        <f t="shared" si="60"/>
        <v>#N/A</v>
      </c>
      <c r="EU29" s="50">
        <f>IF('Final Calculation Sheet'!$AC$29="","",'Final Calculation Sheet'!$AC$29)</f>
        <v>67502</v>
      </c>
      <c r="EV29">
        <f>IF(EU29="","",COUNTIFS(EU$4:EU$40,"&lt;"&amp;EU29,EU$4:EU$40,"&lt;&gt;"&amp;"")+COUNTIF(EU$4:EU29,EU29))</f>
        <v>11</v>
      </c>
      <c r="EW29" s="50">
        <f t="shared" si="61"/>
        <v>247066</v>
      </c>
      <c r="EX29">
        <f>EX28+IF(AND(EW29&lt;&gt;"",COUNTIF(EW$4:EW29,EW29)=1),1,0)</f>
        <v>26</v>
      </c>
      <c r="EY29" s="50">
        <f t="shared" si="62"/>
        <v>247066</v>
      </c>
      <c r="EZ29" s="50">
        <f>IF('Final Calculation Sheet'!$AD$29="","",'Final Calculation Sheet'!$AD$29)</f>
        <v>250160</v>
      </c>
      <c r="FA29">
        <f>IF(EZ29="","",COUNTIFS(EZ$4:EZ$40,"&lt;"&amp;EZ29,EZ$4:EZ$40,"&lt;&gt;"&amp;"")+COUNTIF(EZ$4:EZ29,EZ29))</f>
        <v>36</v>
      </c>
      <c r="FB29" s="50">
        <f t="shared" si="63"/>
        <v>0</v>
      </c>
      <c r="FC29">
        <f>FC28+IF(AND(FB29&lt;&gt;"",COUNTIF(FB$4:FB29,FB29)=1),1,0)</f>
        <v>7</v>
      </c>
      <c r="FD29" t="str">
        <f t="shared" si="64"/>
        <v/>
      </c>
      <c r="FE29" t="str">
        <f>IF('Final Calculation Sheet'!$AF$29="","",'Final Calculation Sheet'!$AF$29)</f>
        <v/>
      </c>
      <c r="FF29" t="str">
        <f>IF(FE29="","",COUNTIFS(FE$4:FE$40,"&lt;"&amp;FE29,FE$4:FE$40,"&lt;&gt;"&amp;"")+COUNTIF(FE$4:FE29,FE29))</f>
        <v/>
      </c>
      <c r="FG29" t="str">
        <f t="shared" si="65"/>
        <v>DR2640100037</v>
      </c>
      <c r="FH29" t="e">
        <f>FH28+IF(AND(FG29&lt;&gt;"",COUNTIF(FG$4:FG29,FG29)=1),1,0)</f>
        <v>#N/A</v>
      </c>
      <c r="FI29" t="e">
        <f t="shared" si="66"/>
        <v>#N/A</v>
      </c>
      <c r="FJ29" t="str">
        <f>IF('Final Calculation Sheet'!$AG$29="","",'Final Calculation Sheet'!$AG$29)</f>
        <v/>
      </c>
      <c r="FK29" t="str">
        <f>IF(FJ29="","",COUNTIFS(FJ$4:FJ$40,"&lt;"&amp;FJ29,FJ$4:FJ$40,"&lt;&gt;"&amp;"")+COUNTIF(FJ$4:FJ29,FJ29))</f>
        <v/>
      </c>
      <c r="FL29" s="129">
        <f t="shared" si="67"/>
        <v>1800003314</v>
      </c>
      <c r="FM29">
        <f>FM28+IF(AND(FL29&lt;&gt;"",COUNTIF(FL$4:FL29,FL29)=1),1,0)</f>
        <v>26</v>
      </c>
      <c r="FN29" t="e">
        <f t="shared" si="68"/>
        <v>#N/A</v>
      </c>
      <c r="FO29" t="str">
        <f>IF('Final Calculation Sheet'!$AH$29="","",'Final Calculation Sheet'!$AH$29)</f>
        <v/>
      </c>
      <c r="FP29" t="str">
        <f>IF(FO29="","",COUNTIFS(FO$4:FO$40,"&lt;"&amp;FO29,FO$4:FO$40,"&lt;&gt;"&amp;"")+COUNTIF(FO$4:FO29,FO29))</f>
        <v/>
      </c>
      <c r="FQ29" t="str">
        <f t="shared" si="69"/>
        <v>27.08.2026</v>
      </c>
      <c r="FR29" t="e">
        <f>FR28+IF(AND(FQ29&lt;&gt;"",COUNTIF(FQ$4:FQ29,FQ29)=1),1,0)</f>
        <v>#N/A</v>
      </c>
      <c r="FS29" t="e">
        <f t="shared" si="70"/>
        <v>#N/A</v>
      </c>
      <c r="FU29" t="str">
        <f>IF(FT29="","",COUNTIFS(FT$4:FT$40,"&lt;"&amp;FT29,FT$4:FT$40,"&lt;&gt;"&amp;"")+COUNTIF(FT$4:FT29,FT29))</f>
        <v/>
      </c>
      <c r="FV29" t="str">
        <f t="shared" si="71"/>
        <v/>
      </c>
      <c r="FW29">
        <f>FW28+IF(AND(FV29&lt;&gt;"",COUNTIF(FV$4:FV29,FV29)=1),1,0)</f>
        <v>2</v>
      </c>
      <c r="FX29" t="str">
        <f t="shared" si="72"/>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29" t="b">
        <f>IF($Y$29="",FALSE,SUMPRODUCT(('Final Calculation Sheet'!$B$4:$B$40=$Y$29)*($FY$6:$FY$42=1))&gt;0)</f>
        <v>0</v>
      </c>
      <c r="GA29">
        <f>$GA$28+--($FZ$29)</f>
        <v>25</v>
      </c>
      <c r="GB29" t="str">
        <f t="shared" si="73"/>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D29" t="b">
        <f>IF($O$29="",FALSE,SUMPRODUCT(('Final Calculation Sheet'!$F$4:$F$40=$O$29)*($GC$6:$GC$42=1))&gt;0)</f>
        <v>1</v>
      </c>
      <c r="GE29">
        <f>$GE$28+--($GD29)</f>
        <v>26</v>
      </c>
      <c r="GF29">
        <f t="shared" si="74"/>
        <v>2040</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H29" t="b">
        <f>IF($T$29="",FALSE,SUMPRODUCT(('Final Calculation Sheet'!$G$4:$G$40=$T$29)*($GG$6:$GG$42=1))&gt;0)</f>
        <v>0</v>
      </c>
      <c r="GI29">
        <f>$GI$28+--($GH29)</f>
        <v>13</v>
      </c>
      <c r="GJ29" t="str">
        <f t="shared" si="75"/>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L29" t="b">
        <f>IF($AD$29="",FALSE,SUMPRODUCT(('Final Calculation Sheet'!$D$4:$D$40=$AD$29)*($GK$6:$GK$42=1))&gt;0)</f>
        <v>0</v>
      </c>
      <c r="GM29">
        <f>$GM$28+--($GL29)</f>
        <v>4</v>
      </c>
      <c r="GN29" t="str">
        <f t="shared" si="76"/>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P29" t="b">
        <f>IF($AI$29="",FALSE,SUMPRODUCT(('Final Calculation Sheet'!$A$4:$A$40=$AI$29)*($GO$6:$GO$42=1))&gt;0)</f>
        <v>0</v>
      </c>
      <c r="GQ29">
        <f>$GQ$28+--($GP29)</f>
        <v>22</v>
      </c>
      <c r="GR29" t="str">
        <f t="shared" si="77"/>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T29" t="b">
        <f>IF($AN$29="",FALSE,SUMPRODUCT(('Final Calculation Sheet'!$E$4:$E$40=$AN$29)*($GS$6:$GS$42=1))&gt;0)</f>
        <v>0</v>
      </c>
      <c r="GU29">
        <f>$GU$28+--($GT29)</f>
        <v>3</v>
      </c>
      <c r="GV29" t="str">
        <f t="shared" si="78"/>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GX29" t="b">
        <f>IF($AS$29="",FALSE,SUMPRODUCT(('Final Calculation Sheet'!$C$4:$C$40=$AS$29)*($GW$6:$GW$42=1))&gt;0)</f>
        <v>1</v>
      </c>
      <c r="GY29">
        <f>$GY$28+--($GX29)</f>
        <v>26</v>
      </c>
      <c r="GZ29">
        <f t="shared" si="79"/>
        <v>70006</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B29" t="b">
        <f>IF($AX$29="",FALSE,SUMPRODUCT(('Final Calculation Sheet'!$H$4:$H$40=$AX$29)*($HA$6:$HA$42=1))&gt;0)</f>
        <v>1</v>
      </c>
      <c r="HC29">
        <f>$HC$28+--($HB29)</f>
        <v>26</v>
      </c>
      <c r="HD29">
        <f t="shared" si="80"/>
        <v>220001</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F29" t="b">
        <f>IF($BC$29="",FALSE,SUMPRODUCT(('Final Calculation Sheet'!$I$4:$I$40=$BC$29)*($HE$6:$HE$42=1))&gt;0)</f>
        <v>1</v>
      </c>
      <c r="HG29">
        <f>$HG$28+--($HF29)</f>
        <v>26</v>
      </c>
      <c r="HH29">
        <f t="shared" si="81"/>
        <v>39600</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J29" t="b">
        <f>IF($BH$29="",FALSE,SUMPRODUCT(('Final Calculation Sheet'!$J$4:$J$40=$BH$29)*($HI$6:$HI$42=1))&gt;0)</f>
        <v>1</v>
      </c>
      <c r="HK29">
        <f>$HK$28+--($HJ29)</f>
        <v>26</v>
      </c>
      <c r="HL29">
        <f t="shared" si="82"/>
        <v>259601</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N29" t="b">
        <f>IF($BM$29="",FALSE,SUMPRODUCT(('Final Calculation Sheet'!$K$4:$K$40=$BM$29)*($HM$6:$HM$42=1))&gt;0)</f>
        <v>1</v>
      </c>
      <c r="HO29">
        <f>$HO$28+--($HN29)</f>
        <v>26</v>
      </c>
      <c r="HP29">
        <f t="shared" si="83"/>
        <v>5929</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R29" t="b">
        <f>IF($BR$29="",FALSE,SUMPRODUCT(('Final Calculation Sheet'!$L$4:$L$40=$BR$29)*($HQ$6:$HQ$42=1))&gt;0)</f>
        <v>1</v>
      </c>
      <c r="HS29">
        <f>$HS$28+--($HR29)</f>
        <v>26</v>
      </c>
      <c r="HT29">
        <f t="shared" si="84"/>
        <v>220.001</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V29" t="b">
        <f>IF($BW$29="",FALSE,SUMPRODUCT(('Final Calculation Sheet'!$M$4:$M$40=$BW$29)*($HU$6:$HU$42=1))&gt;0)</f>
        <v>1</v>
      </c>
      <c r="HW29">
        <f>$HW$28+--($HV29)</f>
        <v>26</v>
      </c>
      <c r="HX29">
        <f t="shared" si="85"/>
        <v>5841.0265499999996</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HZ29" t="b">
        <f>IF($CB$29="",FALSE,SUMPRODUCT(('Final Calculation Sheet'!$N$4:$N$40=$CB$29)*($HY$6:$HY$42=1))&gt;0)</f>
        <v>1</v>
      </c>
      <c r="IA29">
        <f>$IA$28+--($HZ29)</f>
        <v>26</v>
      </c>
      <c r="IB29">
        <f t="shared" si="86"/>
        <v>99.000450000000001</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D29" t="b">
        <f>IF($CG$29="",FALSE,SUMPRODUCT(('Final Calculation Sheet'!$O$4:$O$40=$CG$29)*($IC$6:$IC$42=1))&gt;0)</f>
        <v>1</v>
      </c>
      <c r="IE29">
        <f>$IE$28+--($ID29)</f>
        <v>26</v>
      </c>
      <c r="IF29">
        <f t="shared" si="87"/>
        <v>5742.0260999999991</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H29" t="b">
        <f>IF($CL$29="",FALSE,SUMPRODUCT(('Final Calculation Sheet'!$P$4:$P$40=$CL$29)*($IG$6:$IG$42=1))&gt;0)</f>
        <v>1</v>
      </c>
      <c r="II29">
        <f>$II$28+--($IH29)</f>
        <v>26</v>
      </c>
      <c r="IJ29">
        <f t="shared" si="88"/>
        <v>6808</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L29" t="b">
        <f>IF($CQ$29="",FALSE,SUMPRODUCT(('Final Calculation Sheet'!$Q$4:$Q$40=$CQ$29)*($IK$6:$IK$42=1))&gt;0)</f>
        <v>0</v>
      </c>
      <c r="IM29">
        <f>$IM$28+--($IL29)</f>
        <v>2</v>
      </c>
      <c r="IN29" t="str">
        <f t="shared" si="89"/>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P29" t="b">
        <f>IF($CV$29="",FALSE,SUMPRODUCT(('Final Calculation Sheet'!$R$4:$R$40=$CV$29)*($IO$6:$IO$42=1))&gt;0)</f>
        <v>0</v>
      </c>
      <c r="IQ29">
        <f>$IQ$28+--($IP29)</f>
        <v>5</v>
      </c>
      <c r="IR29" t="str">
        <f t="shared" si="90"/>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T29" t="b">
        <f>IF($DA$29="",FALSE,SUMPRODUCT(('Final Calculation Sheet'!$S$4:$S$40=$DA$29)*($IS$6:$IS$42=1))&gt;0)</f>
        <v>1</v>
      </c>
      <c r="IU29">
        <f>$IU$28+--($IT29)</f>
        <v>26</v>
      </c>
      <c r="IV29">
        <f t="shared" si="91"/>
        <v>258831</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IX29" t="b">
        <f>IF($DF$29="",FALSE,SUMPRODUCT(('Final Calculation Sheet'!$T$4:$T$40=$DF$29)*($IW$6:$IW$42=1))&gt;0)</f>
        <v>1</v>
      </c>
      <c r="IY29">
        <f>$IY$28+--($IX29)</f>
        <v>26</v>
      </c>
      <c r="IZ29">
        <f t="shared" si="92"/>
        <v>55000</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B29" t="b">
        <f>IF($DK$29="",FALSE,SUMPRODUCT(('Final Calculation Sheet'!$U$4:$U$40=$DK$29)*($JA$6:$JA$42=1))&gt;0)</f>
        <v>1</v>
      </c>
      <c r="JC29">
        <f>$JC$28+--($JB29)</f>
        <v>26</v>
      </c>
      <c r="JD29">
        <f t="shared" si="93"/>
        <v>55000</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F29" t="b">
        <f>IF($DP$29="",FALSE,SUMPRODUCT(('Final Calculation Sheet'!$V$4:$V$40=$DP$29)*($JE$6:$JE$42=1))&gt;0)</f>
        <v>0</v>
      </c>
      <c r="JG29">
        <f>$JG$28+--($JF29)</f>
        <v>6</v>
      </c>
      <c r="JH29" t="str">
        <f t="shared" si="94"/>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J29" t="b">
        <f>IF($DU$29="",FALSE,SUMPRODUCT(('Final Calculation Sheet'!$W$4:$W$40=$DU$29)*($JI$6:$JI$42=1))&gt;0)</f>
        <v>1</v>
      </c>
      <c r="JK29">
        <f>$JK$28+--($JJ29)</f>
        <v>26</v>
      </c>
      <c r="JL29">
        <f t="shared" si="95"/>
        <v>203831</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N29" t="e">
        <f>IF($DZ$29="",FALSE,SUMPRODUCT(('Final Calculation Sheet'!$X$4:$X$40=$DZ$29)*($JM$6:$JM$42=1))&gt;0)</f>
        <v>#N/A</v>
      </c>
      <c r="JO29" t="e">
        <f>$JO$28+--($JN29)</f>
        <v>#N/A</v>
      </c>
      <c r="JP29" t="e">
        <f t="shared" si="96"/>
        <v>#N/A</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R29" t="e">
        <f>IF($EE$29="",FALSE,SUMPRODUCT(('Final Calculation Sheet'!$Y$4:$Y$40=$EE$29)*($JQ$6:$JQ$42=1))&gt;0)</f>
        <v>#N/A</v>
      </c>
      <c r="JS29" t="e">
        <f>$JS$28+--($JR29)</f>
        <v>#N/A</v>
      </c>
      <c r="JT29" t="e">
        <f t="shared" si="97"/>
        <v>#N/A</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V29" t="b">
        <f ca="1">IF($EJ$29="",FALSE,SUMPRODUCT(('Final Calculation Sheet'!$Z$4:$Z$40=$EJ$29)*($JU$6:$JU$42=1))&gt;0)</f>
        <v>1</v>
      </c>
      <c r="JW29">
        <f ca="1">$JW$28+--($JV29)</f>
        <v>26</v>
      </c>
      <c r="JX29">
        <f t="shared" ca="1" si="98"/>
        <v>7788.0353999999988</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JZ29" t="e">
        <f>IF($EO$29="",FALSE,SUMPRODUCT(('Final Calculation Sheet'!$AA$4:$AA$40=$EO$29)*($JY$6:$JY$42=1))&gt;0)</f>
        <v>#N/A</v>
      </c>
      <c r="KA29" t="e">
        <f>$KA$28+--($JZ29)</f>
        <v>#N/A</v>
      </c>
      <c r="KB29" t="e">
        <f t="shared" si="99"/>
        <v>#N/A</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D29" t="e">
        <f>IF($ET$29="",FALSE,SUMPRODUCT(('Final Calculation Sheet'!$AB$4:$AB$40=$ET$29)*($KC$6:$KC$42=1))&gt;0)</f>
        <v>#N/A</v>
      </c>
      <c r="KE29" t="e">
        <f>$KE$28+--($KD29)</f>
        <v>#N/A</v>
      </c>
      <c r="KF29" t="e">
        <f t="shared" si="100"/>
        <v>#N/A</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H29" t="b">
        <f>IF($EY$29="",FALSE,SUMPRODUCT(('Final Calculation Sheet'!$AC$4:$AC$40=$EY$29)*($KG$6:$KG$42=1))&gt;0)</f>
        <v>1</v>
      </c>
      <c r="KI29">
        <f>$KI$28+--($KH29)</f>
        <v>26</v>
      </c>
      <c r="KJ29">
        <f t="shared" si="101"/>
        <v>247066</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L29" t="b">
        <f>IF($FD$29="",FALSE,SUMPRODUCT(('Final Calculation Sheet'!$AD$4:$AD$40=$FD$29)*($KK$6:$KK$42=1))&gt;0)</f>
        <v>0</v>
      </c>
      <c r="KM29">
        <f>$KM$28+--($KL29)</f>
        <v>11</v>
      </c>
      <c r="KN29" t="str">
        <f t="shared" si="102"/>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P29" t="b">
        <f>IF($FX$29="",FALSE,SUMPRODUCT((IF('Final Calculation Sheet'!$AD$4:$AD$40&lt;=5,"SETTLED","OUTSTANDING")=$FX$29)*($KO$6:$KO$42=1))&gt;0)</f>
        <v>0</v>
      </c>
      <c r="KQ29">
        <f>$KQ$28+--($KP29)</f>
        <v>1</v>
      </c>
      <c r="KR29" t="str">
        <f t="shared" si="103"/>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T29" t="e">
        <f>IF($FI$29="",FALSE,SUMPRODUCT(('Final Calculation Sheet'!$AF$4:$AF$40=$FI$29)*($KS$6:$KS$42=1))&gt;0)</f>
        <v>#N/A</v>
      </c>
      <c r="KU29" t="e">
        <f>$KU$28+--($KT29)</f>
        <v>#N/A</v>
      </c>
      <c r="KV29" t="e">
        <f t="shared" si="104"/>
        <v>#N/A</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KX29" t="e">
        <f>IF($FN$29="",FALSE,SUMPRODUCT(('Final Calculation Sheet'!$AG$4:$AG$40=$FN$29)*($KW$6:$KW$42=1))&gt;0)</f>
        <v>#N/A</v>
      </c>
      <c r="KY29" t="e">
        <f>$KY$28+--($KX29)</f>
        <v>#N/A</v>
      </c>
      <c r="KZ29" t="e">
        <f t="shared" si="105"/>
        <v>#N/A</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LB29" t="e">
        <f>IF($FS$29="",FALSE,SUMPRODUCT(('Final Calculation Sheet'!$AH$4:$AH$40=$FS$29)*($LA$6:$LA$42=1))&gt;0)</f>
        <v>#N/A</v>
      </c>
      <c r="LC29" t="e">
        <f>$LC$28+--($LB29)</f>
        <v>#N/A</v>
      </c>
      <c r="LD29" t="e">
        <f t="shared" si="106"/>
        <v>#N/A</v>
      </c>
      <c r="LE29">
        <f>IF(COUNTIF('Buyer Groups'!DH29:EN29,0)&gt;0,0,1)</f>
        <v>1</v>
      </c>
      <c r="LF29" t="b">
        <f>IF($O$29="",FALSE,SUMPRODUCT(('Final Calculation Sheet'!$F$4:$F$40=$O$29)*($LE$6:$LE$42=1))&gt;0)</f>
        <v>1</v>
      </c>
      <c r="LG29">
        <f>$LG$28+--($LF29)</f>
        <v>26</v>
      </c>
      <c r="LH29">
        <f t="shared" si="107"/>
        <v>2040</v>
      </c>
      <c r="LI29">
        <f>IF(COUNTIF('Buyer Groups'!DG29:DG29,0)+COUNTIF('Buyer Groups'!DI29:EN29,0)&gt;0,0,1)</f>
        <v>1</v>
      </c>
      <c r="LJ29" t="b">
        <f>IF($T$29="",FALSE,SUMPRODUCT(('Final Calculation Sheet'!$G$4:$G$40=$T$29)*($LI$6:$LI$42=1))&gt;0)</f>
        <v>0</v>
      </c>
      <c r="LK29">
        <f>$LK$28+--($LJ29)</f>
        <v>13</v>
      </c>
      <c r="LL29" t="str">
        <f t="shared" si="108"/>
        <v/>
      </c>
      <c r="LM29">
        <f>IF(COUNTIF('Buyer Groups'!DG29:DH29,0)+COUNTIF('Buyer Groups'!DJ29:EN29,0)&gt;0,0,1)</f>
        <v>1</v>
      </c>
      <c r="LN29" t="b">
        <f>IF($Y$29="",FALSE,SUMPRODUCT(('Final Calculation Sheet'!$B$4:$B$40=$Y$29)*($LM$6:$LM$42=1))&gt;0)</f>
        <v>0</v>
      </c>
      <c r="LO29">
        <f>$LO$28+--($LN29)</f>
        <v>25</v>
      </c>
      <c r="LP29" t="str">
        <f t="shared" si="109"/>
        <v/>
      </c>
      <c r="LQ29">
        <f>IF(COUNTIF('Buyer Groups'!DG29:DI29,0)+COUNTIF('Buyer Groups'!DK29:EN29,0)&gt;0,0,1)</f>
        <v>1</v>
      </c>
      <c r="LR29" t="b">
        <f>IF($AD$29="",FALSE,SUMPRODUCT(('Final Calculation Sheet'!$D$4:$D$40=$AD$29)*($LQ$6:$LQ$42=1))&gt;0)</f>
        <v>0</v>
      </c>
      <c r="LS29">
        <f>$LS$28+--($LR29)</f>
        <v>4</v>
      </c>
      <c r="LT29" t="str">
        <f t="shared" si="110"/>
        <v/>
      </c>
      <c r="LU29">
        <f>IF(COUNTIF('Buyer Groups'!DG29:DJ29,0)+COUNTIF('Buyer Groups'!DL29:EN29,0)&gt;0,0,1)</f>
        <v>1</v>
      </c>
      <c r="LV29" t="b">
        <f>IF($AI$29="",FALSE,SUMPRODUCT(('Final Calculation Sheet'!$A$4:$A$40=$AI$29)*($LU$6:$LU$42=1))&gt;0)</f>
        <v>0</v>
      </c>
      <c r="LW29">
        <f>$LW$28+--($LV29)</f>
        <v>22</v>
      </c>
      <c r="LX29" t="str">
        <f t="shared" si="111"/>
        <v/>
      </c>
      <c r="LY29">
        <f>IF(COUNTIF('Buyer Groups'!DG29:DK29,0)+COUNTIF('Buyer Groups'!DM29:EN29,0)&gt;0,0,1)</f>
        <v>1</v>
      </c>
      <c r="LZ29" t="b">
        <f>IF($AN$29="",FALSE,SUMPRODUCT(('Final Calculation Sheet'!$E$4:$E$40=$AN$29)*($LY$6:$LY$42=1))&gt;0)</f>
        <v>0</v>
      </c>
      <c r="MA29">
        <f>$MA$28+--($LZ29)</f>
        <v>3</v>
      </c>
      <c r="MB29" t="str">
        <f t="shared" si="112"/>
        <v/>
      </c>
      <c r="MC29">
        <f>IF(COUNTIF('Buyer Groups'!DG29:DL29,0)+COUNTIF('Buyer Groups'!DN29:EN29,0)&gt;0,0,1)</f>
        <v>1</v>
      </c>
      <c r="MD29" t="b">
        <f>IF($AS$29="",FALSE,SUMPRODUCT(('Final Calculation Sheet'!$C$4:$C$40=$AS$29)*($MC$6:$MC$42=1))&gt;0)</f>
        <v>1</v>
      </c>
      <c r="ME29">
        <f>$ME$28+--($MD29)</f>
        <v>26</v>
      </c>
      <c r="MF29">
        <f t="shared" si="113"/>
        <v>70006</v>
      </c>
      <c r="MG29">
        <f>IF(COUNTIF('Buyer Groups'!DG29:DM29,0)+COUNTIF('Buyer Groups'!DO29:EN29,0)&gt;0,0,1)</f>
        <v>1</v>
      </c>
      <c r="MH29" t="b">
        <f>IF($AX$29="",FALSE,SUMPRODUCT(('Final Calculation Sheet'!$H$4:$H$40=$AX$29)*($MG$6:$MG$42=1))&gt;0)</f>
        <v>1</v>
      </c>
      <c r="MI29">
        <f>$MI$28+--($MH29)</f>
        <v>26</v>
      </c>
      <c r="MJ29">
        <f t="shared" si="114"/>
        <v>220001</v>
      </c>
      <c r="MK29">
        <f>IF(COUNTIF('Buyer Groups'!DG29:DN29,0)+COUNTIF('Buyer Groups'!DP29:EN29,0)&gt;0,0,1)</f>
        <v>1</v>
      </c>
      <c r="ML29" t="b">
        <f>IF($BC$29="",FALSE,SUMPRODUCT(('Final Calculation Sheet'!$I$4:$I$40=$BC$29)*($MK$6:$MK$42=1))&gt;0)</f>
        <v>1</v>
      </c>
      <c r="MM29">
        <f>$MM$28+--($ML29)</f>
        <v>26</v>
      </c>
      <c r="MN29">
        <f t="shared" si="115"/>
        <v>39600</v>
      </c>
      <c r="MO29">
        <f>IF(COUNTIF('Buyer Groups'!DG29:DO29,0)+COUNTIF('Buyer Groups'!DQ29:EN29,0)&gt;0,0,1)</f>
        <v>1</v>
      </c>
      <c r="MP29" t="b">
        <f>IF($BH$29="",FALSE,SUMPRODUCT(('Final Calculation Sheet'!$J$4:$J$40=$BH$29)*($MO$6:$MO$42=1))&gt;0)</f>
        <v>1</v>
      </c>
      <c r="MQ29">
        <f>$MQ$28+--($MP29)</f>
        <v>26</v>
      </c>
      <c r="MR29">
        <f t="shared" si="116"/>
        <v>259601</v>
      </c>
      <c r="MS29">
        <f>IF(COUNTIF('Buyer Groups'!DG29:DP29,0)+COUNTIF('Buyer Groups'!DR29:EN29,0)&gt;0,0,1)</f>
        <v>1</v>
      </c>
      <c r="MT29" t="b">
        <f>IF($BM$29="",FALSE,SUMPRODUCT(('Final Calculation Sheet'!$K$4:$K$40=$BM$29)*($MS$6:$MS$42=1))&gt;0)</f>
        <v>1</v>
      </c>
      <c r="MU29">
        <f>$MU$28+--($MT29)</f>
        <v>26</v>
      </c>
      <c r="MV29">
        <f t="shared" si="117"/>
        <v>5929</v>
      </c>
      <c r="MW29">
        <f>IF(COUNTIF('Buyer Groups'!DG29:DQ29,0)+COUNTIF('Buyer Groups'!DS29:EN29,0)&gt;0,0,1)</f>
        <v>1</v>
      </c>
      <c r="MX29" t="b">
        <f>IF($BR$29="",FALSE,SUMPRODUCT(('Final Calculation Sheet'!$L$4:$L$40=$BR$29)*($MW$6:$MW$42=1))&gt;0)</f>
        <v>1</v>
      </c>
      <c r="MY29">
        <f>$MY$28+--($MX29)</f>
        <v>26</v>
      </c>
      <c r="MZ29">
        <f t="shared" si="118"/>
        <v>220.001</v>
      </c>
      <c r="NA29">
        <f>IF(COUNTIF('Buyer Groups'!DG29:DR29,0)+COUNTIF('Buyer Groups'!DT29:EN29,0)&gt;0,0,1)</f>
        <v>1</v>
      </c>
      <c r="NB29" t="b">
        <f>IF($BW$29="",FALSE,SUMPRODUCT(('Final Calculation Sheet'!$M$4:$M$40=$BW$29)*($NA$6:$NA$42=1))&gt;0)</f>
        <v>1</v>
      </c>
      <c r="NC29">
        <f>$NC$28+--($NB29)</f>
        <v>26</v>
      </c>
      <c r="ND29">
        <f t="shared" si="119"/>
        <v>5841.0265499999996</v>
      </c>
      <c r="NE29">
        <f>IF(COUNTIF('Buyer Groups'!DG29:DS29,0)+COUNTIF('Buyer Groups'!DU29:EN29,0)&gt;0,0,1)</f>
        <v>1</v>
      </c>
      <c r="NF29" t="b">
        <f>IF($CB$29="",FALSE,SUMPRODUCT(('Final Calculation Sheet'!$N$4:$N$40=$CB$29)*($NE$6:$NE$42=1))&gt;0)</f>
        <v>1</v>
      </c>
      <c r="NG29">
        <f>$NG$28+--($NF29)</f>
        <v>26</v>
      </c>
      <c r="NH29">
        <f t="shared" si="120"/>
        <v>99.000450000000001</v>
      </c>
      <c r="NI29">
        <f>IF(COUNTIF('Buyer Groups'!DG29:DT29,0)+COUNTIF('Buyer Groups'!DV29:EN29,0)&gt;0,0,1)</f>
        <v>1</v>
      </c>
      <c r="NJ29" t="b">
        <f>IF($CG$29="",FALSE,SUMPRODUCT(('Final Calculation Sheet'!$O$4:$O$40=$CG$29)*($NI$6:$NI$42=1))&gt;0)</f>
        <v>1</v>
      </c>
      <c r="NK29">
        <f>$NK$28+--($NJ29)</f>
        <v>26</v>
      </c>
      <c r="NL29">
        <f t="shared" si="121"/>
        <v>5742.0260999999991</v>
      </c>
      <c r="NM29">
        <f>IF(COUNTIF('Buyer Groups'!DG29:DU29,0)+COUNTIF('Buyer Groups'!DW29:EN29,0)&gt;0,0,1)</f>
        <v>1</v>
      </c>
      <c r="NN29" t="b">
        <f>IF($CL$29="",FALSE,SUMPRODUCT(('Final Calculation Sheet'!$P$4:$P$40=$CL$29)*($NM$6:$NM$42=1))&gt;0)</f>
        <v>1</v>
      </c>
      <c r="NO29">
        <f>$NO$28+--($NN29)</f>
        <v>26</v>
      </c>
      <c r="NP29">
        <f t="shared" si="122"/>
        <v>6808</v>
      </c>
      <c r="NQ29">
        <f>IF(COUNTIF('Buyer Groups'!DG29:DV29,0)+COUNTIF('Buyer Groups'!DX29:EN29,0)&gt;0,0,1)</f>
        <v>1</v>
      </c>
      <c r="NR29" t="b">
        <f>IF($CQ$29="",FALSE,SUMPRODUCT(('Final Calculation Sheet'!$Q$4:$Q$40=$CQ$29)*($NQ$6:$NQ$42=1))&gt;0)</f>
        <v>0</v>
      </c>
      <c r="NS29">
        <f>$NS$28+--($NR29)</f>
        <v>2</v>
      </c>
      <c r="NT29" t="str">
        <f t="shared" si="123"/>
        <v/>
      </c>
      <c r="NU29">
        <f>IF(COUNTIF('Buyer Groups'!DG29:DW29,0)+COUNTIF('Buyer Groups'!DY29:EN29,0)&gt;0,0,1)</f>
        <v>1</v>
      </c>
      <c r="NV29" t="b">
        <f>IF($CV$29="",FALSE,SUMPRODUCT(('Final Calculation Sheet'!$R$4:$R$40=$CV$29)*($NU$6:$NU$42=1))&gt;0)</f>
        <v>0</v>
      </c>
      <c r="NW29">
        <f>$NW$28+--($NV29)</f>
        <v>5</v>
      </c>
      <c r="NX29" t="str">
        <f t="shared" si="124"/>
        <v/>
      </c>
      <c r="NY29">
        <f>IF(COUNTIF('Buyer Groups'!DG29:DX29,0)+COUNTIF('Buyer Groups'!DZ29:EN29,0)&gt;0,0,1)</f>
        <v>1</v>
      </c>
      <c r="NZ29" t="b">
        <f>IF($DA$29="",FALSE,SUMPRODUCT(('Final Calculation Sheet'!$S$4:$S$40=$DA$29)*($NY$6:$NY$42=1))&gt;0)</f>
        <v>1</v>
      </c>
      <c r="OA29">
        <f>$OA$28+--($NZ29)</f>
        <v>26</v>
      </c>
      <c r="OB29">
        <f t="shared" si="125"/>
        <v>258831</v>
      </c>
      <c r="OC29">
        <f>IF(COUNTIF('Buyer Groups'!DG29:DY29,0)+COUNTIF('Buyer Groups'!EA29:EN29,0)&gt;0,0,1)</f>
        <v>1</v>
      </c>
      <c r="OD29" t="b">
        <f>IF($DF$29="",FALSE,SUMPRODUCT(('Final Calculation Sheet'!$T$4:$T$40=$DF$29)*($OC$6:$OC$42=1))&gt;0)</f>
        <v>1</v>
      </c>
      <c r="OE29">
        <f>$OE$28+--($OD29)</f>
        <v>26</v>
      </c>
      <c r="OF29">
        <f t="shared" si="126"/>
        <v>55000</v>
      </c>
      <c r="OG29">
        <f>IF(COUNTIF('Buyer Groups'!DG29:DZ29,0)+COUNTIF('Buyer Groups'!EB29:EN29,0)&gt;0,0,1)</f>
        <v>1</v>
      </c>
      <c r="OH29" t="b">
        <f>IF($DK$29="",FALSE,SUMPRODUCT(('Final Calculation Sheet'!$U$4:$U$40=$DK$29)*($OG$6:$OG$42=1))&gt;0)</f>
        <v>1</v>
      </c>
      <c r="OI29">
        <f>$OI$28+--($OH29)</f>
        <v>26</v>
      </c>
      <c r="OJ29">
        <f t="shared" si="127"/>
        <v>55000</v>
      </c>
      <c r="OK29">
        <f>IF(COUNTIF('Buyer Groups'!DG29:EA29,0)+COUNTIF('Buyer Groups'!EC29:EN29,0)&gt;0,0,1)</f>
        <v>1</v>
      </c>
      <c r="OL29" t="b">
        <f>IF($DP$29="",FALSE,SUMPRODUCT(('Final Calculation Sheet'!$V$4:$V$40=$DP$29)*($OK$6:$OK$42=1))&gt;0)</f>
        <v>0</v>
      </c>
      <c r="OM29">
        <f>$OM$28+--($OL29)</f>
        <v>6</v>
      </c>
      <c r="ON29" t="str">
        <f t="shared" si="128"/>
        <v/>
      </c>
      <c r="OO29">
        <f>IF(COUNTIF('Buyer Groups'!DG29:EB29,0)+COUNTIF('Buyer Groups'!ED29:EN29,0)&gt;0,0,1)</f>
        <v>1</v>
      </c>
      <c r="OP29" t="b">
        <f>IF($DU$29="",FALSE,SUMPRODUCT(('Final Calculation Sheet'!$W$4:$W$40=$DU$29)*($OO$6:$OO$42=1))&gt;0)</f>
        <v>1</v>
      </c>
      <c r="OQ29">
        <f>$OQ$28+--($OP29)</f>
        <v>26</v>
      </c>
      <c r="OR29">
        <f t="shared" si="129"/>
        <v>203831</v>
      </c>
      <c r="OS29">
        <f>IF(COUNTIF('Buyer Groups'!DG29:EC29,0)+COUNTIF('Buyer Groups'!EE29:EN29,0)&gt;0,0,1)</f>
        <v>1</v>
      </c>
      <c r="OT29" t="e">
        <f>IF($DZ$29="",FALSE,SUMPRODUCT(('Final Calculation Sheet'!$X$4:$X$40=$DZ$29)*($OS$6:$OS$42=1))&gt;0)</f>
        <v>#N/A</v>
      </c>
      <c r="OU29" t="e">
        <f>$OU$28+--($OT29)</f>
        <v>#N/A</v>
      </c>
      <c r="OV29" t="e">
        <f t="shared" si="130"/>
        <v>#N/A</v>
      </c>
      <c r="OW29">
        <f>IF(COUNTIF('Buyer Groups'!DG29:ED29,0)+COUNTIF('Buyer Groups'!EF29:EN29,0)&gt;0,0,1)</f>
        <v>1</v>
      </c>
      <c r="OX29" t="e">
        <f>IF($EE$29="",FALSE,SUMPRODUCT(('Final Calculation Sheet'!$Y$4:$Y$40=$EE$29)*($OW$6:$OW$42=1))&gt;0)</f>
        <v>#N/A</v>
      </c>
      <c r="OY29" t="e">
        <f>$OY$28+--($OX29)</f>
        <v>#N/A</v>
      </c>
      <c r="OZ29" t="e">
        <f t="shared" si="131"/>
        <v>#N/A</v>
      </c>
      <c r="PA29">
        <f>IF(COUNTIF('Buyer Groups'!DG29:EE29,0)+COUNTIF('Buyer Groups'!EG29:EN29,0)&gt;0,0,1)</f>
        <v>1</v>
      </c>
      <c r="PB29" t="b">
        <f ca="1">IF($EJ$29="",FALSE,SUMPRODUCT(('Final Calculation Sheet'!$Z$4:$Z$40=$EJ$29)*($PA$6:$PA$42=1))&gt;0)</f>
        <v>1</v>
      </c>
      <c r="PC29">
        <f ca="1">$PC$28+--($PB29)</f>
        <v>26</v>
      </c>
      <c r="PD29">
        <f t="shared" ca="1" si="132"/>
        <v>7788.0353999999988</v>
      </c>
      <c r="PE29">
        <f>IF(COUNTIF('Buyer Groups'!DG29:EF29,0)+COUNTIF('Buyer Groups'!EH29:EN29,0)&gt;0,0,1)</f>
        <v>1</v>
      </c>
      <c r="PF29" t="e">
        <f>IF($EO$29="",FALSE,SUMPRODUCT(('Final Calculation Sheet'!$AA$4:$AA$40=$EO$29)*($PE$6:$PE$42=1))&gt;0)</f>
        <v>#N/A</v>
      </c>
      <c r="PG29" t="e">
        <f>$PG$28+--($PF29)</f>
        <v>#N/A</v>
      </c>
      <c r="PH29" t="e">
        <f t="shared" si="133"/>
        <v>#N/A</v>
      </c>
      <c r="PI29">
        <f>IF(COUNTIF('Buyer Groups'!DG29:EG29,0)+COUNTIF('Buyer Groups'!EI29:EN29,0)&gt;0,0,1)</f>
        <v>1</v>
      </c>
      <c r="PJ29" t="e">
        <f>IF($ET$29="",FALSE,SUMPRODUCT(('Final Calculation Sheet'!$AB$4:$AB$40=$ET$29)*($PI$6:$PI$42=1))&gt;0)</f>
        <v>#N/A</v>
      </c>
      <c r="PK29" t="e">
        <f>$PK$28+--($PJ29)</f>
        <v>#N/A</v>
      </c>
      <c r="PL29" t="e">
        <f t="shared" si="134"/>
        <v>#N/A</v>
      </c>
      <c r="PM29">
        <f>IF(COUNTIF('Buyer Groups'!DG29:EH29,0)+COUNTIF('Buyer Groups'!EJ29:EN29,0)&gt;0,0,1)</f>
        <v>1</v>
      </c>
      <c r="PN29" t="b">
        <f>IF($EY$29="",FALSE,SUMPRODUCT(('Final Calculation Sheet'!$AC$4:$AC$40=$EY$29)*($PM$6:$PM$42=1))&gt;0)</f>
        <v>1</v>
      </c>
      <c r="PO29">
        <f>$PO$28+--($PN29)</f>
        <v>26</v>
      </c>
      <c r="PP29">
        <f t="shared" si="135"/>
        <v>247066</v>
      </c>
      <c r="PQ29">
        <f>IF(COUNTIF('Buyer Groups'!DG29:EI29,0)+COUNTIF('Buyer Groups'!EK29:EN29,0)&gt;0,0,1)</f>
        <v>1</v>
      </c>
      <c r="PR29" t="b">
        <f>IF($FD$29="",FALSE,SUMPRODUCT(('Final Calculation Sheet'!$AD$4:$AD$40=$FD$29)*($PQ$6:$PQ$42=1))&gt;0)</f>
        <v>0</v>
      </c>
      <c r="PS29">
        <f>$PS$28+--($PR29)</f>
        <v>11</v>
      </c>
      <c r="PT29" t="str">
        <f t="shared" si="136"/>
        <v/>
      </c>
      <c r="PU29">
        <f>IF(COUNTIF('Buyer Groups'!DG29:EJ29,0)+COUNTIF('Buyer Groups'!EL29:EN29,0)&gt;0,0,1)</f>
        <v>1</v>
      </c>
      <c r="PV29" t="b">
        <f>IF($FX$29="",FALSE,SUMPRODUCT((IF('Final Calculation Sheet'!$AD$4:$AD$40&lt;=5,"SETTLED","OUTSTANDING")=$FX$29)*($PU$6:$PU$42=1))&gt;0)</f>
        <v>0</v>
      </c>
      <c r="PW29">
        <f>$PW$28+--($PV29)</f>
        <v>1</v>
      </c>
      <c r="PX29" t="str">
        <f t="shared" si="137"/>
        <v/>
      </c>
      <c r="PY29">
        <f>IF(COUNTIF('Buyer Groups'!DG29:EK29,0)+COUNTIF('Buyer Groups'!EM29:EN29,0)&gt;0,0,1)</f>
        <v>1</v>
      </c>
      <c r="PZ29" t="e">
        <f>IF($FI$29="",FALSE,SUMPRODUCT(('Final Calculation Sheet'!$AF$4:$AF$40=$FI$29)*($PY$6:$PY$42=1))&gt;0)</f>
        <v>#N/A</v>
      </c>
      <c r="QA29" t="e">
        <f>$QA$28+--($PZ29)</f>
        <v>#N/A</v>
      </c>
      <c r="QB29" t="e">
        <f t="shared" si="138"/>
        <v>#N/A</v>
      </c>
      <c r="QC29">
        <f>IF(COUNTIF('Buyer Groups'!DG29:EL29,0)+COUNTIF('Buyer Groups'!EN29:EN29,0)&gt;0,0,1)</f>
        <v>1</v>
      </c>
      <c r="QD29" t="e">
        <f>IF($FN$29="",FALSE,SUMPRODUCT(('Final Calculation Sheet'!$AG$4:$AG$40=$FN$29)*($QC$6:$QC$42=1))&gt;0)</f>
        <v>#N/A</v>
      </c>
      <c r="QE29" t="e">
        <f>$QE$28+--($QD29)</f>
        <v>#N/A</v>
      </c>
      <c r="QF29" t="e">
        <f t="shared" si="139"/>
        <v>#N/A</v>
      </c>
      <c r="QG29">
        <f>IF(COUNTIF('Buyer Groups'!DG29:EM29,0)&gt;0,0,1)</f>
        <v>1</v>
      </c>
      <c r="QH29" t="e">
        <f>IF($FS$29="",FALSE,SUMPRODUCT(('Final Calculation Sheet'!$AH$4:$AH$40=$FS$29)*($QG$6:$QG$42=1))&gt;0)</f>
        <v>#N/A</v>
      </c>
      <c r="QI29" t="e">
        <f>$QI$28+--($QH29)</f>
        <v>#N/A</v>
      </c>
      <c r="QJ29" t="e">
        <f t="shared" si="140"/>
        <v>#N/A</v>
      </c>
      <c r="QK29" t="str">
        <f>IF('Final Calculation Sheet'!$AH$29="","",'Final Calculation Sheet'!$AH$29)</f>
        <v/>
      </c>
      <c r="QL29" t="str">
        <f>IF(QK29="","",COUNTIFS(QK$4:QK$40,"&lt;"&amp;QK29,QK$4:QK$40,"&lt;&gt;"&amp;"")+COUNTIF(QK$4:QK29,QK29))</f>
        <v/>
      </c>
      <c r="QM29" t="str">
        <f t="shared" si="141"/>
        <v>27.08.2026</v>
      </c>
      <c r="QN29" t="e">
        <f ca="1">QN28+F(AND(QM29&lt;&gt;"",COUNTIF(QM$4:QM29,QM29)=1),1,0)</f>
        <v>#N/A</v>
      </c>
      <c r="QO29" t="e">
        <f t="shared" si="142"/>
        <v>#N/A</v>
      </c>
      <c r="QP29">
        <f>IF(COUNTIF('Final Calculation Sheet'!$AM29:$BS29,0)&gt;0,0,1)</f>
        <v>1</v>
      </c>
      <c r="QQ29" t="b">
        <f>IF($AI$29="",FALSE,SUMPRODUCT(('Final Calculation Sheet'!$A$4:$A$40=$AI$29)*($QP$4:$QP$40=1))&gt;0)</f>
        <v>0</v>
      </c>
      <c r="QR29">
        <f t="shared" si="177"/>
        <v>22</v>
      </c>
      <c r="QS29" t="str">
        <f t="shared" si="143"/>
        <v/>
      </c>
      <c r="QT29">
        <f>IF(COUNTIF('Final Calculation Sheet'!$AL29:$AL29,0)+COUNTIF('Final Calculation Sheet'!$AN29:$BS29,0)&gt;0,0,1)</f>
        <v>1</v>
      </c>
      <c r="QU29" t="b">
        <f>IF($Y$29="",FALSE,SUMPRODUCT(('Final Calculation Sheet'!$B$4:$B$40=$Y$29)*($QT$4:$QT$40=1))&gt;0)</f>
        <v>0</v>
      </c>
      <c r="QV29">
        <f t="shared" si="178"/>
        <v>25</v>
      </c>
      <c r="QW29" t="str">
        <f t="shared" si="144"/>
        <v/>
      </c>
      <c r="QX29">
        <f>IF(COUNTIF('Final Calculation Sheet'!$AL29:$AM29,0)+COUNTIF('Final Calculation Sheet'!$AO29:$BS29,0)&gt;0,0,1)</f>
        <v>1</v>
      </c>
      <c r="QY29" t="b">
        <f>IF($AS$29="",FALSE,SUMPRODUCT(('Final Calculation Sheet'!$C$4:$C$40=$AS$29)*($QX$4:$QX$40=1))&gt;0)</f>
        <v>1</v>
      </c>
      <c r="QZ29">
        <f t="shared" si="179"/>
        <v>26</v>
      </c>
      <c r="RA29">
        <f t="shared" si="145"/>
        <v>70006</v>
      </c>
      <c r="RB29">
        <f>IF(COUNTIF('Final Calculation Sheet'!$AL29:$AN29,0)+COUNTIF('Final Calculation Sheet'!$AP29:$BS29,0)&gt;0,0,1)</f>
        <v>1</v>
      </c>
      <c r="RC29" t="b">
        <f>IF($AD$29="",FALSE,SUMPRODUCT(('Final Calculation Sheet'!$D$4:$D$40=$AD$29)*($RB$4:$RB$40=1))&gt;0)</f>
        <v>0</v>
      </c>
      <c r="RD29">
        <f t="shared" si="180"/>
        <v>4</v>
      </c>
      <c r="RE29" t="str">
        <f t="shared" si="146"/>
        <v/>
      </c>
      <c r="RF29">
        <f>IF(COUNTIF('Final Calculation Sheet'!$AL29:$AO29,0)+COUNTIF('Final Calculation Sheet'!$AQ29:$BS29,0)&gt;0,0,1)</f>
        <v>1</v>
      </c>
      <c r="RG29" t="b">
        <f>IF($AN$29="",FALSE,SUMPRODUCT(('Final Calculation Sheet'!$E$4:$E$40=$AN$29)*($RF$4:$RF$40=1))&gt;0)</f>
        <v>0</v>
      </c>
      <c r="RH29">
        <f t="shared" si="181"/>
        <v>3</v>
      </c>
      <c r="RI29" t="str">
        <f t="shared" si="147"/>
        <v/>
      </c>
      <c r="RJ29">
        <f>IF(COUNTIF('Final Calculation Sheet'!$AL29:$AP29,0)+COUNTIF('Final Calculation Sheet'!$AR29:$BS29,0)&gt;0,0,1)</f>
        <v>1</v>
      </c>
      <c r="RK29" t="b">
        <f>IF($O$29="",FALSE,SUMPRODUCT(('Final Calculation Sheet'!$F$4:$F$40=$O$29)*($RJ$4:$RJ$40=1))&gt;0)</f>
        <v>1</v>
      </c>
      <c r="RL29">
        <f t="shared" si="182"/>
        <v>26</v>
      </c>
      <c r="RM29">
        <f t="shared" si="148"/>
        <v>2040</v>
      </c>
      <c r="RN29">
        <f>IF(COUNTIF('Final Calculation Sheet'!$AL29:$AQ29,0)+COUNTIF('Final Calculation Sheet'!$AS29:$BS29,0)&gt;0,0,1)</f>
        <v>1</v>
      </c>
      <c r="RO29" t="b">
        <f>IF($T$29="",FALSE,SUMPRODUCT(('Final Calculation Sheet'!$G$4:$G$40=$T$29)*($RN$4:$RN$40=1))&gt;0)</f>
        <v>0</v>
      </c>
      <c r="RP29">
        <f t="shared" si="183"/>
        <v>13</v>
      </c>
      <c r="RQ29" t="str">
        <f t="shared" si="149"/>
        <v/>
      </c>
      <c r="RR29">
        <f>IF(COUNTIF('Final Calculation Sheet'!$AL29:$AR29,0)+COUNTIF('Final Calculation Sheet'!$AT29:$BS29,0)&gt;0,0,1)</f>
        <v>1</v>
      </c>
      <c r="RS29" t="b">
        <f>IF($AX$29="",FALSE,SUMPRODUCT(('Final Calculation Sheet'!$H$4:$H$40=$AX$29)*($RR$4:$RR$40=1))&gt;0)</f>
        <v>1</v>
      </c>
      <c r="RT29">
        <f t="shared" si="184"/>
        <v>26</v>
      </c>
      <c r="RU29">
        <f t="shared" si="150"/>
        <v>220001</v>
      </c>
      <c r="RV29">
        <f>IF(COUNTIF('Final Calculation Sheet'!$AL29:$AS29,0)+COUNTIF('Final Calculation Sheet'!$AU29:$BS29,0)&gt;0,0,1)</f>
        <v>1</v>
      </c>
      <c r="RW29" t="b">
        <f>IF($BC$29="",FALSE,SUMPRODUCT(('Final Calculation Sheet'!$I$4:$I$40=$BC$29)*($RV$4:$RV$40=1))&gt;0)</f>
        <v>1</v>
      </c>
      <c r="RX29">
        <f t="shared" si="185"/>
        <v>26</v>
      </c>
      <c r="RY29">
        <f t="shared" si="151"/>
        <v>39600</v>
      </c>
      <c r="RZ29">
        <f>IF(COUNTIF('Final Calculation Sheet'!$AL29:$AT29,0)+COUNTIF('Final Calculation Sheet'!$AV29:$BS29,0)&gt;0,0,1)</f>
        <v>1</v>
      </c>
      <c r="SA29" t="b">
        <f>IF($BH$29="",FALSE,SUMPRODUCT(('Final Calculation Sheet'!$J$4:$J$40=$BH$29)*($RZ$4:$RZ$40=1))&gt;0)</f>
        <v>1</v>
      </c>
      <c r="SB29">
        <f t="shared" si="186"/>
        <v>26</v>
      </c>
      <c r="SC29">
        <f t="shared" si="152"/>
        <v>259601</v>
      </c>
      <c r="SD29">
        <f>IF(COUNTIF('Final Calculation Sheet'!$AL29:$AU29,0)+COUNTIF('Final Calculation Sheet'!$AW29:$BS29,0)&gt;0,0,1)</f>
        <v>1</v>
      </c>
      <c r="SE29" t="b">
        <f>IF($BM$29="",FALSE,SUMPRODUCT(('Final Calculation Sheet'!$K$4:$K$40=$BM$29)*($SD$4:$SD$40=1))&gt;0)</f>
        <v>1</v>
      </c>
      <c r="SF29">
        <f t="shared" si="187"/>
        <v>26</v>
      </c>
      <c r="SG29">
        <f t="shared" si="153"/>
        <v>5929</v>
      </c>
      <c r="SH29">
        <f>IF(COUNTIF('Final Calculation Sheet'!$AL29:$AV29,0)+COUNTIF('Final Calculation Sheet'!$AX29:$BS29,0)&gt;0,0,1)</f>
        <v>1</v>
      </c>
      <c r="SI29" t="b">
        <f>IF($BR$29="",FALSE,SUMPRODUCT(('Final Calculation Sheet'!$L$4:$L$40=$BR$29)*($SH$4:$SH$40=1))&gt;0)</f>
        <v>1</v>
      </c>
      <c r="SJ29">
        <f t="shared" si="188"/>
        <v>26</v>
      </c>
      <c r="SK29">
        <f t="shared" si="154"/>
        <v>220.001</v>
      </c>
      <c r="SL29">
        <f>IF(COUNTIF('Final Calculation Sheet'!$AL29:$AW29,0)+COUNTIF('Final Calculation Sheet'!$AY29:$BS29,0)&gt;0,0,1)</f>
        <v>1</v>
      </c>
      <c r="SM29" t="b">
        <f>IF($BW$29="",FALSE,SUMPRODUCT(('Final Calculation Sheet'!$M$4:$M$40=$BW$29)*($SL$4:$SL$40=1))&gt;0)</f>
        <v>1</v>
      </c>
      <c r="SN29">
        <f t="shared" si="189"/>
        <v>26</v>
      </c>
      <c r="SO29">
        <f t="shared" si="155"/>
        <v>5841.0265499999996</v>
      </c>
      <c r="SP29">
        <f>IF(COUNTIF('Final Calculation Sheet'!$AL29:$AX29,0)+COUNTIF('Final Calculation Sheet'!$AZ29:$BS29,0)&gt;0,0,1)</f>
        <v>1</v>
      </c>
      <c r="SQ29" t="b">
        <f>IF($CB$29="",FALSE,SUMPRODUCT(('Final Calculation Sheet'!$N$4:$N$40=$CB$29)*($SP$4:$SP$40=1))&gt;0)</f>
        <v>1</v>
      </c>
      <c r="SR29">
        <f t="shared" si="190"/>
        <v>26</v>
      </c>
      <c r="SS29">
        <f t="shared" si="156"/>
        <v>99.000450000000001</v>
      </c>
      <c r="ST29">
        <f>IF(COUNTIF('Final Calculation Sheet'!$AL29:$AY29,0)+COUNTIF('Final Calculation Sheet'!$BA29:$BS29,0)&gt;0,0,1)</f>
        <v>1</v>
      </c>
      <c r="SU29" t="b">
        <f>IF($CG$29="",FALSE,SUMPRODUCT(('Final Calculation Sheet'!$O$4:$O$40=$CG$29)*($ST$4:$ST$40=1))&gt;0)</f>
        <v>1</v>
      </c>
      <c r="SV29">
        <f t="shared" si="191"/>
        <v>26</v>
      </c>
      <c r="SW29">
        <f t="shared" si="157"/>
        <v>5742.0260999999991</v>
      </c>
      <c r="SX29">
        <f>IF(COUNTIF('Final Calculation Sheet'!$AL29:$AZ29,0)+COUNTIF('Final Calculation Sheet'!$BB29:$BS29,0)&gt;0,0,1)</f>
        <v>1</v>
      </c>
      <c r="SY29" t="b">
        <f>IF($CL$29="",FALSE,SUMPRODUCT(('Final Calculation Sheet'!$P$4:$P$40=$CL$29)*($SX$4:$SX$40=1))&gt;0)</f>
        <v>1</v>
      </c>
      <c r="SZ29">
        <f t="shared" si="192"/>
        <v>26</v>
      </c>
      <c r="TA29">
        <f t="shared" si="158"/>
        <v>6808</v>
      </c>
      <c r="TB29">
        <f>IF(COUNTIF('Final Calculation Sheet'!$AL29:$BA29,0)+COUNTIF('Final Calculation Sheet'!$BC29:$BS29,0)&gt;0,0,1)</f>
        <v>1</v>
      </c>
      <c r="TC29" t="b">
        <f>IF($CQ$29="",FALSE,SUMPRODUCT(('Final Calculation Sheet'!$Q$4:$Q$40=$CQ$29)*($TB$4:$TB$40=1))&gt;0)</f>
        <v>0</v>
      </c>
      <c r="TD29">
        <f t="shared" si="193"/>
        <v>2</v>
      </c>
      <c r="TE29" t="str">
        <f t="shared" si="159"/>
        <v/>
      </c>
      <c r="TF29">
        <f>IF(COUNTIF('Final Calculation Sheet'!$AL29:$BB29,0)+COUNTIF('Final Calculation Sheet'!$BD29:$BS29,0)&gt;0,0,1)</f>
        <v>1</v>
      </c>
      <c r="TG29" t="b">
        <f>IF($CV$29="",FALSE,SUMPRODUCT(('Final Calculation Sheet'!$R$4:$R$40=$CV$29)*($TF$4:$TF$40=1))&gt;0)</f>
        <v>0</v>
      </c>
      <c r="TH29">
        <f t="shared" si="194"/>
        <v>5</v>
      </c>
      <c r="TI29" t="str">
        <f t="shared" si="160"/>
        <v/>
      </c>
      <c r="TJ29">
        <f>IF(COUNTIF('Final Calculation Sheet'!$AL29:$BC29,0)+COUNTIF('Final Calculation Sheet'!$BE29:$BS29,0)&gt;0,0,1)</f>
        <v>1</v>
      </c>
      <c r="TK29" t="b">
        <f>IF($DA$29="",FALSE,SUMPRODUCT(('Final Calculation Sheet'!$S$4:$S$40=$DA$29)*($TJ$4:$TJ$40=1))&gt;0)</f>
        <v>1</v>
      </c>
      <c r="TL29">
        <f t="shared" si="195"/>
        <v>26</v>
      </c>
      <c r="TM29">
        <f t="shared" si="161"/>
        <v>258831</v>
      </c>
      <c r="TN29">
        <f>IF(COUNTIF('Final Calculation Sheet'!$AL29:$BD29,0)+COUNTIF('Final Calculation Sheet'!$BF29:$BS29,0)&gt;0,0,1)</f>
        <v>1</v>
      </c>
      <c r="TO29" t="b">
        <f>IF($DF$29="",FALSE,SUMPRODUCT(('Final Calculation Sheet'!$T$4:$T$40=$DF$29)*($TN$4:$TN$40=1))&gt;0)</f>
        <v>1</v>
      </c>
      <c r="TP29">
        <f t="shared" si="196"/>
        <v>26</v>
      </c>
      <c r="TQ29">
        <f t="shared" si="162"/>
        <v>55000</v>
      </c>
      <c r="TR29">
        <f>IF(COUNTIF('Final Calculation Sheet'!$AL29:$BE29,0)+COUNTIF('Final Calculation Sheet'!$BG29:$BS29,0)&gt;0,0,1)</f>
        <v>1</v>
      </c>
      <c r="TS29" t="b">
        <f>IF($DK$29="",FALSE,SUMPRODUCT(('Final Calculation Sheet'!$U$4:$U$40=$DK$29)*($TR$4:$TR$40=1))&gt;0)</f>
        <v>1</v>
      </c>
      <c r="TT29">
        <f t="shared" si="197"/>
        <v>26</v>
      </c>
      <c r="TU29">
        <f t="shared" si="163"/>
        <v>55000</v>
      </c>
      <c r="TV29">
        <f>IF(COUNTIF('Final Calculation Sheet'!$AL29:$BF29,0)+COUNTIF('Final Calculation Sheet'!$BH29:$BS29,0)&gt;0,0,1)</f>
        <v>1</v>
      </c>
      <c r="TW29" t="b">
        <f>IF($DP$29="",FALSE,SUMPRODUCT(('Final Calculation Sheet'!$V$4:$V$40=$DP$29)*($TV$4:$TV$40=1))&gt;0)</f>
        <v>0</v>
      </c>
      <c r="TX29">
        <f t="shared" si="198"/>
        <v>6</v>
      </c>
      <c r="TY29" t="str">
        <f t="shared" si="164"/>
        <v/>
      </c>
      <c r="TZ29">
        <f>IF(COUNTIF('Final Calculation Sheet'!$AL29:$BG29,0)+COUNTIF('Final Calculation Sheet'!$BI29:$BS29,0)&gt;0,0,1)</f>
        <v>1</v>
      </c>
      <c r="UA29" t="b">
        <f>IF($DU$29="",FALSE,SUMPRODUCT(('Final Calculation Sheet'!$W$4:$W$40=$DU$29)*($TZ$4:$TZ$40=1))&gt;0)</f>
        <v>1</v>
      </c>
      <c r="UB29">
        <f t="shared" si="199"/>
        <v>26</v>
      </c>
      <c r="UC29">
        <f t="shared" si="165"/>
        <v>203831</v>
      </c>
      <c r="UD29">
        <f>IF(COUNTIF('Final Calculation Sheet'!$AL29:$BH29,0)+COUNTIF('Final Calculation Sheet'!$BJ29:$BS29,0)&gt;0,0,1)</f>
        <v>1</v>
      </c>
      <c r="UE29" t="e">
        <f>IF($DZ$29="",FALSE,SUMPRODUCT(('Final Calculation Sheet'!$X$4:$X$40=$DZ$29)*($UD$4:$UD$40=1))&gt;0)</f>
        <v>#N/A</v>
      </c>
      <c r="UF29" t="e">
        <f t="shared" si="200"/>
        <v>#N/A</v>
      </c>
      <c r="UG29" t="e">
        <f t="shared" si="166"/>
        <v>#N/A</v>
      </c>
      <c r="UH29">
        <f>IF(COUNTIF('Final Calculation Sheet'!$AL29:$BI29,0)+COUNTIF('Final Calculation Sheet'!$BK29:$BS29,0)&gt;0,0,1)</f>
        <v>1</v>
      </c>
      <c r="UI29" t="e">
        <f>IF($EE$29="",FALSE,SUMPRODUCT(('Final Calculation Sheet'!$Y$4:$Y$40=$EE$29)*($UH$4:$UH$40=1))&gt;0)</f>
        <v>#N/A</v>
      </c>
      <c r="UJ29" t="e">
        <f t="shared" si="201"/>
        <v>#N/A</v>
      </c>
      <c r="UK29" t="e">
        <f t="shared" si="167"/>
        <v>#N/A</v>
      </c>
      <c r="UL29">
        <f>IF(COUNTIF('Final Calculation Sheet'!$AL29:$BJ29,0)+COUNTIF('Final Calculation Sheet'!$BL29:$BS29,0)&gt;0,0,1)</f>
        <v>1</v>
      </c>
      <c r="UM29" t="b">
        <f ca="1">IF($EJ$29="",FALSE,SUMPRODUCT(('Final Calculation Sheet'!$Z$4:$Z$40=$EJ$29)*($UL$4:$UL$40=1))&gt;0)</f>
        <v>1</v>
      </c>
      <c r="UN29">
        <f t="shared" ca="1" si="202"/>
        <v>26</v>
      </c>
      <c r="UO29">
        <f t="shared" ca="1" si="168"/>
        <v>7788.0353999999988</v>
      </c>
      <c r="UP29">
        <f>IF(COUNTIF('Final Calculation Sheet'!$AL29:$BK29,0)+COUNTIF('Final Calculation Sheet'!$BM29:$BS29,0)&gt;0,0,1)</f>
        <v>1</v>
      </c>
      <c r="UQ29" t="e">
        <f>IF($EO$29="",FALSE,SUMPRODUCT(('Final Calculation Sheet'!$AA$4:$AA$40=$EO$29)*($UP$4:$UP$40=1))&gt;0)</f>
        <v>#N/A</v>
      </c>
      <c r="UR29" t="e">
        <f t="shared" si="203"/>
        <v>#N/A</v>
      </c>
      <c r="US29" t="e">
        <f t="shared" si="169"/>
        <v>#N/A</v>
      </c>
      <c r="UT29">
        <f>IF(COUNTIF('Final Calculation Sheet'!$AL29:$BL29,0)+COUNTIF('Final Calculation Sheet'!$BN29:$BS29,0)&gt;0,0,1)</f>
        <v>1</v>
      </c>
      <c r="UU29" t="e">
        <f>IF($ET$29="",FALSE,SUMPRODUCT(('Final Calculation Sheet'!$AB$4:$AB$40=$ET$29)*($UT$4:$UT$40=1))&gt;0)</f>
        <v>#N/A</v>
      </c>
      <c r="UV29" t="e">
        <f t="shared" si="204"/>
        <v>#N/A</v>
      </c>
      <c r="UW29" t="e">
        <f t="shared" si="170"/>
        <v>#N/A</v>
      </c>
      <c r="UX29">
        <f>IF(COUNTIF('Final Calculation Sheet'!$AL29:$BM29,0)+COUNTIF('Final Calculation Sheet'!$BO29:$BS29,0)&gt;0,0,1)</f>
        <v>1</v>
      </c>
      <c r="UY29" t="b">
        <f>IF($EY$29="",FALSE,SUMPRODUCT(('Final Calculation Sheet'!$AC$4:$AC$40=$EY$29)*($UX$4:$UX$40=1))&gt;0)</f>
        <v>1</v>
      </c>
      <c r="UZ29">
        <f t="shared" si="205"/>
        <v>26</v>
      </c>
      <c r="VA29">
        <f t="shared" si="171"/>
        <v>247066</v>
      </c>
      <c r="VB29">
        <f>IF(COUNTIF('Final Calculation Sheet'!$AL29:$BN29,0)+COUNTIF('Final Calculation Sheet'!$BP29:$BS29,0)&gt;0,0,1)</f>
        <v>1</v>
      </c>
      <c r="VC29" t="b">
        <f>IF($FD$29="",FALSE,SUMPRODUCT(('Final Calculation Sheet'!$AD$4:$AD$40=$FD$29)*($VB$4:$VB$40=1))&gt;0)</f>
        <v>0</v>
      </c>
      <c r="VD29">
        <f t="shared" si="206"/>
        <v>11</v>
      </c>
      <c r="VE29" t="str">
        <f t="shared" si="172"/>
        <v/>
      </c>
      <c r="VF29">
        <f>IF(COUNTIF('Final Calculation Sheet'!$AL29:$BO29,0)+COUNTIF('Final Calculation Sheet'!$BQ29:$BS29,0)&gt;0,0,1)</f>
        <v>1</v>
      </c>
      <c r="VG29" t="e">
        <f>IF($FI$29="",FALSE,SUMPRODUCT(('Final Calculation Sheet'!$AE$4:$AE$40=$FI$29)*($VF$4:$VF$40=1))&gt;0)</f>
        <v>#N/A</v>
      </c>
      <c r="VH29" t="e">
        <f t="shared" si="207"/>
        <v>#N/A</v>
      </c>
      <c r="VI29" t="e">
        <f t="shared" si="173"/>
        <v>#N/A</v>
      </c>
      <c r="VJ29">
        <f>IF(COUNTIF('Final Calculation Sheet'!$AL29:$BP29,0)+COUNTIF('Final Calculation Sheet'!$BR29:$BS29,0)&gt;0,0,1)</f>
        <v>1</v>
      </c>
      <c r="VK29" t="e">
        <f>IF($FN$29="",FALSE,SUMPRODUCT(('Final Calculation Sheet'!$AF$4:$AF$40=$FN$29)*($VJ$4:$VJ$40=1))&gt;0)</f>
        <v>#N/A</v>
      </c>
      <c r="VL29" t="e">
        <f t="shared" si="208"/>
        <v>#N/A</v>
      </c>
      <c r="VM29" t="e">
        <f t="shared" si="174"/>
        <v>#N/A</v>
      </c>
      <c r="VN29">
        <f>IF(COUNTIF('Final Calculation Sheet'!$AL29:$BQ29,0)+COUNTIF('Final Calculation Sheet'!$BS29:$BS29,0)&gt;0,0,1)</f>
        <v>1</v>
      </c>
      <c r="VO29" t="e">
        <f>IF($FS$29="",FALSE,SUMPRODUCT(('Final Calculation Sheet'!$AG$4:$AG$40=$FS$29)*($VN$4:$VN$40=1))&gt;0)</f>
        <v>#N/A</v>
      </c>
      <c r="VP29" t="e">
        <f t="shared" si="209"/>
        <v>#N/A</v>
      </c>
      <c r="VQ29" t="e">
        <f t="shared" si="175"/>
        <v>#N/A</v>
      </c>
      <c r="VR29">
        <f>IF(COUNTIF('Final Calculation Sheet'!$AL29:$BR29,0)&gt;0,0,1)</f>
        <v>1</v>
      </c>
      <c r="VS29" t="e">
        <f>IF($QO$29="",FALSE,SUMPRODUCT(('Final Calculation Sheet'!$AH$4:$AH$40=$QO$29)*($VR$4:$VR$40=1))&gt;0)</f>
        <v>#N/A</v>
      </c>
      <c r="VT29" t="e">
        <f t="shared" si="210"/>
        <v>#N/A</v>
      </c>
      <c r="VU29" t="e">
        <f t="shared" si="176"/>
        <v>#N/A</v>
      </c>
    </row>
    <row r="30" spans="1:593" x14ac:dyDescent="0.3">
      <c r="A30">
        <f>IF('Final Calculation Sheet'!$F$30="","",'Final Calculation Sheet'!$F$30)</f>
        <v>2043</v>
      </c>
      <c r="B30">
        <f>IF(A30="","",COUNTIFS(A$4:A$114,"&lt;"&amp;A30,A$4:A$114,"&lt;&gt;"&amp;"")+COUNTIF(A$4:A30,A30))</f>
        <v>27</v>
      </c>
      <c r="C30">
        <f t="shared" si="0"/>
        <v>2043</v>
      </c>
      <c r="D30">
        <f>D29+IF(AND(C30&lt;&gt;"",COUNTIF(C$4:C30,C30)=1),1,0)</f>
        <v>27</v>
      </c>
      <c r="E30" t="e">
        <f t="shared" si="1"/>
        <v>#N/A</v>
      </c>
      <c r="F30">
        <f t="shared" si="2"/>
        <v>27</v>
      </c>
      <c r="G30">
        <f>IF(F30="","",COUNTIFS(F$4:F$40,"&lt;"&amp;F30,F$4:F$40,"&lt;&gt;"&amp;"")+COUNTIF(F$4:F30,F30))</f>
        <v>27</v>
      </c>
      <c r="H30">
        <f t="shared" si="3"/>
        <v>27</v>
      </c>
      <c r="I30">
        <f>I29+IF(AND(H30&lt;&gt;"",COUNTIF(H$4:H30,H30)=1),1,0)</f>
        <v>27</v>
      </c>
      <c r="J30">
        <f t="shared" si="4"/>
        <v>27</v>
      </c>
      <c r="K30">
        <f>IF('Final Calculation Sheet'!$F$30="","",'Final Calculation Sheet'!$F$30)</f>
        <v>2043</v>
      </c>
      <c r="L30">
        <f>IF(K30="","",COUNTIFS(K$4:K$40,"&lt;"&amp;K30,K$4:K$40,"&lt;&gt;"&amp;"")+COUNTIF(K$4:K30,K30))</f>
        <v>27</v>
      </c>
      <c r="M30">
        <f t="shared" si="5"/>
        <v>2043</v>
      </c>
      <c r="N30">
        <f>N29+IF(AND(M30&lt;&gt;"",COUNTIF(M$4:M30,M30)=1),1,0)</f>
        <v>27</v>
      </c>
      <c r="O30">
        <f t="shared" si="6"/>
        <v>2043</v>
      </c>
      <c r="P30" t="str">
        <f>IF('Final Calculation Sheet'!$G$30="","",'Final Calculation Sheet'!$G$30)</f>
        <v>NATIONAL ENTERPRISES</v>
      </c>
      <c r="Q30">
        <f>IF(P30="","",COUNTIFS(P$4:P$40,"&lt;"&amp;P30,P$4:P$40,"&lt;&gt;"&amp;"")+COUNTIF(P$4:P30,P30))</f>
        <v>16</v>
      </c>
      <c r="R30" t="str">
        <f t="shared" si="7"/>
        <v>SHAR JAHAN TRADERS</v>
      </c>
      <c r="S30">
        <f>S29+IF(AND(R30&lt;&gt;"",COUNTIF(R$4:R30,R30)=1),1,0)</f>
        <v>11</v>
      </c>
      <c r="T30" t="str">
        <f t="shared" si="8"/>
        <v/>
      </c>
      <c r="U30" t="str">
        <f>IF('Final Calculation Sheet'!$B$30="","",'Final Calculation Sheet'!$B$30)</f>
        <v>Scrap of 132 KV CT</v>
      </c>
      <c r="V30">
        <f>IF(U30="","",COUNTIFS(U$4:U$40,"&lt;"&amp;U30,U$4:U$40,"&lt;&gt;"&amp;"")+COUNTIF(U$4:U30,U30))</f>
        <v>10</v>
      </c>
      <c r="W30" t="str">
        <f t="shared" si="9"/>
        <v>Scrap of empty oil Barrels</v>
      </c>
      <c r="X30">
        <f>X29+IF(AND(W30&lt;&gt;"",COUNTIF(W$4:W30,W30)=1),1,0)</f>
        <v>20</v>
      </c>
      <c r="Y30" t="str">
        <f t="shared" si="10"/>
        <v/>
      </c>
      <c r="Z30">
        <f>IF('Final Calculation Sheet'!$D$30="","",'Final Calculation Sheet'!$D$30)</f>
        <v>21979</v>
      </c>
      <c r="AA30">
        <f>IF(Z30="","",COUNTIFS(Z$4:Z$40,"&lt;"&amp;Z30,Z$4:Z$40,"&lt;&gt;"&amp;"")+COUNTIF(Z$4:Z30,Z30))</f>
        <v>25</v>
      </c>
      <c r="AB30">
        <f t="shared" si="11"/>
        <v>21979</v>
      </c>
      <c r="AC30">
        <f>AC29+IF(AND(AB30&lt;&gt;"",COUNTIF(AB$4:AB30,AB30)=1),1,0)</f>
        <v>3</v>
      </c>
      <c r="AD30" t="str">
        <f t="shared" si="12"/>
        <v/>
      </c>
      <c r="AE30">
        <f>IF('Final Calculation Sheet'!$A$30="","",'Final Calculation Sheet'!$A$30)</f>
        <v>5</v>
      </c>
      <c r="AF30">
        <f>IF(AE30="","",COUNTIFS(AE$4:AE$40,"&lt;"&amp;AE30,AE$4:AE$40,"&lt;&gt;"&amp;"")+COUNTIF(AE$4:AE30,AE30))</f>
        <v>20</v>
      </c>
      <c r="AG30">
        <f t="shared" si="13"/>
        <v>90</v>
      </c>
      <c r="AH30">
        <f>AH29+IF(AND(AG30&lt;&gt;"",COUNTIF(AG$4:AG30,AG30)=1),1,0)</f>
        <v>12</v>
      </c>
      <c r="AI30" t="str">
        <f t="shared" si="14"/>
        <v/>
      </c>
      <c r="AJ30" t="str">
        <f>IF('Final Calculation Sheet'!$E$30="","",'Final Calculation Sheet'!$E$30)</f>
        <v>NO</v>
      </c>
      <c r="AK30">
        <f>IF(AJ30="","",COUNTIFS(AJ$4:AJ$40,"&lt;"&amp;AJ30,AJ$4:AJ$40,"&lt;&gt;"&amp;"")+COUNTIF(AJ$4:AJ30,AJ30))</f>
        <v>28</v>
      </c>
      <c r="AL30" t="str">
        <f t="shared" si="15"/>
        <v>NO</v>
      </c>
      <c r="AM30">
        <f>AM29+IF(AND(AL30&lt;&gt;"",COUNTIF(AL$4:AL30,AL30)=1),1,0)</f>
        <v>3</v>
      </c>
      <c r="AN30" t="str">
        <f t="shared" si="16"/>
        <v/>
      </c>
      <c r="AO30" s="50">
        <f>IF('Final Calculation Sheet'!$C$30="","",'Final Calculation Sheet'!$C$30)</f>
        <v>80000</v>
      </c>
      <c r="AP30">
        <f>IF(AO30="","",COUNTIFS(AO$4:AO$40,"&lt;"&amp;AO30,AO$4:AO$40,"&lt;&gt;"&amp;"")+COUNTIF(AO$4:AO30,AO30))</f>
        <v>29</v>
      </c>
      <c r="AQ30" s="50">
        <f t="shared" si="17"/>
        <v>70001</v>
      </c>
      <c r="AR30">
        <f>AR29+IF(AND(AQ30&lt;&gt;"",COUNTIF(AQ$4:AQ30,AQ30)=1),1,0)</f>
        <v>25</v>
      </c>
      <c r="AS30" s="50">
        <f t="shared" si="18"/>
        <v>80000</v>
      </c>
      <c r="AT30" s="50">
        <f>IF('Final Calculation Sheet'!$H$30="","",'Final Calculation Sheet'!$H$30)</f>
        <v>400000</v>
      </c>
      <c r="AU30">
        <f>IF(AT30="","",COUNTIFS(AT$4:AT$40,"&lt;"&amp;AT30,AT$4:AT$40,"&lt;&gt;"&amp;"")+COUNTIF(AT$4:AT30,AT30))</f>
        <v>30</v>
      </c>
      <c r="AV30" s="50">
        <f t="shared" si="19"/>
        <v>251229</v>
      </c>
      <c r="AW30">
        <f>AW29+IF(AND(AV30&lt;&gt;"",COUNTIF(AV$4:AV30,AV30)=1),1,0)</f>
        <v>27</v>
      </c>
      <c r="AX30" s="50">
        <f t="shared" si="20"/>
        <v>251229</v>
      </c>
      <c r="AY30" s="50">
        <f>IF('Final Calculation Sheet'!$I$30="","",'Final Calculation Sheet'!$I$30)</f>
        <v>72000</v>
      </c>
      <c r="AZ30">
        <f>IF(AY30="","",COUNTIFS(AY$4:AY$40,"&lt;"&amp;AY30,AY$4:AY$40,"&lt;&gt;"&amp;"")+COUNTIF(AY$4:AY30,AY30))</f>
        <v>30</v>
      </c>
      <c r="BA30" s="50">
        <f t="shared" si="21"/>
        <v>45221</v>
      </c>
      <c r="BB30">
        <f>BB29+IF(AND(BA30&lt;&gt;"",COUNTIF(BA$4:BA30,BA30)=1),1,0)</f>
        <v>27</v>
      </c>
      <c r="BC30" s="50">
        <f t="shared" si="22"/>
        <v>45221</v>
      </c>
      <c r="BD30" s="50">
        <f>IF('Final Calculation Sheet'!$J$30="","",'Final Calculation Sheet'!$J$30)</f>
        <v>472000</v>
      </c>
      <c r="BE30">
        <f>IF(BD30="","",COUNTIFS(BD$4:BD$40,"&lt;"&amp;BD30,BD$4:BD$40,"&lt;&gt;"&amp;"")+COUNTIF(BD$4:BD30,BD30))</f>
        <v>30</v>
      </c>
      <c r="BF30" s="50">
        <f t="shared" si="23"/>
        <v>296450</v>
      </c>
      <c r="BG30">
        <f>BG29+IF(AND(BF30&lt;&gt;"",COUNTIF(BF$4:BF30,BF30)=1),1,0)</f>
        <v>27</v>
      </c>
      <c r="BH30" s="50">
        <f t="shared" si="24"/>
        <v>296450</v>
      </c>
      <c r="BI30" s="50">
        <f>IF('Final Calculation Sheet'!$K$30="","",'Final Calculation Sheet'!$K$30)</f>
        <v>9440</v>
      </c>
      <c r="BJ30">
        <f>IF(BI30="","",COUNTIFS(BI$4:BI$40,"&lt;"&amp;BI30,BI$4:BI$40,"&lt;&gt;"&amp;"")+COUNTIF(BI$4:BI30,BI30))</f>
        <v>30</v>
      </c>
      <c r="BK30" s="50">
        <f t="shared" si="25"/>
        <v>5929</v>
      </c>
      <c r="BL30">
        <f>BL29+IF(AND(BK30&lt;&gt;"",COUNTIF(BK$4:BK30,BK30)=1),1,0)</f>
        <v>26</v>
      </c>
      <c r="BM30" s="50">
        <f t="shared" si="26"/>
        <v>6372</v>
      </c>
      <c r="BN30" s="50">
        <f>IF('Final Calculation Sheet'!$L$30="","",'Final Calculation Sheet'!$L$30)</f>
        <v>400</v>
      </c>
      <c r="BO30">
        <f>IF(BN30="","",COUNTIFS(BN$4:BN$40,"&lt;"&amp;BN30,BN$4:BN$40,"&lt;&gt;"&amp;"")+COUNTIF(BN$4:BN30,BN30))</f>
        <v>30</v>
      </c>
      <c r="BP30" s="50">
        <f t="shared" si="27"/>
        <v>251.22900000000001</v>
      </c>
      <c r="BQ30">
        <f>BQ29+IF(AND(BP30&lt;&gt;"",COUNTIF(BP$4:BP30,BP30)=1),1,0)</f>
        <v>27</v>
      </c>
      <c r="BR30" s="50">
        <f t="shared" si="28"/>
        <v>251.22900000000001</v>
      </c>
      <c r="BS30" s="50">
        <f>IF('Final Calculation Sheet'!$M$30="","",'Final Calculation Sheet'!$M$30)</f>
        <v>10620</v>
      </c>
      <c r="BT30">
        <f>IF(BS30="","",COUNTIFS(BS$4:BS$40,"&lt;"&amp;BS30,BS$4:BS$40,"&lt;&gt;"&amp;"")+COUNTIF(BS$4:BS30,BS30))</f>
        <v>30</v>
      </c>
      <c r="BU30" s="50">
        <f t="shared" si="29"/>
        <v>6670.1299499999996</v>
      </c>
      <c r="BV30">
        <f>BV29+IF(AND(BU30&lt;&gt;"",COUNTIF(BU$4:BU30,BU30)=1),1,0)</f>
        <v>27</v>
      </c>
      <c r="BW30" s="50">
        <f t="shared" si="30"/>
        <v>6670.1299499999996</v>
      </c>
      <c r="BX30" s="126">
        <f>IF('Final Calculation Sheet'!$N$30="","",'Final Calculation Sheet'!$N$30)</f>
        <v>180</v>
      </c>
      <c r="BY30">
        <f>IF(BX30="","",COUNTIFS(BX$4:BX$40,"&lt;"&amp;BX30,BX$4:BX$40,"&lt;&gt;"&amp;"")+COUNTIF(BX$4:BX30,BX30))</f>
        <v>30</v>
      </c>
      <c r="BZ30" s="126">
        <f t="shared" si="31"/>
        <v>113.05305</v>
      </c>
      <c r="CA30">
        <f>CA29+IF(AND(BZ30&lt;&gt;"",COUNTIF(BZ$4:BZ30,BZ30)=1),1,0)</f>
        <v>27</v>
      </c>
      <c r="CB30" s="126">
        <f t="shared" si="32"/>
        <v>113.05305</v>
      </c>
      <c r="CC30" s="50">
        <f>IF('Final Calculation Sheet'!$O$30="","",'Final Calculation Sheet'!$O$30)</f>
        <v>10440</v>
      </c>
      <c r="CD30">
        <f>IF(CC30="","",COUNTIFS(CC$4:CC$40,"&lt;"&amp;CC30,CC$4:CC$40,"&lt;&gt;"&amp;"")+COUNTIF(CC$4:CC30,CC30))</f>
        <v>30</v>
      </c>
      <c r="CE30" s="50">
        <f t="shared" si="33"/>
        <v>6557.0768999999991</v>
      </c>
      <c r="CF30">
        <f>CF29+IF(AND(CE30&lt;&gt;"",COUNTIF(CE$4:CE30,CE30)=1),1,0)</f>
        <v>27</v>
      </c>
      <c r="CG30" s="50">
        <f t="shared" si="34"/>
        <v>6557.0768999999991</v>
      </c>
      <c r="CH30" s="50">
        <f>IF('Final Calculation Sheet'!$P$30="","",'Final Calculation Sheet'!$P$30)</f>
        <v>10840</v>
      </c>
      <c r="CI30">
        <f>IF(CH30="","",COUNTIFS(CH$4:CH$40,"&lt;"&amp;CH30,CH$4:CH$40,"&lt;&gt;"&amp;"")+COUNTIF(CH$4:CH30,CH30))</f>
        <v>30</v>
      </c>
      <c r="CJ30" s="50">
        <f t="shared" si="35"/>
        <v>6808</v>
      </c>
      <c r="CK30">
        <f>CK29+IF(AND(CJ30&lt;&gt;"",COUNTIF(CJ$4:CJ30,CJ30)=1),1,0)</f>
        <v>26</v>
      </c>
      <c r="CL30" s="50">
        <f t="shared" si="36"/>
        <v>7317</v>
      </c>
      <c r="CM30" s="127">
        <f>IF('Final Calculation Sheet'!$Q$30="","",'Final Calculation Sheet'!$Q$30)</f>
        <v>0</v>
      </c>
      <c r="CN30">
        <f>IF(CM30="","",COUNTIFS(CM$4:CM$40,"&lt;"&amp;CM30,CM$4:CM$40,"&lt;&gt;"&amp;"")+COUNTIF(CM$4:CM30,CM30))</f>
        <v>23</v>
      </c>
      <c r="CO30" s="127">
        <f t="shared" si="37"/>
        <v>0</v>
      </c>
      <c r="CP30">
        <f>CP29+IF(AND(CO30&lt;&gt;"",COUNTIF(CO$4:CO30,CO30)=1),1,0)</f>
        <v>1</v>
      </c>
      <c r="CQ30" t="str">
        <f t="shared" si="38"/>
        <v/>
      </c>
      <c r="CR30" s="50">
        <f>IF('Final Calculation Sheet'!$R$30="","",'Final Calculation Sheet'!$R$30)</f>
        <v>0</v>
      </c>
      <c r="CS30">
        <f>IF(CR30="","",COUNTIFS(CR$4:CR$40,"&lt;"&amp;CR30,CR$4:CR$40,"&lt;&gt;"&amp;"")+COUNTIF(CR$4:CR30,CR30))</f>
        <v>23</v>
      </c>
      <c r="CT30" s="50">
        <f t="shared" si="39"/>
        <v>0</v>
      </c>
      <c r="CU30">
        <f>CU29+IF(AND(CT30&lt;&gt;"",COUNTIF(CT$4:CT30,CT30)=1),1,0)</f>
        <v>1</v>
      </c>
      <c r="CV30" t="str">
        <f t="shared" si="40"/>
        <v/>
      </c>
      <c r="CW30" s="50">
        <f>IF('Final Calculation Sheet'!$S$30="","",'Final Calculation Sheet'!$S$30)</f>
        <v>470600</v>
      </c>
      <c r="CX30">
        <f>IF(CW30="","",COUNTIFS(CW$4:CW$40,"&lt;"&amp;CW30,CW$4:CW$40,"&lt;&gt;"&amp;"")+COUNTIF(CW$4:CW30,CW30))</f>
        <v>30</v>
      </c>
      <c r="CY30" s="50">
        <f t="shared" si="41"/>
        <v>295571</v>
      </c>
      <c r="CZ30">
        <f>CZ29+IF(AND(CY30&lt;&gt;"",COUNTIF(CY$4:CY30,CY30)=1),1,0)</f>
        <v>27</v>
      </c>
      <c r="DA30" s="50">
        <f t="shared" si="42"/>
        <v>295571</v>
      </c>
      <c r="DB30" s="50">
        <f>IF('Final Calculation Sheet'!$T$30="","",'Final Calculation Sheet'!$T$30)</f>
        <v>100000</v>
      </c>
      <c r="DC30">
        <f>IF(DB30="","",COUNTIFS(DB$4:DB$40,"&lt;"&amp;DB30,DB$4:DB$40,"&lt;&gt;"&amp;"")+COUNTIF(DB$4:DB30,DB30))</f>
        <v>30</v>
      </c>
      <c r="DD30" s="50">
        <f t="shared" si="43"/>
        <v>62807</v>
      </c>
      <c r="DE30">
        <f>DE29+IF(AND(DD30&lt;&gt;"",COUNTIF(DD$4:DD30,DD30)=1),1,0)</f>
        <v>27</v>
      </c>
      <c r="DF30" s="50">
        <f t="shared" si="44"/>
        <v>62807</v>
      </c>
      <c r="DG30" s="128">
        <f>IF('Final Calculation Sheet'!$U$30="","",'Final Calculation Sheet'!$U$30)</f>
        <v>100000</v>
      </c>
      <c r="DH30">
        <f>IF(DG30="","",COUNTIFS(DG$4:DG$40,"&lt;"&amp;DG30,DG$4:DG$40,"&lt;&gt;"&amp;"")+COUNTIF(DG$4:DG30,DG30))</f>
        <v>30</v>
      </c>
      <c r="DI30" s="128">
        <f t="shared" si="45"/>
        <v>62807</v>
      </c>
      <c r="DJ30">
        <f>DJ29+IF(AND(DI30&lt;&gt;"",COUNTIF(DI$4:DI30,DI30)=1),1,0)</f>
        <v>27</v>
      </c>
      <c r="DK30" s="128">
        <f t="shared" si="46"/>
        <v>62807</v>
      </c>
      <c r="DL30" t="str">
        <f>IF('Final Calculation Sheet'!$V$30="","",'Final Calculation Sheet'!$V$30)</f>
        <v>13.08.2026</v>
      </c>
      <c r="DM30">
        <f>IF(DL30="","",COUNTIFS(DL$4:DL$40,"&lt;"&amp;DL30,DL$4:DL$40,"&lt;&gt;"&amp;"")+COUNTIF(DL$4:DL30,DL30))</f>
        <v>23</v>
      </c>
      <c r="DN30" t="str">
        <f t="shared" si="47"/>
        <v>14.08.2026</v>
      </c>
      <c r="DO30">
        <f>DO29+IF(AND(DN30&lt;&gt;"",COUNTIF(DN$4:DN30,DN30)=1),1,0)</f>
        <v>4</v>
      </c>
      <c r="DP30" t="str">
        <f t="shared" si="48"/>
        <v/>
      </c>
      <c r="DQ30" s="50">
        <f>IF('Final Calculation Sheet'!$W$30="","",'Final Calculation Sheet'!$W$30)</f>
        <v>370600</v>
      </c>
      <c r="DR30">
        <f>IF(DQ30="","",COUNTIFS(DQ$4:DQ$40,"&lt;"&amp;DQ30,DQ$4:DQ$40,"&lt;&gt;"&amp;"")+COUNTIF(DQ$4:DQ30,DQ30))</f>
        <v>30</v>
      </c>
      <c r="DS30" s="50">
        <f t="shared" si="49"/>
        <v>232764</v>
      </c>
      <c r="DT30">
        <f>DT29+IF(AND(DS30&lt;&gt;"",COUNTIF(DS$4:DS30,DS30)=1),1,0)</f>
        <v>27</v>
      </c>
      <c r="DU30" s="50">
        <f t="shared" si="50"/>
        <v>232764</v>
      </c>
      <c r="DV30" s="50">
        <f>IF('Final Calculation Sheet'!$X$30="","",'Final Calculation Sheet'!$X$30)</f>
        <v>370600</v>
      </c>
      <c r="DW30">
        <f>IF(DV30="","",COUNTIFS(DV$4:DV$40,"&lt;"&amp;DV30,DV$4:DV$40,"&lt;&gt;"&amp;"")+COUNTIF(DV$4:DV30,DV30))</f>
        <v>28</v>
      </c>
      <c r="DX30" s="50">
        <f t="shared" si="51"/>
        <v>306301</v>
      </c>
      <c r="DY30">
        <f>DY29+IF(AND(DX30&lt;&gt;"",COUNTIF(DX$4:DX30,DX30)=1),1,0)</f>
        <v>27</v>
      </c>
      <c r="DZ30" t="e">
        <f t="shared" si="52"/>
        <v>#N/A</v>
      </c>
      <c r="EA30" t="str">
        <f>IF('Final Calculation Sheet'!$Y$30="","",'Final Calculation Sheet'!$Y$30)</f>
        <v>24.08.2026</v>
      </c>
      <c r="EB30">
        <f>IF(EA30="","",COUNTIFS(EA$4:EA$40,"&lt;"&amp;EA30,EA$4:EA$40,"&lt;&gt;"&amp;"")+COUNTIF(EA$4:EA30,EA30))</f>
        <v>31</v>
      </c>
      <c r="EC30" t="str">
        <f t="shared" si="53"/>
        <v>24.08.2026</v>
      </c>
      <c r="ED30">
        <f>ED29+IF(AND(EC30&lt;&gt;"",COUNTIF(EC$4:EC30,EC30)=1),1,0)</f>
        <v>9</v>
      </c>
      <c r="EE30" t="e">
        <f t="shared" si="54"/>
        <v>#N/A</v>
      </c>
      <c r="EF30" s="50">
        <f ca="1">IF('Final Calculation Sheet'!$Z$30="","",'Final Calculation Sheet'!$Z$30)</f>
        <v>14160</v>
      </c>
      <c r="EG30">
        <f ca="1">IF(EF30="","",COUNTIFS(EF$4:EF$40,"&lt;"&amp;EF30,EF$4:EF$40,"&lt;&gt;"&amp;"")+COUNTIF(EF$4:EF30,EF30))</f>
        <v>30</v>
      </c>
      <c r="EH30" s="50">
        <f t="shared" ca="1" si="55"/>
        <v>8893.5066000000006</v>
      </c>
      <c r="EI30">
        <f ca="1">EI29+IF(AND(EH30&lt;&gt;"",COUNTIF(EH$4:EH30,EH30)=1),1,0)</f>
        <v>27</v>
      </c>
      <c r="EJ30">
        <f t="shared" ca="1" si="56"/>
        <v>8893.5066000000006</v>
      </c>
      <c r="EK30" t="str">
        <f>IF('Final Calculation Sheet'!$AA$30="","",'Final Calculation Sheet'!$AA$30)</f>
        <v/>
      </c>
      <c r="EL30" t="str">
        <f>IF(EK30="","",COUNTIFS(EK$4:EK$40,"&lt;"&amp;EK30,EK$4:EK$40,"&lt;&gt;"&amp;"")+COUNTIF(EK$4:EK30,EK30))</f>
        <v/>
      </c>
      <c r="EM30" t="e">
        <f t="shared" si="57"/>
        <v>#N/A</v>
      </c>
      <c r="EN30" t="e">
        <f>EN29+IF(AND(EM30&lt;&gt;"",COUNTIF(EM$4:EM30,EM30)=1),1,0)</f>
        <v>#N/A</v>
      </c>
      <c r="EO30" t="e">
        <f t="shared" si="58"/>
        <v>#N/A</v>
      </c>
      <c r="EP30" t="str">
        <f>IF('Final Calculation Sheet'!$AB$30="","",'Final Calculation Sheet'!$AB$30)</f>
        <v/>
      </c>
      <c r="EQ30" t="str">
        <f>IF(EP30="","",COUNTIFS(EP$4:EP$40,"&lt;"&amp;EP30,EP$4:EP$40,"&lt;&gt;"&amp;"")+COUNTIF(EP$4:EP30,EP30))</f>
        <v/>
      </c>
      <c r="ER30" t="e">
        <f t="shared" si="59"/>
        <v>#N/A</v>
      </c>
      <c r="ES30" t="e">
        <f>ES29+IF(AND(ER30&lt;&gt;"",COUNTIF(ER$4:ER30,ER30)=1),1,0)</f>
        <v>#N/A</v>
      </c>
      <c r="ET30" t="e">
        <f t="shared" si="60"/>
        <v>#N/A</v>
      </c>
      <c r="EU30" s="50">
        <f>IF('Final Calculation Sheet'!$AC$30="","",'Final Calculation Sheet'!$AC$30)</f>
        <v>470600</v>
      </c>
      <c r="EV30">
        <f>IF(EU30="","",COUNTIFS(EU$4:EU$40,"&lt;"&amp;EU30,EU$4:EU$40,"&lt;&gt;"&amp;"")+COUNTIF(EU$4:EU30,EU30))</f>
        <v>31</v>
      </c>
      <c r="EW30" s="50">
        <f t="shared" si="61"/>
        <v>247069</v>
      </c>
      <c r="EX30">
        <f>EX29+IF(AND(EW30&lt;&gt;"",COUNTIF(EW$4:EW30,EW30)=1),1,0)</f>
        <v>27</v>
      </c>
      <c r="EY30" s="50">
        <f t="shared" si="62"/>
        <v>247069</v>
      </c>
      <c r="EZ30" s="50">
        <f>IF('Final Calculation Sheet'!$AD$30="","",'Final Calculation Sheet'!$AD$30)</f>
        <v>0</v>
      </c>
      <c r="FA30">
        <f>IF(EZ30="","",COUNTIFS(EZ$4:EZ$40,"&lt;"&amp;EZ30,EZ$4:EZ$40,"&lt;&gt;"&amp;"")+COUNTIF(EZ$4:EZ30,EZ30))</f>
        <v>24</v>
      </c>
      <c r="FB30" s="50">
        <f t="shared" si="63"/>
        <v>0</v>
      </c>
      <c r="FC30">
        <f>FC29+IF(AND(FB30&lt;&gt;"",COUNTIF(FB$4:FB30,FB30)=1),1,0)</f>
        <v>7</v>
      </c>
      <c r="FD30" t="str">
        <f t="shared" si="64"/>
        <v/>
      </c>
      <c r="FE30" t="str">
        <f>IF('Final Calculation Sheet'!$AF$30="","",'Final Calculation Sheet'!$AF$30)</f>
        <v>DR2640100038</v>
      </c>
      <c r="FF30">
        <f>IF(FE30="","",COUNTIFS(FE$4:FE$40,"&lt;"&amp;FE30,FE$4:FE$40,"&lt;&gt;"&amp;"")+COUNTIF(FE$4:FE30,FE30))</f>
        <v>27</v>
      </c>
      <c r="FG30" t="str">
        <f t="shared" si="65"/>
        <v>DR2640100038</v>
      </c>
      <c r="FH30" t="e">
        <f>FH29+IF(AND(FG30&lt;&gt;"",COUNTIF(FG$4:FG30,FG30)=1),1,0)</f>
        <v>#N/A</v>
      </c>
      <c r="FI30" t="e">
        <f t="shared" si="66"/>
        <v>#N/A</v>
      </c>
      <c r="FJ30" s="129">
        <f>IF('Final Calculation Sheet'!$AG$30="","",'Final Calculation Sheet'!$AG$30)</f>
        <v>1800003311</v>
      </c>
      <c r="FK30">
        <f>IF(FJ30="","",COUNTIFS(FJ$4:FJ$40,"&lt;"&amp;FJ30,FJ$4:FJ$40,"&lt;&gt;"&amp;"")+COUNTIF(FJ$4:FJ30,FJ30))</f>
        <v>23</v>
      </c>
      <c r="FL30" s="129">
        <f t="shared" si="67"/>
        <v>1800003315</v>
      </c>
      <c r="FM30">
        <f>FM29+IF(AND(FL30&lt;&gt;"",COUNTIF(FL$4:FL30,FL30)=1),1,0)</f>
        <v>27</v>
      </c>
      <c r="FN30" t="e">
        <f t="shared" si="68"/>
        <v>#N/A</v>
      </c>
      <c r="FO30" t="str">
        <f>IF('Final Calculation Sheet'!$AH$30="","",'Final Calculation Sheet'!$AH$30)</f>
        <v>27.08.2026</v>
      </c>
      <c r="FP30">
        <f>IF(FO30="","",COUNTIFS(FO$4:FO$40,"&lt;"&amp;FO30,FO$4:FO$40,"&lt;&gt;"&amp;"")+COUNTIF(FO$4:FO30,FO30))</f>
        <v>33</v>
      </c>
      <c r="FQ30" t="str">
        <f t="shared" si="69"/>
        <v>27.08.2026</v>
      </c>
      <c r="FR30" t="e">
        <f>FR29+IF(AND(FQ30&lt;&gt;"",COUNTIF(FQ$4:FQ30,FQ30)=1),1,0)</f>
        <v>#N/A</v>
      </c>
      <c r="FS30" t="e">
        <f t="shared" si="70"/>
        <v>#N/A</v>
      </c>
      <c r="FU30" t="str">
        <f>IF(FT30="","",COUNTIFS(FT$4:FT$40,"&lt;"&amp;FT30,FT$4:FT$40,"&lt;&gt;"&amp;"")+COUNTIF(FT$4:FT30,FT30))</f>
        <v/>
      </c>
      <c r="FV30" t="str">
        <f t="shared" si="71"/>
        <v/>
      </c>
      <c r="FW30">
        <f>FW29+IF(AND(FV30&lt;&gt;"",COUNTIF(FV$4:FV30,FV30)=1),1,0)</f>
        <v>2</v>
      </c>
      <c r="FX30" t="str">
        <f t="shared" si="72"/>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0" t="b">
        <f>IF($Y$30="",FALSE,SUMPRODUCT(('Final Calculation Sheet'!$B$4:$B$40=$Y$30)*($FY$6:$FY$42=1))&gt;0)</f>
        <v>0</v>
      </c>
      <c r="GA30">
        <f>$GA$29+--($FZ$30)</f>
        <v>25</v>
      </c>
      <c r="GB30" t="str">
        <f t="shared" si="73"/>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D30" t="b">
        <f>IF($O$30="",FALSE,SUMPRODUCT(('Final Calculation Sheet'!$F$4:$F$40=$O$30)*($GC$6:$GC$42=1))&gt;0)</f>
        <v>1</v>
      </c>
      <c r="GE30">
        <f>$GE$29+--($GD30)</f>
        <v>27</v>
      </c>
      <c r="GF30">
        <f t="shared" si="74"/>
        <v>2043</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H30" t="b">
        <f>IF($T$30="",FALSE,SUMPRODUCT(('Final Calculation Sheet'!$G$4:$G$40=$T$30)*($GG$6:$GG$42=1))&gt;0)</f>
        <v>0</v>
      </c>
      <c r="GI30">
        <f>$GI$29+--($GH30)</f>
        <v>13</v>
      </c>
      <c r="GJ30" t="str">
        <f t="shared" si="75"/>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L30" t="b">
        <f>IF($AD$30="",FALSE,SUMPRODUCT(('Final Calculation Sheet'!$D$4:$D$40=$AD$30)*($GK$6:$GK$42=1))&gt;0)</f>
        <v>0</v>
      </c>
      <c r="GM30">
        <f>$GM$29+--($GL30)</f>
        <v>4</v>
      </c>
      <c r="GN30" t="str">
        <f t="shared" si="76"/>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P30" t="b">
        <f>IF($AI$30="",FALSE,SUMPRODUCT(('Final Calculation Sheet'!$A$4:$A$40=$AI$30)*($GO$6:$GO$42=1))&gt;0)</f>
        <v>0</v>
      </c>
      <c r="GQ30">
        <f>$GQ$29+--($GP30)</f>
        <v>22</v>
      </c>
      <c r="GR30" t="str">
        <f t="shared" si="77"/>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T30" t="b">
        <f>IF($AN$30="",FALSE,SUMPRODUCT(('Final Calculation Sheet'!$E$4:$E$40=$AN$30)*($GS$6:$GS$42=1))&gt;0)</f>
        <v>0</v>
      </c>
      <c r="GU30">
        <f>$GU$29+--($GT30)</f>
        <v>3</v>
      </c>
      <c r="GV30" t="str">
        <f t="shared" si="78"/>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GX30" t="b">
        <f>IF($AS$30="",FALSE,SUMPRODUCT(('Final Calculation Sheet'!$C$4:$C$40=$AS$30)*($GW$6:$GW$42=1))&gt;0)</f>
        <v>1</v>
      </c>
      <c r="GY30">
        <f>$GY$29+--($GX30)</f>
        <v>27</v>
      </c>
      <c r="GZ30">
        <f t="shared" si="79"/>
        <v>80000</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B30" t="b">
        <f>IF($AX$30="",FALSE,SUMPRODUCT(('Final Calculation Sheet'!$H$4:$H$40=$AX$30)*($HA$6:$HA$42=1))&gt;0)</f>
        <v>1</v>
      </c>
      <c r="HC30">
        <f>$HC$29+--($HB30)</f>
        <v>27</v>
      </c>
      <c r="HD30">
        <f t="shared" si="80"/>
        <v>251229</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F30" t="b">
        <f>IF($BC$30="",FALSE,SUMPRODUCT(('Final Calculation Sheet'!$I$4:$I$40=$BC$30)*($HE$6:$HE$42=1))&gt;0)</f>
        <v>1</v>
      </c>
      <c r="HG30">
        <f>$HG$29+--($HF30)</f>
        <v>27</v>
      </c>
      <c r="HH30">
        <f t="shared" si="81"/>
        <v>45221</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J30" t="b">
        <f>IF($BH$30="",FALSE,SUMPRODUCT(('Final Calculation Sheet'!$J$4:$J$40=$BH$30)*($HI$6:$HI$42=1))&gt;0)</f>
        <v>1</v>
      </c>
      <c r="HK30">
        <f>$HK$29+--($HJ30)</f>
        <v>27</v>
      </c>
      <c r="HL30">
        <f t="shared" si="82"/>
        <v>296450</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N30" t="b">
        <f>IF($BM$30="",FALSE,SUMPRODUCT(('Final Calculation Sheet'!$K$4:$K$40=$BM$30)*($HM$6:$HM$42=1))&gt;0)</f>
        <v>1</v>
      </c>
      <c r="HO30">
        <f>$HO$29+--($HN30)</f>
        <v>27</v>
      </c>
      <c r="HP30">
        <f t="shared" si="83"/>
        <v>6372</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R30" t="b">
        <f>IF($BR$30="",FALSE,SUMPRODUCT(('Final Calculation Sheet'!$L$4:$L$40=$BR$30)*($HQ$6:$HQ$42=1))&gt;0)</f>
        <v>1</v>
      </c>
      <c r="HS30">
        <f>$HS$29+--($HR30)</f>
        <v>27</v>
      </c>
      <c r="HT30">
        <f t="shared" si="84"/>
        <v>251.22900000000001</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V30" t="b">
        <f>IF($BW$30="",FALSE,SUMPRODUCT(('Final Calculation Sheet'!$M$4:$M$40=$BW$30)*($HU$6:$HU$42=1))&gt;0)</f>
        <v>1</v>
      </c>
      <c r="HW30">
        <f>$HW$29+--($HV30)</f>
        <v>27</v>
      </c>
      <c r="HX30">
        <f t="shared" si="85"/>
        <v>6670.1299499999996</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HZ30" t="b">
        <f>IF($CB$30="",FALSE,SUMPRODUCT(('Final Calculation Sheet'!$N$4:$N$40=$CB$30)*($HY$6:$HY$42=1))&gt;0)</f>
        <v>1</v>
      </c>
      <c r="IA30">
        <f>$IA$29+--($HZ30)</f>
        <v>27</v>
      </c>
      <c r="IB30">
        <f t="shared" si="86"/>
        <v>113.05305</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D30" t="b">
        <f>IF($CG$30="",FALSE,SUMPRODUCT(('Final Calculation Sheet'!$O$4:$O$40=$CG$30)*($IC$6:$IC$42=1))&gt;0)</f>
        <v>1</v>
      </c>
      <c r="IE30">
        <f>$IE$29+--($ID30)</f>
        <v>27</v>
      </c>
      <c r="IF30">
        <f t="shared" si="87"/>
        <v>6557.0768999999991</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H30" t="b">
        <f>IF($CL$30="",FALSE,SUMPRODUCT(('Final Calculation Sheet'!$P$4:$P$40=$CL$30)*($IG$6:$IG$42=1))&gt;0)</f>
        <v>1</v>
      </c>
      <c r="II30">
        <f>$II$29+--($IH30)</f>
        <v>27</v>
      </c>
      <c r="IJ30">
        <f t="shared" si="88"/>
        <v>7317</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L30" t="b">
        <f>IF($CQ$30="",FALSE,SUMPRODUCT(('Final Calculation Sheet'!$Q$4:$Q$40=$CQ$30)*($IK$6:$IK$42=1))&gt;0)</f>
        <v>0</v>
      </c>
      <c r="IM30">
        <f>$IM$29+--($IL30)</f>
        <v>2</v>
      </c>
      <c r="IN30" t="str">
        <f t="shared" si="89"/>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P30" t="b">
        <f>IF($CV$30="",FALSE,SUMPRODUCT(('Final Calculation Sheet'!$R$4:$R$40=$CV$30)*($IO$6:$IO$42=1))&gt;0)</f>
        <v>0</v>
      </c>
      <c r="IQ30">
        <f>$IQ$29+--($IP30)</f>
        <v>5</v>
      </c>
      <c r="IR30" t="str">
        <f t="shared" si="90"/>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T30" t="b">
        <f>IF($DA$30="",FALSE,SUMPRODUCT(('Final Calculation Sheet'!$S$4:$S$40=$DA$30)*($IS$6:$IS$42=1))&gt;0)</f>
        <v>1</v>
      </c>
      <c r="IU30">
        <f>$IU$29+--($IT30)</f>
        <v>27</v>
      </c>
      <c r="IV30">
        <f t="shared" si="91"/>
        <v>295571</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IX30" t="b">
        <f>IF($DF$30="",FALSE,SUMPRODUCT(('Final Calculation Sheet'!$T$4:$T$40=$DF$30)*($IW$6:$IW$42=1))&gt;0)</f>
        <v>1</v>
      </c>
      <c r="IY30">
        <f>$IY$29+--($IX30)</f>
        <v>27</v>
      </c>
      <c r="IZ30">
        <f t="shared" si="92"/>
        <v>62807</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B30" t="b">
        <f>IF($DK$30="",FALSE,SUMPRODUCT(('Final Calculation Sheet'!$U$4:$U$40=$DK$30)*($JA$6:$JA$42=1))&gt;0)</f>
        <v>1</v>
      </c>
      <c r="JC30">
        <f>$JC$29+--($JB30)</f>
        <v>27</v>
      </c>
      <c r="JD30">
        <f t="shared" si="93"/>
        <v>62807</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F30" t="b">
        <f>IF($DP$30="",FALSE,SUMPRODUCT(('Final Calculation Sheet'!$V$4:$V$40=$DP$30)*($JE$6:$JE$42=1))&gt;0)</f>
        <v>0</v>
      </c>
      <c r="JG30">
        <f>$JG$29+--($JF30)</f>
        <v>6</v>
      </c>
      <c r="JH30" t="str">
        <f t="shared" si="94"/>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J30" t="b">
        <f>IF($DU$30="",FALSE,SUMPRODUCT(('Final Calculation Sheet'!$W$4:$W$40=$DU$30)*($JI$6:$JI$42=1))&gt;0)</f>
        <v>1</v>
      </c>
      <c r="JK30">
        <f>$JK$29+--($JJ30)</f>
        <v>27</v>
      </c>
      <c r="JL30">
        <f t="shared" si="95"/>
        <v>232764</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N30" t="e">
        <f>IF($DZ$30="",FALSE,SUMPRODUCT(('Final Calculation Sheet'!$X$4:$X$40=$DZ$30)*($JM$6:$JM$42=1))&gt;0)</f>
        <v>#N/A</v>
      </c>
      <c r="JO30" t="e">
        <f>$JO$29+--($JN30)</f>
        <v>#N/A</v>
      </c>
      <c r="JP30" t="e">
        <f t="shared" si="96"/>
        <v>#N/A</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R30" t="e">
        <f>IF($EE$30="",FALSE,SUMPRODUCT(('Final Calculation Sheet'!$Y$4:$Y$40=$EE$30)*($JQ$6:$JQ$42=1))&gt;0)</f>
        <v>#N/A</v>
      </c>
      <c r="JS30" t="e">
        <f>$JS$29+--($JR30)</f>
        <v>#N/A</v>
      </c>
      <c r="JT30" t="e">
        <f t="shared" si="97"/>
        <v>#N/A</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V30" t="b">
        <f ca="1">IF($EJ$30="",FALSE,SUMPRODUCT(('Final Calculation Sheet'!$Z$4:$Z$40=$EJ$30)*($JU$6:$JU$42=1))&gt;0)</f>
        <v>1</v>
      </c>
      <c r="JW30">
        <f ca="1">$JW$29+--($JV30)</f>
        <v>27</v>
      </c>
      <c r="JX30">
        <f t="shared" ca="1" si="98"/>
        <v>8893.5066000000006</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JZ30" t="e">
        <f>IF($EO$30="",FALSE,SUMPRODUCT(('Final Calculation Sheet'!$AA$4:$AA$40=$EO$30)*($JY$6:$JY$42=1))&gt;0)</f>
        <v>#N/A</v>
      </c>
      <c r="KA30" t="e">
        <f>$KA$29+--($JZ30)</f>
        <v>#N/A</v>
      </c>
      <c r="KB30" t="e">
        <f t="shared" si="99"/>
        <v>#N/A</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D30" t="e">
        <f>IF($ET$30="",FALSE,SUMPRODUCT(('Final Calculation Sheet'!$AB$4:$AB$40=$ET$30)*($KC$6:$KC$42=1))&gt;0)</f>
        <v>#N/A</v>
      </c>
      <c r="KE30" t="e">
        <f>$KE$29+--($KD30)</f>
        <v>#N/A</v>
      </c>
      <c r="KF30" t="e">
        <f t="shared" si="100"/>
        <v>#N/A</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H30" t="b">
        <f>IF($EY$30="",FALSE,SUMPRODUCT(('Final Calculation Sheet'!$AC$4:$AC$40=$EY$30)*($KG$6:$KG$42=1))&gt;0)</f>
        <v>1</v>
      </c>
      <c r="KI30">
        <f>$KI$29+--($KH30)</f>
        <v>27</v>
      </c>
      <c r="KJ30">
        <f t="shared" si="101"/>
        <v>247069</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L30" t="b">
        <f>IF($FD$30="",FALSE,SUMPRODUCT(('Final Calculation Sheet'!$AD$4:$AD$40=$FD$30)*($KK$6:$KK$42=1))&gt;0)</f>
        <v>0</v>
      </c>
      <c r="KM30">
        <f>$KM$29+--($KL30)</f>
        <v>11</v>
      </c>
      <c r="KN30" t="str">
        <f t="shared" si="102"/>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P30" t="b">
        <f>IF($FX$30="",FALSE,SUMPRODUCT((IF('Final Calculation Sheet'!$AD$4:$AD$40&lt;=5,"SETTLED","OUTSTANDING")=$FX$30)*($KO$6:$KO$42=1))&gt;0)</f>
        <v>0</v>
      </c>
      <c r="KQ30">
        <f>$KQ$29+--($KP30)</f>
        <v>1</v>
      </c>
      <c r="KR30" t="str">
        <f t="shared" si="103"/>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T30" t="e">
        <f>IF($FI$30="",FALSE,SUMPRODUCT(('Final Calculation Sheet'!$AF$4:$AF$40=$FI$30)*($KS$6:$KS$42=1))&gt;0)</f>
        <v>#N/A</v>
      </c>
      <c r="KU30" t="e">
        <f>$KU$29+--($KT30)</f>
        <v>#N/A</v>
      </c>
      <c r="KV30" t="e">
        <f t="shared" si="104"/>
        <v>#N/A</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KX30" t="e">
        <f>IF($FN$30="",FALSE,SUMPRODUCT(('Final Calculation Sheet'!$AG$4:$AG$40=$FN$30)*($KW$6:$KW$42=1))&gt;0)</f>
        <v>#N/A</v>
      </c>
      <c r="KY30" t="e">
        <f>$KY$29+--($KX30)</f>
        <v>#N/A</v>
      </c>
      <c r="KZ30" t="e">
        <f t="shared" si="105"/>
        <v>#N/A</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LB30" t="e">
        <f>IF($FS$30="",FALSE,SUMPRODUCT(('Final Calculation Sheet'!$AH$4:$AH$40=$FS$30)*($LA$6:$LA$42=1))&gt;0)</f>
        <v>#N/A</v>
      </c>
      <c r="LC30" t="e">
        <f>$LC$29+--($LB30)</f>
        <v>#N/A</v>
      </c>
      <c r="LD30" t="e">
        <f t="shared" si="106"/>
        <v>#N/A</v>
      </c>
      <c r="LE30">
        <f>IF(COUNTIF('Buyer Groups'!DH30:EN30,0)&gt;0,0,1)</f>
        <v>1</v>
      </c>
      <c r="LF30" t="b">
        <f>IF($O$30="",FALSE,SUMPRODUCT(('Final Calculation Sheet'!$F$4:$F$40=$O$30)*($LE$6:$LE$42=1))&gt;0)</f>
        <v>1</v>
      </c>
      <c r="LG30">
        <f>$LG$29+--($LF30)</f>
        <v>27</v>
      </c>
      <c r="LH30">
        <f t="shared" si="107"/>
        <v>2043</v>
      </c>
      <c r="LI30">
        <f>IF(COUNTIF('Buyer Groups'!DG30:DG30,0)+COUNTIF('Buyer Groups'!DI30:EN30,0)&gt;0,0,1)</f>
        <v>1</v>
      </c>
      <c r="LJ30" t="b">
        <f>IF($T$30="",FALSE,SUMPRODUCT(('Final Calculation Sheet'!$G$4:$G$40=$T$30)*($LI$6:$LI$42=1))&gt;0)</f>
        <v>0</v>
      </c>
      <c r="LK30">
        <f>$LK$29+--($LJ30)</f>
        <v>13</v>
      </c>
      <c r="LL30" t="str">
        <f t="shared" si="108"/>
        <v/>
      </c>
      <c r="LM30">
        <f>IF(COUNTIF('Buyer Groups'!DG30:DH30,0)+COUNTIF('Buyer Groups'!DJ30:EN30,0)&gt;0,0,1)</f>
        <v>1</v>
      </c>
      <c r="LN30" t="b">
        <f>IF($Y$30="",FALSE,SUMPRODUCT(('Final Calculation Sheet'!$B$4:$B$40=$Y$30)*($LM$6:$LM$42=1))&gt;0)</f>
        <v>0</v>
      </c>
      <c r="LO30">
        <f>$LO$29+--($LN30)</f>
        <v>25</v>
      </c>
      <c r="LP30" t="str">
        <f t="shared" si="109"/>
        <v/>
      </c>
      <c r="LQ30">
        <f>IF(COUNTIF('Buyer Groups'!DG30:DI30,0)+COUNTIF('Buyer Groups'!DK30:EN30,0)&gt;0,0,1)</f>
        <v>1</v>
      </c>
      <c r="LR30" t="b">
        <f>IF($AD$30="",FALSE,SUMPRODUCT(('Final Calculation Sheet'!$D$4:$D$40=$AD$30)*($LQ$6:$LQ$42=1))&gt;0)</f>
        <v>0</v>
      </c>
      <c r="LS30">
        <f>$LS$29+--($LR30)</f>
        <v>4</v>
      </c>
      <c r="LT30" t="str">
        <f t="shared" si="110"/>
        <v/>
      </c>
      <c r="LU30">
        <f>IF(COUNTIF('Buyer Groups'!DG30:DJ30,0)+COUNTIF('Buyer Groups'!DL30:EN30,0)&gt;0,0,1)</f>
        <v>1</v>
      </c>
      <c r="LV30" t="b">
        <f>IF($AI$30="",FALSE,SUMPRODUCT(('Final Calculation Sheet'!$A$4:$A$40=$AI$30)*($LU$6:$LU$42=1))&gt;0)</f>
        <v>0</v>
      </c>
      <c r="LW30">
        <f>$LW$29+--($LV30)</f>
        <v>22</v>
      </c>
      <c r="LX30" t="str">
        <f t="shared" si="111"/>
        <v/>
      </c>
      <c r="LY30">
        <f>IF(COUNTIF('Buyer Groups'!DG30:DK30,0)+COUNTIF('Buyer Groups'!DM30:EN30,0)&gt;0,0,1)</f>
        <v>1</v>
      </c>
      <c r="LZ30" t="b">
        <f>IF($AN$30="",FALSE,SUMPRODUCT(('Final Calculation Sheet'!$E$4:$E$40=$AN$30)*($LY$6:$LY$42=1))&gt;0)</f>
        <v>0</v>
      </c>
      <c r="MA30">
        <f>$MA$29+--($LZ30)</f>
        <v>3</v>
      </c>
      <c r="MB30" t="str">
        <f t="shared" si="112"/>
        <v/>
      </c>
      <c r="MC30">
        <f>IF(COUNTIF('Buyer Groups'!DG30:DL30,0)+COUNTIF('Buyer Groups'!DN30:EN30,0)&gt;0,0,1)</f>
        <v>1</v>
      </c>
      <c r="MD30" t="b">
        <f>IF($AS$30="",FALSE,SUMPRODUCT(('Final Calculation Sheet'!$C$4:$C$40=$AS$30)*($MC$6:$MC$42=1))&gt;0)</f>
        <v>1</v>
      </c>
      <c r="ME30">
        <f>$ME$29+--($MD30)</f>
        <v>27</v>
      </c>
      <c r="MF30">
        <f t="shared" si="113"/>
        <v>80000</v>
      </c>
      <c r="MG30">
        <f>IF(COUNTIF('Buyer Groups'!DG30:DM30,0)+COUNTIF('Buyer Groups'!DO30:EN30,0)&gt;0,0,1)</f>
        <v>1</v>
      </c>
      <c r="MH30" t="b">
        <f>IF($AX$30="",FALSE,SUMPRODUCT(('Final Calculation Sheet'!$H$4:$H$40=$AX$30)*($MG$6:$MG$42=1))&gt;0)</f>
        <v>1</v>
      </c>
      <c r="MI30">
        <f>$MI$29+--($MH30)</f>
        <v>27</v>
      </c>
      <c r="MJ30">
        <f t="shared" si="114"/>
        <v>251229</v>
      </c>
      <c r="MK30">
        <f>IF(COUNTIF('Buyer Groups'!DG30:DN30,0)+COUNTIF('Buyer Groups'!DP30:EN30,0)&gt;0,0,1)</f>
        <v>1</v>
      </c>
      <c r="ML30" t="b">
        <f>IF($BC$30="",FALSE,SUMPRODUCT(('Final Calculation Sheet'!$I$4:$I$40=$BC$30)*($MK$6:$MK$42=1))&gt;0)</f>
        <v>1</v>
      </c>
      <c r="MM30">
        <f>$MM$29+--($ML30)</f>
        <v>27</v>
      </c>
      <c r="MN30">
        <f t="shared" si="115"/>
        <v>45221</v>
      </c>
      <c r="MO30">
        <f>IF(COUNTIF('Buyer Groups'!DG30:DO30,0)+COUNTIF('Buyer Groups'!DQ30:EN30,0)&gt;0,0,1)</f>
        <v>1</v>
      </c>
      <c r="MP30" t="b">
        <f>IF($BH$30="",FALSE,SUMPRODUCT(('Final Calculation Sheet'!$J$4:$J$40=$BH$30)*($MO$6:$MO$42=1))&gt;0)</f>
        <v>1</v>
      </c>
      <c r="MQ30">
        <f>$MQ$29+--($MP30)</f>
        <v>27</v>
      </c>
      <c r="MR30">
        <f t="shared" si="116"/>
        <v>296450</v>
      </c>
      <c r="MS30">
        <f>IF(COUNTIF('Buyer Groups'!DG30:DP30,0)+COUNTIF('Buyer Groups'!DR30:EN30,0)&gt;0,0,1)</f>
        <v>1</v>
      </c>
      <c r="MT30" t="b">
        <f>IF($BM$30="",FALSE,SUMPRODUCT(('Final Calculation Sheet'!$K$4:$K$40=$BM$30)*($MS$6:$MS$42=1))&gt;0)</f>
        <v>1</v>
      </c>
      <c r="MU30">
        <f>$MU$29+--($MT30)</f>
        <v>27</v>
      </c>
      <c r="MV30">
        <f t="shared" si="117"/>
        <v>6372</v>
      </c>
      <c r="MW30">
        <f>IF(COUNTIF('Buyer Groups'!DG30:DQ30,0)+COUNTIF('Buyer Groups'!DS30:EN30,0)&gt;0,0,1)</f>
        <v>1</v>
      </c>
      <c r="MX30" t="b">
        <f>IF($BR$30="",FALSE,SUMPRODUCT(('Final Calculation Sheet'!$L$4:$L$40=$BR$30)*($MW$6:$MW$42=1))&gt;0)</f>
        <v>1</v>
      </c>
      <c r="MY30">
        <f>$MY$29+--($MX30)</f>
        <v>27</v>
      </c>
      <c r="MZ30">
        <f t="shared" si="118"/>
        <v>251.22900000000001</v>
      </c>
      <c r="NA30">
        <f>IF(COUNTIF('Buyer Groups'!DG30:DR30,0)+COUNTIF('Buyer Groups'!DT30:EN30,0)&gt;0,0,1)</f>
        <v>1</v>
      </c>
      <c r="NB30" t="b">
        <f>IF($BW$30="",FALSE,SUMPRODUCT(('Final Calculation Sheet'!$M$4:$M$40=$BW$30)*($NA$6:$NA$42=1))&gt;0)</f>
        <v>1</v>
      </c>
      <c r="NC30">
        <f>$NC$29+--($NB30)</f>
        <v>27</v>
      </c>
      <c r="ND30">
        <f t="shared" si="119"/>
        <v>6670.1299499999996</v>
      </c>
      <c r="NE30">
        <f>IF(COUNTIF('Buyer Groups'!DG30:DS30,0)+COUNTIF('Buyer Groups'!DU30:EN30,0)&gt;0,0,1)</f>
        <v>1</v>
      </c>
      <c r="NF30" t="b">
        <f>IF($CB$30="",FALSE,SUMPRODUCT(('Final Calculation Sheet'!$N$4:$N$40=$CB$30)*($NE$6:$NE$42=1))&gt;0)</f>
        <v>1</v>
      </c>
      <c r="NG30">
        <f>$NG$29+--($NF30)</f>
        <v>27</v>
      </c>
      <c r="NH30">
        <f t="shared" si="120"/>
        <v>113.05305</v>
      </c>
      <c r="NI30">
        <f>IF(COUNTIF('Buyer Groups'!DG30:DT30,0)+COUNTIF('Buyer Groups'!DV30:EN30,0)&gt;0,0,1)</f>
        <v>1</v>
      </c>
      <c r="NJ30" t="b">
        <f>IF($CG$30="",FALSE,SUMPRODUCT(('Final Calculation Sheet'!$O$4:$O$40=$CG$30)*($NI$6:$NI$42=1))&gt;0)</f>
        <v>1</v>
      </c>
      <c r="NK30">
        <f>$NK$29+--($NJ30)</f>
        <v>27</v>
      </c>
      <c r="NL30">
        <f t="shared" si="121"/>
        <v>6557.0768999999991</v>
      </c>
      <c r="NM30">
        <f>IF(COUNTIF('Buyer Groups'!DG30:DU30,0)+COUNTIF('Buyer Groups'!DW30:EN30,0)&gt;0,0,1)</f>
        <v>1</v>
      </c>
      <c r="NN30" t="b">
        <f>IF($CL$30="",FALSE,SUMPRODUCT(('Final Calculation Sheet'!$P$4:$P$40=$CL$30)*($NM$6:$NM$42=1))&gt;0)</f>
        <v>1</v>
      </c>
      <c r="NO30">
        <f>$NO$29+--($NN30)</f>
        <v>27</v>
      </c>
      <c r="NP30">
        <f t="shared" si="122"/>
        <v>7317</v>
      </c>
      <c r="NQ30">
        <f>IF(COUNTIF('Buyer Groups'!DG30:DV30,0)+COUNTIF('Buyer Groups'!DX30:EN30,0)&gt;0,0,1)</f>
        <v>1</v>
      </c>
      <c r="NR30" t="b">
        <f>IF($CQ$30="",FALSE,SUMPRODUCT(('Final Calculation Sheet'!$Q$4:$Q$40=$CQ$30)*($NQ$6:$NQ$42=1))&gt;0)</f>
        <v>0</v>
      </c>
      <c r="NS30">
        <f>$NS$29+--($NR30)</f>
        <v>2</v>
      </c>
      <c r="NT30" t="str">
        <f t="shared" si="123"/>
        <v/>
      </c>
      <c r="NU30">
        <f>IF(COUNTIF('Buyer Groups'!DG30:DW30,0)+COUNTIF('Buyer Groups'!DY30:EN30,0)&gt;0,0,1)</f>
        <v>1</v>
      </c>
      <c r="NV30" t="b">
        <f>IF($CV$30="",FALSE,SUMPRODUCT(('Final Calculation Sheet'!$R$4:$R$40=$CV$30)*($NU$6:$NU$42=1))&gt;0)</f>
        <v>0</v>
      </c>
      <c r="NW30">
        <f>$NW$29+--($NV30)</f>
        <v>5</v>
      </c>
      <c r="NX30" t="str">
        <f t="shared" si="124"/>
        <v/>
      </c>
      <c r="NY30">
        <f>IF(COUNTIF('Buyer Groups'!DG30:DX30,0)+COUNTIF('Buyer Groups'!DZ30:EN30,0)&gt;0,0,1)</f>
        <v>1</v>
      </c>
      <c r="NZ30" t="b">
        <f>IF($DA$30="",FALSE,SUMPRODUCT(('Final Calculation Sheet'!$S$4:$S$40=$DA$30)*($NY$6:$NY$42=1))&gt;0)</f>
        <v>1</v>
      </c>
      <c r="OA30">
        <f>$OA$29+--($NZ30)</f>
        <v>27</v>
      </c>
      <c r="OB30">
        <f t="shared" si="125"/>
        <v>295571</v>
      </c>
      <c r="OC30">
        <f>IF(COUNTIF('Buyer Groups'!DG30:DY30,0)+COUNTIF('Buyer Groups'!EA30:EN30,0)&gt;0,0,1)</f>
        <v>1</v>
      </c>
      <c r="OD30" t="b">
        <f>IF($DF$30="",FALSE,SUMPRODUCT(('Final Calculation Sheet'!$T$4:$T$40=$DF$30)*($OC$6:$OC$42=1))&gt;0)</f>
        <v>1</v>
      </c>
      <c r="OE30">
        <f>$OE$29+--($OD30)</f>
        <v>27</v>
      </c>
      <c r="OF30">
        <f t="shared" si="126"/>
        <v>62807</v>
      </c>
      <c r="OG30">
        <f>IF(COUNTIF('Buyer Groups'!DG30:DZ30,0)+COUNTIF('Buyer Groups'!EB30:EN30,0)&gt;0,0,1)</f>
        <v>1</v>
      </c>
      <c r="OH30" t="b">
        <f>IF($DK$30="",FALSE,SUMPRODUCT(('Final Calculation Sheet'!$U$4:$U$40=$DK$30)*($OG$6:$OG$42=1))&gt;0)</f>
        <v>1</v>
      </c>
      <c r="OI30">
        <f>$OI$29+--($OH30)</f>
        <v>27</v>
      </c>
      <c r="OJ30">
        <f t="shared" si="127"/>
        <v>62807</v>
      </c>
      <c r="OK30">
        <f>IF(COUNTIF('Buyer Groups'!DG30:EA30,0)+COUNTIF('Buyer Groups'!EC30:EN30,0)&gt;0,0,1)</f>
        <v>1</v>
      </c>
      <c r="OL30" t="b">
        <f>IF($DP$30="",FALSE,SUMPRODUCT(('Final Calculation Sheet'!$V$4:$V$40=$DP$30)*($OK$6:$OK$42=1))&gt;0)</f>
        <v>0</v>
      </c>
      <c r="OM30">
        <f>$OM$29+--($OL30)</f>
        <v>6</v>
      </c>
      <c r="ON30" t="str">
        <f t="shared" si="128"/>
        <v/>
      </c>
      <c r="OO30">
        <f>IF(COUNTIF('Buyer Groups'!DG30:EB30,0)+COUNTIF('Buyer Groups'!ED30:EN30,0)&gt;0,0,1)</f>
        <v>1</v>
      </c>
      <c r="OP30" t="b">
        <f>IF($DU$30="",FALSE,SUMPRODUCT(('Final Calculation Sheet'!$W$4:$W$40=$DU$30)*($OO$6:$OO$42=1))&gt;0)</f>
        <v>1</v>
      </c>
      <c r="OQ30">
        <f>$OQ$29+--($OP30)</f>
        <v>27</v>
      </c>
      <c r="OR30">
        <f t="shared" si="129"/>
        <v>232764</v>
      </c>
      <c r="OS30">
        <f>IF(COUNTIF('Buyer Groups'!DG30:EC30,0)+COUNTIF('Buyer Groups'!EE30:EN30,0)&gt;0,0,1)</f>
        <v>1</v>
      </c>
      <c r="OT30" t="e">
        <f>IF($DZ$30="",FALSE,SUMPRODUCT(('Final Calculation Sheet'!$X$4:$X$40=$DZ$30)*($OS$6:$OS$42=1))&gt;0)</f>
        <v>#N/A</v>
      </c>
      <c r="OU30" t="e">
        <f>$OU$29+--($OT30)</f>
        <v>#N/A</v>
      </c>
      <c r="OV30" t="e">
        <f t="shared" si="130"/>
        <v>#N/A</v>
      </c>
      <c r="OW30">
        <f>IF(COUNTIF('Buyer Groups'!DG30:ED30,0)+COUNTIF('Buyer Groups'!EF30:EN30,0)&gt;0,0,1)</f>
        <v>1</v>
      </c>
      <c r="OX30" t="e">
        <f>IF($EE$30="",FALSE,SUMPRODUCT(('Final Calculation Sheet'!$Y$4:$Y$40=$EE$30)*($OW$6:$OW$42=1))&gt;0)</f>
        <v>#N/A</v>
      </c>
      <c r="OY30" t="e">
        <f>$OY$29+--($OX30)</f>
        <v>#N/A</v>
      </c>
      <c r="OZ30" t="e">
        <f t="shared" si="131"/>
        <v>#N/A</v>
      </c>
      <c r="PA30">
        <f>IF(COUNTIF('Buyer Groups'!DG30:EE30,0)+COUNTIF('Buyer Groups'!EG30:EN30,0)&gt;0,0,1)</f>
        <v>1</v>
      </c>
      <c r="PB30" t="b">
        <f ca="1">IF($EJ$30="",FALSE,SUMPRODUCT(('Final Calculation Sheet'!$Z$4:$Z$40=$EJ$30)*($PA$6:$PA$42=1))&gt;0)</f>
        <v>1</v>
      </c>
      <c r="PC30">
        <f ca="1">$PC$29+--($PB30)</f>
        <v>27</v>
      </c>
      <c r="PD30">
        <f t="shared" ca="1" si="132"/>
        <v>8893.5066000000006</v>
      </c>
      <c r="PE30">
        <f>IF(COUNTIF('Buyer Groups'!DG30:EF30,0)+COUNTIF('Buyer Groups'!EH30:EN30,0)&gt;0,0,1)</f>
        <v>1</v>
      </c>
      <c r="PF30" t="e">
        <f>IF($EO$30="",FALSE,SUMPRODUCT(('Final Calculation Sheet'!$AA$4:$AA$40=$EO$30)*($PE$6:$PE$42=1))&gt;0)</f>
        <v>#N/A</v>
      </c>
      <c r="PG30" t="e">
        <f>$PG$29+--($PF30)</f>
        <v>#N/A</v>
      </c>
      <c r="PH30" t="e">
        <f t="shared" si="133"/>
        <v>#N/A</v>
      </c>
      <c r="PI30">
        <f>IF(COUNTIF('Buyer Groups'!DG30:EG30,0)+COUNTIF('Buyer Groups'!EI30:EN30,0)&gt;0,0,1)</f>
        <v>1</v>
      </c>
      <c r="PJ30" t="e">
        <f>IF($ET$30="",FALSE,SUMPRODUCT(('Final Calculation Sheet'!$AB$4:$AB$40=$ET$30)*($PI$6:$PI$42=1))&gt;0)</f>
        <v>#N/A</v>
      </c>
      <c r="PK30" t="e">
        <f>$PK$29+--($PJ30)</f>
        <v>#N/A</v>
      </c>
      <c r="PL30" t="e">
        <f t="shared" si="134"/>
        <v>#N/A</v>
      </c>
      <c r="PM30">
        <f>IF(COUNTIF('Buyer Groups'!DG30:EH30,0)+COUNTIF('Buyer Groups'!EJ30:EN30,0)&gt;0,0,1)</f>
        <v>1</v>
      </c>
      <c r="PN30" t="b">
        <f>IF($EY$30="",FALSE,SUMPRODUCT(('Final Calculation Sheet'!$AC$4:$AC$40=$EY$30)*($PM$6:$PM$42=1))&gt;0)</f>
        <v>1</v>
      </c>
      <c r="PO30">
        <f>$PO$29+--($PN30)</f>
        <v>27</v>
      </c>
      <c r="PP30">
        <f t="shared" si="135"/>
        <v>247069</v>
      </c>
      <c r="PQ30">
        <f>IF(COUNTIF('Buyer Groups'!DG30:EI30,0)+COUNTIF('Buyer Groups'!EK30:EN30,0)&gt;0,0,1)</f>
        <v>1</v>
      </c>
      <c r="PR30" t="b">
        <f>IF($FD$30="",FALSE,SUMPRODUCT(('Final Calculation Sheet'!$AD$4:$AD$40=$FD$30)*($PQ$6:$PQ$42=1))&gt;0)</f>
        <v>0</v>
      </c>
      <c r="PS30">
        <f>$PS$29+--($PR30)</f>
        <v>11</v>
      </c>
      <c r="PT30" t="str">
        <f t="shared" si="136"/>
        <v/>
      </c>
      <c r="PU30">
        <f>IF(COUNTIF('Buyer Groups'!DG30:EJ30,0)+COUNTIF('Buyer Groups'!EL30:EN30,0)&gt;0,0,1)</f>
        <v>1</v>
      </c>
      <c r="PV30" t="b">
        <f>IF($FX$30="",FALSE,SUMPRODUCT((IF('Final Calculation Sheet'!$AD$4:$AD$40&lt;=5,"SETTLED","OUTSTANDING")=$FX$30)*($PU$6:$PU$42=1))&gt;0)</f>
        <v>0</v>
      </c>
      <c r="PW30">
        <f>$PW$29+--($PV30)</f>
        <v>1</v>
      </c>
      <c r="PX30" t="str">
        <f t="shared" si="137"/>
        <v/>
      </c>
      <c r="PY30">
        <f>IF(COUNTIF('Buyer Groups'!DG30:EK30,0)+COUNTIF('Buyer Groups'!EM30:EN30,0)&gt;0,0,1)</f>
        <v>1</v>
      </c>
      <c r="PZ30" t="e">
        <f>IF($FI$30="",FALSE,SUMPRODUCT(('Final Calculation Sheet'!$AF$4:$AF$40=$FI$30)*($PY$6:$PY$42=1))&gt;0)</f>
        <v>#N/A</v>
      </c>
      <c r="QA30" t="e">
        <f>$QA$29+--($PZ30)</f>
        <v>#N/A</v>
      </c>
      <c r="QB30" t="e">
        <f t="shared" si="138"/>
        <v>#N/A</v>
      </c>
      <c r="QC30">
        <f>IF(COUNTIF('Buyer Groups'!DG30:EL30,0)+COUNTIF('Buyer Groups'!EN30:EN30,0)&gt;0,0,1)</f>
        <v>1</v>
      </c>
      <c r="QD30" t="e">
        <f>IF($FN$30="",FALSE,SUMPRODUCT(('Final Calculation Sheet'!$AG$4:$AG$40=$FN$30)*($QC$6:$QC$42=1))&gt;0)</f>
        <v>#N/A</v>
      </c>
      <c r="QE30" t="e">
        <f>$QE$29+--($QD30)</f>
        <v>#N/A</v>
      </c>
      <c r="QF30" t="e">
        <f t="shared" si="139"/>
        <v>#N/A</v>
      </c>
      <c r="QG30">
        <f>IF(COUNTIF('Buyer Groups'!DG30:EM30,0)&gt;0,0,1)</f>
        <v>1</v>
      </c>
      <c r="QH30" t="e">
        <f>IF($FS$30="",FALSE,SUMPRODUCT(('Final Calculation Sheet'!$AH$4:$AH$40=$FS$30)*($QG$6:$QG$42=1))&gt;0)</f>
        <v>#N/A</v>
      </c>
      <c r="QI30" t="e">
        <f>$QI$29+--($QH30)</f>
        <v>#N/A</v>
      </c>
      <c r="QJ30" t="e">
        <f t="shared" si="140"/>
        <v>#N/A</v>
      </c>
      <c r="QK30" t="str">
        <f>IF('Final Calculation Sheet'!$AH$30="","",'Final Calculation Sheet'!$AH$30)</f>
        <v>27.08.2026</v>
      </c>
      <c r="QL30">
        <f>IF(QK30="","",COUNTIFS(QK$4:QK$40,"&lt;"&amp;QK30,QK$4:QK$40,"&lt;&gt;"&amp;"")+COUNTIF(QK$4:QK30,QK30))</f>
        <v>33</v>
      </c>
      <c r="QM30" t="str">
        <f t="shared" si="141"/>
        <v>27.08.2026</v>
      </c>
      <c r="QN30" t="e">
        <f ca="1">QN29+F(AND(QM30&lt;&gt;"",COUNTIF(QM$4:QM30,QM30)=1),1,0)</f>
        <v>#N/A</v>
      </c>
      <c r="QO30" t="e">
        <f t="shared" si="142"/>
        <v>#N/A</v>
      </c>
      <c r="QP30">
        <f>IF(COUNTIF('Final Calculation Sheet'!$AM30:$BS30,0)&gt;0,0,1)</f>
        <v>1</v>
      </c>
      <c r="QQ30" t="b">
        <f>IF($AI$30="",FALSE,SUMPRODUCT(('Final Calculation Sheet'!$A$4:$A$40=$AI$30)*($QP$4:$QP$40=1))&gt;0)</f>
        <v>0</v>
      </c>
      <c r="QR30">
        <f t="shared" si="177"/>
        <v>22</v>
      </c>
      <c r="QS30" t="str">
        <f t="shared" si="143"/>
        <v/>
      </c>
      <c r="QT30">
        <f>IF(COUNTIF('Final Calculation Sheet'!$AL30:$AL30,0)+COUNTIF('Final Calculation Sheet'!$AN30:$BS30,0)&gt;0,0,1)</f>
        <v>1</v>
      </c>
      <c r="QU30" t="b">
        <f>IF($Y$30="",FALSE,SUMPRODUCT(('Final Calculation Sheet'!$B$4:$B$40=$Y$30)*($QT$4:$QT$40=1))&gt;0)</f>
        <v>0</v>
      </c>
      <c r="QV30">
        <f t="shared" si="178"/>
        <v>25</v>
      </c>
      <c r="QW30" t="str">
        <f t="shared" si="144"/>
        <v/>
      </c>
      <c r="QX30">
        <f>IF(COUNTIF('Final Calculation Sheet'!$AL30:$AM30,0)+COUNTIF('Final Calculation Sheet'!$AO30:$BS30,0)&gt;0,0,1)</f>
        <v>1</v>
      </c>
      <c r="QY30" t="b">
        <f>IF($AS$30="",FALSE,SUMPRODUCT(('Final Calculation Sheet'!$C$4:$C$40=$AS$30)*($QX$4:$QX$40=1))&gt;0)</f>
        <v>1</v>
      </c>
      <c r="QZ30">
        <f t="shared" si="179"/>
        <v>27</v>
      </c>
      <c r="RA30">
        <f t="shared" si="145"/>
        <v>80000</v>
      </c>
      <c r="RB30">
        <f>IF(COUNTIF('Final Calculation Sheet'!$AL30:$AN30,0)+COUNTIF('Final Calculation Sheet'!$AP30:$BS30,0)&gt;0,0,1)</f>
        <v>1</v>
      </c>
      <c r="RC30" t="b">
        <f>IF($AD$30="",FALSE,SUMPRODUCT(('Final Calculation Sheet'!$D$4:$D$40=$AD$30)*($RB$4:$RB$40=1))&gt;0)</f>
        <v>0</v>
      </c>
      <c r="RD30">
        <f t="shared" si="180"/>
        <v>4</v>
      </c>
      <c r="RE30" t="str">
        <f t="shared" si="146"/>
        <v/>
      </c>
      <c r="RF30">
        <f>IF(COUNTIF('Final Calculation Sheet'!$AL30:$AO30,0)+COUNTIF('Final Calculation Sheet'!$AQ30:$BS30,0)&gt;0,0,1)</f>
        <v>1</v>
      </c>
      <c r="RG30" t="b">
        <f>IF($AN$30="",FALSE,SUMPRODUCT(('Final Calculation Sheet'!$E$4:$E$40=$AN$30)*($RF$4:$RF$40=1))&gt;0)</f>
        <v>0</v>
      </c>
      <c r="RH30">
        <f t="shared" si="181"/>
        <v>3</v>
      </c>
      <c r="RI30" t="str">
        <f t="shared" si="147"/>
        <v/>
      </c>
      <c r="RJ30">
        <f>IF(COUNTIF('Final Calculation Sheet'!$AL30:$AP30,0)+COUNTIF('Final Calculation Sheet'!$AR30:$BS30,0)&gt;0,0,1)</f>
        <v>1</v>
      </c>
      <c r="RK30" t="b">
        <f>IF($O$30="",FALSE,SUMPRODUCT(('Final Calculation Sheet'!$F$4:$F$40=$O$30)*($RJ$4:$RJ$40=1))&gt;0)</f>
        <v>1</v>
      </c>
      <c r="RL30">
        <f t="shared" si="182"/>
        <v>27</v>
      </c>
      <c r="RM30">
        <f t="shared" si="148"/>
        <v>2043</v>
      </c>
      <c r="RN30">
        <f>IF(COUNTIF('Final Calculation Sheet'!$AL30:$AQ30,0)+COUNTIF('Final Calculation Sheet'!$AS30:$BS30,0)&gt;0,0,1)</f>
        <v>1</v>
      </c>
      <c r="RO30" t="b">
        <f>IF($T$30="",FALSE,SUMPRODUCT(('Final Calculation Sheet'!$G$4:$G$40=$T$30)*($RN$4:$RN$40=1))&gt;0)</f>
        <v>0</v>
      </c>
      <c r="RP30">
        <f t="shared" si="183"/>
        <v>13</v>
      </c>
      <c r="RQ30" t="str">
        <f t="shared" si="149"/>
        <v/>
      </c>
      <c r="RR30">
        <f>IF(COUNTIF('Final Calculation Sheet'!$AL30:$AR30,0)+COUNTIF('Final Calculation Sheet'!$AT30:$BS30,0)&gt;0,0,1)</f>
        <v>1</v>
      </c>
      <c r="RS30" t="b">
        <f>IF($AX$30="",FALSE,SUMPRODUCT(('Final Calculation Sheet'!$H$4:$H$40=$AX$30)*($RR$4:$RR$40=1))&gt;0)</f>
        <v>1</v>
      </c>
      <c r="RT30">
        <f t="shared" si="184"/>
        <v>27</v>
      </c>
      <c r="RU30">
        <f t="shared" si="150"/>
        <v>251229</v>
      </c>
      <c r="RV30">
        <f>IF(COUNTIF('Final Calculation Sheet'!$AL30:$AS30,0)+COUNTIF('Final Calculation Sheet'!$AU30:$BS30,0)&gt;0,0,1)</f>
        <v>1</v>
      </c>
      <c r="RW30" t="b">
        <f>IF($BC$30="",FALSE,SUMPRODUCT(('Final Calculation Sheet'!$I$4:$I$40=$BC$30)*($RV$4:$RV$40=1))&gt;0)</f>
        <v>1</v>
      </c>
      <c r="RX30">
        <f t="shared" si="185"/>
        <v>27</v>
      </c>
      <c r="RY30">
        <f t="shared" si="151"/>
        <v>45221</v>
      </c>
      <c r="RZ30">
        <f>IF(COUNTIF('Final Calculation Sheet'!$AL30:$AT30,0)+COUNTIF('Final Calculation Sheet'!$AV30:$BS30,0)&gt;0,0,1)</f>
        <v>1</v>
      </c>
      <c r="SA30" t="b">
        <f>IF($BH$30="",FALSE,SUMPRODUCT(('Final Calculation Sheet'!$J$4:$J$40=$BH$30)*($RZ$4:$RZ$40=1))&gt;0)</f>
        <v>1</v>
      </c>
      <c r="SB30">
        <f t="shared" si="186"/>
        <v>27</v>
      </c>
      <c r="SC30">
        <f t="shared" si="152"/>
        <v>296450</v>
      </c>
      <c r="SD30">
        <f>IF(COUNTIF('Final Calculation Sheet'!$AL30:$AU30,0)+COUNTIF('Final Calculation Sheet'!$AW30:$BS30,0)&gt;0,0,1)</f>
        <v>1</v>
      </c>
      <c r="SE30" t="b">
        <f>IF($BM$30="",FALSE,SUMPRODUCT(('Final Calculation Sheet'!$K$4:$K$40=$BM$30)*($SD$4:$SD$40=1))&gt;0)</f>
        <v>1</v>
      </c>
      <c r="SF30">
        <f t="shared" si="187"/>
        <v>27</v>
      </c>
      <c r="SG30">
        <f t="shared" si="153"/>
        <v>6372</v>
      </c>
      <c r="SH30">
        <f>IF(COUNTIF('Final Calculation Sheet'!$AL30:$AV30,0)+COUNTIF('Final Calculation Sheet'!$AX30:$BS30,0)&gt;0,0,1)</f>
        <v>1</v>
      </c>
      <c r="SI30" t="b">
        <f>IF($BR$30="",FALSE,SUMPRODUCT(('Final Calculation Sheet'!$L$4:$L$40=$BR$30)*($SH$4:$SH$40=1))&gt;0)</f>
        <v>1</v>
      </c>
      <c r="SJ30">
        <f t="shared" si="188"/>
        <v>27</v>
      </c>
      <c r="SK30">
        <f t="shared" si="154"/>
        <v>251.22900000000001</v>
      </c>
      <c r="SL30">
        <f>IF(COUNTIF('Final Calculation Sheet'!$AL30:$AW30,0)+COUNTIF('Final Calculation Sheet'!$AY30:$BS30,0)&gt;0,0,1)</f>
        <v>1</v>
      </c>
      <c r="SM30" t="b">
        <f>IF($BW$30="",FALSE,SUMPRODUCT(('Final Calculation Sheet'!$M$4:$M$40=$BW$30)*($SL$4:$SL$40=1))&gt;0)</f>
        <v>1</v>
      </c>
      <c r="SN30">
        <f t="shared" si="189"/>
        <v>27</v>
      </c>
      <c r="SO30">
        <f t="shared" si="155"/>
        <v>6670.1299499999996</v>
      </c>
      <c r="SP30">
        <f>IF(COUNTIF('Final Calculation Sheet'!$AL30:$AX30,0)+COUNTIF('Final Calculation Sheet'!$AZ30:$BS30,0)&gt;0,0,1)</f>
        <v>1</v>
      </c>
      <c r="SQ30" t="b">
        <f>IF($CB$30="",FALSE,SUMPRODUCT(('Final Calculation Sheet'!$N$4:$N$40=$CB$30)*($SP$4:$SP$40=1))&gt;0)</f>
        <v>1</v>
      </c>
      <c r="SR30">
        <f t="shared" si="190"/>
        <v>27</v>
      </c>
      <c r="SS30">
        <f t="shared" si="156"/>
        <v>113.05305</v>
      </c>
      <c r="ST30">
        <f>IF(COUNTIF('Final Calculation Sheet'!$AL30:$AY30,0)+COUNTIF('Final Calculation Sheet'!$BA30:$BS30,0)&gt;0,0,1)</f>
        <v>1</v>
      </c>
      <c r="SU30" t="b">
        <f>IF($CG$30="",FALSE,SUMPRODUCT(('Final Calculation Sheet'!$O$4:$O$40=$CG$30)*($ST$4:$ST$40=1))&gt;0)</f>
        <v>1</v>
      </c>
      <c r="SV30">
        <f t="shared" si="191"/>
        <v>27</v>
      </c>
      <c r="SW30">
        <f t="shared" si="157"/>
        <v>6557.0768999999991</v>
      </c>
      <c r="SX30">
        <f>IF(COUNTIF('Final Calculation Sheet'!$AL30:$AZ30,0)+COUNTIF('Final Calculation Sheet'!$BB30:$BS30,0)&gt;0,0,1)</f>
        <v>1</v>
      </c>
      <c r="SY30" t="b">
        <f>IF($CL$30="",FALSE,SUMPRODUCT(('Final Calculation Sheet'!$P$4:$P$40=$CL$30)*($SX$4:$SX$40=1))&gt;0)</f>
        <v>1</v>
      </c>
      <c r="SZ30">
        <f t="shared" si="192"/>
        <v>27</v>
      </c>
      <c r="TA30">
        <f t="shared" si="158"/>
        <v>7317</v>
      </c>
      <c r="TB30">
        <f>IF(COUNTIF('Final Calculation Sheet'!$AL30:$BA30,0)+COUNTIF('Final Calculation Sheet'!$BC30:$BS30,0)&gt;0,0,1)</f>
        <v>1</v>
      </c>
      <c r="TC30" t="b">
        <f>IF($CQ$30="",FALSE,SUMPRODUCT(('Final Calculation Sheet'!$Q$4:$Q$40=$CQ$30)*($TB$4:$TB$40=1))&gt;0)</f>
        <v>0</v>
      </c>
      <c r="TD30">
        <f t="shared" si="193"/>
        <v>2</v>
      </c>
      <c r="TE30" t="str">
        <f t="shared" si="159"/>
        <v/>
      </c>
      <c r="TF30">
        <f>IF(COUNTIF('Final Calculation Sheet'!$AL30:$BB30,0)+COUNTIF('Final Calculation Sheet'!$BD30:$BS30,0)&gt;0,0,1)</f>
        <v>1</v>
      </c>
      <c r="TG30" t="b">
        <f>IF($CV$30="",FALSE,SUMPRODUCT(('Final Calculation Sheet'!$R$4:$R$40=$CV$30)*($TF$4:$TF$40=1))&gt;0)</f>
        <v>0</v>
      </c>
      <c r="TH30">
        <f t="shared" si="194"/>
        <v>5</v>
      </c>
      <c r="TI30" t="str">
        <f t="shared" si="160"/>
        <v/>
      </c>
      <c r="TJ30">
        <f>IF(COUNTIF('Final Calculation Sheet'!$AL30:$BC30,0)+COUNTIF('Final Calculation Sheet'!$BE30:$BS30,0)&gt;0,0,1)</f>
        <v>1</v>
      </c>
      <c r="TK30" t="b">
        <f>IF($DA$30="",FALSE,SUMPRODUCT(('Final Calculation Sheet'!$S$4:$S$40=$DA$30)*($TJ$4:$TJ$40=1))&gt;0)</f>
        <v>1</v>
      </c>
      <c r="TL30">
        <f t="shared" si="195"/>
        <v>27</v>
      </c>
      <c r="TM30">
        <f t="shared" si="161"/>
        <v>295571</v>
      </c>
      <c r="TN30">
        <f>IF(COUNTIF('Final Calculation Sheet'!$AL30:$BD30,0)+COUNTIF('Final Calculation Sheet'!$BF30:$BS30,0)&gt;0,0,1)</f>
        <v>1</v>
      </c>
      <c r="TO30" t="b">
        <f>IF($DF$30="",FALSE,SUMPRODUCT(('Final Calculation Sheet'!$T$4:$T$40=$DF$30)*($TN$4:$TN$40=1))&gt;0)</f>
        <v>1</v>
      </c>
      <c r="TP30">
        <f t="shared" si="196"/>
        <v>27</v>
      </c>
      <c r="TQ30">
        <f t="shared" si="162"/>
        <v>62807</v>
      </c>
      <c r="TR30">
        <f>IF(COUNTIF('Final Calculation Sheet'!$AL30:$BE30,0)+COUNTIF('Final Calculation Sheet'!$BG30:$BS30,0)&gt;0,0,1)</f>
        <v>1</v>
      </c>
      <c r="TS30" t="b">
        <f>IF($DK$30="",FALSE,SUMPRODUCT(('Final Calculation Sheet'!$U$4:$U$40=$DK$30)*($TR$4:$TR$40=1))&gt;0)</f>
        <v>1</v>
      </c>
      <c r="TT30">
        <f t="shared" si="197"/>
        <v>27</v>
      </c>
      <c r="TU30">
        <f t="shared" si="163"/>
        <v>62807</v>
      </c>
      <c r="TV30">
        <f>IF(COUNTIF('Final Calculation Sheet'!$AL30:$BF30,0)+COUNTIF('Final Calculation Sheet'!$BH30:$BS30,0)&gt;0,0,1)</f>
        <v>1</v>
      </c>
      <c r="TW30" t="b">
        <f>IF($DP$30="",FALSE,SUMPRODUCT(('Final Calculation Sheet'!$V$4:$V$40=$DP$30)*($TV$4:$TV$40=1))&gt;0)</f>
        <v>0</v>
      </c>
      <c r="TX30">
        <f t="shared" si="198"/>
        <v>6</v>
      </c>
      <c r="TY30" t="str">
        <f t="shared" si="164"/>
        <v/>
      </c>
      <c r="TZ30">
        <f>IF(COUNTIF('Final Calculation Sheet'!$AL30:$BG30,0)+COUNTIF('Final Calculation Sheet'!$BI30:$BS30,0)&gt;0,0,1)</f>
        <v>1</v>
      </c>
      <c r="UA30" t="b">
        <f>IF($DU$30="",FALSE,SUMPRODUCT(('Final Calculation Sheet'!$W$4:$W$40=$DU$30)*($TZ$4:$TZ$40=1))&gt;0)</f>
        <v>1</v>
      </c>
      <c r="UB30">
        <f t="shared" si="199"/>
        <v>27</v>
      </c>
      <c r="UC30">
        <f t="shared" si="165"/>
        <v>232764</v>
      </c>
      <c r="UD30">
        <f>IF(COUNTIF('Final Calculation Sheet'!$AL30:$BH30,0)+COUNTIF('Final Calculation Sheet'!$BJ30:$BS30,0)&gt;0,0,1)</f>
        <v>1</v>
      </c>
      <c r="UE30" t="e">
        <f>IF($DZ$30="",FALSE,SUMPRODUCT(('Final Calculation Sheet'!$X$4:$X$40=$DZ$30)*($UD$4:$UD$40=1))&gt;0)</f>
        <v>#N/A</v>
      </c>
      <c r="UF30" t="e">
        <f t="shared" si="200"/>
        <v>#N/A</v>
      </c>
      <c r="UG30" t="e">
        <f t="shared" si="166"/>
        <v>#N/A</v>
      </c>
      <c r="UH30">
        <f>IF(COUNTIF('Final Calculation Sheet'!$AL30:$BI30,0)+COUNTIF('Final Calculation Sheet'!$BK30:$BS30,0)&gt;0,0,1)</f>
        <v>1</v>
      </c>
      <c r="UI30" t="e">
        <f>IF($EE$30="",FALSE,SUMPRODUCT(('Final Calculation Sheet'!$Y$4:$Y$40=$EE$30)*($UH$4:$UH$40=1))&gt;0)</f>
        <v>#N/A</v>
      </c>
      <c r="UJ30" t="e">
        <f t="shared" si="201"/>
        <v>#N/A</v>
      </c>
      <c r="UK30" t="e">
        <f t="shared" si="167"/>
        <v>#N/A</v>
      </c>
      <c r="UL30">
        <f>IF(COUNTIF('Final Calculation Sheet'!$AL30:$BJ30,0)+COUNTIF('Final Calculation Sheet'!$BL30:$BS30,0)&gt;0,0,1)</f>
        <v>1</v>
      </c>
      <c r="UM30" t="b">
        <f ca="1">IF($EJ$30="",FALSE,SUMPRODUCT(('Final Calculation Sheet'!$Z$4:$Z$40=$EJ$30)*($UL$4:$UL$40=1))&gt;0)</f>
        <v>1</v>
      </c>
      <c r="UN30">
        <f t="shared" ca="1" si="202"/>
        <v>27</v>
      </c>
      <c r="UO30">
        <f t="shared" ca="1" si="168"/>
        <v>8893.5066000000006</v>
      </c>
      <c r="UP30">
        <f>IF(COUNTIF('Final Calculation Sheet'!$AL30:$BK30,0)+COUNTIF('Final Calculation Sheet'!$BM30:$BS30,0)&gt;0,0,1)</f>
        <v>1</v>
      </c>
      <c r="UQ30" t="e">
        <f>IF($EO$30="",FALSE,SUMPRODUCT(('Final Calculation Sheet'!$AA$4:$AA$40=$EO$30)*($UP$4:$UP$40=1))&gt;0)</f>
        <v>#N/A</v>
      </c>
      <c r="UR30" t="e">
        <f t="shared" si="203"/>
        <v>#N/A</v>
      </c>
      <c r="US30" t="e">
        <f t="shared" si="169"/>
        <v>#N/A</v>
      </c>
      <c r="UT30">
        <f>IF(COUNTIF('Final Calculation Sheet'!$AL30:$BL30,0)+COUNTIF('Final Calculation Sheet'!$BN30:$BS30,0)&gt;0,0,1)</f>
        <v>1</v>
      </c>
      <c r="UU30" t="e">
        <f>IF($ET$30="",FALSE,SUMPRODUCT(('Final Calculation Sheet'!$AB$4:$AB$40=$ET$30)*($UT$4:$UT$40=1))&gt;0)</f>
        <v>#N/A</v>
      </c>
      <c r="UV30" t="e">
        <f t="shared" si="204"/>
        <v>#N/A</v>
      </c>
      <c r="UW30" t="e">
        <f t="shared" si="170"/>
        <v>#N/A</v>
      </c>
      <c r="UX30">
        <f>IF(COUNTIF('Final Calculation Sheet'!$AL30:$BM30,0)+COUNTIF('Final Calculation Sheet'!$BO30:$BS30,0)&gt;0,0,1)</f>
        <v>1</v>
      </c>
      <c r="UY30" t="b">
        <f>IF($EY$30="",FALSE,SUMPRODUCT(('Final Calculation Sheet'!$AC$4:$AC$40=$EY$30)*($UX$4:$UX$40=1))&gt;0)</f>
        <v>1</v>
      </c>
      <c r="UZ30">
        <f t="shared" si="205"/>
        <v>27</v>
      </c>
      <c r="VA30">
        <f t="shared" si="171"/>
        <v>247069</v>
      </c>
      <c r="VB30">
        <f>IF(COUNTIF('Final Calculation Sheet'!$AL30:$BN30,0)+COUNTIF('Final Calculation Sheet'!$BP30:$BS30,0)&gt;0,0,1)</f>
        <v>1</v>
      </c>
      <c r="VC30" t="b">
        <f>IF($FD$30="",FALSE,SUMPRODUCT(('Final Calculation Sheet'!$AD$4:$AD$40=$FD$30)*($VB$4:$VB$40=1))&gt;0)</f>
        <v>0</v>
      </c>
      <c r="VD30">
        <f t="shared" si="206"/>
        <v>11</v>
      </c>
      <c r="VE30" t="str">
        <f t="shared" si="172"/>
        <v/>
      </c>
      <c r="VF30">
        <f>IF(COUNTIF('Final Calculation Sheet'!$AL30:$BO30,0)+COUNTIF('Final Calculation Sheet'!$BQ30:$BS30,0)&gt;0,0,1)</f>
        <v>1</v>
      </c>
      <c r="VG30" t="e">
        <f>IF($FI$30="",FALSE,SUMPRODUCT(('Final Calculation Sheet'!$AE$4:$AE$40=$FI$30)*($VF$4:$VF$40=1))&gt;0)</f>
        <v>#N/A</v>
      </c>
      <c r="VH30" t="e">
        <f t="shared" si="207"/>
        <v>#N/A</v>
      </c>
      <c r="VI30" t="e">
        <f t="shared" si="173"/>
        <v>#N/A</v>
      </c>
      <c r="VJ30">
        <f>IF(COUNTIF('Final Calculation Sheet'!$AL30:$BP30,0)+COUNTIF('Final Calculation Sheet'!$BR30:$BS30,0)&gt;0,0,1)</f>
        <v>1</v>
      </c>
      <c r="VK30" t="e">
        <f>IF($FN$30="",FALSE,SUMPRODUCT(('Final Calculation Sheet'!$AF$4:$AF$40=$FN$30)*($VJ$4:$VJ$40=1))&gt;0)</f>
        <v>#N/A</v>
      </c>
      <c r="VL30" t="e">
        <f t="shared" si="208"/>
        <v>#N/A</v>
      </c>
      <c r="VM30" t="e">
        <f t="shared" si="174"/>
        <v>#N/A</v>
      </c>
      <c r="VN30">
        <f>IF(COUNTIF('Final Calculation Sheet'!$AL30:$BQ30,0)+COUNTIF('Final Calculation Sheet'!$BS30:$BS30,0)&gt;0,0,1)</f>
        <v>1</v>
      </c>
      <c r="VO30" t="e">
        <f>IF($FS$30="",FALSE,SUMPRODUCT(('Final Calculation Sheet'!$AG$4:$AG$40=$FS$30)*($VN$4:$VN$40=1))&gt;0)</f>
        <v>#N/A</v>
      </c>
      <c r="VP30" t="e">
        <f t="shared" si="209"/>
        <v>#N/A</v>
      </c>
      <c r="VQ30" t="e">
        <f t="shared" si="175"/>
        <v>#N/A</v>
      </c>
      <c r="VR30">
        <f>IF(COUNTIF('Final Calculation Sheet'!$AL30:$BR30,0)&gt;0,0,1)</f>
        <v>1</v>
      </c>
      <c r="VS30" t="e">
        <f>IF($QO$30="",FALSE,SUMPRODUCT(('Final Calculation Sheet'!$AH$4:$AH$40=$QO$30)*($VR$4:$VR$40=1))&gt;0)</f>
        <v>#N/A</v>
      </c>
      <c r="VT30" t="e">
        <f t="shared" si="210"/>
        <v>#N/A</v>
      </c>
      <c r="VU30" t="e">
        <f t="shared" si="176"/>
        <v>#N/A</v>
      </c>
    </row>
    <row r="31" spans="1:593" x14ac:dyDescent="0.3">
      <c r="A31">
        <f>IF('Final Calculation Sheet'!$F$31="","",'Final Calculation Sheet'!$F$31)</f>
        <v>2046</v>
      </c>
      <c r="B31">
        <f>IF(A31="","",COUNTIFS(A$4:A$114,"&lt;"&amp;A31,A$4:A$114,"&lt;&gt;"&amp;"")+COUNTIF(A$4:A31,A31))</f>
        <v>28</v>
      </c>
      <c r="C31">
        <f t="shared" si="0"/>
        <v>2046</v>
      </c>
      <c r="D31">
        <f>D30+IF(AND(C31&lt;&gt;"",COUNTIF(C$4:C31,C31)=1),1,0)</f>
        <v>28</v>
      </c>
      <c r="E31" t="e">
        <f t="shared" si="1"/>
        <v>#N/A</v>
      </c>
      <c r="F31">
        <f t="shared" si="2"/>
        <v>28</v>
      </c>
      <c r="G31">
        <f>IF(F31="","",COUNTIFS(F$4:F$40,"&lt;"&amp;F31,F$4:F$40,"&lt;&gt;"&amp;"")+COUNTIF(F$4:F31,F31))</f>
        <v>28</v>
      </c>
      <c r="H31">
        <f t="shared" si="3"/>
        <v>28</v>
      </c>
      <c r="I31">
        <f>I30+IF(AND(H31&lt;&gt;"",COUNTIF(H$4:H31,H31)=1),1,0)</f>
        <v>28</v>
      </c>
      <c r="J31">
        <f t="shared" si="4"/>
        <v>28</v>
      </c>
      <c r="K31">
        <f>IF('Final Calculation Sheet'!$F$31="","",'Final Calculation Sheet'!$F$31)</f>
        <v>2046</v>
      </c>
      <c r="L31">
        <f>IF(K31="","",COUNTIFS(K$4:K$40,"&lt;"&amp;K31,K$4:K$40,"&lt;&gt;"&amp;"")+COUNTIF(K$4:K31,K31))</f>
        <v>28</v>
      </c>
      <c r="M31">
        <f t="shared" si="5"/>
        <v>2046</v>
      </c>
      <c r="N31">
        <f>N30+IF(AND(M31&lt;&gt;"",COUNTIF(M$4:M31,M31)=1),1,0)</f>
        <v>28</v>
      </c>
      <c r="O31">
        <f t="shared" si="6"/>
        <v>2046</v>
      </c>
      <c r="P31" t="str">
        <f>IF('Final Calculation Sheet'!$G$31="","",'Final Calculation Sheet'!$G$31)</f>
        <v>SAHARA ENTERPRISES</v>
      </c>
      <c r="Q31">
        <f>IF(P31="","",COUNTIFS(P$4:P$40,"&lt;"&amp;P31,P$4:P$40,"&lt;&gt;"&amp;"")+COUNTIF(P$4:P31,P31))</f>
        <v>25</v>
      </c>
      <c r="R31" t="str">
        <f t="shared" si="7"/>
        <v>STERLING ENTERPRISES</v>
      </c>
      <c r="S31">
        <f>S30+IF(AND(R31&lt;&gt;"",COUNTIF(R$4:R31,R31)=1),1,0)</f>
        <v>12</v>
      </c>
      <c r="T31" t="str">
        <f t="shared" si="8"/>
        <v/>
      </c>
      <c r="U31" t="str">
        <f>IF('Final Calculation Sheet'!$B$31="","",'Final Calculation Sheet'!$B$31)</f>
        <v>Scrap of AAAC Earth wire</v>
      </c>
      <c r="V31">
        <f>IF(U31="","",COUNTIFS(U$4:U$40,"&lt;"&amp;U31,U$4:U$40,"&lt;&gt;"&amp;"")+COUNTIF(U$4:U31,U31))</f>
        <v>24</v>
      </c>
      <c r="W31" t="str">
        <f t="shared" si="9"/>
        <v>Scrap of empty oil Barrels</v>
      </c>
      <c r="X31">
        <f>X30+IF(AND(W31&lt;&gt;"",COUNTIF(W$4:W31,W31)=1),1,0)</f>
        <v>20</v>
      </c>
      <c r="Y31" t="str">
        <f t="shared" si="10"/>
        <v/>
      </c>
      <c r="Z31">
        <f>IF('Final Calculation Sheet'!$D$31="","",'Final Calculation Sheet'!$D$31)</f>
        <v>21979</v>
      </c>
      <c r="AA31">
        <f>IF(Z31="","",COUNTIFS(Z$4:Z$40,"&lt;"&amp;Z31,Z$4:Z$40,"&lt;&gt;"&amp;"")+COUNTIF(Z$4:Z31,Z31))</f>
        <v>26</v>
      </c>
      <c r="AB31">
        <f t="shared" si="11"/>
        <v>21979</v>
      </c>
      <c r="AC31">
        <f>AC30+IF(AND(AB31&lt;&gt;"",COUNTIF(AB$4:AB31,AB31)=1),1,0)</f>
        <v>3</v>
      </c>
      <c r="AD31" t="str">
        <f t="shared" si="12"/>
        <v/>
      </c>
      <c r="AE31">
        <f>IF('Final Calculation Sheet'!$A$31="","",'Final Calculation Sheet'!$A$31)</f>
        <v>670</v>
      </c>
      <c r="AF31">
        <f>IF(AE31="","",COUNTIFS(AE$4:AE$40,"&lt;"&amp;AE31,AE$4:AE$40,"&lt;&gt;"&amp;"")+COUNTIF(AE$4:AE31,AE31))</f>
        <v>33</v>
      </c>
      <c r="AG31">
        <f t="shared" si="13"/>
        <v>100</v>
      </c>
      <c r="AH31">
        <f>AH30+IF(AND(AG31&lt;&gt;"",COUNTIF(AG$4:AG31,AG31)=1),1,0)</f>
        <v>13</v>
      </c>
      <c r="AI31" t="str">
        <f t="shared" si="14"/>
        <v/>
      </c>
      <c r="AJ31" t="str">
        <f>IF('Final Calculation Sheet'!$E$31="","",'Final Calculation Sheet'!$E$31)</f>
        <v>KG</v>
      </c>
      <c r="AK31">
        <f>IF(AJ31="","",COUNTIFS(AJ$4:AJ$40,"&lt;"&amp;AJ31,AJ$4:AJ$40,"&lt;&gt;"&amp;"")+COUNTIF(AJ$4:AJ31,AJ31))</f>
        <v>6</v>
      </c>
      <c r="AL31" t="str">
        <f t="shared" si="15"/>
        <v>NO</v>
      </c>
      <c r="AM31">
        <f>AM30+IF(AND(AL31&lt;&gt;"",COUNTIF(AL$4:AL31,AL31)=1),1,0)</f>
        <v>3</v>
      </c>
      <c r="AN31" t="str">
        <f t="shared" si="16"/>
        <v/>
      </c>
      <c r="AO31" s="50">
        <f>IF('Final Calculation Sheet'!$C$31="","",'Final Calculation Sheet'!$C$31)</f>
        <v>309</v>
      </c>
      <c r="AP31">
        <f>IF(AO31="","",COUNTIFS(AO$4:AO$40,"&lt;"&amp;AO31,AO$4:AO$40,"&lt;&gt;"&amp;"")+COUNTIF(AO$4:AO31,AO31))</f>
        <v>3</v>
      </c>
      <c r="AQ31" s="50">
        <f t="shared" si="17"/>
        <v>70006</v>
      </c>
      <c r="AR31">
        <f>AR30+IF(AND(AQ31&lt;&gt;"",COUNTIF(AQ$4:AQ31,AQ31)=1),1,0)</f>
        <v>26</v>
      </c>
      <c r="AS31" s="50">
        <f t="shared" si="18"/>
        <v>80006</v>
      </c>
      <c r="AT31" s="50">
        <f>IF('Final Calculation Sheet'!$H$31="","",'Final Calculation Sheet'!$H$31)</f>
        <v>207030</v>
      </c>
      <c r="AU31">
        <f>IF(AT31="","",COUNTIFS(AT$4:AT$40,"&lt;"&amp;AT31,AT$4:AT$40,"&lt;&gt;"&amp;"")+COUNTIF(AT$4:AT31,AT31))</f>
        <v>23</v>
      </c>
      <c r="AV31" s="50">
        <f t="shared" si="19"/>
        <v>270006</v>
      </c>
      <c r="AW31">
        <f>AW30+IF(AND(AV31&lt;&gt;"",COUNTIF(AV$4:AV31,AV31)=1),1,0)</f>
        <v>28</v>
      </c>
      <c r="AX31" s="50">
        <f t="shared" si="20"/>
        <v>270006</v>
      </c>
      <c r="AY31" s="50">
        <f>IF('Final Calculation Sheet'!$I$31="","",'Final Calculation Sheet'!$I$31)</f>
        <v>37265</v>
      </c>
      <c r="AZ31">
        <f>IF(AY31="","",COUNTIFS(AY$4:AY$40,"&lt;"&amp;AY31,AY$4:AY$40,"&lt;&gt;"&amp;"")+COUNTIF(AY$4:AY31,AY31))</f>
        <v>23</v>
      </c>
      <c r="BA31" s="50">
        <f t="shared" si="21"/>
        <v>48601</v>
      </c>
      <c r="BB31">
        <f>BB30+IF(AND(BA31&lt;&gt;"",COUNTIF(BA$4:BA31,BA31)=1),1,0)</f>
        <v>28</v>
      </c>
      <c r="BC31" s="50">
        <f t="shared" si="22"/>
        <v>48601</v>
      </c>
      <c r="BD31" s="50">
        <f>IF('Final Calculation Sheet'!$J$31="","",'Final Calculation Sheet'!$J$31)</f>
        <v>244295</v>
      </c>
      <c r="BE31">
        <f>IF(BD31="","",COUNTIFS(BD$4:BD$40,"&lt;"&amp;BD31,BD$4:BD$40,"&lt;&gt;"&amp;"")+COUNTIF(BD$4:BD31,BD31))</f>
        <v>23</v>
      </c>
      <c r="BF31" s="50">
        <f t="shared" si="23"/>
        <v>318607</v>
      </c>
      <c r="BG31">
        <f>BG30+IF(AND(BF31&lt;&gt;"",COUNTIF(BF$4:BF31,BF31)=1),1,0)</f>
        <v>28</v>
      </c>
      <c r="BH31" s="50">
        <f t="shared" si="24"/>
        <v>318607</v>
      </c>
      <c r="BI31" s="50">
        <f>IF('Final Calculation Sheet'!$K$31="","",'Final Calculation Sheet'!$K$31)</f>
        <v>4886</v>
      </c>
      <c r="BJ31">
        <f>IF(BI31="","",COUNTIFS(BI$4:BI$40,"&lt;"&amp;BI31,BI$4:BI$40,"&lt;&gt;"&amp;"")+COUNTIF(BI$4:BI31,BI31))</f>
        <v>23</v>
      </c>
      <c r="BK31" s="50">
        <f t="shared" si="25"/>
        <v>6372</v>
      </c>
      <c r="BL31">
        <f>BL30+IF(AND(BK31&lt;&gt;"",COUNTIF(BK$4:BK31,BK31)=1),1,0)</f>
        <v>27</v>
      </c>
      <c r="BM31" s="50">
        <f t="shared" si="26"/>
        <v>7802</v>
      </c>
      <c r="BN31" s="50">
        <f>IF('Final Calculation Sheet'!$L$31="","",'Final Calculation Sheet'!$L$31)</f>
        <v>207.03</v>
      </c>
      <c r="BO31">
        <f>IF(BN31="","",COUNTIFS(BN$4:BN$40,"&lt;"&amp;BN31,BN$4:BN$40,"&lt;&gt;"&amp;"")+COUNTIF(BN$4:BN31,BN31))</f>
        <v>23</v>
      </c>
      <c r="BP31" s="50">
        <f t="shared" si="27"/>
        <v>270.00600000000003</v>
      </c>
      <c r="BQ31">
        <f>BQ30+IF(AND(BP31&lt;&gt;"",COUNTIF(BP$4:BP31,BP31)=1),1,0)</f>
        <v>28</v>
      </c>
      <c r="BR31" s="50">
        <f t="shared" si="28"/>
        <v>270.00600000000003</v>
      </c>
      <c r="BS31" s="50">
        <f>IF('Final Calculation Sheet'!$M$31="","",'Final Calculation Sheet'!$M$31)</f>
        <v>5496.6464999999998</v>
      </c>
      <c r="BT31">
        <f>IF(BS31="","",COUNTIFS(BS$4:BS$40,"&lt;"&amp;BS31,BS$4:BS$40,"&lt;&gt;"&amp;"")+COUNTIF(BS$4:BS31,BS31))</f>
        <v>23</v>
      </c>
      <c r="BU31" s="50">
        <f t="shared" si="29"/>
        <v>7168.6593000000003</v>
      </c>
      <c r="BV31">
        <f>BV30+IF(AND(BU31&lt;&gt;"",COUNTIF(BU$4:BU31,BU31)=1),1,0)</f>
        <v>28</v>
      </c>
      <c r="BW31" s="50">
        <f t="shared" si="30"/>
        <v>7168.6593000000003</v>
      </c>
      <c r="BX31" s="126">
        <f>IF('Final Calculation Sheet'!$N$31="","",'Final Calculation Sheet'!$N$31)</f>
        <v>93.163499999999999</v>
      </c>
      <c r="BY31">
        <f>IF(BX31="","",COUNTIFS(BX$4:BX$40,"&lt;"&amp;BX31,BX$4:BX$40,"&lt;&gt;"&amp;"")+COUNTIF(BX$4:BX31,BX31))</f>
        <v>23</v>
      </c>
      <c r="BZ31" s="126">
        <f t="shared" si="31"/>
        <v>121.5027</v>
      </c>
      <c r="CA31">
        <f>CA30+IF(AND(BZ31&lt;&gt;"",COUNTIF(BZ$4:BZ31,BZ31)=1),1,0)</f>
        <v>28</v>
      </c>
      <c r="CB31" s="126">
        <f t="shared" si="32"/>
        <v>121.5027</v>
      </c>
      <c r="CC31" s="50">
        <f>IF('Final Calculation Sheet'!$O$31="","",'Final Calculation Sheet'!$O$31)</f>
        <v>5403.4830000000002</v>
      </c>
      <c r="CD31">
        <f>IF(CC31="","",COUNTIFS(CC$4:CC$40,"&lt;"&amp;CC31,CC$4:CC$40,"&lt;&gt;"&amp;"")+COUNTIF(CC$4:CC31,CC31))</f>
        <v>23</v>
      </c>
      <c r="CE31" s="50">
        <f t="shared" si="33"/>
        <v>7047.1566000000003</v>
      </c>
      <c r="CF31">
        <f>CF30+IF(AND(CE31&lt;&gt;"",COUNTIF(CE$4:CE31,CE31)=1),1,0)</f>
        <v>28</v>
      </c>
      <c r="CG31" s="50">
        <f t="shared" si="34"/>
        <v>7047.1566000000003</v>
      </c>
      <c r="CH31" s="50">
        <f>IF('Final Calculation Sheet'!$P$31="","",'Final Calculation Sheet'!$P$31)</f>
        <v>5611</v>
      </c>
      <c r="CI31">
        <f>IF(CH31="","",COUNTIFS(CH$4:CH$40,"&lt;"&amp;CH31,CH$4:CH$40,"&lt;&gt;"&amp;"")+COUNTIF(CH$4:CH31,CH31))</f>
        <v>23</v>
      </c>
      <c r="CJ31" s="50">
        <f t="shared" si="35"/>
        <v>7317</v>
      </c>
      <c r="CK31">
        <f>CK30+IF(AND(CJ31&lt;&gt;"",COUNTIF(CJ$4:CJ31,CJ31)=1),1,0)</f>
        <v>27</v>
      </c>
      <c r="CL31" s="50">
        <f t="shared" si="36"/>
        <v>8959</v>
      </c>
      <c r="CM31" s="127">
        <f>IF('Final Calculation Sheet'!$Q$31="","",'Final Calculation Sheet'!$Q$31)</f>
        <v>0</v>
      </c>
      <c r="CN31">
        <f>IF(CM31="","",COUNTIFS(CM$4:CM$40,"&lt;"&amp;CM31,CM$4:CM$40,"&lt;&gt;"&amp;"")+COUNTIF(CM$4:CM31,CM31))</f>
        <v>24</v>
      </c>
      <c r="CO31" s="127">
        <f t="shared" si="37"/>
        <v>0</v>
      </c>
      <c r="CP31">
        <f>CP30+IF(AND(CO31&lt;&gt;"",COUNTIF(CO$4:CO31,CO31)=1),1,0)</f>
        <v>1</v>
      </c>
      <c r="CQ31" t="str">
        <f t="shared" si="38"/>
        <v/>
      </c>
      <c r="CR31" s="50">
        <f>IF('Final Calculation Sheet'!$R$31="","",'Final Calculation Sheet'!$R$31)</f>
        <v>0</v>
      </c>
      <c r="CS31">
        <f>IF(CR31="","",COUNTIFS(CR$4:CR$40,"&lt;"&amp;CR31,CR$4:CR$40,"&lt;&gt;"&amp;"")+COUNTIF(CR$4:CR31,CR31))</f>
        <v>24</v>
      </c>
      <c r="CT31" s="50">
        <f t="shared" si="39"/>
        <v>0</v>
      </c>
      <c r="CU31">
        <f>CU30+IF(AND(CT31&lt;&gt;"",COUNTIF(CT$4:CT31,CT31)=1),1,0)</f>
        <v>1</v>
      </c>
      <c r="CV31" t="str">
        <f t="shared" si="40"/>
        <v/>
      </c>
      <c r="CW31" s="50">
        <f>IF('Final Calculation Sheet'!$S$31="","",'Final Calculation Sheet'!$S$31)</f>
        <v>243571</v>
      </c>
      <c r="CX31">
        <f>IF(CW31="","",COUNTIFS(CW$4:CW$40,"&lt;"&amp;CW31,CW$4:CW$40,"&lt;&gt;"&amp;"")+COUNTIF(CW$4:CW31,CW31))</f>
        <v>23</v>
      </c>
      <c r="CY31" s="50">
        <f t="shared" si="41"/>
        <v>317662</v>
      </c>
      <c r="CZ31">
        <f>CZ30+IF(AND(CY31&lt;&gt;"",COUNTIF(CY$4:CY31,CY31)=1),1,0)</f>
        <v>28</v>
      </c>
      <c r="DA31" s="50">
        <f t="shared" si="42"/>
        <v>317662</v>
      </c>
      <c r="DB31" s="50">
        <f>IF('Final Calculation Sheet'!$T$31="","",'Final Calculation Sheet'!$T$31)</f>
        <v>51758</v>
      </c>
      <c r="DC31">
        <f>IF(DB31="","",COUNTIFS(DB$4:DB$40,"&lt;"&amp;DB31,DB$4:DB$40,"&lt;&gt;"&amp;"")+COUNTIF(DB$4:DB31,DB31))</f>
        <v>23</v>
      </c>
      <c r="DD31" s="50">
        <f t="shared" si="43"/>
        <v>67502</v>
      </c>
      <c r="DE31">
        <f>DE30+IF(AND(DD31&lt;&gt;"",COUNTIF(DD$4:DD31,DD31)=1),1,0)</f>
        <v>28</v>
      </c>
      <c r="DF31" s="50">
        <f t="shared" si="44"/>
        <v>67502</v>
      </c>
      <c r="DG31" s="128">
        <f>IF('Final Calculation Sheet'!$U$31="","",'Final Calculation Sheet'!$U$31)</f>
        <v>51758</v>
      </c>
      <c r="DH31">
        <f>IF(DG31="","",COUNTIFS(DG$4:DG$40,"&lt;"&amp;DG31,DG$4:DG$40,"&lt;&gt;"&amp;"")+COUNTIF(DG$4:DG31,DG31))</f>
        <v>23</v>
      </c>
      <c r="DI31" s="128">
        <f t="shared" si="45"/>
        <v>67502</v>
      </c>
      <c r="DJ31">
        <f>DJ30+IF(AND(DI31&lt;&gt;"",COUNTIF(DI$4:DI31,DI31)=1),1,0)</f>
        <v>28</v>
      </c>
      <c r="DK31" s="128">
        <f t="shared" si="46"/>
        <v>67502</v>
      </c>
      <c r="DL31" t="str">
        <f>IF('Final Calculation Sheet'!$V$31="","",'Final Calculation Sheet'!$V$31)</f>
        <v>11.08.2026</v>
      </c>
      <c r="DM31">
        <f>IF(DL31="","",COUNTIFS(DL$4:DL$40,"&lt;"&amp;DL31,DL$4:DL$40,"&lt;&gt;"&amp;"")+COUNTIF(DL$4:DL31,DL31))</f>
        <v>9</v>
      </c>
      <c r="DN31" t="str">
        <f t="shared" si="47"/>
        <v>14.08.2026</v>
      </c>
      <c r="DO31">
        <f>DO30+IF(AND(DN31&lt;&gt;"",COUNTIF(DN$4:DN31,DN31)=1),1,0)</f>
        <v>4</v>
      </c>
      <c r="DP31" t="str">
        <f t="shared" si="48"/>
        <v/>
      </c>
      <c r="DQ31" s="50">
        <f>IF('Final Calculation Sheet'!$W$31="","",'Final Calculation Sheet'!$W$31)</f>
        <v>191813</v>
      </c>
      <c r="DR31">
        <f>IF(DQ31="","",COUNTIFS(DQ$4:DQ$40,"&lt;"&amp;DQ31,DQ$4:DQ$40,"&lt;&gt;"&amp;"")+COUNTIF(DQ$4:DQ31,DQ31))</f>
        <v>23</v>
      </c>
      <c r="DS31" s="50">
        <f t="shared" si="49"/>
        <v>250161</v>
      </c>
      <c r="DT31">
        <f>DT30+IF(AND(DS31&lt;&gt;"",COUNTIF(DS$4:DS31,DS31)=1),1,0)</f>
        <v>28</v>
      </c>
      <c r="DU31" s="50">
        <f t="shared" si="50"/>
        <v>250161</v>
      </c>
      <c r="DV31" s="50">
        <f>IF('Final Calculation Sheet'!$X$31="","",'Final Calculation Sheet'!$X$31)</f>
        <v>191812</v>
      </c>
      <c r="DW31">
        <f>IF(DV31="","",COUNTIFS(DV$4:DV$40,"&lt;"&amp;DV31,DV$4:DV$40,"&lt;&gt;"&amp;"")+COUNTIF(DV$4:DV31,DV31))</f>
        <v>22</v>
      </c>
      <c r="DX31" s="50">
        <f t="shared" si="51"/>
        <v>370600</v>
      </c>
      <c r="DY31">
        <f>DY30+IF(AND(DX31&lt;&gt;"",COUNTIF(DX$4:DX31,DX31)=1),1,0)</f>
        <v>28</v>
      </c>
      <c r="DZ31" t="e">
        <f t="shared" si="52"/>
        <v>#N/A</v>
      </c>
      <c r="EA31" t="str">
        <f>IF('Final Calculation Sheet'!$Y$31="","",'Final Calculation Sheet'!$Y$31)</f>
        <v>21.08.2026</v>
      </c>
      <c r="EB31">
        <f>IF(EA31="","",COUNTIFS(EA$4:EA$40,"&lt;"&amp;EA31,EA$4:EA$40,"&lt;&gt;"&amp;"")+COUNTIF(EA$4:EA31,EA31))</f>
        <v>20</v>
      </c>
      <c r="EC31" t="str">
        <f t="shared" si="53"/>
        <v>24.08.2026</v>
      </c>
      <c r="ED31">
        <f>ED30+IF(AND(EC31&lt;&gt;"",COUNTIF(EC$4:EC31,EC31)=1),1,0)</f>
        <v>9</v>
      </c>
      <c r="EE31" t="e">
        <f t="shared" si="54"/>
        <v>#N/A</v>
      </c>
      <c r="EF31" s="50">
        <f ca="1">IF('Final Calculation Sheet'!$Z$31="","",'Final Calculation Sheet'!$Z$31)</f>
        <v>7328.8619999999992</v>
      </c>
      <c r="EG31">
        <f ca="1">IF(EF31="","",COUNTIFS(EF$4:EF$40,"&lt;"&amp;EF31,EF$4:EF$40,"&lt;&gt;"&amp;"")+COUNTIF(EF$4:EF31,EF31))</f>
        <v>23</v>
      </c>
      <c r="EH31" s="50">
        <f t="shared" ca="1" si="55"/>
        <v>9558.2124000000003</v>
      </c>
      <c r="EI31">
        <f ca="1">EI30+IF(AND(EH31&lt;&gt;"",COUNTIF(EH$4:EH31,EH31)=1),1,0)</f>
        <v>28</v>
      </c>
      <c r="EJ31">
        <f t="shared" ca="1" si="56"/>
        <v>9558.2124000000003</v>
      </c>
      <c r="EK31" t="str">
        <f>IF('Final Calculation Sheet'!$AA$31="","",'Final Calculation Sheet'!$AA$31)</f>
        <v/>
      </c>
      <c r="EL31" t="str">
        <f>IF(EK31="","",COUNTIFS(EK$4:EK$40,"&lt;"&amp;EK31,EK$4:EK$40,"&lt;&gt;"&amp;"")+COUNTIF(EK$4:EK31,EK31))</f>
        <v/>
      </c>
      <c r="EM31" t="e">
        <f t="shared" si="57"/>
        <v>#N/A</v>
      </c>
      <c r="EN31" t="e">
        <f>EN30+IF(AND(EM31&lt;&gt;"",COUNTIF(EM$4:EM31,EM31)=1),1,0)</f>
        <v>#N/A</v>
      </c>
      <c r="EO31" t="e">
        <f t="shared" si="58"/>
        <v>#N/A</v>
      </c>
      <c r="EP31" t="str">
        <f>IF('Final Calculation Sheet'!$AB$31="","",'Final Calculation Sheet'!$AB$31)</f>
        <v/>
      </c>
      <c r="EQ31" t="str">
        <f>IF(EP31="","",COUNTIFS(EP$4:EP$40,"&lt;"&amp;EP31,EP$4:EP$40,"&lt;&gt;"&amp;"")+COUNTIF(EP$4:EP31,EP31))</f>
        <v/>
      </c>
      <c r="ER31" t="e">
        <f t="shared" si="59"/>
        <v>#N/A</v>
      </c>
      <c r="ES31" t="e">
        <f>ES30+IF(AND(ER31&lt;&gt;"",COUNTIF(ER$4:ER31,ER31)=1),1,0)</f>
        <v>#N/A</v>
      </c>
      <c r="ET31" t="e">
        <f t="shared" si="60"/>
        <v>#N/A</v>
      </c>
      <c r="EU31" s="50">
        <f>IF('Final Calculation Sheet'!$AC$31="","",'Final Calculation Sheet'!$AC$31)</f>
        <v>243570</v>
      </c>
      <c r="EV31">
        <f>IF(EU31="","",COUNTIFS(EU$4:EU$40,"&lt;"&amp;EU31,EU$4:EU$40,"&lt;&gt;"&amp;"")+COUNTIF(EU$4:EU31,EU31))</f>
        <v>25</v>
      </c>
      <c r="EW31" s="50">
        <f t="shared" si="61"/>
        <v>258831</v>
      </c>
      <c r="EX31">
        <f>EX30+IF(AND(EW31&lt;&gt;"",COUNTIF(EW$4:EW31,EW31)=1),1,0)</f>
        <v>28</v>
      </c>
      <c r="EY31" s="50">
        <f t="shared" si="62"/>
        <v>258831</v>
      </c>
      <c r="EZ31" s="50">
        <f>IF('Final Calculation Sheet'!$AD$31="","",'Final Calculation Sheet'!$AD$31)</f>
        <v>1</v>
      </c>
      <c r="FA31">
        <f>IF(EZ31="","",COUNTIFS(EZ$4:EZ$40,"&lt;"&amp;EZ31,EZ$4:EZ$40,"&lt;&gt;"&amp;"")+COUNTIF(EZ$4:EZ31,EZ31))</f>
        <v>33</v>
      </c>
      <c r="FB31" s="50">
        <f t="shared" si="63"/>
        <v>0</v>
      </c>
      <c r="FC31">
        <f>FC30+IF(AND(FB31&lt;&gt;"",COUNTIF(FB$4:FB31,FB31)=1),1,0)</f>
        <v>7</v>
      </c>
      <c r="FD31" t="str">
        <f t="shared" si="64"/>
        <v/>
      </c>
      <c r="FE31" t="str">
        <f>IF('Final Calculation Sheet'!$AF$31="","",'Final Calculation Sheet'!$AF$31)</f>
        <v>DR2640100041</v>
      </c>
      <c r="FF31">
        <f>IF(FE31="","",COUNTIFS(FE$4:FE$40,"&lt;"&amp;FE31,FE$4:FE$40,"&lt;&gt;"&amp;"")+COUNTIF(FE$4:FE31,FE31))</f>
        <v>30</v>
      </c>
      <c r="FG31" t="str">
        <f t="shared" si="65"/>
        <v>DR2640100039</v>
      </c>
      <c r="FH31" t="e">
        <f>FH30+IF(AND(FG31&lt;&gt;"",COUNTIF(FG$4:FG31,FG31)=1),1,0)</f>
        <v>#N/A</v>
      </c>
      <c r="FI31" t="e">
        <f t="shared" si="66"/>
        <v>#N/A</v>
      </c>
      <c r="FJ31" s="129">
        <f>IF('Final Calculation Sheet'!$AG$31="","",'Final Calculation Sheet'!$AG$31)</f>
        <v>1800003316</v>
      </c>
      <c r="FK31">
        <f>IF(FJ31="","",COUNTIFS(FJ$4:FJ$40,"&lt;"&amp;FJ31,FJ$4:FJ$40,"&lt;&gt;"&amp;"")+COUNTIF(FJ$4:FJ31,FJ31))</f>
        <v>28</v>
      </c>
      <c r="FL31" s="129">
        <f t="shared" si="67"/>
        <v>1800003316</v>
      </c>
      <c r="FM31">
        <f>FM30+IF(AND(FL31&lt;&gt;"",COUNTIF(FL$4:FL31,FL31)=1),1,0)</f>
        <v>28</v>
      </c>
      <c r="FN31" t="e">
        <f t="shared" si="68"/>
        <v>#N/A</v>
      </c>
      <c r="FO31" t="str">
        <f>IF('Final Calculation Sheet'!$AH$31="","",'Final Calculation Sheet'!$AH$31)</f>
        <v>27.08.2026</v>
      </c>
      <c r="FP31">
        <f>IF(FO31="","",COUNTIFS(FO$4:FO$40,"&lt;"&amp;FO31,FO$4:FO$40,"&lt;&gt;"&amp;"")+COUNTIF(FO$4:FO31,FO31))</f>
        <v>34</v>
      </c>
      <c r="FQ31" t="str">
        <f t="shared" si="69"/>
        <v>27.08.2026</v>
      </c>
      <c r="FR31" t="e">
        <f>FR30+IF(AND(FQ31&lt;&gt;"",COUNTIF(FQ$4:FQ31,FQ31)=1),1,0)</f>
        <v>#N/A</v>
      </c>
      <c r="FS31" t="e">
        <f t="shared" si="70"/>
        <v>#N/A</v>
      </c>
      <c r="FU31" t="str">
        <f>IF(FT31="","",COUNTIFS(FT$4:FT$40,"&lt;"&amp;FT31,FT$4:FT$40,"&lt;&gt;"&amp;"")+COUNTIF(FT$4:FT31,FT31))</f>
        <v/>
      </c>
      <c r="FV31" t="str">
        <f t="shared" si="71"/>
        <v/>
      </c>
      <c r="FW31">
        <f>FW30+IF(AND(FV31&lt;&gt;"",COUNTIF(FV$4:FV31,FV31)=1),1,0)</f>
        <v>2</v>
      </c>
      <c r="FX31" t="str">
        <f t="shared" si="72"/>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1" t="b">
        <f>IF($Y$31="",FALSE,SUMPRODUCT(('Final Calculation Sheet'!$B$4:$B$40=$Y$31)*($FY$6:$FY$42=1))&gt;0)</f>
        <v>0</v>
      </c>
      <c r="GA31">
        <f>$GA$30+--($FZ$31)</f>
        <v>25</v>
      </c>
      <c r="GB31" t="str">
        <f t="shared" si="73"/>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D31" t="b">
        <f>IF($O$31="",FALSE,SUMPRODUCT(('Final Calculation Sheet'!$F$4:$F$40=$O$31)*($GC$6:$GC$42=1))&gt;0)</f>
        <v>1</v>
      </c>
      <c r="GE31">
        <f>$GE$30+--($GD31)</f>
        <v>28</v>
      </c>
      <c r="GF31">
        <f t="shared" si="74"/>
        <v>2046</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H31" t="b">
        <f>IF($T$31="",FALSE,SUMPRODUCT(('Final Calculation Sheet'!$G$4:$G$40=$T$31)*($GG$6:$GG$42=1))&gt;0)</f>
        <v>0</v>
      </c>
      <c r="GI31">
        <f>$GI$30+--($GH31)</f>
        <v>13</v>
      </c>
      <c r="GJ31" t="str">
        <f t="shared" si="75"/>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L31" t="b">
        <f>IF($AD$31="",FALSE,SUMPRODUCT(('Final Calculation Sheet'!$D$4:$D$40=$AD$31)*($GK$6:$GK$42=1))&gt;0)</f>
        <v>0</v>
      </c>
      <c r="GM31">
        <f>$GM$30+--($GL31)</f>
        <v>4</v>
      </c>
      <c r="GN31" t="str">
        <f t="shared" si="76"/>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P31" t="b">
        <f>IF($AI$31="",FALSE,SUMPRODUCT(('Final Calculation Sheet'!$A$4:$A$40=$AI$31)*($GO$6:$GO$42=1))&gt;0)</f>
        <v>0</v>
      </c>
      <c r="GQ31">
        <f>$GQ$30+--($GP31)</f>
        <v>22</v>
      </c>
      <c r="GR31" t="str">
        <f t="shared" si="77"/>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T31" t="b">
        <f>IF($AN$31="",FALSE,SUMPRODUCT(('Final Calculation Sheet'!$E$4:$E$40=$AN$31)*($GS$6:$GS$42=1))&gt;0)</f>
        <v>0</v>
      </c>
      <c r="GU31">
        <f>$GU$30+--($GT31)</f>
        <v>3</v>
      </c>
      <c r="GV31" t="str">
        <f t="shared" si="78"/>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GX31" t="b">
        <f>IF($AS$31="",FALSE,SUMPRODUCT(('Final Calculation Sheet'!$C$4:$C$40=$AS$31)*($GW$6:$GW$42=1))&gt;0)</f>
        <v>1</v>
      </c>
      <c r="GY31">
        <f>$GY$30+--($GX31)</f>
        <v>28</v>
      </c>
      <c r="GZ31">
        <f t="shared" si="79"/>
        <v>80006</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B31" t="b">
        <f>IF($AX$31="",FALSE,SUMPRODUCT(('Final Calculation Sheet'!$H$4:$H$40=$AX$31)*($HA$6:$HA$42=1))&gt;0)</f>
        <v>1</v>
      </c>
      <c r="HC31">
        <f>$HC$30+--($HB31)</f>
        <v>28</v>
      </c>
      <c r="HD31">
        <f t="shared" si="80"/>
        <v>270006</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F31" t="b">
        <f>IF($BC$31="",FALSE,SUMPRODUCT(('Final Calculation Sheet'!$I$4:$I$40=$BC$31)*($HE$6:$HE$42=1))&gt;0)</f>
        <v>1</v>
      </c>
      <c r="HG31">
        <f>$HG$30+--($HF31)</f>
        <v>28</v>
      </c>
      <c r="HH31">
        <f t="shared" si="81"/>
        <v>48601</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J31" t="b">
        <f>IF($BH$31="",FALSE,SUMPRODUCT(('Final Calculation Sheet'!$J$4:$J$40=$BH$31)*($HI$6:$HI$42=1))&gt;0)</f>
        <v>1</v>
      </c>
      <c r="HK31">
        <f>$HK$30+--($HJ31)</f>
        <v>28</v>
      </c>
      <c r="HL31">
        <f t="shared" si="82"/>
        <v>318607</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N31" t="b">
        <f>IF($BM$31="",FALSE,SUMPRODUCT(('Final Calculation Sheet'!$K$4:$K$40=$BM$31)*($HM$6:$HM$42=1))&gt;0)</f>
        <v>1</v>
      </c>
      <c r="HO31">
        <f>$HO$30+--($HN31)</f>
        <v>28</v>
      </c>
      <c r="HP31">
        <f t="shared" si="83"/>
        <v>7802</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R31" t="b">
        <f>IF($BR$31="",FALSE,SUMPRODUCT(('Final Calculation Sheet'!$L$4:$L$40=$BR$31)*($HQ$6:$HQ$42=1))&gt;0)</f>
        <v>1</v>
      </c>
      <c r="HS31">
        <f>$HS$30+--($HR31)</f>
        <v>28</v>
      </c>
      <c r="HT31">
        <f t="shared" si="84"/>
        <v>270.00600000000003</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V31" t="b">
        <f>IF($BW$31="",FALSE,SUMPRODUCT(('Final Calculation Sheet'!$M$4:$M$40=$BW$31)*($HU$6:$HU$42=1))&gt;0)</f>
        <v>1</v>
      </c>
      <c r="HW31">
        <f>$HW$30+--($HV31)</f>
        <v>28</v>
      </c>
      <c r="HX31">
        <f t="shared" si="85"/>
        <v>7168.6593000000003</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HZ31" t="b">
        <f>IF($CB$31="",FALSE,SUMPRODUCT(('Final Calculation Sheet'!$N$4:$N$40=$CB$31)*($HY$6:$HY$42=1))&gt;0)</f>
        <v>1</v>
      </c>
      <c r="IA31">
        <f>$IA$30+--($HZ31)</f>
        <v>28</v>
      </c>
      <c r="IB31">
        <f t="shared" si="86"/>
        <v>121.5027</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D31" t="b">
        <f>IF($CG$31="",FALSE,SUMPRODUCT(('Final Calculation Sheet'!$O$4:$O$40=$CG$31)*($IC$6:$IC$42=1))&gt;0)</f>
        <v>1</v>
      </c>
      <c r="IE31">
        <f>$IE$30+--($ID31)</f>
        <v>28</v>
      </c>
      <c r="IF31">
        <f t="shared" si="87"/>
        <v>7047.1566000000003</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H31" t="b">
        <f>IF($CL$31="",FALSE,SUMPRODUCT(('Final Calculation Sheet'!$P$4:$P$40=$CL$31)*($IG$6:$IG$42=1))&gt;0)</f>
        <v>1</v>
      </c>
      <c r="II31">
        <f>$II$30+--($IH31)</f>
        <v>28</v>
      </c>
      <c r="IJ31">
        <f t="shared" si="88"/>
        <v>8959</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L31" t="b">
        <f>IF($CQ$31="",FALSE,SUMPRODUCT(('Final Calculation Sheet'!$Q$4:$Q$40=$CQ$31)*($IK$6:$IK$42=1))&gt;0)</f>
        <v>0</v>
      </c>
      <c r="IM31">
        <f>$IM$30+--($IL31)</f>
        <v>2</v>
      </c>
      <c r="IN31" t="str">
        <f t="shared" si="89"/>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P31" t="b">
        <f>IF($CV$31="",FALSE,SUMPRODUCT(('Final Calculation Sheet'!$R$4:$R$40=$CV$31)*($IO$6:$IO$42=1))&gt;0)</f>
        <v>0</v>
      </c>
      <c r="IQ31">
        <f>$IQ$30+--($IP31)</f>
        <v>5</v>
      </c>
      <c r="IR31" t="str">
        <f t="shared" si="90"/>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T31" t="b">
        <f>IF($DA$31="",FALSE,SUMPRODUCT(('Final Calculation Sheet'!$S$4:$S$40=$DA$31)*($IS$6:$IS$42=1))&gt;0)</f>
        <v>1</v>
      </c>
      <c r="IU31">
        <f>$IU$30+--($IT31)</f>
        <v>28</v>
      </c>
      <c r="IV31">
        <f t="shared" si="91"/>
        <v>317662</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IX31" t="b">
        <f>IF($DF$31="",FALSE,SUMPRODUCT(('Final Calculation Sheet'!$T$4:$T$40=$DF$31)*($IW$6:$IW$42=1))&gt;0)</f>
        <v>1</v>
      </c>
      <c r="IY31">
        <f>$IY$30+--($IX31)</f>
        <v>28</v>
      </c>
      <c r="IZ31">
        <f t="shared" si="92"/>
        <v>67502</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B31" t="b">
        <f>IF($DK$31="",FALSE,SUMPRODUCT(('Final Calculation Sheet'!$U$4:$U$40=$DK$31)*($JA$6:$JA$42=1))&gt;0)</f>
        <v>1</v>
      </c>
      <c r="JC31">
        <f>$JC$30+--($JB31)</f>
        <v>28</v>
      </c>
      <c r="JD31">
        <f t="shared" si="93"/>
        <v>67502</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F31" t="b">
        <f>IF($DP$31="",FALSE,SUMPRODUCT(('Final Calculation Sheet'!$V$4:$V$40=$DP$31)*($JE$6:$JE$42=1))&gt;0)</f>
        <v>0</v>
      </c>
      <c r="JG31">
        <f>$JG$30+--($JF31)</f>
        <v>6</v>
      </c>
      <c r="JH31" t="str">
        <f t="shared" si="94"/>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J31" t="b">
        <f>IF($DU$31="",FALSE,SUMPRODUCT(('Final Calculation Sheet'!$W$4:$W$40=$DU$31)*($JI$6:$JI$42=1))&gt;0)</f>
        <v>1</v>
      </c>
      <c r="JK31">
        <f>$JK$30+--($JJ31)</f>
        <v>28</v>
      </c>
      <c r="JL31">
        <f t="shared" si="95"/>
        <v>250161</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N31" t="e">
        <f>IF($DZ$31="",FALSE,SUMPRODUCT(('Final Calculation Sheet'!$X$4:$X$40=$DZ$31)*($JM$6:$JM$42=1))&gt;0)</f>
        <v>#N/A</v>
      </c>
      <c r="JO31" t="e">
        <f>$JO$30+--($JN31)</f>
        <v>#N/A</v>
      </c>
      <c r="JP31" t="e">
        <f t="shared" si="96"/>
        <v>#N/A</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R31" t="e">
        <f>IF($EE$31="",FALSE,SUMPRODUCT(('Final Calculation Sheet'!$Y$4:$Y$40=$EE$31)*($JQ$6:$JQ$42=1))&gt;0)</f>
        <v>#N/A</v>
      </c>
      <c r="JS31" t="e">
        <f>$JS$30+--($JR31)</f>
        <v>#N/A</v>
      </c>
      <c r="JT31" t="e">
        <f t="shared" si="97"/>
        <v>#N/A</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V31" t="b">
        <f ca="1">IF($EJ$31="",FALSE,SUMPRODUCT(('Final Calculation Sheet'!$Z$4:$Z$40=$EJ$31)*($JU$6:$JU$42=1))&gt;0)</f>
        <v>1</v>
      </c>
      <c r="JW31">
        <f ca="1">$JW$30+--($JV31)</f>
        <v>28</v>
      </c>
      <c r="JX31">
        <f t="shared" ca="1" si="98"/>
        <v>9558.2124000000003</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JZ31" t="e">
        <f>IF($EO$31="",FALSE,SUMPRODUCT(('Final Calculation Sheet'!$AA$4:$AA$40=$EO$31)*($JY$6:$JY$42=1))&gt;0)</f>
        <v>#N/A</v>
      </c>
      <c r="KA31" t="e">
        <f>$KA$30+--($JZ31)</f>
        <v>#N/A</v>
      </c>
      <c r="KB31" t="e">
        <f t="shared" si="99"/>
        <v>#N/A</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D31" t="e">
        <f>IF($ET$31="",FALSE,SUMPRODUCT(('Final Calculation Sheet'!$AB$4:$AB$40=$ET$31)*($KC$6:$KC$42=1))&gt;0)</f>
        <v>#N/A</v>
      </c>
      <c r="KE31" t="e">
        <f>$KE$30+--($KD31)</f>
        <v>#N/A</v>
      </c>
      <c r="KF31" t="e">
        <f t="shared" si="100"/>
        <v>#N/A</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H31" t="b">
        <f>IF($EY$31="",FALSE,SUMPRODUCT(('Final Calculation Sheet'!$AC$4:$AC$40=$EY$31)*($KG$6:$KG$42=1))&gt;0)</f>
        <v>1</v>
      </c>
      <c r="KI31">
        <f>$KI$30+--($KH31)</f>
        <v>28</v>
      </c>
      <c r="KJ31">
        <f t="shared" si="101"/>
        <v>258831</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L31" t="b">
        <f>IF($FD$31="",FALSE,SUMPRODUCT(('Final Calculation Sheet'!$AD$4:$AD$40=$FD$31)*($KK$6:$KK$42=1))&gt;0)</f>
        <v>0</v>
      </c>
      <c r="KM31">
        <f>$KM$30+--($KL31)</f>
        <v>11</v>
      </c>
      <c r="KN31" t="str">
        <f t="shared" si="102"/>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P31" t="b">
        <f>IF($FX$31="",FALSE,SUMPRODUCT((IF('Final Calculation Sheet'!$AD$4:$AD$40&lt;=5,"SETTLED","OUTSTANDING")=$FX$31)*($KO$6:$KO$42=1))&gt;0)</f>
        <v>0</v>
      </c>
      <c r="KQ31">
        <f>$KQ$30+--($KP31)</f>
        <v>1</v>
      </c>
      <c r="KR31" t="str">
        <f t="shared" si="103"/>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T31" t="e">
        <f>IF($FI$31="",FALSE,SUMPRODUCT(('Final Calculation Sheet'!$AF$4:$AF$40=$FI$31)*($KS$6:$KS$42=1))&gt;0)</f>
        <v>#N/A</v>
      </c>
      <c r="KU31" t="e">
        <f>$KU$30+--($KT31)</f>
        <v>#N/A</v>
      </c>
      <c r="KV31" t="e">
        <f t="shared" si="104"/>
        <v>#N/A</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KX31" t="e">
        <f>IF($FN$31="",FALSE,SUMPRODUCT(('Final Calculation Sheet'!$AG$4:$AG$40=$FN$31)*($KW$6:$KW$42=1))&gt;0)</f>
        <v>#N/A</v>
      </c>
      <c r="KY31" t="e">
        <f>$KY$30+--($KX31)</f>
        <v>#N/A</v>
      </c>
      <c r="KZ31" t="e">
        <f t="shared" si="105"/>
        <v>#N/A</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LB31" t="e">
        <f>IF($FS$31="",FALSE,SUMPRODUCT(('Final Calculation Sheet'!$AH$4:$AH$40=$FS$31)*($LA$6:$LA$42=1))&gt;0)</f>
        <v>#N/A</v>
      </c>
      <c r="LC31" t="e">
        <f>$LC$30+--($LB31)</f>
        <v>#N/A</v>
      </c>
      <c r="LD31" t="e">
        <f t="shared" si="106"/>
        <v>#N/A</v>
      </c>
      <c r="LE31">
        <f>IF(COUNTIF('Buyer Groups'!DH31:EN31,0)&gt;0,0,1)</f>
        <v>1</v>
      </c>
      <c r="LF31" t="b">
        <f>IF($O$31="",FALSE,SUMPRODUCT(('Final Calculation Sheet'!$F$4:$F$40=$O$31)*($LE$6:$LE$42=1))&gt;0)</f>
        <v>1</v>
      </c>
      <c r="LG31">
        <f>$LG$30+--($LF31)</f>
        <v>28</v>
      </c>
      <c r="LH31">
        <f t="shared" si="107"/>
        <v>2046</v>
      </c>
      <c r="LI31">
        <f>IF(COUNTIF('Buyer Groups'!DG31:DG31,0)+COUNTIF('Buyer Groups'!DI31:EN31,0)&gt;0,0,1)</f>
        <v>1</v>
      </c>
      <c r="LJ31" t="b">
        <f>IF($T$31="",FALSE,SUMPRODUCT(('Final Calculation Sheet'!$G$4:$G$40=$T$31)*($LI$6:$LI$42=1))&gt;0)</f>
        <v>0</v>
      </c>
      <c r="LK31">
        <f>$LK$30+--($LJ31)</f>
        <v>13</v>
      </c>
      <c r="LL31" t="str">
        <f t="shared" si="108"/>
        <v/>
      </c>
      <c r="LM31">
        <f>IF(COUNTIF('Buyer Groups'!DG31:DH31,0)+COUNTIF('Buyer Groups'!DJ31:EN31,0)&gt;0,0,1)</f>
        <v>1</v>
      </c>
      <c r="LN31" t="b">
        <f>IF($Y$31="",FALSE,SUMPRODUCT(('Final Calculation Sheet'!$B$4:$B$40=$Y$31)*($LM$6:$LM$42=1))&gt;0)</f>
        <v>0</v>
      </c>
      <c r="LO31">
        <f>$LO$30+--($LN31)</f>
        <v>25</v>
      </c>
      <c r="LP31" t="str">
        <f t="shared" si="109"/>
        <v/>
      </c>
      <c r="LQ31">
        <f>IF(COUNTIF('Buyer Groups'!DG31:DI31,0)+COUNTIF('Buyer Groups'!DK31:EN31,0)&gt;0,0,1)</f>
        <v>1</v>
      </c>
      <c r="LR31" t="b">
        <f>IF($AD$31="",FALSE,SUMPRODUCT(('Final Calculation Sheet'!$D$4:$D$40=$AD$31)*($LQ$6:$LQ$42=1))&gt;0)</f>
        <v>0</v>
      </c>
      <c r="LS31">
        <f>$LS$30+--($LR31)</f>
        <v>4</v>
      </c>
      <c r="LT31" t="str">
        <f t="shared" si="110"/>
        <v/>
      </c>
      <c r="LU31">
        <f>IF(COUNTIF('Buyer Groups'!DG31:DJ31,0)+COUNTIF('Buyer Groups'!DL31:EN31,0)&gt;0,0,1)</f>
        <v>1</v>
      </c>
      <c r="LV31" t="b">
        <f>IF($AI$31="",FALSE,SUMPRODUCT(('Final Calculation Sheet'!$A$4:$A$40=$AI$31)*($LU$6:$LU$42=1))&gt;0)</f>
        <v>0</v>
      </c>
      <c r="LW31">
        <f>$LW$30+--($LV31)</f>
        <v>22</v>
      </c>
      <c r="LX31" t="str">
        <f t="shared" si="111"/>
        <v/>
      </c>
      <c r="LY31">
        <f>IF(COUNTIF('Buyer Groups'!DG31:DK31,0)+COUNTIF('Buyer Groups'!DM31:EN31,0)&gt;0,0,1)</f>
        <v>1</v>
      </c>
      <c r="LZ31" t="b">
        <f>IF($AN$31="",FALSE,SUMPRODUCT(('Final Calculation Sheet'!$E$4:$E$40=$AN$31)*($LY$6:$LY$42=1))&gt;0)</f>
        <v>0</v>
      </c>
      <c r="MA31">
        <f>$MA$30+--($LZ31)</f>
        <v>3</v>
      </c>
      <c r="MB31" t="str">
        <f t="shared" si="112"/>
        <v/>
      </c>
      <c r="MC31">
        <f>IF(COUNTIF('Buyer Groups'!DG31:DL31,0)+COUNTIF('Buyer Groups'!DN31:EN31,0)&gt;0,0,1)</f>
        <v>1</v>
      </c>
      <c r="MD31" t="b">
        <f>IF($AS$31="",FALSE,SUMPRODUCT(('Final Calculation Sheet'!$C$4:$C$40=$AS$31)*($MC$6:$MC$42=1))&gt;0)</f>
        <v>1</v>
      </c>
      <c r="ME31">
        <f>$ME$30+--($MD31)</f>
        <v>28</v>
      </c>
      <c r="MF31">
        <f t="shared" si="113"/>
        <v>80006</v>
      </c>
      <c r="MG31">
        <f>IF(COUNTIF('Buyer Groups'!DG31:DM31,0)+COUNTIF('Buyer Groups'!DO31:EN31,0)&gt;0,0,1)</f>
        <v>1</v>
      </c>
      <c r="MH31" t="b">
        <f>IF($AX$31="",FALSE,SUMPRODUCT(('Final Calculation Sheet'!$H$4:$H$40=$AX$31)*($MG$6:$MG$42=1))&gt;0)</f>
        <v>1</v>
      </c>
      <c r="MI31">
        <f>$MI$30+--($MH31)</f>
        <v>28</v>
      </c>
      <c r="MJ31">
        <f t="shared" si="114"/>
        <v>270006</v>
      </c>
      <c r="MK31">
        <f>IF(COUNTIF('Buyer Groups'!DG31:DN31,0)+COUNTIF('Buyer Groups'!DP31:EN31,0)&gt;0,0,1)</f>
        <v>1</v>
      </c>
      <c r="ML31" t="b">
        <f>IF($BC$31="",FALSE,SUMPRODUCT(('Final Calculation Sheet'!$I$4:$I$40=$BC$31)*($MK$6:$MK$42=1))&gt;0)</f>
        <v>1</v>
      </c>
      <c r="MM31">
        <f>$MM$30+--($ML31)</f>
        <v>28</v>
      </c>
      <c r="MN31">
        <f t="shared" si="115"/>
        <v>48601</v>
      </c>
      <c r="MO31">
        <f>IF(COUNTIF('Buyer Groups'!DG31:DO31,0)+COUNTIF('Buyer Groups'!DQ31:EN31,0)&gt;0,0,1)</f>
        <v>1</v>
      </c>
      <c r="MP31" t="b">
        <f>IF($BH$31="",FALSE,SUMPRODUCT(('Final Calculation Sheet'!$J$4:$J$40=$BH$31)*($MO$6:$MO$42=1))&gt;0)</f>
        <v>1</v>
      </c>
      <c r="MQ31">
        <f>$MQ$30+--($MP31)</f>
        <v>28</v>
      </c>
      <c r="MR31">
        <f t="shared" si="116"/>
        <v>318607</v>
      </c>
      <c r="MS31">
        <f>IF(COUNTIF('Buyer Groups'!DG31:DP31,0)+COUNTIF('Buyer Groups'!DR31:EN31,0)&gt;0,0,1)</f>
        <v>1</v>
      </c>
      <c r="MT31" t="b">
        <f>IF($BM$31="",FALSE,SUMPRODUCT(('Final Calculation Sheet'!$K$4:$K$40=$BM$31)*($MS$6:$MS$42=1))&gt;0)</f>
        <v>1</v>
      </c>
      <c r="MU31">
        <f>$MU$30+--($MT31)</f>
        <v>28</v>
      </c>
      <c r="MV31">
        <f t="shared" si="117"/>
        <v>7802</v>
      </c>
      <c r="MW31">
        <f>IF(COUNTIF('Buyer Groups'!DG31:DQ31,0)+COUNTIF('Buyer Groups'!DS31:EN31,0)&gt;0,0,1)</f>
        <v>1</v>
      </c>
      <c r="MX31" t="b">
        <f>IF($BR$31="",FALSE,SUMPRODUCT(('Final Calculation Sheet'!$L$4:$L$40=$BR$31)*($MW$6:$MW$42=1))&gt;0)</f>
        <v>1</v>
      </c>
      <c r="MY31">
        <f>$MY$30+--($MX31)</f>
        <v>28</v>
      </c>
      <c r="MZ31">
        <f t="shared" si="118"/>
        <v>270.00600000000003</v>
      </c>
      <c r="NA31">
        <f>IF(COUNTIF('Buyer Groups'!DG31:DR31,0)+COUNTIF('Buyer Groups'!DT31:EN31,0)&gt;0,0,1)</f>
        <v>1</v>
      </c>
      <c r="NB31" t="b">
        <f>IF($BW$31="",FALSE,SUMPRODUCT(('Final Calculation Sheet'!$M$4:$M$40=$BW$31)*($NA$6:$NA$42=1))&gt;0)</f>
        <v>1</v>
      </c>
      <c r="NC31">
        <f>$NC$30+--($NB31)</f>
        <v>28</v>
      </c>
      <c r="ND31">
        <f t="shared" si="119"/>
        <v>7168.6593000000003</v>
      </c>
      <c r="NE31">
        <f>IF(COUNTIF('Buyer Groups'!DG31:DS31,0)+COUNTIF('Buyer Groups'!DU31:EN31,0)&gt;0,0,1)</f>
        <v>1</v>
      </c>
      <c r="NF31" t="b">
        <f>IF($CB$31="",FALSE,SUMPRODUCT(('Final Calculation Sheet'!$N$4:$N$40=$CB$31)*($NE$6:$NE$42=1))&gt;0)</f>
        <v>1</v>
      </c>
      <c r="NG31">
        <f>$NG$30+--($NF31)</f>
        <v>28</v>
      </c>
      <c r="NH31">
        <f t="shared" si="120"/>
        <v>121.5027</v>
      </c>
      <c r="NI31">
        <f>IF(COUNTIF('Buyer Groups'!DG31:DT31,0)+COUNTIF('Buyer Groups'!DV31:EN31,0)&gt;0,0,1)</f>
        <v>1</v>
      </c>
      <c r="NJ31" t="b">
        <f>IF($CG$31="",FALSE,SUMPRODUCT(('Final Calculation Sheet'!$O$4:$O$40=$CG$31)*($NI$6:$NI$42=1))&gt;0)</f>
        <v>1</v>
      </c>
      <c r="NK31">
        <f>$NK$30+--($NJ31)</f>
        <v>28</v>
      </c>
      <c r="NL31">
        <f t="shared" si="121"/>
        <v>7047.1566000000003</v>
      </c>
      <c r="NM31">
        <f>IF(COUNTIF('Buyer Groups'!DG31:DU31,0)+COUNTIF('Buyer Groups'!DW31:EN31,0)&gt;0,0,1)</f>
        <v>1</v>
      </c>
      <c r="NN31" t="b">
        <f>IF($CL$31="",FALSE,SUMPRODUCT(('Final Calculation Sheet'!$P$4:$P$40=$CL$31)*($NM$6:$NM$42=1))&gt;0)</f>
        <v>1</v>
      </c>
      <c r="NO31">
        <f>$NO$30+--($NN31)</f>
        <v>28</v>
      </c>
      <c r="NP31">
        <f t="shared" si="122"/>
        <v>8959</v>
      </c>
      <c r="NQ31">
        <f>IF(COUNTIF('Buyer Groups'!DG31:DV31,0)+COUNTIF('Buyer Groups'!DX31:EN31,0)&gt;0,0,1)</f>
        <v>1</v>
      </c>
      <c r="NR31" t="b">
        <f>IF($CQ$31="",FALSE,SUMPRODUCT(('Final Calculation Sheet'!$Q$4:$Q$40=$CQ$31)*($NQ$6:$NQ$42=1))&gt;0)</f>
        <v>0</v>
      </c>
      <c r="NS31">
        <f>$NS$30+--($NR31)</f>
        <v>2</v>
      </c>
      <c r="NT31" t="str">
        <f t="shared" si="123"/>
        <v/>
      </c>
      <c r="NU31">
        <f>IF(COUNTIF('Buyer Groups'!DG31:DW31,0)+COUNTIF('Buyer Groups'!DY31:EN31,0)&gt;0,0,1)</f>
        <v>1</v>
      </c>
      <c r="NV31" t="b">
        <f>IF($CV$31="",FALSE,SUMPRODUCT(('Final Calculation Sheet'!$R$4:$R$40=$CV$31)*($NU$6:$NU$42=1))&gt;0)</f>
        <v>0</v>
      </c>
      <c r="NW31">
        <f>$NW$30+--($NV31)</f>
        <v>5</v>
      </c>
      <c r="NX31" t="str">
        <f t="shared" si="124"/>
        <v/>
      </c>
      <c r="NY31">
        <f>IF(COUNTIF('Buyer Groups'!DG31:DX31,0)+COUNTIF('Buyer Groups'!DZ31:EN31,0)&gt;0,0,1)</f>
        <v>1</v>
      </c>
      <c r="NZ31" t="b">
        <f>IF($DA$31="",FALSE,SUMPRODUCT(('Final Calculation Sheet'!$S$4:$S$40=$DA$31)*($NY$6:$NY$42=1))&gt;0)</f>
        <v>1</v>
      </c>
      <c r="OA31">
        <f>$OA$30+--($NZ31)</f>
        <v>28</v>
      </c>
      <c r="OB31">
        <f t="shared" si="125"/>
        <v>317662</v>
      </c>
      <c r="OC31">
        <f>IF(COUNTIF('Buyer Groups'!DG31:DY31,0)+COUNTIF('Buyer Groups'!EA31:EN31,0)&gt;0,0,1)</f>
        <v>1</v>
      </c>
      <c r="OD31" t="b">
        <f>IF($DF$31="",FALSE,SUMPRODUCT(('Final Calculation Sheet'!$T$4:$T$40=$DF$31)*($OC$6:$OC$42=1))&gt;0)</f>
        <v>1</v>
      </c>
      <c r="OE31">
        <f>$OE$30+--($OD31)</f>
        <v>28</v>
      </c>
      <c r="OF31">
        <f t="shared" si="126"/>
        <v>67502</v>
      </c>
      <c r="OG31">
        <f>IF(COUNTIF('Buyer Groups'!DG31:DZ31,0)+COUNTIF('Buyer Groups'!EB31:EN31,0)&gt;0,0,1)</f>
        <v>1</v>
      </c>
      <c r="OH31" t="b">
        <f>IF($DK$31="",FALSE,SUMPRODUCT(('Final Calculation Sheet'!$U$4:$U$40=$DK$31)*($OG$6:$OG$42=1))&gt;0)</f>
        <v>1</v>
      </c>
      <c r="OI31">
        <f>$OI$30+--($OH31)</f>
        <v>28</v>
      </c>
      <c r="OJ31">
        <f t="shared" si="127"/>
        <v>67502</v>
      </c>
      <c r="OK31">
        <f>IF(COUNTIF('Buyer Groups'!DG31:EA31,0)+COUNTIF('Buyer Groups'!EC31:EN31,0)&gt;0,0,1)</f>
        <v>1</v>
      </c>
      <c r="OL31" t="b">
        <f>IF($DP$31="",FALSE,SUMPRODUCT(('Final Calculation Sheet'!$V$4:$V$40=$DP$31)*($OK$6:$OK$42=1))&gt;0)</f>
        <v>0</v>
      </c>
      <c r="OM31">
        <f>$OM$30+--($OL31)</f>
        <v>6</v>
      </c>
      <c r="ON31" t="str">
        <f t="shared" si="128"/>
        <v/>
      </c>
      <c r="OO31">
        <f>IF(COUNTIF('Buyer Groups'!DG31:EB31,0)+COUNTIF('Buyer Groups'!ED31:EN31,0)&gt;0,0,1)</f>
        <v>1</v>
      </c>
      <c r="OP31" t="b">
        <f>IF($DU$31="",FALSE,SUMPRODUCT(('Final Calculation Sheet'!$W$4:$W$40=$DU$31)*($OO$6:$OO$42=1))&gt;0)</f>
        <v>1</v>
      </c>
      <c r="OQ31">
        <f>$OQ$30+--($OP31)</f>
        <v>28</v>
      </c>
      <c r="OR31">
        <f t="shared" si="129"/>
        <v>250161</v>
      </c>
      <c r="OS31">
        <f>IF(COUNTIF('Buyer Groups'!DG31:EC31,0)+COUNTIF('Buyer Groups'!EE31:EN31,0)&gt;0,0,1)</f>
        <v>1</v>
      </c>
      <c r="OT31" t="e">
        <f>IF($DZ$31="",FALSE,SUMPRODUCT(('Final Calculation Sheet'!$X$4:$X$40=$DZ$31)*($OS$6:$OS$42=1))&gt;0)</f>
        <v>#N/A</v>
      </c>
      <c r="OU31" t="e">
        <f>$OU$30+--($OT31)</f>
        <v>#N/A</v>
      </c>
      <c r="OV31" t="e">
        <f t="shared" si="130"/>
        <v>#N/A</v>
      </c>
      <c r="OW31">
        <f>IF(COUNTIF('Buyer Groups'!DG31:ED31,0)+COUNTIF('Buyer Groups'!EF31:EN31,0)&gt;0,0,1)</f>
        <v>1</v>
      </c>
      <c r="OX31" t="e">
        <f>IF($EE$31="",FALSE,SUMPRODUCT(('Final Calculation Sheet'!$Y$4:$Y$40=$EE$31)*($OW$6:$OW$42=1))&gt;0)</f>
        <v>#N/A</v>
      </c>
      <c r="OY31" t="e">
        <f>$OY$30+--($OX31)</f>
        <v>#N/A</v>
      </c>
      <c r="OZ31" t="e">
        <f t="shared" si="131"/>
        <v>#N/A</v>
      </c>
      <c r="PA31">
        <f>IF(COUNTIF('Buyer Groups'!DG31:EE31,0)+COUNTIF('Buyer Groups'!EG31:EN31,0)&gt;0,0,1)</f>
        <v>1</v>
      </c>
      <c r="PB31" t="b">
        <f ca="1">IF($EJ$31="",FALSE,SUMPRODUCT(('Final Calculation Sheet'!$Z$4:$Z$40=$EJ$31)*($PA$6:$PA$42=1))&gt;0)</f>
        <v>1</v>
      </c>
      <c r="PC31">
        <f ca="1">$PC$30+--($PB31)</f>
        <v>28</v>
      </c>
      <c r="PD31">
        <f t="shared" ca="1" si="132"/>
        <v>9558.2124000000003</v>
      </c>
      <c r="PE31">
        <f>IF(COUNTIF('Buyer Groups'!DG31:EF31,0)+COUNTIF('Buyer Groups'!EH31:EN31,0)&gt;0,0,1)</f>
        <v>1</v>
      </c>
      <c r="PF31" t="e">
        <f>IF($EO$31="",FALSE,SUMPRODUCT(('Final Calculation Sheet'!$AA$4:$AA$40=$EO$31)*($PE$6:$PE$42=1))&gt;0)</f>
        <v>#N/A</v>
      </c>
      <c r="PG31" t="e">
        <f>$PG$30+--($PF31)</f>
        <v>#N/A</v>
      </c>
      <c r="PH31" t="e">
        <f t="shared" si="133"/>
        <v>#N/A</v>
      </c>
      <c r="PI31">
        <f>IF(COUNTIF('Buyer Groups'!DG31:EG31,0)+COUNTIF('Buyer Groups'!EI31:EN31,0)&gt;0,0,1)</f>
        <v>1</v>
      </c>
      <c r="PJ31" t="e">
        <f>IF($ET$31="",FALSE,SUMPRODUCT(('Final Calculation Sheet'!$AB$4:$AB$40=$ET$31)*($PI$6:$PI$42=1))&gt;0)</f>
        <v>#N/A</v>
      </c>
      <c r="PK31" t="e">
        <f>$PK$30+--($PJ31)</f>
        <v>#N/A</v>
      </c>
      <c r="PL31" t="e">
        <f t="shared" si="134"/>
        <v>#N/A</v>
      </c>
      <c r="PM31">
        <f>IF(COUNTIF('Buyer Groups'!DG31:EH31,0)+COUNTIF('Buyer Groups'!EJ31:EN31,0)&gt;0,0,1)</f>
        <v>1</v>
      </c>
      <c r="PN31" t="b">
        <f>IF($EY$31="",FALSE,SUMPRODUCT(('Final Calculation Sheet'!$AC$4:$AC$40=$EY$31)*($PM$6:$PM$42=1))&gt;0)</f>
        <v>1</v>
      </c>
      <c r="PO31">
        <f>$PO$30+--($PN31)</f>
        <v>28</v>
      </c>
      <c r="PP31">
        <f t="shared" si="135"/>
        <v>258831</v>
      </c>
      <c r="PQ31">
        <f>IF(COUNTIF('Buyer Groups'!DG31:EI31,0)+COUNTIF('Buyer Groups'!EK31:EN31,0)&gt;0,0,1)</f>
        <v>1</v>
      </c>
      <c r="PR31" t="b">
        <f>IF($FD$31="",FALSE,SUMPRODUCT(('Final Calculation Sheet'!$AD$4:$AD$40=$FD$31)*($PQ$6:$PQ$42=1))&gt;0)</f>
        <v>0</v>
      </c>
      <c r="PS31">
        <f>$PS$30+--($PR31)</f>
        <v>11</v>
      </c>
      <c r="PT31" t="str">
        <f t="shared" si="136"/>
        <v/>
      </c>
      <c r="PU31">
        <f>IF(COUNTIF('Buyer Groups'!DG31:EJ31,0)+COUNTIF('Buyer Groups'!EL31:EN31,0)&gt;0,0,1)</f>
        <v>1</v>
      </c>
      <c r="PV31" t="b">
        <f>IF($FX$31="",FALSE,SUMPRODUCT((IF('Final Calculation Sheet'!$AD$4:$AD$40&lt;=5,"SETTLED","OUTSTANDING")=$FX$31)*($PU$6:$PU$42=1))&gt;0)</f>
        <v>0</v>
      </c>
      <c r="PW31">
        <f>$PW$30+--($PV31)</f>
        <v>1</v>
      </c>
      <c r="PX31" t="str">
        <f t="shared" si="137"/>
        <v/>
      </c>
      <c r="PY31">
        <f>IF(COUNTIF('Buyer Groups'!DG31:EK31,0)+COUNTIF('Buyer Groups'!EM31:EN31,0)&gt;0,0,1)</f>
        <v>1</v>
      </c>
      <c r="PZ31" t="e">
        <f>IF($FI$31="",FALSE,SUMPRODUCT(('Final Calculation Sheet'!$AF$4:$AF$40=$FI$31)*($PY$6:$PY$42=1))&gt;0)</f>
        <v>#N/A</v>
      </c>
      <c r="QA31" t="e">
        <f>$QA$30+--($PZ31)</f>
        <v>#N/A</v>
      </c>
      <c r="QB31" t="e">
        <f t="shared" si="138"/>
        <v>#N/A</v>
      </c>
      <c r="QC31">
        <f>IF(COUNTIF('Buyer Groups'!DG31:EL31,0)+COUNTIF('Buyer Groups'!EN31:EN31,0)&gt;0,0,1)</f>
        <v>1</v>
      </c>
      <c r="QD31" t="e">
        <f>IF($FN$31="",FALSE,SUMPRODUCT(('Final Calculation Sheet'!$AG$4:$AG$40=$FN$31)*($QC$6:$QC$42=1))&gt;0)</f>
        <v>#N/A</v>
      </c>
      <c r="QE31" t="e">
        <f>$QE$30+--($QD31)</f>
        <v>#N/A</v>
      </c>
      <c r="QF31" t="e">
        <f t="shared" si="139"/>
        <v>#N/A</v>
      </c>
      <c r="QG31">
        <f>IF(COUNTIF('Buyer Groups'!DG31:EM31,0)&gt;0,0,1)</f>
        <v>1</v>
      </c>
      <c r="QH31" t="e">
        <f>IF($FS$31="",FALSE,SUMPRODUCT(('Final Calculation Sheet'!$AH$4:$AH$40=$FS$31)*($QG$6:$QG$42=1))&gt;0)</f>
        <v>#N/A</v>
      </c>
      <c r="QI31" t="e">
        <f>$QI$30+--($QH31)</f>
        <v>#N/A</v>
      </c>
      <c r="QJ31" t="e">
        <f t="shared" si="140"/>
        <v>#N/A</v>
      </c>
      <c r="QK31" t="str">
        <f>IF('Final Calculation Sheet'!$AH$31="","",'Final Calculation Sheet'!$AH$31)</f>
        <v>27.08.2026</v>
      </c>
      <c r="QL31">
        <f>IF(QK31="","",COUNTIFS(QK$4:QK$40,"&lt;"&amp;QK31,QK$4:QK$40,"&lt;&gt;"&amp;"")+COUNTIF(QK$4:QK31,QK31))</f>
        <v>34</v>
      </c>
      <c r="QM31" t="str">
        <f t="shared" si="141"/>
        <v>27.08.2026</v>
      </c>
      <c r="QN31" t="e">
        <f ca="1">QN30+F(AND(QM31&lt;&gt;"",COUNTIF(QM$4:QM31,QM31)=1),1,0)</f>
        <v>#N/A</v>
      </c>
      <c r="QO31" t="e">
        <f t="shared" si="142"/>
        <v>#N/A</v>
      </c>
      <c r="QP31">
        <f>IF(COUNTIF('Final Calculation Sheet'!$AM31:$BS31,0)&gt;0,0,1)</f>
        <v>1</v>
      </c>
      <c r="QQ31" t="b">
        <f>IF($AI$31="",FALSE,SUMPRODUCT(('Final Calculation Sheet'!$A$4:$A$40=$AI$31)*($QP$4:$QP$40=1))&gt;0)</f>
        <v>0</v>
      </c>
      <c r="QR31">
        <f t="shared" si="177"/>
        <v>22</v>
      </c>
      <c r="QS31" t="str">
        <f t="shared" si="143"/>
        <v/>
      </c>
      <c r="QT31">
        <f>IF(COUNTIF('Final Calculation Sheet'!$AL31:$AL31,0)+COUNTIF('Final Calculation Sheet'!$AN31:$BS31,0)&gt;0,0,1)</f>
        <v>1</v>
      </c>
      <c r="QU31" t="b">
        <f>IF($Y$31="",FALSE,SUMPRODUCT(('Final Calculation Sheet'!$B$4:$B$40=$Y$31)*($QT$4:$QT$40=1))&gt;0)</f>
        <v>0</v>
      </c>
      <c r="QV31">
        <f t="shared" si="178"/>
        <v>25</v>
      </c>
      <c r="QW31" t="str">
        <f t="shared" si="144"/>
        <v/>
      </c>
      <c r="QX31">
        <f>IF(COUNTIF('Final Calculation Sheet'!$AL31:$AM31,0)+COUNTIF('Final Calculation Sheet'!$AO31:$BS31,0)&gt;0,0,1)</f>
        <v>1</v>
      </c>
      <c r="QY31" t="b">
        <f>IF($AS$31="",FALSE,SUMPRODUCT(('Final Calculation Sheet'!$C$4:$C$40=$AS$31)*($QX$4:$QX$40=1))&gt;0)</f>
        <v>1</v>
      </c>
      <c r="QZ31">
        <f t="shared" si="179"/>
        <v>28</v>
      </c>
      <c r="RA31">
        <f t="shared" si="145"/>
        <v>80006</v>
      </c>
      <c r="RB31">
        <f>IF(COUNTIF('Final Calculation Sheet'!$AL31:$AN31,0)+COUNTIF('Final Calculation Sheet'!$AP31:$BS31,0)&gt;0,0,1)</f>
        <v>1</v>
      </c>
      <c r="RC31" t="b">
        <f>IF($AD$31="",FALSE,SUMPRODUCT(('Final Calculation Sheet'!$D$4:$D$40=$AD$31)*($RB$4:$RB$40=1))&gt;0)</f>
        <v>0</v>
      </c>
      <c r="RD31">
        <f t="shared" si="180"/>
        <v>4</v>
      </c>
      <c r="RE31" t="str">
        <f t="shared" si="146"/>
        <v/>
      </c>
      <c r="RF31">
        <f>IF(COUNTIF('Final Calculation Sheet'!$AL31:$AO31,0)+COUNTIF('Final Calculation Sheet'!$AQ31:$BS31,0)&gt;0,0,1)</f>
        <v>1</v>
      </c>
      <c r="RG31" t="b">
        <f>IF($AN$31="",FALSE,SUMPRODUCT(('Final Calculation Sheet'!$E$4:$E$40=$AN$31)*($RF$4:$RF$40=1))&gt;0)</f>
        <v>0</v>
      </c>
      <c r="RH31">
        <f t="shared" si="181"/>
        <v>3</v>
      </c>
      <c r="RI31" t="str">
        <f t="shared" si="147"/>
        <v/>
      </c>
      <c r="RJ31">
        <f>IF(COUNTIF('Final Calculation Sheet'!$AL31:$AP31,0)+COUNTIF('Final Calculation Sheet'!$AR31:$BS31,0)&gt;0,0,1)</f>
        <v>1</v>
      </c>
      <c r="RK31" t="b">
        <f>IF($O$31="",FALSE,SUMPRODUCT(('Final Calculation Sheet'!$F$4:$F$40=$O$31)*($RJ$4:$RJ$40=1))&gt;0)</f>
        <v>1</v>
      </c>
      <c r="RL31">
        <f t="shared" si="182"/>
        <v>28</v>
      </c>
      <c r="RM31">
        <f t="shared" si="148"/>
        <v>2046</v>
      </c>
      <c r="RN31">
        <f>IF(COUNTIF('Final Calculation Sheet'!$AL31:$AQ31,0)+COUNTIF('Final Calculation Sheet'!$AS31:$BS31,0)&gt;0,0,1)</f>
        <v>1</v>
      </c>
      <c r="RO31" t="b">
        <f>IF($T$31="",FALSE,SUMPRODUCT(('Final Calculation Sheet'!$G$4:$G$40=$T$31)*($RN$4:$RN$40=1))&gt;0)</f>
        <v>0</v>
      </c>
      <c r="RP31">
        <f t="shared" si="183"/>
        <v>13</v>
      </c>
      <c r="RQ31" t="str">
        <f t="shared" si="149"/>
        <v/>
      </c>
      <c r="RR31">
        <f>IF(COUNTIF('Final Calculation Sheet'!$AL31:$AR31,0)+COUNTIF('Final Calculation Sheet'!$AT31:$BS31,0)&gt;0,0,1)</f>
        <v>1</v>
      </c>
      <c r="RS31" t="b">
        <f>IF($AX$31="",FALSE,SUMPRODUCT(('Final Calculation Sheet'!$H$4:$H$40=$AX$31)*($RR$4:$RR$40=1))&gt;0)</f>
        <v>1</v>
      </c>
      <c r="RT31">
        <f t="shared" si="184"/>
        <v>28</v>
      </c>
      <c r="RU31">
        <f t="shared" si="150"/>
        <v>270006</v>
      </c>
      <c r="RV31">
        <f>IF(COUNTIF('Final Calculation Sheet'!$AL31:$AS31,0)+COUNTIF('Final Calculation Sheet'!$AU31:$BS31,0)&gt;0,0,1)</f>
        <v>1</v>
      </c>
      <c r="RW31" t="b">
        <f>IF($BC$31="",FALSE,SUMPRODUCT(('Final Calculation Sheet'!$I$4:$I$40=$BC$31)*($RV$4:$RV$40=1))&gt;0)</f>
        <v>1</v>
      </c>
      <c r="RX31">
        <f t="shared" si="185"/>
        <v>28</v>
      </c>
      <c r="RY31">
        <f t="shared" si="151"/>
        <v>48601</v>
      </c>
      <c r="RZ31">
        <f>IF(COUNTIF('Final Calculation Sheet'!$AL31:$AT31,0)+COUNTIF('Final Calculation Sheet'!$AV31:$BS31,0)&gt;0,0,1)</f>
        <v>1</v>
      </c>
      <c r="SA31" t="b">
        <f>IF($BH$31="",FALSE,SUMPRODUCT(('Final Calculation Sheet'!$J$4:$J$40=$BH$31)*($RZ$4:$RZ$40=1))&gt;0)</f>
        <v>1</v>
      </c>
      <c r="SB31">
        <f t="shared" si="186"/>
        <v>28</v>
      </c>
      <c r="SC31">
        <f t="shared" si="152"/>
        <v>318607</v>
      </c>
      <c r="SD31">
        <f>IF(COUNTIF('Final Calculation Sheet'!$AL31:$AU31,0)+COUNTIF('Final Calculation Sheet'!$AW31:$BS31,0)&gt;0,0,1)</f>
        <v>1</v>
      </c>
      <c r="SE31" t="b">
        <f>IF($BM$31="",FALSE,SUMPRODUCT(('Final Calculation Sheet'!$K$4:$K$40=$BM$31)*($SD$4:$SD$40=1))&gt;0)</f>
        <v>1</v>
      </c>
      <c r="SF31">
        <f t="shared" si="187"/>
        <v>28</v>
      </c>
      <c r="SG31">
        <f t="shared" si="153"/>
        <v>7802</v>
      </c>
      <c r="SH31">
        <f>IF(COUNTIF('Final Calculation Sheet'!$AL31:$AV31,0)+COUNTIF('Final Calculation Sheet'!$AX31:$BS31,0)&gt;0,0,1)</f>
        <v>1</v>
      </c>
      <c r="SI31" t="b">
        <f>IF($BR$31="",FALSE,SUMPRODUCT(('Final Calculation Sheet'!$L$4:$L$40=$BR$31)*($SH$4:$SH$40=1))&gt;0)</f>
        <v>1</v>
      </c>
      <c r="SJ31">
        <f t="shared" si="188"/>
        <v>28</v>
      </c>
      <c r="SK31">
        <f t="shared" si="154"/>
        <v>270.00600000000003</v>
      </c>
      <c r="SL31">
        <f>IF(COUNTIF('Final Calculation Sheet'!$AL31:$AW31,0)+COUNTIF('Final Calculation Sheet'!$AY31:$BS31,0)&gt;0,0,1)</f>
        <v>1</v>
      </c>
      <c r="SM31" t="b">
        <f>IF($BW$31="",FALSE,SUMPRODUCT(('Final Calculation Sheet'!$M$4:$M$40=$BW$31)*($SL$4:$SL$40=1))&gt;0)</f>
        <v>1</v>
      </c>
      <c r="SN31">
        <f t="shared" si="189"/>
        <v>28</v>
      </c>
      <c r="SO31">
        <f t="shared" si="155"/>
        <v>7168.6593000000003</v>
      </c>
      <c r="SP31">
        <f>IF(COUNTIF('Final Calculation Sheet'!$AL31:$AX31,0)+COUNTIF('Final Calculation Sheet'!$AZ31:$BS31,0)&gt;0,0,1)</f>
        <v>1</v>
      </c>
      <c r="SQ31" t="b">
        <f>IF($CB$31="",FALSE,SUMPRODUCT(('Final Calculation Sheet'!$N$4:$N$40=$CB$31)*($SP$4:$SP$40=1))&gt;0)</f>
        <v>1</v>
      </c>
      <c r="SR31">
        <f t="shared" si="190"/>
        <v>28</v>
      </c>
      <c r="SS31">
        <f t="shared" si="156"/>
        <v>121.5027</v>
      </c>
      <c r="ST31">
        <f>IF(COUNTIF('Final Calculation Sheet'!$AL31:$AY31,0)+COUNTIF('Final Calculation Sheet'!$BA31:$BS31,0)&gt;0,0,1)</f>
        <v>1</v>
      </c>
      <c r="SU31" t="b">
        <f>IF($CG$31="",FALSE,SUMPRODUCT(('Final Calculation Sheet'!$O$4:$O$40=$CG$31)*($ST$4:$ST$40=1))&gt;0)</f>
        <v>1</v>
      </c>
      <c r="SV31">
        <f t="shared" si="191"/>
        <v>28</v>
      </c>
      <c r="SW31">
        <f t="shared" si="157"/>
        <v>7047.1566000000003</v>
      </c>
      <c r="SX31">
        <f>IF(COUNTIF('Final Calculation Sheet'!$AL31:$AZ31,0)+COUNTIF('Final Calculation Sheet'!$BB31:$BS31,0)&gt;0,0,1)</f>
        <v>1</v>
      </c>
      <c r="SY31" t="b">
        <f>IF($CL$31="",FALSE,SUMPRODUCT(('Final Calculation Sheet'!$P$4:$P$40=$CL$31)*($SX$4:$SX$40=1))&gt;0)</f>
        <v>1</v>
      </c>
      <c r="SZ31">
        <f t="shared" si="192"/>
        <v>28</v>
      </c>
      <c r="TA31">
        <f t="shared" si="158"/>
        <v>8959</v>
      </c>
      <c r="TB31">
        <f>IF(COUNTIF('Final Calculation Sheet'!$AL31:$BA31,0)+COUNTIF('Final Calculation Sheet'!$BC31:$BS31,0)&gt;0,0,1)</f>
        <v>1</v>
      </c>
      <c r="TC31" t="b">
        <f>IF($CQ$31="",FALSE,SUMPRODUCT(('Final Calculation Sheet'!$Q$4:$Q$40=$CQ$31)*($TB$4:$TB$40=1))&gt;0)</f>
        <v>0</v>
      </c>
      <c r="TD31">
        <f t="shared" si="193"/>
        <v>2</v>
      </c>
      <c r="TE31" t="str">
        <f t="shared" si="159"/>
        <v/>
      </c>
      <c r="TF31">
        <f>IF(COUNTIF('Final Calculation Sheet'!$AL31:$BB31,0)+COUNTIF('Final Calculation Sheet'!$BD31:$BS31,0)&gt;0,0,1)</f>
        <v>1</v>
      </c>
      <c r="TG31" t="b">
        <f>IF($CV$31="",FALSE,SUMPRODUCT(('Final Calculation Sheet'!$R$4:$R$40=$CV$31)*($TF$4:$TF$40=1))&gt;0)</f>
        <v>0</v>
      </c>
      <c r="TH31">
        <f t="shared" si="194"/>
        <v>5</v>
      </c>
      <c r="TI31" t="str">
        <f t="shared" si="160"/>
        <v/>
      </c>
      <c r="TJ31">
        <f>IF(COUNTIF('Final Calculation Sheet'!$AL31:$BC31,0)+COUNTIF('Final Calculation Sheet'!$BE31:$BS31,0)&gt;0,0,1)</f>
        <v>1</v>
      </c>
      <c r="TK31" t="b">
        <f>IF($DA$31="",FALSE,SUMPRODUCT(('Final Calculation Sheet'!$S$4:$S$40=$DA$31)*($TJ$4:$TJ$40=1))&gt;0)</f>
        <v>1</v>
      </c>
      <c r="TL31">
        <f t="shared" si="195"/>
        <v>28</v>
      </c>
      <c r="TM31">
        <f t="shared" si="161"/>
        <v>317662</v>
      </c>
      <c r="TN31">
        <f>IF(COUNTIF('Final Calculation Sheet'!$AL31:$BD31,0)+COUNTIF('Final Calculation Sheet'!$BF31:$BS31,0)&gt;0,0,1)</f>
        <v>1</v>
      </c>
      <c r="TO31" t="b">
        <f>IF($DF$31="",FALSE,SUMPRODUCT(('Final Calculation Sheet'!$T$4:$T$40=$DF$31)*($TN$4:$TN$40=1))&gt;0)</f>
        <v>1</v>
      </c>
      <c r="TP31">
        <f t="shared" si="196"/>
        <v>28</v>
      </c>
      <c r="TQ31">
        <f t="shared" si="162"/>
        <v>67502</v>
      </c>
      <c r="TR31">
        <f>IF(COUNTIF('Final Calculation Sheet'!$AL31:$BE31,0)+COUNTIF('Final Calculation Sheet'!$BG31:$BS31,0)&gt;0,0,1)</f>
        <v>1</v>
      </c>
      <c r="TS31" t="b">
        <f>IF($DK$31="",FALSE,SUMPRODUCT(('Final Calculation Sheet'!$U$4:$U$40=$DK$31)*($TR$4:$TR$40=1))&gt;0)</f>
        <v>1</v>
      </c>
      <c r="TT31">
        <f t="shared" si="197"/>
        <v>28</v>
      </c>
      <c r="TU31">
        <f t="shared" si="163"/>
        <v>67502</v>
      </c>
      <c r="TV31">
        <f>IF(COUNTIF('Final Calculation Sheet'!$AL31:$BF31,0)+COUNTIF('Final Calculation Sheet'!$BH31:$BS31,0)&gt;0,0,1)</f>
        <v>1</v>
      </c>
      <c r="TW31" t="b">
        <f>IF($DP$31="",FALSE,SUMPRODUCT(('Final Calculation Sheet'!$V$4:$V$40=$DP$31)*($TV$4:$TV$40=1))&gt;0)</f>
        <v>0</v>
      </c>
      <c r="TX31">
        <f t="shared" si="198"/>
        <v>6</v>
      </c>
      <c r="TY31" t="str">
        <f t="shared" si="164"/>
        <v/>
      </c>
      <c r="TZ31">
        <f>IF(COUNTIF('Final Calculation Sheet'!$AL31:$BG31,0)+COUNTIF('Final Calculation Sheet'!$BI31:$BS31,0)&gt;0,0,1)</f>
        <v>1</v>
      </c>
      <c r="UA31" t="b">
        <f>IF($DU$31="",FALSE,SUMPRODUCT(('Final Calculation Sheet'!$W$4:$W$40=$DU$31)*($TZ$4:$TZ$40=1))&gt;0)</f>
        <v>1</v>
      </c>
      <c r="UB31">
        <f t="shared" si="199"/>
        <v>28</v>
      </c>
      <c r="UC31">
        <f t="shared" si="165"/>
        <v>250161</v>
      </c>
      <c r="UD31">
        <f>IF(COUNTIF('Final Calculation Sheet'!$AL31:$BH31,0)+COUNTIF('Final Calculation Sheet'!$BJ31:$BS31,0)&gt;0,0,1)</f>
        <v>1</v>
      </c>
      <c r="UE31" t="e">
        <f>IF($DZ$31="",FALSE,SUMPRODUCT(('Final Calculation Sheet'!$X$4:$X$40=$DZ$31)*($UD$4:$UD$40=1))&gt;0)</f>
        <v>#N/A</v>
      </c>
      <c r="UF31" t="e">
        <f t="shared" si="200"/>
        <v>#N/A</v>
      </c>
      <c r="UG31" t="e">
        <f t="shared" si="166"/>
        <v>#N/A</v>
      </c>
      <c r="UH31">
        <f>IF(COUNTIF('Final Calculation Sheet'!$AL31:$BI31,0)+COUNTIF('Final Calculation Sheet'!$BK31:$BS31,0)&gt;0,0,1)</f>
        <v>1</v>
      </c>
      <c r="UI31" t="e">
        <f>IF($EE$31="",FALSE,SUMPRODUCT(('Final Calculation Sheet'!$Y$4:$Y$40=$EE$31)*($UH$4:$UH$40=1))&gt;0)</f>
        <v>#N/A</v>
      </c>
      <c r="UJ31" t="e">
        <f t="shared" si="201"/>
        <v>#N/A</v>
      </c>
      <c r="UK31" t="e">
        <f t="shared" si="167"/>
        <v>#N/A</v>
      </c>
      <c r="UL31">
        <f>IF(COUNTIF('Final Calculation Sheet'!$AL31:$BJ31,0)+COUNTIF('Final Calculation Sheet'!$BL31:$BS31,0)&gt;0,0,1)</f>
        <v>1</v>
      </c>
      <c r="UM31" t="b">
        <f ca="1">IF($EJ$31="",FALSE,SUMPRODUCT(('Final Calculation Sheet'!$Z$4:$Z$40=$EJ$31)*($UL$4:$UL$40=1))&gt;0)</f>
        <v>1</v>
      </c>
      <c r="UN31">
        <f t="shared" ca="1" si="202"/>
        <v>28</v>
      </c>
      <c r="UO31">
        <f t="shared" ca="1" si="168"/>
        <v>9558.2124000000003</v>
      </c>
      <c r="UP31">
        <f>IF(COUNTIF('Final Calculation Sheet'!$AL31:$BK31,0)+COUNTIF('Final Calculation Sheet'!$BM31:$BS31,0)&gt;0,0,1)</f>
        <v>1</v>
      </c>
      <c r="UQ31" t="e">
        <f>IF($EO$31="",FALSE,SUMPRODUCT(('Final Calculation Sheet'!$AA$4:$AA$40=$EO$31)*($UP$4:$UP$40=1))&gt;0)</f>
        <v>#N/A</v>
      </c>
      <c r="UR31" t="e">
        <f t="shared" si="203"/>
        <v>#N/A</v>
      </c>
      <c r="US31" t="e">
        <f t="shared" si="169"/>
        <v>#N/A</v>
      </c>
      <c r="UT31">
        <f>IF(COUNTIF('Final Calculation Sheet'!$AL31:$BL31,0)+COUNTIF('Final Calculation Sheet'!$BN31:$BS31,0)&gt;0,0,1)</f>
        <v>1</v>
      </c>
      <c r="UU31" t="e">
        <f>IF($ET$31="",FALSE,SUMPRODUCT(('Final Calculation Sheet'!$AB$4:$AB$40=$ET$31)*($UT$4:$UT$40=1))&gt;0)</f>
        <v>#N/A</v>
      </c>
      <c r="UV31" t="e">
        <f t="shared" si="204"/>
        <v>#N/A</v>
      </c>
      <c r="UW31" t="e">
        <f t="shared" si="170"/>
        <v>#N/A</v>
      </c>
      <c r="UX31">
        <f>IF(COUNTIF('Final Calculation Sheet'!$AL31:$BM31,0)+COUNTIF('Final Calculation Sheet'!$BO31:$BS31,0)&gt;0,0,1)</f>
        <v>1</v>
      </c>
      <c r="UY31" t="b">
        <f>IF($EY$31="",FALSE,SUMPRODUCT(('Final Calculation Sheet'!$AC$4:$AC$40=$EY$31)*($UX$4:$UX$40=1))&gt;0)</f>
        <v>1</v>
      </c>
      <c r="UZ31">
        <f t="shared" si="205"/>
        <v>28</v>
      </c>
      <c r="VA31">
        <f t="shared" si="171"/>
        <v>258831</v>
      </c>
      <c r="VB31">
        <f>IF(COUNTIF('Final Calculation Sheet'!$AL31:$BN31,0)+COUNTIF('Final Calculation Sheet'!$BP31:$BS31,0)&gt;0,0,1)</f>
        <v>1</v>
      </c>
      <c r="VC31" t="b">
        <f>IF($FD$31="",FALSE,SUMPRODUCT(('Final Calculation Sheet'!$AD$4:$AD$40=$FD$31)*($VB$4:$VB$40=1))&gt;0)</f>
        <v>0</v>
      </c>
      <c r="VD31">
        <f t="shared" si="206"/>
        <v>11</v>
      </c>
      <c r="VE31" t="str">
        <f t="shared" si="172"/>
        <v/>
      </c>
      <c r="VF31">
        <f>IF(COUNTIF('Final Calculation Sheet'!$AL31:$BO31,0)+COUNTIF('Final Calculation Sheet'!$BQ31:$BS31,0)&gt;0,0,1)</f>
        <v>1</v>
      </c>
      <c r="VG31" t="e">
        <f>IF($FI$31="",FALSE,SUMPRODUCT(('Final Calculation Sheet'!$AE$4:$AE$40=$FI$31)*($VF$4:$VF$40=1))&gt;0)</f>
        <v>#N/A</v>
      </c>
      <c r="VH31" t="e">
        <f t="shared" si="207"/>
        <v>#N/A</v>
      </c>
      <c r="VI31" t="e">
        <f t="shared" si="173"/>
        <v>#N/A</v>
      </c>
      <c r="VJ31">
        <f>IF(COUNTIF('Final Calculation Sheet'!$AL31:$BP31,0)+COUNTIF('Final Calculation Sheet'!$BR31:$BS31,0)&gt;0,0,1)</f>
        <v>1</v>
      </c>
      <c r="VK31" t="e">
        <f>IF($FN$31="",FALSE,SUMPRODUCT(('Final Calculation Sheet'!$AF$4:$AF$40=$FN$31)*($VJ$4:$VJ$40=1))&gt;0)</f>
        <v>#N/A</v>
      </c>
      <c r="VL31" t="e">
        <f t="shared" si="208"/>
        <v>#N/A</v>
      </c>
      <c r="VM31" t="e">
        <f t="shared" si="174"/>
        <v>#N/A</v>
      </c>
      <c r="VN31">
        <f>IF(COUNTIF('Final Calculation Sheet'!$AL31:$BQ31,0)+COUNTIF('Final Calculation Sheet'!$BS31:$BS31,0)&gt;0,0,1)</f>
        <v>1</v>
      </c>
      <c r="VO31" t="e">
        <f>IF($FS$31="",FALSE,SUMPRODUCT(('Final Calculation Sheet'!$AG$4:$AG$40=$FS$31)*($VN$4:$VN$40=1))&gt;0)</f>
        <v>#N/A</v>
      </c>
      <c r="VP31" t="e">
        <f t="shared" si="209"/>
        <v>#N/A</v>
      </c>
      <c r="VQ31" t="e">
        <f t="shared" si="175"/>
        <v>#N/A</v>
      </c>
      <c r="VR31">
        <f>IF(COUNTIF('Final Calculation Sheet'!$AL31:$BR31,0)&gt;0,0,1)</f>
        <v>1</v>
      </c>
      <c r="VS31" t="e">
        <f>IF($QO$31="",FALSE,SUMPRODUCT(('Final Calculation Sheet'!$AH$4:$AH$40=$QO$31)*($VR$4:$VR$40=1))&gt;0)</f>
        <v>#N/A</v>
      </c>
      <c r="VT31" t="e">
        <f t="shared" si="210"/>
        <v>#N/A</v>
      </c>
      <c r="VU31" t="e">
        <f t="shared" si="176"/>
        <v>#N/A</v>
      </c>
    </row>
    <row r="32" spans="1:593" x14ac:dyDescent="0.3">
      <c r="A32">
        <f>IF('Final Calculation Sheet'!$F$32="","",'Final Calculation Sheet'!$F$32)</f>
        <v>2055</v>
      </c>
      <c r="B32">
        <f>IF(A32="","",COUNTIFS(A$4:A$114,"&lt;"&amp;A32,A$4:A$114,"&lt;&gt;"&amp;"")+COUNTIF(A$4:A32,A32))</f>
        <v>29</v>
      </c>
      <c r="C32">
        <f t="shared" si="0"/>
        <v>2055</v>
      </c>
      <c r="D32">
        <f>D31+IF(AND(C32&lt;&gt;"",COUNTIF(C$4:C32,C32)=1),1,0)</f>
        <v>29</v>
      </c>
      <c r="E32" t="e">
        <f t="shared" si="1"/>
        <v>#N/A</v>
      </c>
      <c r="F32">
        <f t="shared" si="2"/>
        <v>29</v>
      </c>
      <c r="G32">
        <f>IF(F32="","",COUNTIFS(F$4:F$40,"&lt;"&amp;F32,F$4:F$40,"&lt;&gt;"&amp;"")+COUNTIF(F$4:F32,F32))</f>
        <v>29</v>
      </c>
      <c r="H32">
        <f t="shared" si="3"/>
        <v>29</v>
      </c>
      <c r="I32">
        <f>I31+IF(AND(H32&lt;&gt;"",COUNTIF(H$4:H32,H32)=1),1,0)</f>
        <v>29</v>
      </c>
      <c r="J32">
        <f t="shared" si="4"/>
        <v>29</v>
      </c>
      <c r="K32">
        <f>IF('Final Calculation Sheet'!$F$32="","",'Final Calculation Sheet'!$F$32)</f>
        <v>2055</v>
      </c>
      <c r="L32">
        <f>IF(K32="","",COUNTIFS(K$4:K$40,"&lt;"&amp;K32,K$4:K$40,"&lt;&gt;"&amp;"")+COUNTIF(K$4:K32,K32))</f>
        <v>29</v>
      </c>
      <c r="M32">
        <f t="shared" si="5"/>
        <v>2055</v>
      </c>
      <c r="N32">
        <f>N31+IF(AND(M32&lt;&gt;"",COUNTIF(M$4:M32,M32)=1),1,0)</f>
        <v>29</v>
      </c>
      <c r="O32">
        <f t="shared" si="6"/>
        <v>2055</v>
      </c>
      <c r="P32" t="str">
        <f>IF('Final Calculation Sheet'!$G$32="","",'Final Calculation Sheet'!$G$32)</f>
        <v>NATIONAL ENTERPRISES</v>
      </c>
      <c r="Q32">
        <f>IF(P32="","",COUNTIFS(P$4:P$40,"&lt;"&amp;P32,P$4:P$40,"&lt;&gt;"&amp;"")+COUNTIF(P$4:P32,P32))</f>
        <v>17</v>
      </c>
      <c r="R32" t="str">
        <f t="shared" si="7"/>
        <v>STERLING ENTERPRISES</v>
      </c>
      <c r="S32">
        <f>S31+IF(AND(R32&lt;&gt;"",COUNTIF(R$4:R32,R32)=1),1,0)</f>
        <v>12</v>
      </c>
      <c r="T32" t="str">
        <f t="shared" si="8"/>
        <v/>
      </c>
      <c r="U32" t="str">
        <f>IF('Final Calculation Sheet'!$B$32="","",'Final Calculation Sheet'!$B$32)</f>
        <v>Scrap of 220 KV CT</v>
      </c>
      <c r="V32">
        <f>IF(U32="","",COUNTIFS(U$4:U$40,"&lt;"&amp;U32,U$4:U$40,"&lt;&gt;"&amp;"")+COUNTIF(U$4:U32,U32))</f>
        <v>17</v>
      </c>
      <c r="W32" t="str">
        <f t="shared" si="9"/>
        <v>Scrap of empty oil Barrels</v>
      </c>
      <c r="X32">
        <f>X31+IF(AND(W32&lt;&gt;"",COUNTIF(W$4:W32,W32)=1),1,0)</f>
        <v>20</v>
      </c>
      <c r="Y32" t="str">
        <f t="shared" si="10"/>
        <v/>
      </c>
      <c r="Z32">
        <f>IF('Final Calculation Sheet'!$D$32="","",'Final Calculation Sheet'!$D$32)</f>
        <v>21979</v>
      </c>
      <c r="AA32">
        <f>IF(Z32="","",COUNTIFS(Z$4:Z$40,"&lt;"&amp;Z32,Z$4:Z$40,"&lt;&gt;"&amp;"")+COUNTIF(Z$4:Z32,Z32))</f>
        <v>27</v>
      </c>
      <c r="AB32">
        <f t="shared" si="11"/>
        <v>21979</v>
      </c>
      <c r="AC32">
        <f>AC31+IF(AND(AB32&lt;&gt;"",COUNTIF(AB$4:AB32,AB32)=1),1,0)</f>
        <v>3</v>
      </c>
      <c r="AD32" t="str">
        <f t="shared" si="12"/>
        <v/>
      </c>
      <c r="AE32">
        <f>IF('Final Calculation Sheet'!$A$32="","",'Final Calculation Sheet'!$A$32)</f>
        <v>2</v>
      </c>
      <c r="AF32">
        <f>IF(AE32="","",COUNTIFS(AE$4:AE$40,"&lt;"&amp;AE32,AE$4:AE$40,"&lt;&gt;"&amp;"")+COUNTIF(AE$4:AE32,AE32))</f>
        <v>11</v>
      </c>
      <c r="AG32">
        <f t="shared" si="13"/>
        <v>150</v>
      </c>
      <c r="AH32">
        <f>AH31+IF(AND(AG32&lt;&gt;"",COUNTIF(AG$4:AG32,AG32)=1),1,0)</f>
        <v>14</v>
      </c>
      <c r="AI32" t="str">
        <f t="shared" si="14"/>
        <v/>
      </c>
      <c r="AJ32" t="str">
        <f>IF('Final Calculation Sheet'!$E$32="","",'Final Calculation Sheet'!$E$32)</f>
        <v>NO</v>
      </c>
      <c r="AK32">
        <f>IF(AJ32="","",COUNTIFS(AJ$4:AJ$40,"&lt;"&amp;AJ32,AJ$4:AJ$40,"&lt;&gt;"&amp;"")+COUNTIF(AJ$4:AJ32,AJ32))</f>
        <v>29</v>
      </c>
      <c r="AL32" t="str">
        <f t="shared" si="15"/>
        <v>NO</v>
      </c>
      <c r="AM32">
        <f>AM31+IF(AND(AL32&lt;&gt;"",COUNTIF(AL$4:AL32,AL32)=1),1,0)</f>
        <v>3</v>
      </c>
      <c r="AN32" t="str">
        <f t="shared" si="16"/>
        <v/>
      </c>
      <c r="AO32" s="50">
        <f>IF('Final Calculation Sheet'!$C$32="","",'Final Calculation Sheet'!$C$32)</f>
        <v>80006</v>
      </c>
      <c r="AP32">
        <f>IF(AO32="","",COUNTIFS(AO$4:AO$40,"&lt;"&amp;AO32,AO$4:AO$40,"&lt;&gt;"&amp;"")+COUNTIF(AO$4:AO32,AO32))</f>
        <v>30</v>
      </c>
      <c r="AQ32" s="50">
        <f t="shared" si="17"/>
        <v>80000</v>
      </c>
      <c r="AR32">
        <f>AR31+IF(AND(AQ32&lt;&gt;"",COUNTIF(AQ$4:AQ32,AQ32)=1),1,0)</f>
        <v>27</v>
      </c>
      <c r="AS32" s="50">
        <f t="shared" si="18"/>
        <v>83743</v>
      </c>
      <c r="AT32" s="50">
        <f>IF('Final Calculation Sheet'!$H$32="","",'Final Calculation Sheet'!$H$32)</f>
        <v>160012</v>
      </c>
      <c r="AU32">
        <f>IF(AT32="","",COUNTIFS(AT$4:AT$40,"&lt;"&amp;AT32,AT$4:AT$40,"&lt;&gt;"&amp;"")+COUNTIF(AT$4:AT32,AT32))</f>
        <v>20</v>
      </c>
      <c r="AV32" s="50">
        <f t="shared" si="19"/>
        <v>330600</v>
      </c>
      <c r="AW32">
        <f>AW31+IF(AND(AV32&lt;&gt;"",COUNTIF(AV$4:AV32,AV32)=1),1,0)</f>
        <v>29</v>
      </c>
      <c r="AX32" s="50">
        <f t="shared" si="20"/>
        <v>330600</v>
      </c>
      <c r="AY32" s="50">
        <f>IF('Final Calculation Sheet'!$I$32="","",'Final Calculation Sheet'!$I$32)</f>
        <v>28802</v>
      </c>
      <c r="AZ32">
        <f>IF(AY32="","",COUNTIFS(AY$4:AY$40,"&lt;"&amp;AY32,AY$4:AY$40,"&lt;&gt;"&amp;"")+COUNTIF(AY$4:AY32,AY32))</f>
        <v>20</v>
      </c>
      <c r="BA32" s="50">
        <f t="shared" si="21"/>
        <v>59508</v>
      </c>
      <c r="BB32">
        <f>BB31+IF(AND(BA32&lt;&gt;"",COUNTIF(BA$4:BA32,BA32)=1),1,0)</f>
        <v>29</v>
      </c>
      <c r="BC32" s="50">
        <f t="shared" si="22"/>
        <v>59508</v>
      </c>
      <c r="BD32" s="50">
        <f>IF('Final Calculation Sheet'!$J$32="","",'Final Calculation Sheet'!$J$32)</f>
        <v>188814</v>
      </c>
      <c r="BE32">
        <f>IF(BD32="","",COUNTIFS(BD$4:BD$40,"&lt;"&amp;BD32,BD$4:BD$40,"&lt;&gt;"&amp;"")+COUNTIF(BD$4:BD32,BD32))</f>
        <v>20</v>
      </c>
      <c r="BF32" s="50">
        <f t="shared" si="23"/>
        <v>390108</v>
      </c>
      <c r="BG32">
        <f>BG31+IF(AND(BF32&lt;&gt;"",COUNTIF(BF$4:BF32,BF32)=1),1,0)</f>
        <v>29</v>
      </c>
      <c r="BH32" s="50">
        <f t="shared" si="24"/>
        <v>390108</v>
      </c>
      <c r="BI32" s="50">
        <f>IF('Final Calculation Sheet'!$K$32="","",'Final Calculation Sheet'!$K$32)</f>
        <v>3776</v>
      </c>
      <c r="BJ32">
        <f>IF(BI32="","",COUNTIFS(BI$4:BI$40,"&lt;"&amp;BI32,BI$4:BI$40,"&lt;&gt;"&amp;"")+COUNTIF(BI$4:BI32,BI32))</f>
        <v>20</v>
      </c>
      <c r="BK32" s="50">
        <f t="shared" si="25"/>
        <v>7802</v>
      </c>
      <c r="BL32">
        <f>BL31+IF(AND(BK32&lt;&gt;"",COUNTIF(BK$4:BK32,BK32)=1),1,0)</f>
        <v>28</v>
      </c>
      <c r="BM32" s="50">
        <f t="shared" si="26"/>
        <v>9440</v>
      </c>
      <c r="BN32" s="50">
        <f>IF('Final Calculation Sheet'!$L$32="","",'Final Calculation Sheet'!$L$32)</f>
        <v>160.012</v>
      </c>
      <c r="BO32">
        <f>IF(BN32="","",COUNTIFS(BN$4:BN$40,"&lt;"&amp;BN32,BN$4:BN$40,"&lt;&gt;"&amp;"")+COUNTIF(BN$4:BN32,BN32))</f>
        <v>20</v>
      </c>
      <c r="BP32" s="50">
        <f t="shared" si="27"/>
        <v>330.6</v>
      </c>
      <c r="BQ32">
        <f>BQ31+IF(AND(BP32&lt;&gt;"",COUNTIF(BP$4:BP32,BP32)=1),1,0)</f>
        <v>29</v>
      </c>
      <c r="BR32" s="50">
        <f t="shared" si="28"/>
        <v>330.6</v>
      </c>
      <c r="BS32" s="50">
        <f>IF('Final Calculation Sheet'!$M$32="","",'Final Calculation Sheet'!$M$32)</f>
        <v>4248.3185999999996</v>
      </c>
      <c r="BT32">
        <f>IF(BS32="","",COUNTIFS(BS$4:BS$40,"&lt;"&amp;BS32,BS$4:BS$40,"&lt;&gt;"&amp;"")+COUNTIF(BS$4:BS32,BS32))</f>
        <v>20</v>
      </c>
      <c r="BU32" s="50">
        <f t="shared" si="29"/>
        <v>8777.43</v>
      </c>
      <c r="BV32">
        <f>BV31+IF(AND(BU32&lt;&gt;"",COUNTIF(BU$4:BU32,BU32)=1),1,0)</f>
        <v>29</v>
      </c>
      <c r="BW32" s="50">
        <f t="shared" si="30"/>
        <v>8777.43</v>
      </c>
      <c r="BX32" s="126">
        <f>IF('Final Calculation Sheet'!$N$32="","",'Final Calculation Sheet'!$N$32)</f>
        <v>72.005399999999995</v>
      </c>
      <c r="BY32">
        <f>IF(BX32="","",COUNTIFS(BX$4:BX$40,"&lt;"&amp;BX32,BX$4:BX$40,"&lt;&gt;"&amp;"")+COUNTIF(BX$4:BX32,BX32))</f>
        <v>20</v>
      </c>
      <c r="BZ32" s="126">
        <f t="shared" si="31"/>
        <v>148.77000000000001</v>
      </c>
      <c r="CA32">
        <f>CA31+IF(AND(BZ32&lt;&gt;"",COUNTIF(BZ$4:BZ32,BZ32)=1),1,0)</f>
        <v>29</v>
      </c>
      <c r="CB32" s="126">
        <f t="shared" si="32"/>
        <v>148.77000000000001</v>
      </c>
      <c r="CC32" s="50">
        <f>IF('Final Calculation Sheet'!$O$32="","",'Final Calculation Sheet'!$O$32)</f>
        <v>4176.3131999999996</v>
      </c>
      <c r="CD32">
        <f>IF(CC32="","",COUNTIFS(CC$4:CC$40,"&lt;"&amp;CC32,CC$4:CC$40,"&lt;&gt;"&amp;"")+COUNTIF(CC$4:CC32,CC32))</f>
        <v>20</v>
      </c>
      <c r="CE32" s="50">
        <f t="shared" si="33"/>
        <v>8628.66</v>
      </c>
      <c r="CF32">
        <f>CF31+IF(AND(CE32&lt;&gt;"",COUNTIF(CE$4:CE32,CE32)=1),1,0)</f>
        <v>29</v>
      </c>
      <c r="CG32" s="50">
        <f t="shared" si="34"/>
        <v>8628.66</v>
      </c>
      <c r="CH32" s="50">
        <f>IF('Final Calculation Sheet'!$P$32="","",'Final Calculation Sheet'!$P$32)</f>
        <v>4336</v>
      </c>
      <c r="CI32">
        <f>IF(CH32="","",COUNTIFS(CH$4:CH$40,"&lt;"&amp;CH32,CH$4:CH$40,"&lt;&gt;"&amp;"")+COUNTIF(CH$4:CH32,CH32))</f>
        <v>20</v>
      </c>
      <c r="CJ32" s="50">
        <f t="shared" si="35"/>
        <v>8959</v>
      </c>
      <c r="CK32">
        <f>CK31+IF(AND(CJ32&lt;&gt;"",COUNTIF(CJ$4:CJ32,CJ32)=1),1,0)</f>
        <v>28</v>
      </c>
      <c r="CL32" s="50">
        <f t="shared" si="36"/>
        <v>10840</v>
      </c>
      <c r="CM32" s="127">
        <f>IF('Final Calculation Sheet'!$Q$32="","",'Final Calculation Sheet'!$Q$32)</f>
        <v>0</v>
      </c>
      <c r="CN32">
        <f>IF(CM32="","",COUNTIFS(CM$4:CM$40,"&lt;"&amp;CM32,CM$4:CM$40,"&lt;&gt;"&amp;"")+COUNTIF(CM$4:CM32,CM32))</f>
        <v>25</v>
      </c>
      <c r="CO32" s="127">
        <f t="shared" si="37"/>
        <v>0</v>
      </c>
      <c r="CP32">
        <f>CP31+IF(AND(CO32&lt;&gt;"",COUNTIF(CO$4:CO32,CO32)=1),1,0)</f>
        <v>1</v>
      </c>
      <c r="CQ32" t="str">
        <f t="shared" si="38"/>
        <v/>
      </c>
      <c r="CR32" s="50">
        <f>IF('Final Calculation Sheet'!$R$32="","",'Final Calculation Sheet'!$R$32)</f>
        <v>0</v>
      </c>
      <c r="CS32">
        <f>IF(CR32="","",COUNTIFS(CR$4:CR$40,"&lt;"&amp;CR32,CR$4:CR$40,"&lt;&gt;"&amp;"")+COUNTIF(CR$4:CR32,CR32))</f>
        <v>25</v>
      </c>
      <c r="CT32" s="50">
        <f t="shared" si="39"/>
        <v>0</v>
      </c>
      <c r="CU32">
        <f>CU31+IF(AND(CT32&lt;&gt;"",COUNTIF(CT$4:CT32,CT32)=1),1,0)</f>
        <v>1</v>
      </c>
      <c r="CV32" t="str">
        <f t="shared" si="40"/>
        <v/>
      </c>
      <c r="CW32" s="50">
        <f>IF('Final Calculation Sheet'!$S$32="","",'Final Calculation Sheet'!$S$32)</f>
        <v>188254</v>
      </c>
      <c r="CX32">
        <f>IF(CW32="","",COUNTIFS(CW$4:CW$40,"&lt;"&amp;CW32,CW$4:CW$40,"&lt;&gt;"&amp;"")+COUNTIF(CW$4:CW32,CW32))</f>
        <v>20</v>
      </c>
      <c r="CY32" s="50">
        <f t="shared" si="41"/>
        <v>388951</v>
      </c>
      <c r="CZ32">
        <f>CZ31+IF(AND(CY32&lt;&gt;"",COUNTIF(CY$4:CY32,CY32)=1),1,0)</f>
        <v>29</v>
      </c>
      <c r="DA32" s="50">
        <f t="shared" si="42"/>
        <v>388951</v>
      </c>
      <c r="DB32" s="50">
        <f>IF('Final Calculation Sheet'!$T$32="","",'Final Calculation Sheet'!$T$32)</f>
        <v>40003</v>
      </c>
      <c r="DC32">
        <f>IF(DB32="","",COUNTIFS(DB$4:DB$40,"&lt;"&amp;DB32,DB$4:DB$40,"&lt;&gt;"&amp;"")+COUNTIF(DB$4:DB32,DB32))</f>
        <v>20</v>
      </c>
      <c r="DD32" s="50">
        <f t="shared" si="43"/>
        <v>82650</v>
      </c>
      <c r="DE32">
        <f>DE31+IF(AND(DD32&lt;&gt;"",COUNTIF(DD$4:DD32,DD32)=1),1,0)</f>
        <v>29</v>
      </c>
      <c r="DF32" s="50">
        <f t="shared" si="44"/>
        <v>82650</v>
      </c>
      <c r="DG32" s="128">
        <f>IF('Final Calculation Sheet'!$U$32="","",'Final Calculation Sheet'!$U$32)</f>
        <v>40003</v>
      </c>
      <c r="DH32">
        <f>IF(DG32="","",COUNTIFS(DG$4:DG$40,"&lt;"&amp;DG32,DG$4:DG$40,"&lt;&gt;"&amp;"")+COUNTIF(DG$4:DG32,DG32))</f>
        <v>20</v>
      </c>
      <c r="DI32" s="128">
        <f t="shared" si="45"/>
        <v>82650</v>
      </c>
      <c r="DJ32">
        <f>DJ31+IF(AND(DI32&lt;&gt;"",COUNTIF(DI$4:DI32,DI32)=1),1,0)</f>
        <v>29</v>
      </c>
      <c r="DK32" s="128">
        <f t="shared" si="46"/>
        <v>82650</v>
      </c>
      <c r="DL32" t="str">
        <f>IF('Final Calculation Sheet'!$V$32="","",'Final Calculation Sheet'!$V$32)</f>
        <v>13.08.2026</v>
      </c>
      <c r="DM32">
        <f>IF(DL32="","",COUNTIFS(DL$4:DL$40,"&lt;"&amp;DL32,DL$4:DL$40,"&lt;&gt;"&amp;"")+COUNTIF(DL$4:DL32,DL32))</f>
        <v>24</v>
      </c>
      <c r="DN32" t="str">
        <f t="shared" si="47"/>
        <v>14.08.2026</v>
      </c>
      <c r="DO32">
        <f>DO31+IF(AND(DN32&lt;&gt;"",COUNTIF(DN$4:DN32,DN32)=1),1,0)</f>
        <v>4</v>
      </c>
      <c r="DP32" t="str">
        <f t="shared" si="48"/>
        <v/>
      </c>
      <c r="DQ32" s="50">
        <f>IF('Final Calculation Sheet'!$W$32="","",'Final Calculation Sheet'!$W$32)</f>
        <v>148251</v>
      </c>
      <c r="DR32">
        <f>IF(DQ32="","",COUNTIFS(DQ$4:DQ$40,"&lt;"&amp;DQ32,DQ$4:DQ$40,"&lt;&gt;"&amp;"")+COUNTIF(DQ$4:DQ32,DQ32))</f>
        <v>20</v>
      </c>
      <c r="DS32" s="50">
        <f t="shared" si="49"/>
        <v>306301</v>
      </c>
      <c r="DT32">
        <f>DT31+IF(AND(DS32&lt;&gt;"",COUNTIF(DS$4:DS32,DS32)=1),1,0)</f>
        <v>29</v>
      </c>
      <c r="DU32" s="50">
        <f t="shared" si="50"/>
        <v>306301</v>
      </c>
      <c r="DV32" s="50">
        <f>IF('Final Calculation Sheet'!$X$32="","",'Final Calculation Sheet'!$X$32)</f>
        <v>148251</v>
      </c>
      <c r="DW32">
        <f>IF(DV32="","",COUNTIFS(DV$4:DV$40,"&lt;"&amp;DV32,DV$4:DV$40,"&lt;&gt;"&amp;"")+COUNTIF(DV$4:DV32,DV32))</f>
        <v>19</v>
      </c>
      <c r="DX32" s="50">
        <f t="shared" si="51"/>
        <v>479001</v>
      </c>
      <c r="DY32">
        <f>DY31+IF(AND(DX32&lt;&gt;"",COUNTIF(DX$4:DX32,DX32)=1),1,0)</f>
        <v>29</v>
      </c>
      <c r="DZ32" t="e">
        <f t="shared" si="52"/>
        <v>#N/A</v>
      </c>
      <c r="EA32" t="str">
        <f>IF('Final Calculation Sheet'!$Y$32="","",'Final Calculation Sheet'!$Y$32)</f>
        <v>24.08.2026</v>
      </c>
      <c r="EB32">
        <f>IF(EA32="","",COUNTIFS(EA$4:EA$40,"&lt;"&amp;EA32,EA$4:EA$40,"&lt;&gt;"&amp;"")+COUNTIF(EA$4:EA32,EA32))</f>
        <v>32</v>
      </c>
      <c r="EC32" t="str">
        <f t="shared" si="53"/>
        <v>24.08.2026</v>
      </c>
      <c r="ED32">
        <f>ED31+IF(AND(EC32&lt;&gt;"",COUNTIF(EC$4:EC32,EC32)=1),1,0)</f>
        <v>9</v>
      </c>
      <c r="EE32" t="e">
        <f t="shared" si="54"/>
        <v>#N/A</v>
      </c>
      <c r="EF32" s="50">
        <f ca="1">IF('Final Calculation Sheet'!$Z$32="","",'Final Calculation Sheet'!$Z$32)</f>
        <v>5664.4247999999998</v>
      </c>
      <c r="EG32">
        <f ca="1">IF(EF32="","",COUNTIFS(EF$4:EF$40,"&lt;"&amp;EF32,EF$4:EF$40,"&lt;&gt;"&amp;"")+COUNTIF(EF$4:EF32,EF32))</f>
        <v>20</v>
      </c>
      <c r="EH32" s="50">
        <f t="shared" ca="1" si="55"/>
        <v>11703.24</v>
      </c>
      <c r="EI32">
        <f ca="1">EI31+IF(AND(EH32&lt;&gt;"",COUNTIF(EH$4:EH32,EH32)=1),1,0)</f>
        <v>29</v>
      </c>
      <c r="EJ32">
        <f t="shared" ca="1" si="56"/>
        <v>11703.24</v>
      </c>
      <c r="EK32" t="str">
        <f>IF('Final Calculation Sheet'!$AA$32="","",'Final Calculation Sheet'!$AA$32)</f>
        <v/>
      </c>
      <c r="EL32" t="str">
        <f>IF(EK32="","",COUNTIFS(EK$4:EK$40,"&lt;"&amp;EK32,EK$4:EK$40,"&lt;&gt;"&amp;"")+COUNTIF(EK$4:EK32,EK32))</f>
        <v/>
      </c>
      <c r="EM32" t="e">
        <f t="shared" si="57"/>
        <v>#N/A</v>
      </c>
      <c r="EN32" t="e">
        <f>EN31+IF(AND(EM32&lt;&gt;"",COUNTIF(EM$4:EM32,EM32)=1),1,0)</f>
        <v>#N/A</v>
      </c>
      <c r="EO32" t="e">
        <f t="shared" si="58"/>
        <v>#N/A</v>
      </c>
      <c r="EP32" t="str">
        <f>IF('Final Calculation Sheet'!$AB$32="","",'Final Calculation Sheet'!$AB$32)</f>
        <v/>
      </c>
      <c r="EQ32" t="str">
        <f>IF(EP32="","",COUNTIFS(EP$4:EP$40,"&lt;"&amp;EP32,EP$4:EP$40,"&lt;&gt;"&amp;"")+COUNTIF(EP$4:EP32,EP32))</f>
        <v/>
      </c>
      <c r="ER32" t="e">
        <f t="shared" si="59"/>
        <v>#N/A</v>
      </c>
      <c r="ES32" t="e">
        <f>ES31+IF(AND(ER32&lt;&gt;"",COUNTIF(ER$4:ER32,ER32)=1),1,0)</f>
        <v>#N/A</v>
      </c>
      <c r="ET32" t="e">
        <f t="shared" si="60"/>
        <v>#N/A</v>
      </c>
      <c r="EU32" s="50">
        <f>IF('Final Calculation Sheet'!$AC$32="","",'Final Calculation Sheet'!$AC$32)</f>
        <v>188254</v>
      </c>
      <c r="EV32">
        <f>IF(EU32="","",COUNTIFS(EU$4:EU$40,"&lt;"&amp;EU32,EU$4:EU$40,"&lt;&gt;"&amp;"")+COUNTIF(EU$4:EU32,EU32))</f>
        <v>22</v>
      </c>
      <c r="EW32" s="50">
        <f t="shared" si="61"/>
        <v>295571</v>
      </c>
      <c r="EX32">
        <f>EX31+IF(AND(EW32&lt;&gt;"",COUNTIF(EW$4:EW32,EW32)=1),1,0)</f>
        <v>29</v>
      </c>
      <c r="EY32" s="50">
        <f t="shared" si="62"/>
        <v>295571</v>
      </c>
      <c r="EZ32" s="50">
        <f>IF('Final Calculation Sheet'!$AD$32="","",'Final Calculation Sheet'!$AD$32)</f>
        <v>0</v>
      </c>
      <c r="FA32">
        <f>IF(EZ32="","",COUNTIFS(EZ$4:EZ$40,"&lt;"&amp;EZ32,EZ$4:EZ$40,"&lt;&gt;"&amp;"")+COUNTIF(EZ$4:EZ32,EZ32))</f>
        <v>25</v>
      </c>
      <c r="FB32" s="50">
        <f t="shared" si="63"/>
        <v>1</v>
      </c>
      <c r="FC32">
        <f>FC31+IF(AND(FB32&lt;&gt;"",COUNTIF(FB$4:FB32,FB32)=1),1,0)</f>
        <v>8</v>
      </c>
      <c r="FD32" t="str">
        <f t="shared" si="64"/>
        <v/>
      </c>
      <c r="FE32" t="str">
        <f>IF('Final Calculation Sheet'!$AF$32="","",'Final Calculation Sheet'!$AF$32)</f>
        <v>DR2640100039</v>
      </c>
      <c r="FF32">
        <f>IF(FE32="","",COUNTIFS(FE$4:FE$40,"&lt;"&amp;FE32,FE$4:FE$40,"&lt;&gt;"&amp;"")+COUNTIF(FE$4:FE32,FE32))</f>
        <v>28</v>
      </c>
      <c r="FG32" t="str">
        <f t="shared" si="65"/>
        <v>DR2640100040</v>
      </c>
      <c r="FH32" t="e">
        <f>FH31+IF(AND(FG32&lt;&gt;"",COUNTIF(FG$4:FG32,FG32)=1),1,0)</f>
        <v>#N/A</v>
      </c>
      <c r="FI32" t="e">
        <f t="shared" si="66"/>
        <v>#N/A</v>
      </c>
      <c r="FJ32" s="129">
        <f>IF('Final Calculation Sheet'!$AG$32="","",'Final Calculation Sheet'!$AG$32)</f>
        <v>1800003312</v>
      </c>
      <c r="FK32">
        <f>IF(FJ32="","",COUNTIFS(FJ$4:FJ$40,"&lt;"&amp;FJ32,FJ$4:FJ$40,"&lt;&gt;"&amp;"")+COUNTIF(FJ$4:FJ32,FJ32))</f>
        <v>24</v>
      </c>
      <c r="FL32" s="129">
        <f t="shared" si="67"/>
        <v>1800003317</v>
      </c>
      <c r="FM32">
        <f>FM31+IF(AND(FL32&lt;&gt;"",COUNTIF(FL$4:FL32,FL32)=1),1,0)</f>
        <v>29</v>
      </c>
      <c r="FN32" t="e">
        <f t="shared" si="68"/>
        <v>#N/A</v>
      </c>
      <c r="FO32" t="str">
        <f>IF('Final Calculation Sheet'!$AH$32="","",'Final Calculation Sheet'!$AH$32)</f>
        <v>27.08.2026</v>
      </c>
      <c r="FP32">
        <f>IF(FO32="","",COUNTIFS(FO$4:FO$40,"&lt;"&amp;FO32,FO$4:FO$40,"&lt;&gt;"&amp;"")+COUNTIF(FO$4:FO32,FO32))</f>
        <v>35</v>
      </c>
      <c r="FQ32" t="str">
        <f t="shared" si="69"/>
        <v>27.08.2026</v>
      </c>
      <c r="FR32" t="e">
        <f>FR31+IF(AND(FQ32&lt;&gt;"",COUNTIF(FQ$4:FQ32,FQ32)=1),1,0)</f>
        <v>#N/A</v>
      </c>
      <c r="FS32" t="e">
        <f t="shared" si="70"/>
        <v>#N/A</v>
      </c>
      <c r="FU32" t="str">
        <f>IF(FT32="","",COUNTIFS(FT$4:FT$40,"&lt;"&amp;FT32,FT$4:FT$40,"&lt;&gt;"&amp;"")+COUNTIF(FT$4:FT32,FT32))</f>
        <v/>
      </c>
      <c r="FV32" t="str">
        <f t="shared" si="71"/>
        <v/>
      </c>
      <c r="FW32">
        <f>FW31+IF(AND(FV32&lt;&gt;"",COUNTIF(FV$4:FV32,FV32)=1),1,0)</f>
        <v>2</v>
      </c>
      <c r="FX32" t="str">
        <f t="shared" si="72"/>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2" t="b">
        <f>IF($Y$32="",FALSE,SUMPRODUCT(('Final Calculation Sheet'!$B$4:$B$40=$Y$32)*($FY$6:$FY$42=1))&gt;0)</f>
        <v>0</v>
      </c>
      <c r="GA32">
        <f>$GA$31+--($FZ$32)</f>
        <v>25</v>
      </c>
      <c r="GB32" t="str">
        <f t="shared" si="73"/>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D32" t="b">
        <f>IF($O$32="",FALSE,SUMPRODUCT(('Final Calculation Sheet'!$F$4:$F$40=$O$32)*($GC$6:$GC$42=1))&gt;0)</f>
        <v>1</v>
      </c>
      <c r="GE32">
        <f>$GE$31+--($GD32)</f>
        <v>29</v>
      </c>
      <c r="GF32">
        <f t="shared" si="74"/>
        <v>2055</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H32" t="b">
        <f>IF($T$32="",FALSE,SUMPRODUCT(('Final Calculation Sheet'!$G$4:$G$40=$T$32)*($GG$6:$GG$42=1))&gt;0)</f>
        <v>0</v>
      </c>
      <c r="GI32">
        <f>$GI$31+--($GH32)</f>
        <v>13</v>
      </c>
      <c r="GJ32" t="str">
        <f t="shared" si="75"/>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L32" t="b">
        <f>IF($AD$32="",FALSE,SUMPRODUCT(('Final Calculation Sheet'!$D$4:$D$40=$AD$32)*($GK$6:$GK$42=1))&gt;0)</f>
        <v>0</v>
      </c>
      <c r="GM32">
        <f>$GM$31+--($GL32)</f>
        <v>4</v>
      </c>
      <c r="GN32" t="str">
        <f t="shared" si="76"/>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P32" t="b">
        <f>IF($AI$32="",FALSE,SUMPRODUCT(('Final Calculation Sheet'!$A$4:$A$40=$AI$32)*($GO$6:$GO$42=1))&gt;0)</f>
        <v>0</v>
      </c>
      <c r="GQ32">
        <f>$GQ$31+--($GP32)</f>
        <v>22</v>
      </c>
      <c r="GR32" t="str">
        <f t="shared" si="77"/>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T32" t="b">
        <f>IF($AN$32="",FALSE,SUMPRODUCT(('Final Calculation Sheet'!$E$4:$E$40=$AN$32)*($GS$6:$GS$42=1))&gt;0)</f>
        <v>0</v>
      </c>
      <c r="GU32">
        <f>$GU$31+--($GT32)</f>
        <v>3</v>
      </c>
      <c r="GV32" t="str">
        <f t="shared" si="78"/>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GX32" t="b">
        <f>IF($AS$32="",FALSE,SUMPRODUCT(('Final Calculation Sheet'!$C$4:$C$40=$AS$32)*($GW$6:$GW$42=1))&gt;0)</f>
        <v>1</v>
      </c>
      <c r="GY32">
        <f>$GY$31+--($GX32)</f>
        <v>29</v>
      </c>
      <c r="GZ32">
        <f t="shared" si="79"/>
        <v>83743</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B32" t="b">
        <f>IF($AX$32="",FALSE,SUMPRODUCT(('Final Calculation Sheet'!$H$4:$H$40=$AX$32)*($HA$6:$HA$42=1))&gt;0)</f>
        <v>1</v>
      </c>
      <c r="HC32">
        <f>$HC$31+--($HB32)</f>
        <v>29</v>
      </c>
      <c r="HD32">
        <f t="shared" si="80"/>
        <v>330600</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F32" t="b">
        <f>IF($BC$32="",FALSE,SUMPRODUCT(('Final Calculation Sheet'!$I$4:$I$40=$BC$32)*($HE$6:$HE$42=1))&gt;0)</f>
        <v>1</v>
      </c>
      <c r="HG32">
        <f>$HG$31+--($HF32)</f>
        <v>29</v>
      </c>
      <c r="HH32">
        <f t="shared" si="81"/>
        <v>59508</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J32" t="b">
        <f>IF($BH$32="",FALSE,SUMPRODUCT(('Final Calculation Sheet'!$J$4:$J$40=$BH$32)*($HI$6:$HI$42=1))&gt;0)</f>
        <v>1</v>
      </c>
      <c r="HK32">
        <f>$HK$31+--($HJ32)</f>
        <v>29</v>
      </c>
      <c r="HL32">
        <f t="shared" si="82"/>
        <v>390108</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N32" t="b">
        <f>IF($BM$32="",FALSE,SUMPRODUCT(('Final Calculation Sheet'!$K$4:$K$40=$BM$32)*($HM$6:$HM$42=1))&gt;0)</f>
        <v>1</v>
      </c>
      <c r="HO32">
        <f>$HO$31+--($HN32)</f>
        <v>29</v>
      </c>
      <c r="HP32">
        <f t="shared" si="83"/>
        <v>9440</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R32" t="b">
        <f>IF($BR$32="",FALSE,SUMPRODUCT(('Final Calculation Sheet'!$L$4:$L$40=$BR$32)*($HQ$6:$HQ$42=1))&gt;0)</f>
        <v>1</v>
      </c>
      <c r="HS32">
        <f>$HS$31+--($HR32)</f>
        <v>29</v>
      </c>
      <c r="HT32">
        <f t="shared" si="84"/>
        <v>330.6</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V32" t="b">
        <f>IF($BW$32="",FALSE,SUMPRODUCT(('Final Calculation Sheet'!$M$4:$M$40=$BW$32)*($HU$6:$HU$42=1))&gt;0)</f>
        <v>1</v>
      </c>
      <c r="HW32">
        <f>$HW$31+--($HV32)</f>
        <v>29</v>
      </c>
      <c r="HX32">
        <f t="shared" si="85"/>
        <v>8777.43</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HZ32" t="b">
        <f>IF($CB$32="",FALSE,SUMPRODUCT(('Final Calculation Sheet'!$N$4:$N$40=$CB$32)*($HY$6:$HY$42=1))&gt;0)</f>
        <v>1</v>
      </c>
      <c r="IA32">
        <f>$IA$31+--($HZ32)</f>
        <v>29</v>
      </c>
      <c r="IB32">
        <f t="shared" si="86"/>
        <v>148.77000000000001</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D32" t="b">
        <f>IF($CG$32="",FALSE,SUMPRODUCT(('Final Calculation Sheet'!$O$4:$O$40=$CG$32)*($IC$6:$IC$42=1))&gt;0)</f>
        <v>1</v>
      </c>
      <c r="IE32">
        <f>$IE$31+--($ID32)</f>
        <v>29</v>
      </c>
      <c r="IF32">
        <f t="shared" si="87"/>
        <v>8628.66</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H32" t="b">
        <f>IF($CL$32="",FALSE,SUMPRODUCT(('Final Calculation Sheet'!$P$4:$P$40=$CL$32)*($IG$6:$IG$42=1))&gt;0)</f>
        <v>1</v>
      </c>
      <c r="II32">
        <f>$II$31+--($IH32)</f>
        <v>29</v>
      </c>
      <c r="IJ32">
        <f t="shared" si="88"/>
        <v>10840</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L32" t="b">
        <f>IF($CQ$32="",FALSE,SUMPRODUCT(('Final Calculation Sheet'!$Q$4:$Q$40=$CQ$32)*($IK$6:$IK$42=1))&gt;0)</f>
        <v>0</v>
      </c>
      <c r="IM32">
        <f>$IM$31+--($IL32)</f>
        <v>2</v>
      </c>
      <c r="IN32" t="str">
        <f t="shared" si="89"/>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P32" t="b">
        <f>IF($CV$32="",FALSE,SUMPRODUCT(('Final Calculation Sheet'!$R$4:$R$40=$CV$32)*($IO$6:$IO$42=1))&gt;0)</f>
        <v>0</v>
      </c>
      <c r="IQ32">
        <f>$IQ$31+--($IP32)</f>
        <v>5</v>
      </c>
      <c r="IR32" t="str">
        <f t="shared" si="90"/>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T32" t="b">
        <f>IF($DA$32="",FALSE,SUMPRODUCT(('Final Calculation Sheet'!$S$4:$S$40=$DA$32)*($IS$6:$IS$42=1))&gt;0)</f>
        <v>1</v>
      </c>
      <c r="IU32">
        <f>$IU$31+--($IT32)</f>
        <v>29</v>
      </c>
      <c r="IV32">
        <f t="shared" si="91"/>
        <v>388951</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IX32" t="b">
        <f>IF($DF$32="",FALSE,SUMPRODUCT(('Final Calculation Sheet'!$T$4:$T$40=$DF$32)*($IW$6:$IW$42=1))&gt;0)</f>
        <v>1</v>
      </c>
      <c r="IY32">
        <f>$IY$31+--($IX32)</f>
        <v>29</v>
      </c>
      <c r="IZ32">
        <f t="shared" si="92"/>
        <v>82650</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B32" t="b">
        <f>IF($DK$32="",FALSE,SUMPRODUCT(('Final Calculation Sheet'!$U$4:$U$40=$DK$32)*($JA$6:$JA$42=1))&gt;0)</f>
        <v>1</v>
      </c>
      <c r="JC32">
        <f>$JC$31+--($JB32)</f>
        <v>29</v>
      </c>
      <c r="JD32">
        <f t="shared" si="93"/>
        <v>82650</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F32" t="b">
        <f>IF($DP$32="",FALSE,SUMPRODUCT(('Final Calculation Sheet'!$V$4:$V$40=$DP$32)*($JE$6:$JE$42=1))&gt;0)</f>
        <v>0</v>
      </c>
      <c r="JG32">
        <f>$JG$31+--($JF32)</f>
        <v>6</v>
      </c>
      <c r="JH32" t="str">
        <f t="shared" si="94"/>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J32" t="b">
        <f>IF($DU$32="",FALSE,SUMPRODUCT(('Final Calculation Sheet'!$W$4:$W$40=$DU$32)*($JI$6:$JI$42=1))&gt;0)</f>
        <v>1</v>
      </c>
      <c r="JK32">
        <f>$JK$31+--($JJ32)</f>
        <v>29</v>
      </c>
      <c r="JL32">
        <f t="shared" si="95"/>
        <v>306301</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N32" t="e">
        <f>IF($DZ$32="",FALSE,SUMPRODUCT(('Final Calculation Sheet'!$X$4:$X$40=$DZ$32)*($JM$6:$JM$42=1))&gt;0)</f>
        <v>#N/A</v>
      </c>
      <c r="JO32" t="e">
        <f>$JO$31+--($JN32)</f>
        <v>#N/A</v>
      </c>
      <c r="JP32" t="e">
        <f t="shared" si="96"/>
        <v>#N/A</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R32" t="e">
        <f>IF($EE$32="",FALSE,SUMPRODUCT(('Final Calculation Sheet'!$Y$4:$Y$40=$EE$32)*($JQ$6:$JQ$42=1))&gt;0)</f>
        <v>#N/A</v>
      </c>
      <c r="JS32" t="e">
        <f>$JS$31+--($JR32)</f>
        <v>#N/A</v>
      </c>
      <c r="JT32" t="e">
        <f t="shared" si="97"/>
        <v>#N/A</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V32" t="b">
        <f ca="1">IF($EJ$32="",FALSE,SUMPRODUCT(('Final Calculation Sheet'!$Z$4:$Z$40=$EJ$32)*($JU$6:$JU$42=1))&gt;0)</f>
        <v>1</v>
      </c>
      <c r="JW32">
        <f ca="1">$JW$31+--($JV32)</f>
        <v>29</v>
      </c>
      <c r="JX32">
        <f t="shared" ca="1" si="98"/>
        <v>11703.24</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JZ32" t="e">
        <f>IF($EO$32="",FALSE,SUMPRODUCT(('Final Calculation Sheet'!$AA$4:$AA$40=$EO$32)*($JY$6:$JY$42=1))&gt;0)</f>
        <v>#N/A</v>
      </c>
      <c r="KA32" t="e">
        <f>$KA$31+--($JZ32)</f>
        <v>#N/A</v>
      </c>
      <c r="KB32" t="e">
        <f t="shared" si="99"/>
        <v>#N/A</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D32" t="e">
        <f>IF($ET$32="",FALSE,SUMPRODUCT(('Final Calculation Sheet'!$AB$4:$AB$40=$ET$32)*($KC$6:$KC$42=1))&gt;0)</f>
        <v>#N/A</v>
      </c>
      <c r="KE32" t="e">
        <f>$KE$31+--($KD32)</f>
        <v>#N/A</v>
      </c>
      <c r="KF32" t="e">
        <f t="shared" si="100"/>
        <v>#N/A</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H32" t="b">
        <f>IF($EY$32="",FALSE,SUMPRODUCT(('Final Calculation Sheet'!$AC$4:$AC$40=$EY$32)*($KG$6:$KG$42=1))&gt;0)</f>
        <v>1</v>
      </c>
      <c r="KI32">
        <f>$KI$31+--($KH32)</f>
        <v>29</v>
      </c>
      <c r="KJ32">
        <f t="shared" si="101"/>
        <v>295571</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L32" t="b">
        <f>IF($FD$32="",FALSE,SUMPRODUCT(('Final Calculation Sheet'!$AD$4:$AD$40=$FD$32)*($KK$6:$KK$42=1))&gt;0)</f>
        <v>0</v>
      </c>
      <c r="KM32">
        <f>$KM$31+--($KL32)</f>
        <v>11</v>
      </c>
      <c r="KN32" t="str">
        <f t="shared" si="102"/>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P32" t="b">
        <f>IF($FX$32="",FALSE,SUMPRODUCT((IF('Final Calculation Sheet'!$AD$4:$AD$40&lt;=5,"SETTLED","OUTSTANDING")=$FX$32)*($KO$6:$KO$42=1))&gt;0)</f>
        <v>0</v>
      </c>
      <c r="KQ32">
        <f>$KQ$31+--($KP32)</f>
        <v>1</v>
      </c>
      <c r="KR32" t="str">
        <f t="shared" si="103"/>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T32" t="e">
        <f>IF($FI$32="",FALSE,SUMPRODUCT(('Final Calculation Sheet'!$AF$4:$AF$40=$FI$32)*($KS$6:$KS$42=1))&gt;0)</f>
        <v>#N/A</v>
      </c>
      <c r="KU32" t="e">
        <f>$KU$31+--($KT32)</f>
        <v>#N/A</v>
      </c>
      <c r="KV32" t="e">
        <f t="shared" si="104"/>
        <v>#N/A</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KX32" t="e">
        <f>IF($FN$32="",FALSE,SUMPRODUCT(('Final Calculation Sheet'!$AG$4:$AG$40=$FN$32)*($KW$6:$KW$42=1))&gt;0)</f>
        <v>#N/A</v>
      </c>
      <c r="KY32" t="e">
        <f>$KY$31+--($KX32)</f>
        <v>#N/A</v>
      </c>
      <c r="KZ32" t="e">
        <f t="shared" si="105"/>
        <v>#N/A</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LB32" t="e">
        <f>IF($FS$32="",FALSE,SUMPRODUCT(('Final Calculation Sheet'!$AH$4:$AH$40=$FS$32)*($LA$6:$LA$42=1))&gt;0)</f>
        <v>#N/A</v>
      </c>
      <c r="LC32" t="e">
        <f>$LC$31+--($LB32)</f>
        <v>#N/A</v>
      </c>
      <c r="LD32" t="e">
        <f t="shared" si="106"/>
        <v>#N/A</v>
      </c>
      <c r="LE32">
        <f>IF(COUNTIF('Buyer Groups'!DH32:EN32,0)&gt;0,0,1)</f>
        <v>1</v>
      </c>
      <c r="LF32" t="b">
        <f>IF($O$32="",FALSE,SUMPRODUCT(('Final Calculation Sheet'!$F$4:$F$40=$O$32)*($LE$6:$LE$42=1))&gt;0)</f>
        <v>1</v>
      </c>
      <c r="LG32">
        <f>$LG$31+--($LF32)</f>
        <v>29</v>
      </c>
      <c r="LH32">
        <f t="shared" si="107"/>
        <v>2055</v>
      </c>
      <c r="LI32">
        <f>IF(COUNTIF('Buyer Groups'!DG32:DG32,0)+COUNTIF('Buyer Groups'!DI32:EN32,0)&gt;0,0,1)</f>
        <v>1</v>
      </c>
      <c r="LJ32" t="b">
        <f>IF($T$32="",FALSE,SUMPRODUCT(('Final Calculation Sheet'!$G$4:$G$40=$T$32)*($LI$6:$LI$42=1))&gt;0)</f>
        <v>0</v>
      </c>
      <c r="LK32">
        <f>$LK$31+--($LJ32)</f>
        <v>13</v>
      </c>
      <c r="LL32" t="str">
        <f t="shared" si="108"/>
        <v/>
      </c>
      <c r="LM32">
        <f>IF(COUNTIF('Buyer Groups'!DG32:DH32,0)+COUNTIF('Buyer Groups'!DJ32:EN32,0)&gt;0,0,1)</f>
        <v>1</v>
      </c>
      <c r="LN32" t="b">
        <f>IF($Y$32="",FALSE,SUMPRODUCT(('Final Calculation Sheet'!$B$4:$B$40=$Y$32)*($LM$6:$LM$42=1))&gt;0)</f>
        <v>0</v>
      </c>
      <c r="LO32">
        <f>$LO$31+--($LN32)</f>
        <v>25</v>
      </c>
      <c r="LP32" t="str">
        <f t="shared" si="109"/>
        <v/>
      </c>
      <c r="LQ32">
        <f>IF(COUNTIF('Buyer Groups'!DG32:DI32,0)+COUNTIF('Buyer Groups'!DK32:EN32,0)&gt;0,0,1)</f>
        <v>1</v>
      </c>
      <c r="LR32" t="b">
        <f>IF($AD$32="",FALSE,SUMPRODUCT(('Final Calculation Sheet'!$D$4:$D$40=$AD$32)*($LQ$6:$LQ$42=1))&gt;0)</f>
        <v>0</v>
      </c>
      <c r="LS32">
        <f>$LS$31+--($LR32)</f>
        <v>4</v>
      </c>
      <c r="LT32" t="str">
        <f t="shared" si="110"/>
        <v/>
      </c>
      <c r="LU32">
        <f>IF(COUNTIF('Buyer Groups'!DG32:DJ32,0)+COUNTIF('Buyer Groups'!DL32:EN32,0)&gt;0,0,1)</f>
        <v>1</v>
      </c>
      <c r="LV32" t="b">
        <f>IF($AI$32="",FALSE,SUMPRODUCT(('Final Calculation Sheet'!$A$4:$A$40=$AI$32)*($LU$6:$LU$42=1))&gt;0)</f>
        <v>0</v>
      </c>
      <c r="LW32">
        <f>$LW$31+--($LV32)</f>
        <v>22</v>
      </c>
      <c r="LX32" t="str">
        <f t="shared" si="111"/>
        <v/>
      </c>
      <c r="LY32">
        <f>IF(COUNTIF('Buyer Groups'!DG32:DK32,0)+COUNTIF('Buyer Groups'!DM32:EN32,0)&gt;0,0,1)</f>
        <v>1</v>
      </c>
      <c r="LZ32" t="b">
        <f>IF($AN$32="",FALSE,SUMPRODUCT(('Final Calculation Sheet'!$E$4:$E$40=$AN$32)*($LY$6:$LY$42=1))&gt;0)</f>
        <v>0</v>
      </c>
      <c r="MA32">
        <f>$MA$31+--($LZ32)</f>
        <v>3</v>
      </c>
      <c r="MB32" t="str">
        <f t="shared" si="112"/>
        <v/>
      </c>
      <c r="MC32">
        <f>IF(COUNTIF('Buyer Groups'!DG32:DL32,0)+COUNTIF('Buyer Groups'!DN32:EN32,0)&gt;0,0,1)</f>
        <v>1</v>
      </c>
      <c r="MD32" t="b">
        <f>IF($AS$32="",FALSE,SUMPRODUCT(('Final Calculation Sheet'!$C$4:$C$40=$AS$32)*($MC$6:$MC$42=1))&gt;0)</f>
        <v>1</v>
      </c>
      <c r="ME32">
        <f>$ME$31+--($MD32)</f>
        <v>29</v>
      </c>
      <c r="MF32">
        <f t="shared" si="113"/>
        <v>83743</v>
      </c>
      <c r="MG32">
        <f>IF(COUNTIF('Buyer Groups'!DG32:DM32,0)+COUNTIF('Buyer Groups'!DO32:EN32,0)&gt;0,0,1)</f>
        <v>1</v>
      </c>
      <c r="MH32" t="b">
        <f>IF($AX$32="",FALSE,SUMPRODUCT(('Final Calculation Sheet'!$H$4:$H$40=$AX$32)*($MG$6:$MG$42=1))&gt;0)</f>
        <v>1</v>
      </c>
      <c r="MI32">
        <f>$MI$31+--($MH32)</f>
        <v>29</v>
      </c>
      <c r="MJ32">
        <f t="shared" si="114"/>
        <v>330600</v>
      </c>
      <c r="MK32">
        <f>IF(COUNTIF('Buyer Groups'!DG32:DN32,0)+COUNTIF('Buyer Groups'!DP32:EN32,0)&gt;0,0,1)</f>
        <v>1</v>
      </c>
      <c r="ML32" t="b">
        <f>IF($BC$32="",FALSE,SUMPRODUCT(('Final Calculation Sheet'!$I$4:$I$40=$BC$32)*($MK$6:$MK$42=1))&gt;0)</f>
        <v>1</v>
      </c>
      <c r="MM32">
        <f>$MM$31+--($ML32)</f>
        <v>29</v>
      </c>
      <c r="MN32">
        <f t="shared" si="115"/>
        <v>59508</v>
      </c>
      <c r="MO32">
        <f>IF(COUNTIF('Buyer Groups'!DG32:DO32,0)+COUNTIF('Buyer Groups'!DQ32:EN32,0)&gt;0,0,1)</f>
        <v>1</v>
      </c>
      <c r="MP32" t="b">
        <f>IF($BH$32="",FALSE,SUMPRODUCT(('Final Calculation Sheet'!$J$4:$J$40=$BH$32)*($MO$6:$MO$42=1))&gt;0)</f>
        <v>1</v>
      </c>
      <c r="MQ32">
        <f>$MQ$31+--($MP32)</f>
        <v>29</v>
      </c>
      <c r="MR32">
        <f t="shared" si="116"/>
        <v>390108</v>
      </c>
      <c r="MS32">
        <f>IF(COUNTIF('Buyer Groups'!DG32:DP32,0)+COUNTIF('Buyer Groups'!DR32:EN32,0)&gt;0,0,1)</f>
        <v>1</v>
      </c>
      <c r="MT32" t="b">
        <f>IF($BM$32="",FALSE,SUMPRODUCT(('Final Calculation Sheet'!$K$4:$K$40=$BM$32)*($MS$6:$MS$42=1))&gt;0)</f>
        <v>1</v>
      </c>
      <c r="MU32">
        <f>$MU$31+--($MT32)</f>
        <v>29</v>
      </c>
      <c r="MV32">
        <f t="shared" si="117"/>
        <v>9440</v>
      </c>
      <c r="MW32">
        <f>IF(COUNTIF('Buyer Groups'!DG32:DQ32,0)+COUNTIF('Buyer Groups'!DS32:EN32,0)&gt;0,0,1)</f>
        <v>1</v>
      </c>
      <c r="MX32" t="b">
        <f>IF($BR$32="",FALSE,SUMPRODUCT(('Final Calculation Sheet'!$L$4:$L$40=$BR$32)*($MW$6:$MW$42=1))&gt;0)</f>
        <v>1</v>
      </c>
      <c r="MY32">
        <f>$MY$31+--($MX32)</f>
        <v>29</v>
      </c>
      <c r="MZ32">
        <f t="shared" si="118"/>
        <v>330.6</v>
      </c>
      <c r="NA32">
        <f>IF(COUNTIF('Buyer Groups'!DG32:DR32,0)+COUNTIF('Buyer Groups'!DT32:EN32,0)&gt;0,0,1)</f>
        <v>1</v>
      </c>
      <c r="NB32" t="b">
        <f>IF($BW$32="",FALSE,SUMPRODUCT(('Final Calculation Sheet'!$M$4:$M$40=$BW$32)*($NA$6:$NA$42=1))&gt;0)</f>
        <v>1</v>
      </c>
      <c r="NC32">
        <f>$NC$31+--($NB32)</f>
        <v>29</v>
      </c>
      <c r="ND32">
        <f t="shared" si="119"/>
        <v>8777.43</v>
      </c>
      <c r="NE32">
        <f>IF(COUNTIF('Buyer Groups'!DG32:DS32,0)+COUNTIF('Buyer Groups'!DU32:EN32,0)&gt;0,0,1)</f>
        <v>1</v>
      </c>
      <c r="NF32" t="b">
        <f>IF($CB$32="",FALSE,SUMPRODUCT(('Final Calculation Sheet'!$N$4:$N$40=$CB$32)*($NE$6:$NE$42=1))&gt;0)</f>
        <v>1</v>
      </c>
      <c r="NG32">
        <f>$NG$31+--($NF32)</f>
        <v>29</v>
      </c>
      <c r="NH32">
        <f t="shared" si="120"/>
        <v>148.77000000000001</v>
      </c>
      <c r="NI32">
        <f>IF(COUNTIF('Buyer Groups'!DG32:DT32,0)+COUNTIF('Buyer Groups'!DV32:EN32,0)&gt;0,0,1)</f>
        <v>1</v>
      </c>
      <c r="NJ32" t="b">
        <f>IF($CG$32="",FALSE,SUMPRODUCT(('Final Calculation Sheet'!$O$4:$O$40=$CG$32)*($NI$6:$NI$42=1))&gt;0)</f>
        <v>1</v>
      </c>
      <c r="NK32">
        <f>$NK$31+--($NJ32)</f>
        <v>29</v>
      </c>
      <c r="NL32">
        <f t="shared" si="121"/>
        <v>8628.66</v>
      </c>
      <c r="NM32">
        <f>IF(COUNTIF('Buyer Groups'!DG32:DU32,0)+COUNTIF('Buyer Groups'!DW32:EN32,0)&gt;0,0,1)</f>
        <v>1</v>
      </c>
      <c r="NN32" t="b">
        <f>IF($CL$32="",FALSE,SUMPRODUCT(('Final Calculation Sheet'!$P$4:$P$40=$CL$32)*($NM$6:$NM$42=1))&gt;0)</f>
        <v>1</v>
      </c>
      <c r="NO32">
        <f>$NO$31+--($NN32)</f>
        <v>29</v>
      </c>
      <c r="NP32">
        <f t="shared" si="122"/>
        <v>10840</v>
      </c>
      <c r="NQ32">
        <f>IF(COUNTIF('Buyer Groups'!DG32:DV32,0)+COUNTIF('Buyer Groups'!DX32:EN32,0)&gt;0,0,1)</f>
        <v>1</v>
      </c>
      <c r="NR32" t="b">
        <f>IF($CQ$32="",FALSE,SUMPRODUCT(('Final Calculation Sheet'!$Q$4:$Q$40=$CQ$32)*($NQ$6:$NQ$42=1))&gt;0)</f>
        <v>0</v>
      </c>
      <c r="NS32">
        <f>$NS$31+--($NR32)</f>
        <v>2</v>
      </c>
      <c r="NT32" t="str">
        <f t="shared" si="123"/>
        <v/>
      </c>
      <c r="NU32">
        <f>IF(COUNTIF('Buyer Groups'!DG32:DW32,0)+COUNTIF('Buyer Groups'!DY32:EN32,0)&gt;0,0,1)</f>
        <v>1</v>
      </c>
      <c r="NV32" t="b">
        <f>IF($CV$32="",FALSE,SUMPRODUCT(('Final Calculation Sheet'!$R$4:$R$40=$CV$32)*($NU$6:$NU$42=1))&gt;0)</f>
        <v>0</v>
      </c>
      <c r="NW32">
        <f>$NW$31+--($NV32)</f>
        <v>5</v>
      </c>
      <c r="NX32" t="str">
        <f t="shared" si="124"/>
        <v/>
      </c>
      <c r="NY32">
        <f>IF(COUNTIF('Buyer Groups'!DG32:DX32,0)+COUNTIF('Buyer Groups'!DZ32:EN32,0)&gt;0,0,1)</f>
        <v>1</v>
      </c>
      <c r="NZ32" t="b">
        <f>IF($DA$32="",FALSE,SUMPRODUCT(('Final Calculation Sheet'!$S$4:$S$40=$DA$32)*($NY$6:$NY$42=1))&gt;0)</f>
        <v>1</v>
      </c>
      <c r="OA32">
        <f>$OA$31+--($NZ32)</f>
        <v>29</v>
      </c>
      <c r="OB32">
        <f t="shared" si="125"/>
        <v>388951</v>
      </c>
      <c r="OC32">
        <f>IF(COUNTIF('Buyer Groups'!DG32:DY32,0)+COUNTIF('Buyer Groups'!EA32:EN32,0)&gt;0,0,1)</f>
        <v>1</v>
      </c>
      <c r="OD32" t="b">
        <f>IF($DF$32="",FALSE,SUMPRODUCT(('Final Calculation Sheet'!$T$4:$T$40=$DF$32)*($OC$6:$OC$42=1))&gt;0)</f>
        <v>1</v>
      </c>
      <c r="OE32">
        <f>$OE$31+--($OD32)</f>
        <v>29</v>
      </c>
      <c r="OF32">
        <f t="shared" si="126"/>
        <v>82650</v>
      </c>
      <c r="OG32">
        <f>IF(COUNTIF('Buyer Groups'!DG32:DZ32,0)+COUNTIF('Buyer Groups'!EB32:EN32,0)&gt;0,0,1)</f>
        <v>1</v>
      </c>
      <c r="OH32" t="b">
        <f>IF($DK$32="",FALSE,SUMPRODUCT(('Final Calculation Sheet'!$U$4:$U$40=$DK$32)*($OG$6:$OG$42=1))&gt;0)</f>
        <v>1</v>
      </c>
      <c r="OI32">
        <f>$OI$31+--($OH32)</f>
        <v>29</v>
      </c>
      <c r="OJ32">
        <f t="shared" si="127"/>
        <v>82650</v>
      </c>
      <c r="OK32">
        <f>IF(COUNTIF('Buyer Groups'!DG32:EA32,0)+COUNTIF('Buyer Groups'!EC32:EN32,0)&gt;0,0,1)</f>
        <v>1</v>
      </c>
      <c r="OL32" t="b">
        <f>IF($DP$32="",FALSE,SUMPRODUCT(('Final Calculation Sheet'!$V$4:$V$40=$DP$32)*($OK$6:$OK$42=1))&gt;0)</f>
        <v>0</v>
      </c>
      <c r="OM32">
        <f>$OM$31+--($OL32)</f>
        <v>6</v>
      </c>
      <c r="ON32" t="str">
        <f t="shared" si="128"/>
        <v/>
      </c>
      <c r="OO32">
        <f>IF(COUNTIF('Buyer Groups'!DG32:EB32,0)+COUNTIF('Buyer Groups'!ED32:EN32,0)&gt;0,0,1)</f>
        <v>1</v>
      </c>
      <c r="OP32" t="b">
        <f>IF($DU$32="",FALSE,SUMPRODUCT(('Final Calculation Sheet'!$W$4:$W$40=$DU$32)*($OO$6:$OO$42=1))&gt;0)</f>
        <v>1</v>
      </c>
      <c r="OQ32">
        <f>$OQ$31+--($OP32)</f>
        <v>29</v>
      </c>
      <c r="OR32">
        <f t="shared" si="129"/>
        <v>306301</v>
      </c>
      <c r="OS32">
        <f>IF(COUNTIF('Buyer Groups'!DG32:EC32,0)+COUNTIF('Buyer Groups'!EE32:EN32,0)&gt;0,0,1)</f>
        <v>1</v>
      </c>
      <c r="OT32" t="e">
        <f>IF($DZ$32="",FALSE,SUMPRODUCT(('Final Calculation Sheet'!$X$4:$X$40=$DZ$32)*($OS$6:$OS$42=1))&gt;0)</f>
        <v>#N/A</v>
      </c>
      <c r="OU32" t="e">
        <f>$OU$31+--($OT32)</f>
        <v>#N/A</v>
      </c>
      <c r="OV32" t="e">
        <f t="shared" si="130"/>
        <v>#N/A</v>
      </c>
      <c r="OW32">
        <f>IF(COUNTIF('Buyer Groups'!DG32:ED32,0)+COUNTIF('Buyer Groups'!EF32:EN32,0)&gt;0,0,1)</f>
        <v>1</v>
      </c>
      <c r="OX32" t="e">
        <f>IF($EE$32="",FALSE,SUMPRODUCT(('Final Calculation Sheet'!$Y$4:$Y$40=$EE$32)*($OW$6:$OW$42=1))&gt;0)</f>
        <v>#N/A</v>
      </c>
      <c r="OY32" t="e">
        <f>$OY$31+--($OX32)</f>
        <v>#N/A</v>
      </c>
      <c r="OZ32" t="e">
        <f t="shared" si="131"/>
        <v>#N/A</v>
      </c>
      <c r="PA32">
        <f>IF(COUNTIF('Buyer Groups'!DG32:EE32,0)+COUNTIF('Buyer Groups'!EG32:EN32,0)&gt;0,0,1)</f>
        <v>1</v>
      </c>
      <c r="PB32" t="b">
        <f ca="1">IF($EJ$32="",FALSE,SUMPRODUCT(('Final Calculation Sheet'!$Z$4:$Z$40=$EJ$32)*($PA$6:$PA$42=1))&gt;0)</f>
        <v>1</v>
      </c>
      <c r="PC32">
        <f ca="1">$PC$31+--($PB32)</f>
        <v>29</v>
      </c>
      <c r="PD32">
        <f t="shared" ca="1" si="132"/>
        <v>11703.24</v>
      </c>
      <c r="PE32">
        <f>IF(COUNTIF('Buyer Groups'!DG32:EF32,0)+COUNTIF('Buyer Groups'!EH32:EN32,0)&gt;0,0,1)</f>
        <v>1</v>
      </c>
      <c r="PF32" t="e">
        <f>IF($EO$32="",FALSE,SUMPRODUCT(('Final Calculation Sheet'!$AA$4:$AA$40=$EO$32)*($PE$6:$PE$42=1))&gt;0)</f>
        <v>#N/A</v>
      </c>
      <c r="PG32" t="e">
        <f>$PG$31+--($PF32)</f>
        <v>#N/A</v>
      </c>
      <c r="PH32" t="e">
        <f t="shared" si="133"/>
        <v>#N/A</v>
      </c>
      <c r="PI32">
        <f>IF(COUNTIF('Buyer Groups'!DG32:EG32,0)+COUNTIF('Buyer Groups'!EI32:EN32,0)&gt;0,0,1)</f>
        <v>1</v>
      </c>
      <c r="PJ32" t="e">
        <f>IF($ET$32="",FALSE,SUMPRODUCT(('Final Calculation Sheet'!$AB$4:$AB$40=$ET$32)*($PI$6:$PI$42=1))&gt;0)</f>
        <v>#N/A</v>
      </c>
      <c r="PK32" t="e">
        <f>$PK$31+--($PJ32)</f>
        <v>#N/A</v>
      </c>
      <c r="PL32" t="e">
        <f t="shared" si="134"/>
        <v>#N/A</v>
      </c>
      <c r="PM32">
        <f>IF(COUNTIF('Buyer Groups'!DG32:EH32,0)+COUNTIF('Buyer Groups'!EJ32:EN32,0)&gt;0,0,1)</f>
        <v>1</v>
      </c>
      <c r="PN32" t="b">
        <f>IF($EY$32="",FALSE,SUMPRODUCT(('Final Calculation Sheet'!$AC$4:$AC$40=$EY$32)*($PM$6:$PM$42=1))&gt;0)</f>
        <v>1</v>
      </c>
      <c r="PO32">
        <f>$PO$31+--($PN32)</f>
        <v>29</v>
      </c>
      <c r="PP32">
        <f t="shared" si="135"/>
        <v>295571</v>
      </c>
      <c r="PQ32">
        <f>IF(COUNTIF('Buyer Groups'!DG32:EI32,0)+COUNTIF('Buyer Groups'!EK32:EN32,0)&gt;0,0,1)</f>
        <v>1</v>
      </c>
      <c r="PR32" t="b">
        <f>IF($FD$32="",FALSE,SUMPRODUCT(('Final Calculation Sheet'!$AD$4:$AD$40=$FD$32)*($PQ$6:$PQ$42=1))&gt;0)</f>
        <v>0</v>
      </c>
      <c r="PS32">
        <f>$PS$31+--($PR32)</f>
        <v>11</v>
      </c>
      <c r="PT32" t="str">
        <f t="shared" si="136"/>
        <v/>
      </c>
      <c r="PU32">
        <f>IF(COUNTIF('Buyer Groups'!DG32:EJ32,0)+COUNTIF('Buyer Groups'!EL32:EN32,0)&gt;0,0,1)</f>
        <v>1</v>
      </c>
      <c r="PV32" t="b">
        <f>IF($FX$32="",FALSE,SUMPRODUCT((IF('Final Calculation Sheet'!$AD$4:$AD$40&lt;=5,"SETTLED","OUTSTANDING")=$FX$32)*($PU$6:$PU$42=1))&gt;0)</f>
        <v>0</v>
      </c>
      <c r="PW32">
        <f>$PW$31+--($PV32)</f>
        <v>1</v>
      </c>
      <c r="PX32" t="str">
        <f t="shared" si="137"/>
        <v/>
      </c>
      <c r="PY32">
        <f>IF(COUNTIF('Buyer Groups'!DG32:EK32,0)+COUNTIF('Buyer Groups'!EM32:EN32,0)&gt;0,0,1)</f>
        <v>1</v>
      </c>
      <c r="PZ32" t="e">
        <f>IF($FI$32="",FALSE,SUMPRODUCT(('Final Calculation Sheet'!$AF$4:$AF$40=$FI$32)*($PY$6:$PY$42=1))&gt;0)</f>
        <v>#N/A</v>
      </c>
      <c r="QA32" t="e">
        <f>$QA$31+--($PZ32)</f>
        <v>#N/A</v>
      </c>
      <c r="QB32" t="e">
        <f t="shared" si="138"/>
        <v>#N/A</v>
      </c>
      <c r="QC32">
        <f>IF(COUNTIF('Buyer Groups'!DG32:EL32,0)+COUNTIF('Buyer Groups'!EN32:EN32,0)&gt;0,0,1)</f>
        <v>1</v>
      </c>
      <c r="QD32" t="e">
        <f>IF($FN$32="",FALSE,SUMPRODUCT(('Final Calculation Sheet'!$AG$4:$AG$40=$FN$32)*($QC$6:$QC$42=1))&gt;0)</f>
        <v>#N/A</v>
      </c>
      <c r="QE32" t="e">
        <f>$QE$31+--($QD32)</f>
        <v>#N/A</v>
      </c>
      <c r="QF32" t="e">
        <f t="shared" si="139"/>
        <v>#N/A</v>
      </c>
      <c r="QG32">
        <f>IF(COUNTIF('Buyer Groups'!DG32:EM32,0)&gt;0,0,1)</f>
        <v>1</v>
      </c>
      <c r="QH32" t="e">
        <f>IF($FS$32="",FALSE,SUMPRODUCT(('Final Calculation Sheet'!$AH$4:$AH$40=$FS$32)*($QG$6:$QG$42=1))&gt;0)</f>
        <v>#N/A</v>
      </c>
      <c r="QI32" t="e">
        <f>$QI$31+--($QH32)</f>
        <v>#N/A</v>
      </c>
      <c r="QJ32" t="e">
        <f t="shared" si="140"/>
        <v>#N/A</v>
      </c>
      <c r="QK32" t="str">
        <f>IF('Final Calculation Sheet'!$AH$32="","",'Final Calculation Sheet'!$AH$32)</f>
        <v>27.08.2026</v>
      </c>
      <c r="QL32">
        <f>IF(QK32="","",COUNTIFS(QK$4:QK$40,"&lt;"&amp;QK32,QK$4:QK$40,"&lt;&gt;"&amp;"")+COUNTIF(QK$4:QK32,QK32))</f>
        <v>35</v>
      </c>
      <c r="QM32" t="str">
        <f t="shared" si="141"/>
        <v>27.08.2026</v>
      </c>
      <c r="QN32" t="e">
        <f ca="1">QN31+F(AND(QM32&lt;&gt;"",COUNTIF(QM$4:QM32,QM32)=1),1,0)</f>
        <v>#N/A</v>
      </c>
      <c r="QO32" t="e">
        <f t="shared" si="142"/>
        <v>#N/A</v>
      </c>
      <c r="QP32">
        <f>IF(COUNTIF('Final Calculation Sheet'!$AM32:$BS32,0)&gt;0,0,1)</f>
        <v>1</v>
      </c>
      <c r="QQ32" t="b">
        <f>IF($AI$32="",FALSE,SUMPRODUCT(('Final Calculation Sheet'!$A$4:$A$40=$AI$32)*($QP$4:$QP$40=1))&gt;0)</f>
        <v>0</v>
      </c>
      <c r="QR32">
        <f t="shared" si="177"/>
        <v>22</v>
      </c>
      <c r="QS32" t="str">
        <f t="shared" si="143"/>
        <v/>
      </c>
      <c r="QT32">
        <f>IF(COUNTIF('Final Calculation Sheet'!$AL32:$AL32,0)+COUNTIF('Final Calculation Sheet'!$AN32:$BS32,0)&gt;0,0,1)</f>
        <v>1</v>
      </c>
      <c r="QU32" t="b">
        <f>IF($Y$32="",FALSE,SUMPRODUCT(('Final Calculation Sheet'!$B$4:$B$40=$Y$32)*($QT$4:$QT$40=1))&gt;0)</f>
        <v>0</v>
      </c>
      <c r="QV32">
        <f t="shared" si="178"/>
        <v>25</v>
      </c>
      <c r="QW32" t="str">
        <f t="shared" si="144"/>
        <v/>
      </c>
      <c r="QX32">
        <f>IF(COUNTIF('Final Calculation Sheet'!$AL32:$AM32,0)+COUNTIF('Final Calculation Sheet'!$AO32:$BS32,0)&gt;0,0,1)</f>
        <v>1</v>
      </c>
      <c r="QY32" t="b">
        <f>IF($AS$32="",FALSE,SUMPRODUCT(('Final Calculation Sheet'!$C$4:$C$40=$AS$32)*($QX$4:$QX$40=1))&gt;0)</f>
        <v>1</v>
      </c>
      <c r="QZ32">
        <f t="shared" si="179"/>
        <v>29</v>
      </c>
      <c r="RA32">
        <f t="shared" si="145"/>
        <v>83743</v>
      </c>
      <c r="RB32">
        <f>IF(COUNTIF('Final Calculation Sheet'!$AL32:$AN32,0)+COUNTIF('Final Calculation Sheet'!$AP32:$BS32,0)&gt;0,0,1)</f>
        <v>1</v>
      </c>
      <c r="RC32" t="b">
        <f>IF($AD$32="",FALSE,SUMPRODUCT(('Final Calculation Sheet'!$D$4:$D$40=$AD$32)*($RB$4:$RB$40=1))&gt;0)</f>
        <v>0</v>
      </c>
      <c r="RD32">
        <f t="shared" si="180"/>
        <v>4</v>
      </c>
      <c r="RE32" t="str">
        <f t="shared" si="146"/>
        <v/>
      </c>
      <c r="RF32">
        <f>IF(COUNTIF('Final Calculation Sheet'!$AL32:$AO32,0)+COUNTIF('Final Calculation Sheet'!$AQ32:$BS32,0)&gt;0,0,1)</f>
        <v>1</v>
      </c>
      <c r="RG32" t="b">
        <f>IF($AN$32="",FALSE,SUMPRODUCT(('Final Calculation Sheet'!$E$4:$E$40=$AN$32)*($RF$4:$RF$40=1))&gt;0)</f>
        <v>0</v>
      </c>
      <c r="RH32">
        <f t="shared" si="181"/>
        <v>3</v>
      </c>
      <c r="RI32" t="str">
        <f t="shared" si="147"/>
        <v/>
      </c>
      <c r="RJ32">
        <f>IF(COUNTIF('Final Calculation Sheet'!$AL32:$AP32,0)+COUNTIF('Final Calculation Sheet'!$AR32:$BS32,0)&gt;0,0,1)</f>
        <v>1</v>
      </c>
      <c r="RK32" t="b">
        <f>IF($O$32="",FALSE,SUMPRODUCT(('Final Calculation Sheet'!$F$4:$F$40=$O$32)*($RJ$4:$RJ$40=1))&gt;0)</f>
        <v>1</v>
      </c>
      <c r="RL32">
        <f t="shared" si="182"/>
        <v>29</v>
      </c>
      <c r="RM32">
        <f t="shared" si="148"/>
        <v>2055</v>
      </c>
      <c r="RN32">
        <f>IF(COUNTIF('Final Calculation Sheet'!$AL32:$AQ32,0)+COUNTIF('Final Calculation Sheet'!$AS32:$BS32,0)&gt;0,0,1)</f>
        <v>1</v>
      </c>
      <c r="RO32" t="b">
        <f>IF($T$32="",FALSE,SUMPRODUCT(('Final Calculation Sheet'!$G$4:$G$40=$T$32)*($RN$4:$RN$40=1))&gt;0)</f>
        <v>0</v>
      </c>
      <c r="RP32">
        <f t="shared" si="183"/>
        <v>13</v>
      </c>
      <c r="RQ32" t="str">
        <f t="shared" si="149"/>
        <v/>
      </c>
      <c r="RR32">
        <f>IF(COUNTIF('Final Calculation Sheet'!$AL32:$AR32,0)+COUNTIF('Final Calculation Sheet'!$AT32:$BS32,0)&gt;0,0,1)</f>
        <v>1</v>
      </c>
      <c r="RS32" t="b">
        <f>IF($AX$32="",FALSE,SUMPRODUCT(('Final Calculation Sheet'!$H$4:$H$40=$AX$32)*($RR$4:$RR$40=1))&gt;0)</f>
        <v>1</v>
      </c>
      <c r="RT32">
        <f t="shared" si="184"/>
        <v>29</v>
      </c>
      <c r="RU32">
        <f t="shared" si="150"/>
        <v>330600</v>
      </c>
      <c r="RV32">
        <f>IF(COUNTIF('Final Calculation Sheet'!$AL32:$AS32,0)+COUNTIF('Final Calculation Sheet'!$AU32:$BS32,0)&gt;0,0,1)</f>
        <v>1</v>
      </c>
      <c r="RW32" t="b">
        <f>IF($BC$32="",FALSE,SUMPRODUCT(('Final Calculation Sheet'!$I$4:$I$40=$BC$32)*($RV$4:$RV$40=1))&gt;0)</f>
        <v>1</v>
      </c>
      <c r="RX32">
        <f t="shared" si="185"/>
        <v>29</v>
      </c>
      <c r="RY32">
        <f t="shared" si="151"/>
        <v>59508</v>
      </c>
      <c r="RZ32">
        <f>IF(COUNTIF('Final Calculation Sheet'!$AL32:$AT32,0)+COUNTIF('Final Calculation Sheet'!$AV32:$BS32,0)&gt;0,0,1)</f>
        <v>1</v>
      </c>
      <c r="SA32" t="b">
        <f>IF($BH$32="",FALSE,SUMPRODUCT(('Final Calculation Sheet'!$J$4:$J$40=$BH$32)*($RZ$4:$RZ$40=1))&gt;0)</f>
        <v>1</v>
      </c>
      <c r="SB32">
        <f t="shared" si="186"/>
        <v>29</v>
      </c>
      <c r="SC32">
        <f t="shared" si="152"/>
        <v>390108</v>
      </c>
      <c r="SD32">
        <f>IF(COUNTIF('Final Calculation Sheet'!$AL32:$AU32,0)+COUNTIF('Final Calculation Sheet'!$AW32:$BS32,0)&gt;0,0,1)</f>
        <v>1</v>
      </c>
      <c r="SE32" t="b">
        <f>IF($BM$32="",FALSE,SUMPRODUCT(('Final Calculation Sheet'!$K$4:$K$40=$BM$32)*($SD$4:$SD$40=1))&gt;0)</f>
        <v>1</v>
      </c>
      <c r="SF32">
        <f t="shared" si="187"/>
        <v>29</v>
      </c>
      <c r="SG32">
        <f t="shared" si="153"/>
        <v>9440</v>
      </c>
      <c r="SH32">
        <f>IF(COUNTIF('Final Calculation Sheet'!$AL32:$AV32,0)+COUNTIF('Final Calculation Sheet'!$AX32:$BS32,0)&gt;0,0,1)</f>
        <v>1</v>
      </c>
      <c r="SI32" t="b">
        <f>IF($BR$32="",FALSE,SUMPRODUCT(('Final Calculation Sheet'!$L$4:$L$40=$BR$32)*($SH$4:$SH$40=1))&gt;0)</f>
        <v>1</v>
      </c>
      <c r="SJ32">
        <f t="shared" si="188"/>
        <v>29</v>
      </c>
      <c r="SK32">
        <f t="shared" si="154"/>
        <v>330.6</v>
      </c>
      <c r="SL32">
        <f>IF(COUNTIF('Final Calculation Sheet'!$AL32:$AW32,0)+COUNTIF('Final Calculation Sheet'!$AY32:$BS32,0)&gt;0,0,1)</f>
        <v>1</v>
      </c>
      <c r="SM32" t="b">
        <f>IF($BW$32="",FALSE,SUMPRODUCT(('Final Calculation Sheet'!$M$4:$M$40=$BW$32)*($SL$4:$SL$40=1))&gt;0)</f>
        <v>1</v>
      </c>
      <c r="SN32">
        <f t="shared" si="189"/>
        <v>29</v>
      </c>
      <c r="SO32">
        <f t="shared" si="155"/>
        <v>8777.43</v>
      </c>
      <c r="SP32">
        <f>IF(COUNTIF('Final Calculation Sheet'!$AL32:$AX32,0)+COUNTIF('Final Calculation Sheet'!$AZ32:$BS32,0)&gt;0,0,1)</f>
        <v>1</v>
      </c>
      <c r="SQ32" t="b">
        <f>IF($CB$32="",FALSE,SUMPRODUCT(('Final Calculation Sheet'!$N$4:$N$40=$CB$32)*($SP$4:$SP$40=1))&gt;0)</f>
        <v>1</v>
      </c>
      <c r="SR32">
        <f t="shared" si="190"/>
        <v>29</v>
      </c>
      <c r="SS32">
        <f t="shared" si="156"/>
        <v>148.77000000000001</v>
      </c>
      <c r="ST32">
        <f>IF(COUNTIF('Final Calculation Sheet'!$AL32:$AY32,0)+COUNTIF('Final Calculation Sheet'!$BA32:$BS32,0)&gt;0,0,1)</f>
        <v>1</v>
      </c>
      <c r="SU32" t="b">
        <f>IF($CG$32="",FALSE,SUMPRODUCT(('Final Calculation Sheet'!$O$4:$O$40=$CG$32)*($ST$4:$ST$40=1))&gt;0)</f>
        <v>1</v>
      </c>
      <c r="SV32">
        <f t="shared" si="191"/>
        <v>29</v>
      </c>
      <c r="SW32">
        <f t="shared" si="157"/>
        <v>8628.66</v>
      </c>
      <c r="SX32">
        <f>IF(COUNTIF('Final Calculation Sheet'!$AL32:$AZ32,0)+COUNTIF('Final Calculation Sheet'!$BB32:$BS32,0)&gt;0,0,1)</f>
        <v>1</v>
      </c>
      <c r="SY32" t="b">
        <f>IF($CL$32="",FALSE,SUMPRODUCT(('Final Calculation Sheet'!$P$4:$P$40=$CL$32)*($SX$4:$SX$40=1))&gt;0)</f>
        <v>1</v>
      </c>
      <c r="SZ32">
        <f t="shared" si="192"/>
        <v>29</v>
      </c>
      <c r="TA32">
        <f t="shared" si="158"/>
        <v>10840</v>
      </c>
      <c r="TB32">
        <f>IF(COUNTIF('Final Calculation Sheet'!$AL32:$BA32,0)+COUNTIF('Final Calculation Sheet'!$BC32:$BS32,0)&gt;0,0,1)</f>
        <v>1</v>
      </c>
      <c r="TC32" t="b">
        <f>IF($CQ$32="",FALSE,SUMPRODUCT(('Final Calculation Sheet'!$Q$4:$Q$40=$CQ$32)*($TB$4:$TB$40=1))&gt;0)</f>
        <v>0</v>
      </c>
      <c r="TD32">
        <f t="shared" si="193"/>
        <v>2</v>
      </c>
      <c r="TE32" t="str">
        <f t="shared" si="159"/>
        <v/>
      </c>
      <c r="TF32">
        <f>IF(COUNTIF('Final Calculation Sheet'!$AL32:$BB32,0)+COUNTIF('Final Calculation Sheet'!$BD32:$BS32,0)&gt;0,0,1)</f>
        <v>1</v>
      </c>
      <c r="TG32" t="b">
        <f>IF($CV$32="",FALSE,SUMPRODUCT(('Final Calculation Sheet'!$R$4:$R$40=$CV$32)*($TF$4:$TF$40=1))&gt;0)</f>
        <v>0</v>
      </c>
      <c r="TH32">
        <f t="shared" si="194"/>
        <v>5</v>
      </c>
      <c r="TI32" t="str">
        <f t="shared" si="160"/>
        <v/>
      </c>
      <c r="TJ32">
        <f>IF(COUNTIF('Final Calculation Sheet'!$AL32:$BC32,0)+COUNTIF('Final Calculation Sheet'!$BE32:$BS32,0)&gt;0,0,1)</f>
        <v>1</v>
      </c>
      <c r="TK32" t="b">
        <f>IF($DA$32="",FALSE,SUMPRODUCT(('Final Calculation Sheet'!$S$4:$S$40=$DA$32)*($TJ$4:$TJ$40=1))&gt;0)</f>
        <v>1</v>
      </c>
      <c r="TL32">
        <f t="shared" si="195"/>
        <v>29</v>
      </c>
      <c r="TM32">
        <f t="shared" si="161"/>
        <v>388951</v>
      </c>
      <c r="TN32">
        <f>IF(COUNTIF('Final Calculation Sheet'!$AL32:$BD32,0)+COUNTIF('Final Calculation Sheet'!$BF32:$BS32,0)&gt;0,0,1)</f>
        <v>1</v>
      </c>
      <c r="TO32" t="b">
        <f>IF($DF$32="",FALSE,SUMPRODUCT(('Final Calculation Sheet'!$T$4:$T$40=$DF$32)*($TN$4:$TN$40=1))&gt;0)</f>
        <v>1</v>
      </c>
      <c r="TP32">
        <f t="shared" si="196"/>
        <v>29</v>
      </c>
      <c r="TQ32">
        <f t="shared" si="162"/>
        <v>82650</v>
      </c>
      <c r="TR32">
        <f>IF(COUNTIF('Final Calculation Sheet'!$AL32:$BE32,0)+COUNTIF('Final Calculation Sheet'!$BG32:$BS32,0)&gt;0,0,1)</f>
        <v>1</v>
      </c>
      <c r="TS32" t="b">
        <f>IF($DK$32="",FALSE,SUMPRODUCT(('Final Calculation Sheet'!$U$4:$U$40=$DK$32)*($TR$4:$TR$40=1))&gt;0)</f>
        <v>1</v>
      </c>
      <c r="TT32">
        <f t="shared" si="197"/>
        <v>29</v>
      </c>
      <c r="TU32">
        <f t="shared" si="163"/>
        <v>82650</v>
      </c>
      <c r="TV32">
        <f>IF(COUNTIF('Final Calculation Sheet'!$AL32:$BF32,0)+COUNTIF('Final Calculation Sheet'!$BH32:$BS32,0)&gt;0,0,1)</f>
        <v>1</v>
      </c>
      <c r="TW32" t="b">
        <f>IF($DP$32="",FALSE,SUMPRODUCT(('Final Calculation Sheet'!$V$4:$V$40=$DP$32)*($TV$4:$TV$40=1))&gt;0)</f>
        <v>0</v>
      </c>
      <c r="TX32">
        <f t="shared" si="198"/>
        <v>6</v>
      </c>
      <c r="TY32" t="str">
        <f t="shared" si="164"/>
        <v/>
      </c>
      <c r="TZ32">
        <f>IF(COUNTIF('Final Calculation Sheet'!$AL32:$BG32,0)+COUNTIF('Final Calculation Sheet'!$BI32:$BS32,0)&gt;0,0,1)</f>
        <v>1</v>
      </c>
      <c r="UA32" t="b">
        <f>IF($DU$32="",FALSE,SUMPRODUCT(('Final Calculation Sheet'!$W$4:$W$40=$DU$32)*($TZ$4:$TZ$40=1))&gt;0)</f>
        <v>1</v>
      </c>
      <c r="UB32">
        <f t="shared" si="199"/>
        <v>29</v>
      </c>
      <c r="UC32">
        <f t="shared" si="165"/>
        <v>306301</v>
      </c>
      <c r="UD32">
        <f>IF(COUNTIF('Final Calculation Sheet'!$AL32:$BH32,0)+COUNTIF('Final Calculation Sheet'!$BJ32:$BS32,0)&gt;0,0,1)</f>
        <v>1</v>
      </c>
      <c r="UE32" t="e">
        <f>IF($DZ$32="",FALSE,SUMPRODUCT(('Final Calculation Sheet'!$X$4:$X$40=$DZ$32)*($UD$4:$UD$40=1))&gt;0)</f>
        <v>#N/A</v>
      </c>
      <c r="UF32" t="e">
        <f t="shared" si="200"/>
        <v>#N/A</v>
      </c>
      <c r="UG32" t="e">
        <f t="shared" si="166"/>
        <v>#N/A</v>
      </c>
      <c r="UH32">
        <f>IF(COUNTIF('Final Calculation Sheet'!$AL32:$BI32,0)+COUNTIF('Final Calculation Sheet'!$BK32:$BS32,0)&gt;0,0,1)</f>
        <v>1</v>
      </c>
      <c r="UI32" t="e">
        <f>IF($EE$32="",FALSE,SUMPRODUCT(('Final Calculation Sheet'!$Y$4:$Y$40=$EE$32)*($UH$4:$UH$40=1))&gt;0)</f>
        <v>#N/A</v>
      </c>
      <c r="UJ32" t="e">
        <f t="shared" si="201"/>
        <v>#N/A</v>
      </c>
      <c r="UK32" t="e">
        <f t="shared" si="167"/>
        <v>#N/A</v>
      </c>
      <c r="UL32">
        <f>IF(COUNTIF('Final Calculation Sheet'!$AL32:$BJ32,0)+COUNTIF('Final Calculation Sheet'!$BL32:$BS32,0)&gt;0,0,1)</f>
        <v>1</v>
      </c>
      <c r="UM32" t="b">
        <f ca="1">IF($EJ$32="",FALSE,SUMPRODUCT(('Final Calculation Sheet'!$Z$4:$Z$40=$EJ$32)*($UL$4:$UL$40=1))&gt;0)</f>
        <v>1</v>
      </c>
      <c r="UN32">
        <f t="shared" ca="1" si="202"/>
        <v>29</v>
      </c>
      <c r="UO32">
        <f t="shared" ca="1" si="168"/>
        <v>11703.24</v>
      </c>
      <c r="UP32">
        <f>IF(COUNTIF('Final Calculation Sheet'!$AL32:$BK32,0)+COUNTIF('Final Calculation Sheet'!$BM32:$BS32,0)&gt;0,0,1)</f>
        <v>1</v>
      </c>
      <c r="UQ32" t="e">
        <f>IF($EO$32="",FALSE,SUMPRODUCT(('Final Calculation Sheet'!$AA$4:$AA$40=$EO$32)*($UP$4:$UP$40=1))&gt;0)</f>
        <v>#N/A</v>
      </c>
      <c r="UR32" t="e">
        <f t="shared" si="203"/>
        <v>#N/A</v>
      </c>
      <c r="US32" t="e">
        <f t="shared" si="169"/>
        <v>#N/A</v>
      </c>
      <c r="UT32">
        <f>IF(COUNTIF('Final Calculation Sheet'!$AL32:$BL32,0)+COUNTIF('Final Calculation Sheet'!$BN32:$BS32,0)&gt;0,0,1)</f>
        <v>1</v>
      </c>
      <c r="UU32" t="e">
        <f>IF($ET$32="",FALSE,SUMPRODUCT(('Final Calculation Sheet'!$AB$4:$AB$40=$ET$32)*($UT$4:$UT$40=1))&gt;0)</f>
        <v>#N/A</v>
      </c>
      <c r="UV32" t="e">
        <f t="shared" si="204"/>
        <v>#N/A</v>
      </c>
      <c r="UW32" t="e">
        <f t="shared" si="170"/>
        <v>#N/A</v>
      </c>
      <c r="UX32">
        <f>IF(COUNTIF('Final Calculation Sheet'!$AL32:$BM32,0)+COUNTIF('Final Calculation Sheet'!$BO32:$BS32,0)&gt;0,0,1)</f>
        <v>1</v>
      </c>
      <c r="UY32" t="b">
        <f>IF($EY$32="",FALSE,SUMPRODUCT(('Final Calculation Sheet'!$AC$4:$AC$40=$EY$32)*($UX$4:$UX$40=1))&gt;0)</f>
        <v>1</v>
      </c>
      <c r="UZ32">
        <f t="shared" si="205"/>
        <v>29</v>
      </c>
      <c r="VA32">
        <f t="shared" si="171"/>
        <v>295571</v>
      </c>
      <c r="VB32">
        <f>IF(COUNTIF('Final Calculation Sheet'!$AL32:$BN32,0)+COUNTIF('Final Calculation Sheet'!$BP32:$BS32,0)&gt;0,0,1)</f>
        <v>1</v>
      </c>
      <c r="VC32" t="b">
        <f>IF($FD$32="",FALSE,SUMPRODUCT(('Final Calculation Sheet'!$AD$4:$AD$40=$FD$32)*($VB$4:$VB$40=1))&gt;0)</f>
        <v>0</v>
      </c>
      <c r="VD32">
        <f t="shared" si="206"/>
        <v>11</v>
      </c>
      <c r="VE32" t="str">
        <f t="shared" si="172"/>
        <v/>
      </c>
      <c r="VF32">
        <f>IF(COUNTIF('Final Calculation Sheet'!$AL32:$BO32,0)+COUNTIF('Final Calculation Sheet'!$BQ32:$BS32,0)&gt;0,0,1)</f>
        <v>1</v>
      </c>
      <c r="VG32" t="e">
        <f>IF($FI$32="",FALSE,SUMPRODUCT(('Final Calculation Sheet'!$AE$4:$AE$40=$FI$32)*($VF$4:$VF$40=1))&gt;0)</f>
        <v>#N/A</v>
      </c>
      <c r="VH32" t="e">
        <f t="shared" si="207"/>
        <v>#N/A</v>
      </c>
      <c r="VI32" t="e">
        <f t="shared" si="173"/>
        <v>#N/A</v>
      </c>
      <c r="VJ32">
        <f>IF(COUNTIF('Final Calculation Sheet'!$AL32:$BP32,0)+COUNTIF('Final Calculation Sheet'!$BR32:$BS32,0)&gt;0,0,1)</f>
        <v>1</v>
      </c>
      <c r="VK32" t="e">
        <f>IF($FN$32="",FALSE,SUMPRODUCT(('Final Calculation Sheet'!$AF$4:$AF$40=$FN$32)*($VJ$4:$VJ$40=1))&gt;0)</f>
        <v>#N/A</v>
      </c>
      <c r="VL32" t="e">
        <f t="shared" si="208"/>
        <v>#N/A</v>
      </c>
      <c r="VM32" t="e">
        <f t="shared" si="174"/>
        <v>#N/A</v>
      </c>
      <c r="VN32">
        <f>IF(COUNTIF('Final Calculation Sheet'!$AL32:$BQ32,0)+COUNTIF('Final Calculation Sheet'!$BS32:$BS32,0)&gt;0,0,1)</f>
        <v>1</v>
      </c>
      <c r="VO32" t="e">
        <f>IF($FS$32="",FALSE,SUMPRODUCT(('Final Calculation Sheet'!$AG$4:$AG$40=$FS$32)*($VN$4:$VN$40=1))&gt;0)</f>
        <v>#N/A</v>
      </c>
      <c r="VP32" t="e">
        <f t="shared" si="209"/>
        <v>#N/A</v>
      </c>
      <c r="VQ32" t="e">
        <f t="shared" si="175"/>
        <v>#N/A</v>
      </c>
      <c r="VR32">
        <f>IF(COUNTIF('Final Calculation Sheet'!$AL32:$BR32,0)&gt;0,0,1)</f>
        <v>1</v>
      </c>
      <c r="VS32" t="e">
        <f>IF($QO$32="",FALSE,SUMPRODUCT(('Final Calculation Sheet'!$AH$4:$AH$40=$QO$32)*($VR$4:$VR$40=1))&gt;0)</f>
        <v>#N/A</v>
      </c>
      <c r="VT32" t="e">
        <f t="shared" si="210"/>
        <v>#N/A</v>
      </c>
      <c r="VU32" t="e">
        <f t="shared" si="176"/>
        <v>#N/A</v>
      </c>
    </row>
    <row r="33" spans="1:593" x14ac:dyDescent="0.3">
      <c r="A33">
        <f>IF('Final Calculation Sheet'!$F$33="","",'Final Calculation Sheet'!$F$33)</f>
        <v>2059</v>
      </c>
      <c r="B33">
        <f>IF(A33="","",COUNTIFS(A$4:A$114,"&lt;"&amp;A33,A$4:A$114,"&lt;&gt;"&amp;"")+COUNTIF(A$4:A33,A33))</f>
        <v>30</v>
      </c>
      <c r="C33">
        <f t="shared" si="0"/>
        <v>2059</v>
      </c>
      <c r="D33">
        <f>D32+IF(AND(C33&lt;&gt;"",COUNTIF(C$4:C33,C33)=1),1,0)</f>
        <v>30</v>
      </c>
      <c r="E33" t="e">
        <f t="shared" si="1"/>
        <v>#N/A</v>
      </c>
      <c r="F33">
        <f t="shared" si="2"/>
        <v>30</v>
      </c>
      <c r="G33">
        <f>IF(F33="","",COUNTIFS(F$4:F$40,"&lt;"&amp;F33,F$4:F$40,"&lt;&gt;"&amp;"")+COUNTIF(F$4:F33,F33))</f>
        <v>30</v>
      </c>
      <c r="H33">
        <f t="shared" si="3"/>
        <v>30</v>
      </c>
      <c r="I33">
        <f>I32+IF(AND(H33&lt;&gt;"",COUNTIF(H$4:H33,H33)=1),1,0)</f>
        <v>30</v>
      </c>
      <c r="J33">
        <f t="shared" si="4"/>
        <v>30</v>
      </c>
      <c r="K33">
        <f>IF('Final Calculation Sheet'!$F$33="","",'Final Calculation Sheet'!$F$33)</f>
        <v>2059</v>
      </c>
      <c r="L33">
        <f>IF(K33="","",COUNTIFS(K$4:K$40,"&lt;"&amp;K33,K$4:K$40,"&lt;&gt;"&amp;"")+COUNTIF(K$4:K33,K33))</f>
        <v>30</v>
      </c>
      <c r="M33">
        <f t="shared" si="5"/>
        <v>2059</v>
      </c>
      <c r="N33">
        <f>N32+IF(AND(M33&lt;&gt;"",COUNTIF(M$4:M33,M33)=1),1,0)</f>
        <v>30</v>
      </c>
      <c r="O33">
        <f t="shared" si="6"/>
        <v>2059</v>
      </c>
      <c r="P33" t="str">
        <f>IF('Final Calculation Sheet'!$G$33="","",'Final Calculation Sheet'!$G$33)</f>
        <v>NATIONAL ENTERPRISES</v>
      </c>
      <c r="Q33">
        <f>IF(P33="","",COUNTIFS(P$4:P$40,"&lt;"&amp;P33,P$4:P$40,"&lt;&gt;"&amp;"")+COUNTIF(P$4:P33,P33))</f>
        <v>18</v>
      </c>
      <c r="R33" t="str">
        <f t="shared" si="7"/>
        <v>STERLING ENTERPRISES</v>
      </c>
      <c r="S33">
        <f>S32+IF(AND(R33&lt;&gt;"",COUNTIF(R$4:R33,R33)=1),1,0)</f>
        <v>12</v>
      </c>
      <c r="T33" t="str">
        <f t="shared" si="8"/>
        <v/>
      </c>
      <c r="U33" t="str">
        <f>IF('Final Calculation Sheet'!$B$33="","",'Final Calculation Sheet'!$B$33)</f>
        <v>Scrap of 33 KV GCB</v>
      </c>
      <c r="V33">
        <f>IF(U33="","",COUNTIFS(U$4:U$40,"&lt;"&amp;U33,U$4:U$40,"&lt;&gt;"&amp;"")+COUNTIF(U$4:U33,U33))</f>
        <v>21</v>
      </c>
      <c r="W33" t="str">
        <f t="shared" si="9"/>
        <v>Scrap of Empty oil Barrels</v>
      </c>
      <c r="X33">
        <f>X32+IF(AND(W33&lt;&gt;"",COUNTIF(W$4:W33,W33)=1),1,0)</f>
        <v>20</v>
      </c>
      <c r="Y33" t="str">
        <f t="shared" si="10"/>
        <v/>
      </c>
      <c r="Z33">
        <f>IF('Final Calculation Sheet'!$D$33="","",'Final Calculation Sheet'!$D$33)</f>
        <v>21979</v>
      </c>
      <c r="AA33">
        <f>IF(Z33="","",COUNTIFS(Z$4:Z$40,"&lt;"&amp;Z33,Z$4:Z$40,"&lt;&gt;"&amp;"")+COUNTIF(Z$4:Z33,Z33))</f>
        <v>28</v>
      </c>
      <c r="AB33">
        <f t="shared" si="11"/>
        <v>21980</v>
      </c>
      <c r="AC33">
        <f>AC32+IF(AND(AB33&lt;&gt;"",COUNTIF(AB$4:AB33,AB33)=1),1,0)</f>
        <v>4</v>
      </c>
      <c r="AD33" t="str">
        <f t="shared" si="12"/>
        <v/>
      </c>
      <c r="AE33">
        <f>IF('Final Calculation Sheet'!$A$33="","",'Final Calculation Sheet'!$A$33)</f>
        <v>1</v>
      </c>
      <c r="AF33">
        <f>IF(AE33="","",COUNTIFS(AE$4:AE$40,"&lt;"&amp;AE33,AE$4:AE$40,"&lt;&gt;"&amp;"")+COUNTIF(AE$4:AE33,AE33))</f>
        <v>8</v>
      </c>
      <c r="AG33">
        <f t="shared" si="13"/>
        <v>250</v>
      </c>
      <c r="AH33">
        <f>AH32+IF(AND(AG33&lt;&gt;"",COUNTIF(AG$4:AG33,AG33)=1),1,0)</f>
        <v>15</v>
      </c>
      <c r="AI33" t="str">
        <f t="shared" si="14"/>
        <v/>
      </c>
      <c r="AJ33" t="str">
        <f>IF('Final Calculation Sheet'!$E$33="","",'Final Calculation Sheet'!$E$33)</f>
        <v>NO</v>
      </c>
      <c r="AK33">
        <f>IF(AJ33="","",COUNTIFS(AJ$4:AJ$40,"&lt;"&amp;AJ33,AJ$4:AJ$40,"&lt;&gt;"&amp;"")+COUNTIF(AJ$4:AJ33,AJ33))</f>
        <v>30</v>
      </c>
      <c r="AL33" t="str">
        <f t="shared" si="15"/>
        <v>NO</v>
      </c>
      <c r="AM33">
        <f>AM32+IF(AND(AL33&lt;&gt;"",COUNTIF(AL$4:AL33,AL33)=1),1,0)</f>
        <v>3</v>
      </c>
      <c r="AN33" t="str">
        <f t="shared" si="16"/>
        <v/>
      </c>
      <c r="AO33" s="50">
        <f>IF('Final Calculation Sheet'!$C$33="","",'Final Calculation Sheet'!$C$33)</f>
        <v>29502</v>
      </c>
      <c r="AP33">
        <f>IF(AO33="","",COUNTIFS(AO$4:AO$40,"&lt;"&amp;AO33,AO$4:AO$40,"&lt;&gt;"&amp;"")+COUNTIF(AO$4:AO33,AO33))</f>
        <v>20</v>
      </c>
      <c r="AQ33" s="50">
        <f t="shared" si="17"/>
        <v>80006</v>
      </c>
      <c r="AR33">
        <f>AR32+IF(AND(AQ33&lt;&gt;"",COUNTIF(AQ$4:AQ33,AQ33)=1),1,0)</f>
        <v>28</v>
      </c>
      <c r="AS33" s="50">
        <f t="shared" si="18"/>
        <v>90002</v>
      </c>
      <c r="AT33" s="50">
        <f>IF('Final Calculation Sheet'!$H$33="","",'Final Calculation Sheet'!$H$33)</f>
        <v>29502</v>
      </c>
      <c r="AU33">
        <f>IF(AT33="","",COUNTIFS(AT$4:AT$40,"&lt;"&amp;AT33,AT$4:AT$40,"&lt;&gt;"&amp;"")+COUNTIF(AT$4:AT33,AT33))</f>
        <v>6</v>
      </c>
      <c r="AV33" s="50">
        <f t="shared" si="19"/>
        <v>400000</v>
      </c>
      <c r="AW33">
        <f>AW32+IF(AND(AV33&lt;&gt;"",COUNTIF(AV$4:AV33,AV33)=1),1,0)</f>
        <v>30</v>
      </c>
      <c r="AX33" s="50">
        <f t="shared" si="20"/>
        <v>400000</v>
      </c>
      <c r="AY33" s="50">
        <f>IF('Final Calculation Sheet'!$I$33="","",'Final Calculation Sheet'!$I$33)</f>
        <v>5310</v>
      </c>
      <c r="AZ33">
        <f>IF(AY33="","",COUNTIFS(AY$4:AY$40,"&lt;"&amp;AY33,AY$4:AY$40,"&lt;&gt;"&amp;"")+COUNTIF(AY$4:AY33,AY33))</f>
        <v>6</v>
      </c>
      <c r="BA33" s="50">
        <f t="shared" si="21"/>
        <v>72000</v>
      </c>
      <c r="BB33">
        <f>BB32+IF(AND(BA33&lt;&gt;"",COUNTIF(BA$4:BA33,BA33)=1),1,0)</f>
        <v>30</v>
      </c>
      <c r="BC33" s="50">
        <f t="shared" si="22"/>
        <v>72000</v>
      </c>
      <c r="BD33" s="50">
        <f>IF('Final Calculation Sheet'!$J$33="","",'Final Calculation Sheet'!$J$33)</f>
        <v>34812</v>
      </c>
      <c r="BE33">
        <f>IF(BD33="","",COUNTIFS(BD$4:BD$40,"&lt;"&amp;BD33,BD$4:BD$40,"&lt;&gt;"&amp;"")+COUNTIF(BD$4:BD33,BD33))</f>
        <v>6</v>
      </c>
      <c r="BF33" s="50">
        <f t="shared" si="23"/>
        <v>472000</v>
      </c>
      <c r="BG33">
        <f>BG32+IF(AND(BF33&lt;&gt;"",COUNTIF(BF$4:BF33,BF33)=1),1,0)</f>
        <v>30</v>
      </c>
      <c r="BH33" s="50">
        <f t="shared" si="24"/>
        <v>472000</v>
      </c>
      <c r="BI33" s="50">
        <f>IF('Final Calculation Sheet'!$K$33="","",'Final Calculation Sheet'!$K$33)</f>
        <v>696</v>
      </c>
      <c r="BJ33">
        <f>IF(BI33="","",COUNTIFS(BI$4:BI$40,"&lt;"&amp;BI33,BI$4:BI$40,"&lt;&gt;"&amp;"")+COUNTIF(BI$4:BI33,BI33))</f>
        <v>6</v>
      </c>
      <c r="BK33" s="50">
        <f t="shared" si="25"/>
        <v>9440</v>
      </c>
      <c r="BL33">
        <f>BL32+IF(AND(BK33&lt;&gt;"",COUNTIF(BK$4:BK33,BK33)=1),1,0)</f>
        <v>29</v>
      </c>
      <c r="BM33" s="50">
        <f t="shared" si="26"/>
        <v>12201</v>
      </c>
      <c r="BN33" s="50">
        <f>IF('Final Calculation Sheet'!$L$33="","",'Final Calculation Sheet'!$L$33)</f>
        <v>29.501999999999999</v>
      </c>
      <c r="BO33">
        <f>IF(BN33="","",COUNTIFS(BN$4:BN$40,"&lt;"&amp;BN33,BN$4:BN$40,"&lt;&gt;"&amp;"")+COUNTIF(BN$4:BN33,BN33))</f>
        <v>6</v>
      </c>
      <c r="BP33" s="50">
        <f t="shared" si="27"/>
        <v>400</v>
      </c>
      <c r="BQ33">
        <f>BQ32+IF(AND(BP33&lt;&gt;"",COUNTIF(BP$4:BP33,BP33)=1),1,0)</f>
        <v>30</v>
      </c>
      <c r="BR33" s="50">
        <f t="shared" si="28"/>
        <v>400</v>
      </c>
      <c r="BS33" s="50">
        <f>IF('Final Calculation Sheet'!$M$33="","",'Final Calculation Sheet'!$M$33)</f>
        <v>783.27809999999988</v>
      </c>
      <c r="BT33">
        <f>IF(BS33="","",COUNTIFS(BS$4:BS$40,"&lt;"&amp;BS33,BS$4:BS$40,"&lt;&gt;"&amp;"")+COUNTIF(BS$4:BS33,BS33))</f>
        <v>6</v>
      </c>
      <c r="BU33" s="50">
        <f t="shared" si="29"/>
        <v>10620</v>
      </c>
      <c r="BV33">
        <f>BV32+IF(AND(BU33&lt;&gt;"",COUNTIF(BU$4:BU33,BU33)=1),1,0)</f>
        <v>30</v>
      </c>
      <c r="BW33" s="50">
        <f t="shared" si="30"/>
        <v>10620</v>
      </c>
      <c r="BX33" s="126">
        <f>IF('Final Calculation Sheet'!$N$33="","",'Final Calculation Sheet'!$N$33)</f>
        <v>13.2759</v>
      </c>
      <c r="BY33">
        <f>IF(BX33="","",COUNTIFS(BX$4:BX$40,"&lt;"&amp;BX33,BX$4:BX$40,"&lt;&gt;"&amp;"")+COUNTIF(BX$4:BX33,BX33))</f>
        <v>6</v>
      </c>
      <c r="BZ33" s="126">
        <f t="shared" si="31"/>
        <v>180</v>
      </c>
      <c r="CA33">
        <f>CA32+IF(AND(BZ33&lt;&gt;"",COUNTIF(BZ$4:BZ33,BZ33)=1),1,0)</f>
        <v>30</v>
      </c>
      <c r="CB33" s="126">
        <f t="shared" si="32"/>
        <v>180</v>
      </c>
      <c r="CC33" s="50">
        <f>IF('Final Calculation Sheet'!$O$33="","",'Final Calculation Sheet'!$O$33)</f>
        <v>770.0021999999999</v>
      </c>
      <c r="CD33">
        <f>IF(CC33="","",COUNTIFS(CC$4:CC$40,"&lt;"&amp;CC33,CC$4:CC$40,"&lt;&gt;"&amp;"")+COUNTIF(CC$4:CC33,CC33))</f>
        <v>6</v>
      </c>
      <c r="CE33" s="50">
        <f t="shared" si="33"/>
        <v>10440</v>
      </c>
      <c r="CF33">
        <f>CF32+IF(AND(CE33&lt;&gt;"",COUNTIF(CE$4:CE33,CE33)=1),1,0)</f>
        <v>30</v>
      </c>
      <c r="CG33" s="50">
        <f t="shared" si="34"/>
        <v>10440</v>
      </c>
      <c r="CH33" s="50">
        <f>IF('Final Calculation Sheet'!$P$33="","",'Final Calculation Sheet'!$P$33)</f>
        <v>800</v>
      </c>
      <c r="CI33">
        <f>IF(CH33="","",COUNTIFS(CH$4:CH$40,"&lt;"&amp;CH33,CH$4:CH$40,"&lt;&gt;"&amp;"")+COUNTIF(CH$4:CH33,CH33))</f>
        <v>6</v>
      </c>
      <c r="CJ33" s="50">
        <f t="shared" si="35"/>
        <v>10840</v>
      </c>
      <c r="CK33">
        <f>CK32+IF(AND(CJ33&lt;&gt;"",COUNTIF(CJ$4:CJ33,CJ33)=1),1,0)</f>
        <v>29</v>
      </c>
      <c r="CL33" s="50">
        <f t="shared" si="36"/>
        <v>14011</v>
      </c>
      <c r="CM33" s="127">
        <f>IF('Final Calculation Sheet'!$Q$33="","",'Final Calculation Sheet'!$Q$33)</f>
        <v>0</v>
      </c>
      <c r="CN33">
        <f>IF(CM33="","",COUNTIFS(CM$4:CM$40,"&lt;"&amp;CM33,CM$4:CM$40,"&lt;&gt;"&amp;"")+COUNTIF(CM$4:CM33,CM33))</f>
        <v>26</v>
      </c>
      <c r="CO33" s="127">
        <f t="shared" si="37"/>
        <v>0</v>
      </c>
      <c r="CP33">
        <f>CP32+IF(AND(CO33&lt;&gt;"",COUNTIF(CO$4:CO33,CO33)=1),1,0)</f>
        <v>1</v>
      </c>
      <c r="CQ33" t="str">
        <f t="shared" si="38"/>
        <v/>
      </c>
      <c r="CR33" s="50">
        <f>IF('Final Calculation Sheet'!$R$33="","",'Final Calculation Sheet'!$R$33)</f>
        <v>0</v>
      </c>
      <c r="CS33">
        <f>IF(CR33="","",COUNTIFS(CR$4:CR$40,"&lt;"&amp;CR33,CR$4:CR$40,"&lt;&gt;"&amp;"")+COUNTIF(CR$4:CR33,CR33))</f>
        <v>26</v>
      </c>
      <c r="CT33" s="50">
        <f t="shared" si="39"/>
        <v>0</v>
      </c>
      <c r="CU33">
        <f>CU32+IF(AND(CT33&lt;&gt;"",COUNTIF(CT$4:CT33,CT33)=1),1,0)</f>
        <v>1</v>
      </c>
      <c r="CV33" t="str">
        <f t="shared" si="40"/>
        <v/>
      </c>
      <c r="CW33" s="50">
        <f>IF('Final Calculation Sheet'!$S$33="","",'Final Calculation Sheet'!$S$33)</f>
        <v>34709</v>
      </c>
      <c r="CX33">
        <f>IF(CW33="","",COUNTIFS(CW$4:CW$40,"&lt;"&amp;CW33,CW$4:CW$40,"&lt;&gt;"&amp;"")+COUNTIF(CW$4:CW33,CW33))</f>
        <v>6</v>
      </c>
      <c r="CY33" s="50">
        <f t="shared" si="41"/>
        <v>470600</v>
      </c>
      <c r="CZ33">
        <f>CZ32+IF(AND(CY33&lt;&gt;"",COUNTIF(CY$4:CY33,CY33)=1),1,0)</f>
        <v>30</v>
      </c>
      <c r="DA33" s="50">
        <f t="shared" si="42"/>
        <v>470600</v>
      </c>
      <c r="DB33" s="50">
        <f>IF('Final Calculation Sheet'!$T$33="","",'Final Calculation Sheet'!$T$33)</f>
        <v>7376</v>
      </c>
      <c r="DC33">
        <f>IF(DB33="","",COUNTIFS(DB$4:DB$40,"&lt;"&amp;DB33,DB$4:DB$40,"&lt;&gt;"&amp;"")+COUNTIF(DB$4:DB33,DB33))</f>
        <v>6</v>
      </c>
      <c r="DD33" s="50">
        <f t="shared" si="43"/>
        <v>100000</v>
      </c>
      <c r="DE33">
        <f>DE32+IF(AND(DD33&lt;&gt;"",COUNTIF(DD$4:DD33,DD33)=1),1,0)</f>
        <v>30</v>
      </c>
      <c r="DF33" s="50">
        <f t="shared" si="44"/>
        <v>100000</v>
      </c>
      <c r="DG33" s="128">
        <f>IF('Final Calculation Sheet'!$U$33="","",'Final Calculation Sheet'!$U$33)</f>
        <v>7376</v>
      </c>
      <c r="DH33">
        <f>IF(DG33="","",COUNTIFS(DG$4:DG$40,"&lt;"&amp;DG33,DG$4:DG$40,"&lt;&gt;"&amp;"")+COUNTIF(DG$4:DG33,DG33))</f>
        <v>6</v>
      </c>
      <c r="DI33" s="128">
        <f t="shared" si="45"/>
        <v>100000</v>
      </c>
      <c r="DJ33">
        <f>DJ32+IF(AND(DI33&lt;&gt;"",COUNTIF(DI$4:DI33,DI33)=1),1,0)</f>
        <v>30</v>
      </c>
      <c r="DK33" s="128">
        <f t="shared" si="46"/>
        <v>100000</v>
      </c>
      <c r="DL33" t="str">
        <f>IF('Final Calculation Sheet'!$V$33="","",'Final Calculation Sheet'!$V$33)</f>
        <v>13.08.2026</v>
      </c>
      <c r="DM33">
        <f>IF(DL33="","",COUNTIFS(DL$4:DL$40,"&lt;"&amp;DL33,DL$4:DL$40,"&lt;&gt;"&amp;"")+COUNTIF(DL$4:DL33,DL33))</f>
        <v>25</v>
      </c>
      <c r="DN33" t="str">
        <f t="shared" si="47"/>
        <v>14.08.2026</v>
      </c>
      <c r="DO33">
        <f>DO32+IF(AND(DN33&lt;&gt;"",COUNTIF(DN$4:DN33,DN33)=1),1,0)</f>
        <v>4</v>
      </c>
      <c r="DP33" t="str">
        <f t="shared" si="48"/>
        <v/>
      </c>
      <c r="DQ33" s="50">
        <f>IF('Final Calculation Sheet'!$W$33="","",'Final Calculation Sheet'!$W$33)</f>
        <v>27334</v>
      </c>
      <c r="DR33">
        <f>IF(DQ33="","",COUNTIFS(DQ$4:DQ$40,"&lt;"&amp;DQ33,DQ$4:DQ$40,"&lt;&gt;"&amp;"")+COUNTIF(DQ$4:DQ33,DQ33))</f>
        <v>6</v>
      </c>
      <c r="DS33" s="50">
        <f t="shared" si="49"/>
        <v>370600</v>
      </c>
      <c r="DT33">
        <f>DT32+IF(AND(DS33&lt;&gt;"",COUNTIF(DS$4:DS33,DS33)=1),1,0)</f>
        <v>30</v>
      </c>
      <c r="DU33" s="50">
        <f t="shared" si="50"/>
        <v>370600</v>
      </c>
      <c r="DV33" s="50">
        <f>IF('Final Calculation Sheet'!$X$33="","",'Final Calculation Sheet'!$X$33)</f>
        <v>27332</v>
      </c>
      <c r="DW33">
        <f>IF(DV33="","",COUNTIFS(DV$4:DV$40,"&lt;"&amp;DV33,DV$4:DV$40,"&lt;&gt;"&amp;"")+COUNTIF(DV$4:DV33,DV33))</f>
        <v>6</v>
      </c>
      <c r="DX33" s="50">
        <f t="shared" si="51"/>
        <v>716216</v>
      </c>
      <c r="DY33">
        <f>DY32+IF(AND(DX33&lt;&gt;"",COUNTIF(DX$4:DX33,DX33)=1),1,0)</f>
        <v>30</v>
      </c>
      <c r="DZ33" t="e">
        <f t="shared" si="52"/>
        <v>#N/A</v>
      </c>
      <c r="EA33" t="str">
        <f>IF('Final Calculation Sheet'!$Y$33="","",'Final Calculation Sheet'!$Y$33)</f>
        <v>24.08.2026</v>
      </c>
      <c r="EB33">
        <f>IF(EA33="","",COUNTIFS(EA$4:EA$40,"&lt;"&amp;EA33,EA$4:EA$40,"&lt;&gt;"&amp;"")+COUNTIF(EA$4:EA33,EA33))</f>
        <v>33</v>
      </c>
      <c r="EC33" t="str">
        <f t="shared" si="53"/>
        <v>24.08.2026</v>
      </c>
      <c r="ED33">
        <f>ED32+IF(AND(EC33&lt;&gt;"",COUNTIF(EC$4:EC33,EC33)=1),1,0)</f>
        <v>9</v>
      </c>
      <c r="EE33" t="e">
        <f t="shared" si="54"/>
        <v>#N/A</v>
      </c>
      <c r="EF33" s="50">
        <f ca="1">IF('Final Calculation Sheet'!$Z$33="","",'Final Calculation Sheet'!$Z$33)</f>
        <v>1044.3708000000001</v>
      </c>
      <c r="EG33">
        <f ca="1">IF(EF33="","",COUNTIFS(EF$4:EF$40,"&lt;"&amp;EF33,EF$4:EF$40,"&lt;&gt;"&amp;"")+COUNTIF(EF$4:EF33,EF33))</f>
        <v>7</v>
      </c>
      <c r="EH33" s="50">
        <f t="shared" ca="1" si="55"/>
        <v>14160</v>
      </c>
      <c r="EI33">
        <f ca="1">EI32+IF(AND(EH33&lt;&gt;"",COUNTIF(EH$4:EH33,EH33)=1),1,0)</f>
        <v>30</v>
      </c>
      <c r="EJ33">
        <f t="shared" ca="1" si="56"/>
        <v>14160</v>
      </c>
      <c r="EK33" t="str">
        <f>IF('Final Calculation Sheet'!$AA$33="","",'Final Calculation Sheet'!$AA$33)</f>
        <v/>
      </c>
      <c r="EL33" t="str">
        <f>IF(EK33="","",COUNTIFS(EK$4:EK$40,"&lt;"&amp;EK33,EK$4:EK$40,"&lt;&gt;"&amp;"")+COUNTIF(EK$4:EK33,EK33))</f>
        <v/>
      </c>
      <c r="EM33" t="e">
        <f t="shared" si="57"/>
        <v>#N/A</v>
      </c>
      <c r="EN33" t="e">
        <f>EN32+IF(AND(EM33&lt;&gt;"",COUNTIF(EM$4:EM33,EM33)=1),1,0)</f>
        <v>#N/A</v>
      </c>
      <c r="EO33" t="e">
        <f t="shared" si="58"/>
        <v>#N/A</v>
      </c>
      <c r="EP33" t="str">
        <f>IF('Final Calculation Sheet'!$AB$33="","",'Final Calculation Sheet'!$AB$33)</f>
        <v/>
      </c>
      <c r="EQ33" t="str">
        <f>IF(EP33="","",COUNTIFS(EP$4:EP$40,"&lt;"&amp;EP33,EP$4:EP$40,"&lt;&gt;"&amp;"")+COUNTIF(EP$4:EP33,EP33))</f>
        <v/>
      </c>
      <c r="ER33" t="e">
        <f t="shared" si="59"/>
        <v>#N/A</v>
      </c>
      <c r="ES33" t="e">
        <f>ES32+IF(AND(ER33&lt;&gt;"",COUNTIF(ER$4:ER33,ER33)=1),1,0)</f>
        <v>#N/A</v>
      </c>
      <c r="ET33" t="e">
        <f t="shared" si="60"/>
        <v>#N/A</v>
      </c>
      <c r="EU33" s="50">
        <f>IF('Final Calculation Sheet'!$AC$33="","",'Final Calculation Sheet'!$AC$33)</f>
        <v>34708</v>
      </c>
      <c r="EV33">
        <f>IF(EU33="","",COUNTIFS(EU$4:EU$40,"&lt;"&amp;EU33,EU$4:EU$40,"&lt;&gt;"&amp;"")+COUNTIF(EU$4:EU33,EU33))</f>
        <v>7</v>
      </c>
      <c r="EW33" s="50">
        <f t="shared" si="61"/>
        <v>388951</v>
      </c>
      <c r="EX33">
        <f>EX32+IF(AND(EW33&lt;&gt;"",COUNTIF(EW$4:EW33,EW33)=1),1,0)</f>
        <v>30</v>
      </c>
      <c r="EY33" s="50">
        <f t="shared" si="62"/>
        <v>388951</v>
      </c>
      <c r="EZ33" s="50">
        <f>IF('Final Calculation Sheet'!$AD$33="","",'Final Calculation Sheet'!$AD$33)</f>
        <v>1</v>
      </c>
      <c r="FA33">
        <f>IF(EZ33="","",COUNTIFS(EZ$4:EZ$40,"&lt;"&amp;EZ33,EZ$4:EZ$40,"&lt;&gt;"&amp;"")+COUNTIF(EZ$4:EZ33,EZ33))</f>
        <v>34</v>
      </c>
      <c r="FB33" s="50">
        <f t="shared" si="63"/>
        <v>1</v>
      </c>
      <c r="FC33">
        <f>FC32+IF(AND(FB33&lt;&gt;"",COUNTIF(FB$4:FB33,FB33)=1),1,0)</f>
        <v>8</v>
      </c>
      <c r="FD33" t="str">
        <f t="shared" si="64"/>
        <v/>
      </c>
      <c r="FE33" t="str">
        <f>IF('Final Calculation Sheet'!$AF$33="","",'Final Calculation Sheet'!$AF$33)</f>
        <v>DR2640100046</v>
      </c>
      <c r="FF33">
        <f>IF(FE33="","",COUNTIFS(FE$4:FE$40,"&lt;"&amp;FE33,FE$4:FE$40,"&lt;&gt;"&amp;"")+COUNTIF(FE$4:FE33,FE33))</f>
        <v>35</v>
      </c>
      <c r="FG33" t="str">
        <f t="shared" si="65"/>
        <v>DR2640100041</v>
      </c>
      <c r="FH33" t="e">
        <f>FH32+IF(AND(FG33&lt;&gt;"",COUNTIF(FG$4:FG33,FG33)=1),1,0)</f>
        <v>#N/A</v>
      </c>
      <c r="FI33" t="e">
        <f t="shared" si="66"/>
        <v>#N/A</v>
      </c>
      <c r="FJ33" s="129">
        <f>IF('Final Calculation Sheet'!$AG$33="","",'Final Calculation Sheet'!$AG$33)</f>
        <v>1800003313</v>
      </c>
      <c r="FK33">
        <f>IF(FJ33="","",COUNTIFS(FJ$4:FJ$40,"&lt;"&amp;FJ33,FJ$4:FJ$40,"&lt;&gt;"&amp;"")+COUNTIF(FJ$4:FJ33,FJ33))</f>
        <v>25</v>
      </c>
      <c r="FL33" s="129">
        <f t="shared" si="67"/>
        <v>1800003318</v>
      </c>
      <c r="FM33">
        <f>FM32+IF(AND(FL33&lt;&gt;"",COUNTIF(FL$4:FL33,FL33)=1),1,0)</f>
        <v>30</v>
      </c>
      <c r="FN33" t="e">
        <f t="shared" si="68"/>
        <v>#N/A</v>
      </c>
      <c r="FO33" t="str">
        <f>IF('Final Calculation Sheet'!$AH$33="","",'Final Calculation Sheet'!$AH$33)</f>
        <v>27.08.2026</v>
      </c>
      <c r="FP33">
        <f>IF(FO33="","",COUNTIFS(FO$4:FO$40,"&lt;"&amp;FO33,FO$4:FO$40,"&lt;&gt;"&amp;"")+COUNTIF(FO$4:FO33,FO33))</f>
        <v>36</v>
      </c>
      <c r="FQ33" t="str">
        <f t="shared" si="69"/>
        <v>27.08.2026</v>
      </c>
      <c r="FR33" t="e">
        <f>FR32+IF(AND(FQ33&lt;&gt;"",COUNTIF(FQ$4:FQ33,FQ33)=1),1,0)</f>
        <v>#N/A</v>
      </c>
      <c r="FS33" t="e">
        <f t="shared" si="70"/>
        <v>#N/A</v>
      </c>
      <c r="FU33" t="str">
        <f>IF(FT33="","",COUNTIFS(FT$4:FT$40,"&lt;"&amp;FT33,FT$4:FT$40,"&lt;&gt;"&amp;"")+COUNTIF(FT$4:FT33,FT33))</f>
        <v/>
      </c>
      <c r="FV33" t="str">
        <f t="shared" si="71"/>
        <v/>
      </c>
      <c r="FW33">
        <f>FW32+IF(AND(FV33&lt;&gt;"",COUNTIF(FV$4:FV33,FV33)=1),1,0)</f>
        <v>2</v>
      </c>
      <c r="FX33" t="str">
        <f t="shared" si="72"/>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3" t="b">
        <f>IF($Y$33="",FALSE,SUMPRODUCT(('Final Calculation Sheet'!$B$4:$B$40=$Y$33)*($FY$6:$FY$42=1))&gt;0)</f>
        <v>0</v>
      </c>
      <c r="GA33">
        <f>$GA$32+--($FZ$33)</f>
        <v>25</v>
      </c>
      <c r="GB33" t="str">
        <f t="shared" si="73"/>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D33" t="b">
        <f>IF($O$33="",FALSE,SUMPRODUCT(('Final Calculation Sheet'!$F$4:$F$40=$O$33)*($GC$6:$GC$42=1))&gt;0)</f>
        <v>1</v>
      </c>
      <c r="GE33">
        <f>$GE$32+--($GD33)</f>
        <v>30</v>
      </c>
      <c r="GF33">
        <f t="shared" si="74"/>
        <v>2059</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H33" t="b">
        <f>IF($T$33="",FALSE,SUMPRODUCT(('Final Calculation Sheet'!$G$4:$G$40=$T$33)*($GG$6:$GG$42=1))&gt;0)</f>
        <v>0</v>
      </c>
      <c r="GI33">
        <f>$GI$32+--($GH33)</f>
        <v>13</v>
      </c>
      <c r="GJ33" t="str">
        <f t="shared" si="75"/>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L33" t="b">
        <f>IF($AD$33="",FALSE,SUMPRODUCT(('Final Calculation Sheet'!$D$4:$D$40=$AD$33)*($GK$6:$GK$42=1))&gt;0)</f>
        <v>0</v>
      </c>
      <c r="GM33">
        <f>$GM$32+--($GL33)</f>
        <v>4</v>
      </c>
      <c r="GN33" t="str">
        <f t="shared" si="76"/>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P33" t="b">
        <f>IF($AI$33="",FALSE,SUMPRODUCT(('Final Calculation Sheet'!$A$4:$A$40=$AI$33)*($GO$6:$GO$42=1))&gt;0)</f>
        <v>0</v>
      </c>
      <c r="GQ33">
        <f>$GQ$32+--($GP33)</f>
        <v>22</v>
      </c>
      <c r="GR33" t="str">
        <f t="shared" si="77"/>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T33" t="b">
        <f>IF($AN$33="",FALSE,SUMPRODUCT(('Final Calculation Sheet'!$E$4:$E$40=$AN$33)*($GS$6:$GS$42=1))&gt;0)</f>
        <v>0</v>
      </c>
      <c r="GU33">
        <f>$GU$32+--($GT33)</f>
        <v>3</v>
      </c>
      <c r="GV33" t="str">
        <f t="shared" si="78"/>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GX33" t="b">
        <f>IF($AS$33="",FALSE,SUMPRODUCT(('Final Calculation Sheet'!$C$4:$C$40=$AS$33)*($GW$6:$GW$42=1))&gt;0)</f>
        <v>1</v>
      </c>
      <c r="GY33">
        <f>$GY$32+--($GX33)</f>
        <v>30</v>
      </c>
      <c r="GZ33">
        <f t="shared" si="79"/>
        <v>90002</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B33" t="b">
        <f>IF($AX$33="",FALSE,SUMPRODUCT(('Final Calculation Sheet'!$H$4:$H$40=$AX$33)*($HA$6:$HA$42=1))&gt;0)</f>
        <v>1</v>
      </c>
      <c r="HC33">
        <f>$HC$32+--($HB33)</f>
        <v>30</v>
      </c>
      <c r="HD33">
        <f t="shared" si="80"/>
        <v>400000</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F33" t="b">
        <f>IF($BC$33="",FALSE,SUMPRODUCT(('Final Calculation Sheet'!$I$4:$I$40=$BC$33)*($HE$6:$HE$42=1))&gt;0)</f>
        <v>1</v>
      </c>
      <c r="HG33">
        <f>$HG$32+--($HF33)</f>
        <v>30</v>
      </c>
      <c r="HH33">
        <f t="shared" si="81"/>
        <v>72000</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J33" t="b">
        <f>IF($BH$33="",FALSE,SUMPRODUCT(('Final Calculation Sheet'!$J$4:$J$40=$BH$33)*($HI$6:$HI$42=1))&gt;0)</f>
        <v>1</v>
      </c>
      <c r="HK33">
        <f>$HK$32+--($HJ33)</f>
        <v>30</v>
      </c>
      <c r="HL33">
        <f t="shared" si="82"/>
        <v>472000</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N33" t="b">
        <f>IF($BM$33="",FALSE,SUMPRODUCT(('Final Calculation Sheet'!$K$4:$K$40=$BM$33)*($HM$6:$HM$42=1))&gt;0)</f>
        <v>1</v>
      </c>
      <c r="HO33">
        <f>$HO$32+--($HN33)</f>
        <v>30</v>
      </c>
      <c r="HP33">
        <f t="shared" si="83"/>
        <v>12201</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R33" t="b">
        <f>IF($BR$33="",FALSE,SUMPRODUCT(('Final Calculation Sheet'!$L$4:$L$40=$BR$33)*($HQ$6:$HQ$42=1))&gt;0)</f>
        <v>1</v>
      </c>
      <c r="HS33">
        <f>$HS$32+--($HR33)</f>
        <v>30</v>
      </c>
      <c r="HT33">
        <f t="shared" si="84"/>
        <v>400</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V33" t="b">
        <f>IF($BW$33="",FALSE,SUMPRODUCT(('Final Calculation Sheet'!$M$4:$M$40=$BW$33)*($HU$6:$HU$42=1))&gt;0)</f>
        <v>1</v>
      </c>
      <c r="HW33">
        <f>$HW$32+--($HV33)</f>
        <v>30</v>
      </c>
      <c r="HX33">
        <f t="shared" si="85"/>
        <v>10620</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HZ33" t="b">
        <f>IF($CB$33="",FALSE,SUMPRODUCT(('Final Calculation Sheet'!$N$4:$N$40=$CB$33)*($HY$6:$HY$42=1))&gt;0)</f>
        <v>1</v>
      </c>
      <c r="IA33">
        <f>$IA$32+--($HZ33)</f>
        <v>30</v>
      </c>
      <c r="IB33">
        <f t="shared" si="86"/>
        <v>180</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D33" t="b">
        <f>IF($CG$33="",FALSE,SUMPRODUCT(('Final Calculation Sheet'!$O$4:$O$40=$CG$33)*($IC$6:$IC$42=1))&gt;0)</f>
        <v>1</v>
      </c>
      <c r="IE33">
        <f>$IE$32+--($ID33)</f>
        <v>30</v>
      </c>
      <c r="IF33">
        <f t="shared" si="87"/>
        <v>10440</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H33" t="b">
        <f>IF($CL$33="",FALSE,SUMPRODUCT(('Final Calculation Sheet'!$P$4:$P$40=$CL$33)*($IG$6:$IG$42=1))&gt;0)</f>
        <v>1</v>
      </c>
      <c r="II33">
        <f>$II$32+--($IH33)</f>
        <v>30</v>
      </c>
      <c r="IJ33">
        <f t="shared" si="88"/>
        <v>14011</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L33" t="b">
        <f>IF($CQ$33="",FALSE,SUMPRODUCT(('Final Calculation Sheet'!$Q$4:$Q$40=$CQ$33)*($IK$6:$IK$42=1))&gt;0)</f>
        <v>0</v>
      </c>
      <c r="IM33">
        <f>$IM$32+--($IL33)</f>
        <v>2</v>
      </c>
      <c r="IN33" t="str">
        <f t="shared" si="89"/>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P33" t="b">
        <f>IF($CV$33="",FALSE,SUMPRODUCT(('Final Calculation Sheet'!$R$4:$R$40=$CV$33)*($IO$6:$IO$42=1))&gt;0)</f>
        <v>0</v>
      </c>
      <c r="IQ33">
        <f>$IQ$32+--($IP33)</f>
        <v>5</v>
      </c>
      <c r="IR33" t="str">
        <f t="shared" si="90"/>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T33" t="b">
        <f>IF($DA$33="",FALSE,SUMPRODUCT(('Final Calculation Sheet'!$S$4:$S$40=$DA$33)*($IS$6:$IS$42=1))&gt;0)</f>
        <v>1</v>
      </c>
      <c r="IU33">
        <f>$IU$32+--($IT33)</f>
        <v>30</v>
      </c>
      <c r="IV33">
        <f t="shared" si="91"/>
        <v>470600</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IX33" t="b">
        <f>IF($DF$33="",FALSE,SUMPRODUCT(('Final Calculation Sheet'!$T$4:$T$40=$DF$33)*($IW$6:$IW$42=1))&gt;0)</f>
        <v>1</v>
      </c>
      <c r="IY33">
        <f>$IY$32+--($IX33)</f>
        <v>30</v>
      </c>
      <c r="IZ33">
        <f t="shared" si="92"/>
        <v>100000</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B33" t="b">
        <f>IF($DK$33="",FALSE,SUMPRODUCT(('Final Calculation Sheet'!$U$4:$U$40=$DK$33)*($JA$6:$JA$42=1))&gt;0)</f>
        <v>1</v>
      </c>
      <c r="JC33">
        <f>$JC$32+--($JB33)</f>
        <v>30</v>
      </c>
      <c r="JD33">
        <f t="shared" si="93"/>
        <v>100000</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F33" t="b">
        <f>IF($DP$33="",FALSE,SUMPRODUCT(('Final Calculation Sheet'!$V$4:$V$40=$DP$33)*($JE$6:$JE$42=1))&gt;0)</f>
        <v>0</v>
      </c>
      <c r="JG33">
        <f>$JG$32+--($JF33)</f>
        <v>6</v>
      </c>
      <c r="JH33" t="str">
        <f t="shared" si="94"/>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J33" t="b">
        <f>IF($DU$33="",FALSE,SUMPRODUCT(('Final Calculation Sheet'!$W$4:$W$40=$DU$33)*($JI$6:$JI$42=1))&gt;0)</f>
        <v>1</v>
      </c>
      <c r="JK33">
        <f>$JK$32+--($JJ33)</f>
        <v>30</v>
      </c>
      <c r="JL33">
        <f t="shared" si="95"/>
        <v>370600</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N33" t="e">
        <f>IF($DZ$33="",FALSE,SUMPRODUCT(('Final Calculation Sheet'!$X$4:$X$40=$DZ$33)*($JM$6:$JM$42=1))&gt;0)</f>
        <v>#N/A</v>
      </c>
      <c r="JO33" t="e">
        <f>$JO$32+--($JN33)</f>
        <v>#N/A</v>
      </c>
      <c r="JP33" t="e">
        <f t="shared" si="96"/>
        <v>#N/A</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R33" t="e">
        <f>IF($EE$33="",FALSE,SUMPRODUCT(('Final Calculation Sheet'!$Y$4:$Y$40=$EE$33)*($JQ$6:$JQ$42=1))&gt;0)</f>
        <v>#N/A</v>
      </c>
      <c r="JS33" t="e">
        <f>$JS$32+--($JR33)</f>
        <v>#N/A</v>
      </c>
      <c r="JT33" t="e">
        <f t="shared" si="97"/>
        <v>#N/A</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V33" t="b">
        <f ca="1">IF($EJ$33="",FALSE,SUMPRODUCT(('Final Calculation Sheet'!$Z$4:$Z$40=$EJ$33)*($JU$6:$JU$42=1))&gt;0)</f>
        <v>1</v>
      </c>
      <c r="JW33">
        <f ca="1">$JW$32+--($JV33)</f>
        <v>30</v>
      </c>
      <c r="JX33">
        <f t="shared" ca="1" si="98"/>
        <v>14160</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JZ33" t="e">
        <f>IF($EO$33="",FALSE,SUMPRODUCT(('Final Calculation Sheet'!$AA$4:$AA$40=$EO$33)*($JY$6:$JY$42=1))&gt;0)</f>
        <v>#N/A</v>
      </c>
      <c r="KA33" t="e">
        <f>$KA$32+--($JZ33)</f>
        <v>#N/A</v>
      </c>
      <c r="KB33" t="e">
        <f t="shared" si="99"/>
        <v>#N/A</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D33" t="e">
        <f>IF($ET$33="",FALSE,SUMPRODUCT(('Final Calculation Sheet'!$AB$4:$AB$40=$ET$33)*($KC$6:$KC$42=1))&gt;0)</f>
        <v>#N/A</v>
      </c>
      <c r="KE33" t="e">
        <f>$KE$32+--($KD33)</f>
        <v>#N/A</v>
      </c>
      <c r="KF33" t="e">
        <f t="shared" si="100"/>
        <v>#N/A</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H33" t="b">
        <f>IF($EY$33="",FALSE,SUMPRODUCT(('Final Calculation Sheet'!$AC$4:$AC$40=$EY$33)*($KG$6:$KG$42=1))&gt;0)</f>
        <v>1</v>
      </c>
      <c r="KI33">
        <f>$KI$32+--($KH33)</f>
        <v>30</v>
      </c>
      <c r="KJ33">
        <f t="shared" si="101"/>
        <v>388951</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L33" t="b">
        <f>IF($FD$33="",FALSE,SUMPRODUCT(('Final Calculation Sheet'!$AD$4:$AD$40=$FD$33)*($KK$6:$KK$42=1))&gt;0)</f>
        <v>0</v>
      </c>
      <c r="KM33">
        <f>$KM$32+--($KL33)</f>
        <v>11</v>
      </c>
      <c r="KN33" t="str">
        <f t="shared" si="102"/>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P33" t="b">
        <f>IF($FX$33="",FALSE,SUMPRODUCT((IF('Final Calculation Sheet'!$AD$4:$AD$40&lt;=5,"SETTLED","OUTSTANDING")=$FX$33)*($KO$6:$KO$42=1))&gt;0)</f>
        <v>0</v>
      </c>
      <c r="KQ33">
        <f>$KQ$32+--($KP33)</f>
        <v>1</v>
      </c>
      <c r="KR33" t="str">
        <f t="shared" si="103"/>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T33" t="e">
        <f>IF($FI$33="",FALSE,SUMPRODUCT(('Final Calculation Sheet'!$AF$4:$AF$40=$FI$33)*($KS$6:$KS$42=1))&gt;0)</f>
        <v>#N/A</v>
      </c>
      <c r="KU33" t="e">
        <f>$KU$32+--($KT33)</f>
        <v>#N/A</v>
      </c>
      <c r="KV33" t="e">
        <f t="shared" si="104"/>
        <v>#N/A</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KX33" t="e">
        <f>IF($FN$33="",FALSE,SUMPRODUCT(('Final Calculation Sheet'!$AG$4:$AG$40=$FN$33)*($KW$6:$KW$42=1))&gt;0)</f>
        <v>#N/A</v>
      </c>
      <c r="KY33" t="e">
        <f>$KY$32+--($KX33)</f>
        <v>#N/A</v>
      </c>
      <c r="KZ33" t="e">
        <f t="shared" si="105"/>
        <v>#N/A</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LB33" t="e">
        <f>IF($FS$33="",FALSE,SUMPRODUCT(('Final Calculation Sheet'!$AH$4:$AH$40=$FS$33)*($LA$6:$LA$42=1))&gt;0)</f>
        <v>#N/A</v>
      </c>
      <c r="LC33" t="e">
        <f>$LC$32+--($LB33)</f>
        <v>#N/A</v>
      </c>
      <c r="LD33" t="e">
        <f t="shared" si="106"/>
        <v>#N/A</v>
      </c>
      <c r="LE33">
        <f>IF(COUNTIF('Buyer Groups'!DH33:EN33,0)&gt;0,0,1)</f>
        <v>1</v>
      </c>
      <c r="LF33" t="b">
        <f>IF($O$33="",FALSE,SUMPRODUCT(('Final Calculation Sheet'!$F$4:$F$40=$O$33)*($LE$6:$LE$42=1))&gt;0)</f>
        <v>1</v>
      </c>
      <c r="LG33">
        <f>$LG$32+--($LF33)</f>
        <v>30</v>
      </c>
      <c r="LH33">
        <f t="shared" si="107"/>
        <v>2059</v>
      </c>
      <c r="LI33">
        <f>IF(COUNTIF('Buyer Groups'!DG33:DG33,0)+COUNTIF('Buyer Groups'!DI33:EN33,0)&gt;0,0,1)</f>
        <v>1</v>
      </c>
      <c r="LJ33" t="b">
        <f>IF($T$33="",FALSE,SUMPRODUCT(('Final Calculation Sheet'!$G$4:$G$40=$T$33)*($LI$6:$LI$42=1))&gt;0)</f>
        <v>0</v>
      </c>
      <c r="LK33">
        <f>$LK$32+--($LJ33)</f>
        <v>13</v>
      </c>
      <c r="LL33" t="str">
        <f t="shared" si="108"/>
        <v/>
      </c>
      <c r="LM33">
        <f>IF(COUNTIF('Buyer Groups'!DG33:DH33,0)+COUNTIF('Buyer Groups'!DJ33:EN33,0)&gt;0,0,1)</f>
        <v>1</v>
      </c>
      <c r="LN33" t="b">
        <f>IF($Y$33="",FALSE,SUMPRODUCT(('Final Calculation Sheet'!$B$4:$B$40=$Y$33)*($LM$6:$LM$42=1))&gt;0)</f>
        <v>0</v>
      </c>
      <c r="LO33">
        <f>$LO$32+--($LN33)</f>
        <v>25</v>
      </c>
      <c r="LP33" t="str">
        <f t="shared" si="109"/>
        <v/>
      </c>
      <c r="LQ33">
        <f>IF(COUNTIF('Buyer Groups'!DG33:DI33,0)+COUNTIF('Buyer Groups'!DK33:EN33,0)&gt;0,0,1)</f>
        <v>1</v>
      </c>
      <c r="LR33" t="b">
        <f>IF($AD$33="",FALSE,SUMPRODUCT(('Final Calculation Sheet'!$D$4:$D$40=$AD$33)*($LQ$6:$LQ$42=1))&gt;0)</f>
        <v>0</v>
      </c>
      <c r="LS33">
        <f>$LS$32+--($LR33)</f>
        <v>4</v>
      </c>
      <c r="LT33" t="str">
        <f t="shared" si="110"/>
        <v/>
      </c>
      <c r="LU33">
        <f>IF(COUNTIF('Buyer Groups'!DG33:DJ33,0)+COUNTIF('Buyer Groups'!DL33:EN33,0)&gt;0,0,1)</f>
        <v>1</v>
      </c>
      <c r="LV33" t="b">
        <f>IF($AI$33="",FALSE,SUMPRODUCT(('Final Calculation Sheet'!$A$4:$A$40=$AI$33)*($LU$6:$LU$42=1))&gt;0)</f>
        <v>0</v>
      </c>
      <c r="LW33">
        <f>$LW$32+--($LV33)</f>
        <v>22</v>
      </c>
      <c r="LX33" t="str">
        <f t="shared" si="111"/>
        <v/>
      </c>
      <c r="LY33">
        <f>IF(COUNTIF('Buyer Groups'!DG33:DK33,0)+COUNTIF('Buyer Groups'!DM33:EN33,0)&gt;0,0,1)</f>
        <v>1</v>
      </c>
      <c r="LZ33" t="b">
        <f>IF($AN$33="",FALSE,SUMPRODUCT(('Final Calculation Sheet'!$E$4:$E$40=$AN$33)*($LY$6:$LY$42=1))&gt;0)</f>
        <v>0</v>
      </c>
      <c r="MA33">
        <f>$MA$32+--($LZ33)</f>
        <v>3</v>
      </c>
      <c r="MB33" t="str">
        <f t="shared" si="112"/>
        <v/>
      </c>
      <c r="MC33">
        <f>IF(COUNTIF('Buyer Groups'!DG33:DL33,0)+COUNTIF('Buyer Groups'!DN33:EN33,0)&gt;0,0,1)</f>
        <v>1</v>
      </c>
      <c r="MD33" t="b">
        <f>IF($AS$33="",FALSE,SUMPRODUCT(('Final Calculation Sheet'!$C$4:$C$40=$AS$33)*($MC$6:$MC$42=1))&gt;0)</f>
        <v>1</v>
      </c>
      <c r="ME33">
        <f>$ME$32+--($MD33)</f>
        <v>30</v>
      </c>
      <c r="MF33">
        <f t="shared" si="113"/>
        <v>90002</v>
      </c>
      <c r="MG33">
        <f>IF(COUNTIF('Buyer Groups'!DG33:DM33,0)+COUNTIF('Buyer Groups'!DO33:EN33,0)&gt;0,0,1)</f>
        <v>1</v>
      </c>
      <c r="MH33" t="b">
        <f>IF($AX$33="",FALSE,SUMPRODUCT(('Final Calculation Sheet'!$H$4:$H$40=$AX$33)*($MG$6:$MG$42=1))&gt;0)</f>
        <v>1</v>
      </c>
      <c r="MI33">
        <f>$MI$32+--($MH33)</f>
        <v>30</v>
      </c>
      <c r="MJ33">
        <f t="shared" si="114"/>
        <v>400000</v>
      </c>
      <c r="MK33">
        <f>IF(COUNTIF('Buyer Groups'!DG33:DN33,0)+COUNTIF('Buyer Groups'!DP33:EN33,0)&gt;0,0,1)</f>
        <v>1</v>
      </c>
      <c r="ML33" t="b">
        <f>IF($BC$33="",FALSE,SUMPRODUCT(('Final Calculation Sheet'!$I$4:$I$40=$BC$33)*($MK$6:$MK$42=1))&gt;0)</f>
        <v>1</v>
      </c>
      <c r="MM33">
        <f>$MM$32+--($ML33)</f>
        <v>30</v>
      </c>
      <c r="MN33">
        <f t="shared" si="115"/>
        <v>72000</v>
      </c>
      <c r="MO33">
        <f>IF(COUNTIF('Buyer Groups'!DG33:DO33,0)+COUNTIF('Buyer Groups'!DQ33:EN33,0)&gt;0,0,1)</f>
        <v>1</v>
      </c>
      <c r="MP33" t="b">
        <f>IF($BH$33="",FALSE,SUMPRODUCT(('Final Calculation Sheet'!$J$4:$J$40=$BH$33)*($MO$6:$MO$42=1))&gt;0)</f>
        <v>1</v>
      </c>
      <c r="MQ33">
        <f>$MQ$32+--($MP33)</f>
        <v>30</v>
      </c>
      <c r="MR33">
        <f t="shared" si="116"/>
        <v>472000</v>
      </c>
      <c r="MS33">
        <f>IF(COUNTIF('Buyer Groups'!DG33:DP33,0)+COUNTIF('Buyer Groups'!DR33:EN33,0)&gt;0,0,1)</f>
        <v>1</v>
      </c>
      <c r="MT33" t="b">
        <f>IF($BM$33="",FALSE,SUMPRODUCT(('Final Calculation Sheet'!$K$4:$K$40=$BM$33)*($MS$6:$MS$42=1))&gt;0)</f>
        <v>1</v>
      </c>
      <c r="MU33">
        <f>$MU$32+--($MT33)</f>
        <v>30</v>
      </c>
      <c r="MV33">
        <f t="shared" si="117"/>
        <v>12201</v>
      </c>
      <c r="MW33">
        <f>IF(COUNTIF('Buyer Groups'!DG33:DQ33,0)+COUNTIF('Buyer Groups'!DS33:EN33,0)&gt;0,0,1)</f>
        <v>1</v>
      </c>
      <c r="MX33" t="b">
        <f>IF($BR$33="",FALSE,SUMPRODUCT(('Final Calculation Sheet'!$L$4:$L$40=$BR$33)*($MW$6:$MW$42=1))&gt;0)</f>
        <v>1</v>
      </c>
      <c r="MY33">
        <f>$MY$32+--($MX33)</f>
        <v>30</v>
      </c>
      <c r="MZ33">
        <f t="shared" si="118"/>
        <v>400</v>
      </c>
      <c r="NA33">
        <f>IF(COUNTIF('Buyer Groups'!DG33:DR33,0)+COUNTIF('Buyer Groups'!DT33:EN33,0)&gt;0,0,1)</f>
        <v>1</v>
      </c>
      <c r="NB33" t="b">
        <f>IF($BW$33="",FALSE,SUMPRODUCT(('Final Calculation Sheet'!$M$4:$M$40=$BW$33)*($NA$6:$NA$42=1))&gt;0)</f>
        <v>1</v>
      </c>
      <c r="NC33">
        <f>$NC$32+--($NB33)</f>
        <v>30</v>
      </c>
      <c r="ND33">
        <f t="shared" si="119"/>
        <v>10620</v>
      </c>
      <c r="NE33">
        <f>IF(COUNTIF('Buyer Groups'!DG33:DS33,0)+COUNTIF('Buyer Groups'!DU33:EN33,0)&gt;0,0,1)</f>
        <v>1</v>
      </c>
      <c r="NF33" t="b">
        <f>IF($CB$33="",FALSE,SUMPRODUCT(('Final Calculation Sheet'!$N$4:$N$40=$CB$33)*($NE$6:$NE$42=1))&gt;0)</f>
        <v>1</v>
      </c>
      <c r="NG33">
        <f>$NG$32+--($NF33)</f>
        <v>30</v>
      </c>
      <c r="NH33">
        <f t="shared" si="120"/>
        <v>180</v>
      </c>
      <c r="NI33">
        <f>IF(COUNTIF('Buyer Groups'!DG33:DT33,0)+COUNTIF('Buyer Groups'!DV33:EN33,0)&gt;0,0,1)</f>
        <v>1</v>
      </c>
      <c r="NJ33" t="b">
        <f>IF($CG$33="",FALSE,SUMPRODUCT(('Final Calculation Sheet'!$O$4:$O$40=$CG$33)*($NI$6:$NI$42=1))&gt;0)</f>
        <v>1</v>
      </c>
      <c r="NK33">
        <f>$NK$32+--($NJ33)</f>
        <v>30</v>
      </c>
      <c r="NL33">
        <f t="shared" si="121"/>
        <v>10440</v>
      </c>
      <c r="NM33">
        <f>IF(COUNTIF('Buyer Groups'!DG33:DU33,0)+COUNTIF('Buyer Groups'!DW33:EN33,0)&gt;0,0,1)</f>
        <v>1</v>
      </c>
      <c r="NN33" t="b">
        <f>IF($CL$33="",FALSE,SUMPRODUCT(('Final Calculation Sheet'!$P$4:$P$40=$CL$33)*($NM$6:$NM$42=1))&gt;0)</f>
        <v>1</v>
      </c>
      <c r="NO33">
        <f>$NO$32+--($NN33)</f>
        <v>30</v>
      </c>
      <c r="NP33">
        <f t="shared" si="122"/>
        <v>14011</v>
      </c>
      <c r="NQ33">
        <f>IF(COUNTIF('Buyer Groups'!DG33:DV33,0)+COUNTIF('Buyer Groups'!DX33:EN33,0)&gt;0,0,1)</f>
        <v>1</v>
      </c>
      <c r="NR33" t="b">
        <f>IF($CQ$33="",FALSE,SUMPRODUCT(('Final Calculation Sheet'!$Q$4:$Q$40=$CQ$33)*($NQ$6:$NQ$42=1))&gt;0)</f>
        <v>0</v>
      </c>
      <c r="NS33">
        <f>$NS$32+--($NR33)</f>
        <v>2</v>
      </c>
      <c r="NT33" t="str">
        <f t="shared" si="123"/>
        <v/>
      </c>
      <c r="NU33">
        <f>IF(COUNTIF('Buyer Groups'!DG33:DW33,0)+COUNTIF('Buyer Groups'!DY33:EN33,0)&gt;0,0,1)</f>
        <v>1</v>
      </c>
      <c r="NV33" t="b">
        <f>IF($CV$33="",FALSE,SUMPRODUCT(('Final Calculation Sheet'!$R$4:$R$40=$CV$33)*($NU$6:$NU$42=1))&gt;0)</f>
        <v>0</v>
      </c>
      <c r="NW33">
        <f>$NW$32+--($NV33)</f>
        <v>5</v>
      </c>
      <c r="NX33" t="str">
        <f t="shared" si="124"/>
        <v/>
      </c>
      <c r="NY33">
        <f>IF(COUNTIF('Buyer Groups'!DG33:DX33,0)+COUNTIF('Buyer Groups'!DZ33:EN33,0)&gt;0,0,1)</f>
        <v>1</v>
      </c>
      <c r="NZ33" t="b">
        <f>IF($DA$33="",FALSE,SUMPRODUCT(('Final Calculation Sheet'!$S$4:$S$40=$DA$33)*($NY$6:$NY$42=1))&gt;0)</f>
        <v>1</v>
      </c>
      <c r="OA33">
        <f>$OA$32+--($NZ33)</f>
        <v>30</v>
      </c>
      <c r="OB33">
        <f t="shared" si="125"/>
        <v>470600</v>
      </c>
      <c r="OC33">
        <f>IF(COUNTIF('Buyer Groups'!DG33:DY33,0)+COUNTIF('Buyer Groups'!EA33:EN33,0)&gt;0,0,1)</f>
        <v>1</v>
      </c>
      <c r="OD33" t="b">
        <f>IF($DF$33="",FALSE,SUMPRODUCT(('Final Calculation Sheet'!$T$4:$T$40=$DF$33)*($OC$6:$OC$42=1))&gt;0)</f>
        <v>1</v>
      </c>
      <c r="OE33">
        <f>$OE$32+--($OD33)</f>
        <v>30</v>
      </c>
      <c r="OF33">
        <f t="shared" si="126"/>
        <v>100000</v>
      </c>
      <c r="OG33">
        <f>IF(COUNTIF('Buyer Groups'!DG33:DZ33,0)+COUNTIF('Buyer Groups'!EB33:EN33,0)&gt;0,0,1)</f>
        <v>1</v>
      </c>
      <c r="OH33" t="b">
        <f>IF($DK$33="",FALSE,SUMPRODUCT(('Final Calculation Sheet'!$U$4:$U$40=$DK$33)*($OG$6:$OG$42=1))&gt;0)</f>
        <v>1</v>
      </c>
      <c r="OI33">
        <f>$OI$32+--($OH33)</f>
        <v>30</v>
      </c>
      <c r="OJ33">
        <f t="shared" si="127"/>
        <v>100000</v>
      </c>
      <c r="OK33">
        <f>IF(COUNTIF('Buyer Groups'!DG33:EA33,0)+COUNTIF('Buyer Groups'!EC33:EN33,0)&gt;0,0,1)</f>
        <v>1</v>
      </c>
      <c r="OL33" t="b">
        <f>IF($DP$33="",FALSE,SUMPRODUCT(('Final Calculation Sheet'!$V$4:$V$40=$DP$33)*($OK$6:$OK$42=1))&gt;0)</f>
        <v>0</v>
      </c>
      <c r="OM33">
        <f>$OM$32+--($OL33)</f>
        <v>6</v>
      </c>
      <c r="ON33" t="str">
        <f t="shared" si="128"/>
        <v/>
      </c>
      <c r="OO33">
        <f>IF(COUNTIF('Buyer Groups'!DG33:EB33,0)+COUNTIF('Buyer Groups'!ED33:EN33,0)&gt;0,0,1)</f>
        <v>1</v>
      </c>
      <c r="OP33" t="b">
        <f>IF($DU$33="",FALSE,SUMPRODUCT(('Final Calculation Sheet'!$W$4:$W$40=$DU$33)*($OO$6:$OO$42=1))&gt;0)</f>
        <v>1</v>
      </c>
      <c r="OQ33">
        <f>$OQ$32+--($OP33)</f>
        <v>30</v>
      </c>
      <c r="OR33">
        <f t="shared" si="129"/>
        <v>370600</v>
      </c>
      <c r="OS33">
        <f>IF(COUNTIF('Buyer Groups'!DG33:EC33,0)+COUNTIF('Buyer Groups'!EE33:EN33,0)&gt;0,0,1)</f>
        <v>1</v>
      </c>
      <c r="OT33" t="e">
        <f>IF($DZ$33="",FALSE,SUMPRODUCT(('Final Calculation Sheet'!$X$4:$X$40=$DZ$33)*($OS$6:$OS$42=1))&gt;0)</f>
        <v>#N/A</v>
      </c>
      <c r="OU33" t="e">
        <f>$OU$32+--($OT33)</f>
        <v>#N/A</v>
      </c>
      <c r="OV33" t="e">
        <f t="shared" si="130"/>
        <v>#N/A</v>
      </c>
      <c r="OW33">
        <f>IF(COUNTIF('Buyer Groups'!DG33:ED33,0)+COUNTIF('Buyer Groups'!EF33:EN33,0)&gt;0,0,1)</f>
        <v>1</v>
      </c>
      <c r="OX33" t="e">
        <f>IF($EE$33="",FALSE,SUMPRODUCT(('Final Calculation Sheet'!$Y$4:$Y$40=$EE$33)*($OW$6:$OW$42=1))&gt;0)</f>
        <v>#N/A</v>
      </c>
      <c r="OY33" t="e">
        <f>$OY$32+--($OX33)</f>
        <v>#N/A</v>
      </c>
      <c r="OZ33" t="e">
        <f t="shared" si="131"/>
        <v>#N/A</v>
      </c>
      <c r="PA33">
        <f>IF(COUNTIF('Buyer Groups'!DG33:EE33,0)+COUNTIF('Buyer Groups'!EG33:EN33,0)&gt;0,0,1)</f>
        <v>1</v>
      </c>
      <c r="PB33" t="b">
        <f ca="1">IF($EJ$33="",FALSE,SUMPRODUCT(('Final Calculation Sheet'!$Z$4:$Z$40=$EJ$33)*($PA$6:$PA$42=1))&gt;0)</f>
        <v>1</v>
      </c>
      <c r="PC33">
        <f ca="1">$PC$32+--($PB33)</f>
        <v>30</v>
      </c>
      <c r="PD33">
        <f t="shared" ca="1" si="132"/>
        <v>14160</v>
      </c>
      <c r="PE33">
        <f>IF(COUNTIF('Buyer Groups'!DG33:EF33,0)+COUNTIF('Buyer Groups'!EH33:EN33,0)&gt;0,0,1)</f>
        <v>1</v>
      </c>
      <c r="PF33" t="e">
        <f>IF($EO$33="",FALSE,SUMPRODUCT(('Final Calculation Sheet'!$AA$4:$AA$40=$EO$33)*($PE$6:$PE$42=1))&gt;0)</f>
        <v>#N/A</v>
      </c>
      <c r="PG33" t="e">
        <f>$PG$32+--($PF33)</f>
        <v>#N/A</v>
      </c>
      <c r="PH33" t="e">
        <f t="shared" si="133"/>
        <v>#N/A</v>
      </c>
      <c r="PI33">
        <f>IF(COUNTIF('Buyer Groups'!DG33:EG33,0)+COUNTIF('Buyer Groups'!EI33:EN33,0)&gt;0,0,1)</f>
        <v>1</v>
      </c>
      <c r="PJ33" t="e">
        <f>IF($ET$33="",FALSE,SUMPRODUCT(('Final Calculation Sheet'!$AB$4:$AB$40=$ET$33)*($PI$6:$PI$42=1))&gt;0)</f>
        <v>#N/A</v>
      </c>
      <c r="PK33" t="e">
        <f>$PK$32+--($PJ33)</f>
        <v>#N/A</v>
      </c>
      <c r="PL33" t="e">
        <f t="shared" si="134"/>
        <v>#N/A</v>
      </c>
      <c r="PM33">
        <f>IF(COUNTIF('Buyer Groups'!DG33:EH33,0)+COUNTIF('Buyer Groups'!EJ33:EN33,0)&gt;0,0,1)</f>
        <v>1</v>
      </c>
      <c r="PN33" t="b">
        <f>IF($EY$33="",FALSE,SUMPRODUCT(('Final Calculation Sheet'!$AC$4:$AC$40=$EY$33)*($PM$6:$PM$42=1))&gt;0)</f>
        <v>1</v>
      </c>
      <c r="PO33">
        <f>$PO$32+--($PN33)</f>
        <v>30</v>
      </c>
      <c r="PP33">
        <f t="shared" si="135"/>
        <v>388951</v>
      </c>
      <c r="PQ33">
        <f>IF(COUNTIF('Buyer Groups'!DG33:EI33,0)+COUNTIF('Buyer Groups'!EK33:EN33,0)&gt;0,0,1)</f>
        <v>1</v>
      </c>
      <c r="PR33" t="b">
        <f>IF($FD$33="",FALSE,SUMPRODUCT(('Final Calculation Sheet'!$AD$4:$AD$40=$FD$33)*($PQ$6:$PQ$42=1))&gt;0)</f>
        <v>0</v>
      </c>
      <c r="PS33">
        <f>$PS$32+--($PR33)</f>
        <v>11</v>
      </c>
      <c r="PT33" t="str">
        <f t="shared" si="136"/>
        <v/>
      </c>
      <c r="PU33">
        <f>IF(COUNTIF('Buyer Groups'!DG33:EJ33,0)+COUNTIF('Buyer Groups'!EL33:EN33,0)&gt;0,0,1)</f>
        <v>1</v>
      </c>
      <c r="PV33" t="b">
        <f>IF($FX$33="",FALSE,SUMPRODUCT((IF('Final Calculation Sheet'!$AD$4:$AD$40&lt;=5,"SETTLED","OUTSTANDING")=$FX$33)*($PU$6:$PU$42=1))&gt;0)</f>
        <v>0</v>
      </c>
      <c r="PW33">
        <f>$PW$32+--($PV33)</f>
        <v>1</v>
      </c>
      <c r="PX33" t="str">
        <f t="shared" si="137"/>
        <v/>
      </c>
      <c r="PY33">
        <f>IF(COUNTIF('Buyer Groups'!DG33:EK33,0)+COUNTIF('Buyer Groups'!EM33:EN33,0)&gt;0,0,1)</f>
        <v>1</v>
      </c>
      <c r="PZ33" t="e">
        <f>IF($FI$33="",FALSE,SUMPRODUCT(('Final Calculation Sheet'!$AF$4:$AF$40=$FI$33)*($PY$6:$PY$42=1))&gt;0)</f>
        <v>#N/A</v>
      </c>
      <c r="QA33" t="e">
        <f>$QA$32+--($PZ33)</f>
        <v>#N/A</v>
      </c>
      <c r="QB33" t="e">
        <f t="shared" si="138"/>
        <v>#N/A</v>
      </c>
      <c r="QC33">
        <f>IF(COUNTIF('Buyer Groups'!DG33:EL33,0)+COUNTIF('Buyer Groups'!EN33:EN33,0)&gt;0,0,1)</f>
        <v>1</v>
      </c>
      <c r="QD33" t="e">
        <f>IF($FN$33="",FALSE,SUMPRODUCT(('Final Calculation Sheet'!$AG$4:$AG$40=$FN$33)*($QC$6:$QC$42=1))&gt;0)</f>
        <v>#N/A</v>
      </c>
      <c r="QE33" t="e">
        <f>$QE$32+--($QD33)</f>
        <v>#N/A</v>
      </c>
      <c r="QF33" t="e">
        <f t="shared" si="139"/>
        <v>#N/A</v>
      </c>
      <c r="QG33">
        <f>IF(COUNTIF('Buyer Groups'!DG33:EM33,0)&gt;0,0,1)</f>
        <v>1</v>
      </c>
      <c r="QH33" t="e">
        <f>IF($FS$33="",FALSE,SUMPRODUCT(('Final Calculation Sheet'!$AH$4:$AH$40=$FS$33)*($QG$6:$QG$42=1))&gt;0)</f>
        <v>#N/A</v>
      </c>
      <c r="QI33" t="e">
        <f>$QI$32+--($QH33)</f>
        <v>#N/A</v>
      </c>
      <c r="QJ33" t="e">
        <f t="shared" si="140"/>
        <v>#N/A</v>
      </c>
      <c r="QK33" t="str">
        <f>IF('Final Calculation Sheet'!$AH$33="","",'Final Calculation Sheet'!$AH$33)</f>
        <v>27.08.2026</v>
      </c>
      <c r="QL33">
        <f>IF(QK33="","",COUNTIFS(QK$4:QK$40,"&lt;"&amp;QK33,QK$4:QK$40,"&lt;&gt;"&amp;"")+COUNTIF(QK$4:QK33,QK33))</f>
        <v>36</v>
      </c>
      <c r="QM33" t="str">
        <f t="shared" si="141"/>
        <v>27.08.2026</v>
      </c>
      <c r="QN33" t="e">
        <f ca="1">QN32+F(AND(QM33&lt;&gt;"",COUNTIF(QM$4:QM33,QM33)=1),1,0)</f>
        <v>#N/A</v>
      </c>
      <c r="QO33" t="e">
        <f t="shared" si="142"/>
        <v>#N/A</v>
      </c>
      <c r="QP33">
        <f>IF(COUNTIF('Final Calculation Sheet'!$AM33:$BS33,0)&gt;0,0,1)</f>
        <v>1</v>
      </c>
      <c r="QQ33" t="b">
        <f>IF($AI$33="",FALSE,SUMPRODUCT(('Final Calculation Sheet'!$A$4:$A$40=$AI$33)*($QP$4:$QP$40=1))&gt;0)</f>
        <v>0</v>
      </c>
      <c r="QR33">
        <f t="shared" si="177"/>
        <v>22</v>
      </c>
      <c r="QS33" t="str">
        <f t="shared" si="143"/>
        <v/>
      </c>
      <c r="QT33">
        <f>IF(COUNTIF('Final Calculation Sheet'!$AL33:$AL33,0)+COUNTIF('Final Calculation Sheet'!$AN33:$BS33,0)&gt;0,0,1)</f>
        <v>1</v>
      </c>
      <c r="QU33" t="b">
        <f>IF($Y$33="",FALSE,SUMPRODUCT(('Final Calculation Sheet'!$B$4:$B$40=$Y$33)*($QT$4:$QT$40=1))&gt;0)</f>
        <v>0</v>
      </c>
      <c r="QV33">
        <f t="shared" si="178"/>
        <v>25</v>
      </c>
      <c r="QW33" t="str">
        <f t="shared" si="144"/>
        <v/>
      </c>
      <c r="QX33">
        <f>IF(COUNTIF('Final Calculation Sheet'!$AL33:$AM33,0)+COUNTIF('Final Calculation Sheet'!$AO33:$BS33,0)&gt;0,0,1)</f>
        <v>1</v>
      </c>
      <c r="QY33" t="b">
        <f>IF($AS$33="",FALSE,SUMPRODUCT(('Final Calculation Sheet'!$C$4:$C$40=$AS$33)*($QX$4:$QX$40=1))&gt;0)</f>
        <v>1</v>
      </c>
      <c r="QZ33">
        <f t="shared" si="179"/>
        <v>30</v>
      </c>
      <c r="RA33">
        <f t="shared" si="145"/>
        <v>90002</v>
      </c>
      <c r="RB33">
        <f>IF(COUNTIF('Final Calculation Sheet'!$AL33:$AN33,0)+COUNTIF('Final Calculation Sheet'!$AP33:$BS33,0)&gt;0,0,1)</f>
        <v>1</v>
      </c>
      <c r="RC33" t="b">
        <f>IF($AD$33="",FALSE,SUMPRODUCT(('Final Calculation Sheet'!$D$4:$D$40=$AD$33)*($RB$4:$RB$40=1))&gt;0)</f>
        <v>0</v>
      </c>
      <c r="RD33">
        <f t="shared" si="180"/>
        <v>4</v>
      </c>
      <c r="RE33" t="str">
        <f t="shared" si="146"/>
        <v/>
      </c>
      <c r="RF33">
        <f>IF(COUNTIF('Final Calculation Sheet'!$AL33:$AO33,0)+COUNTIF('Final Calculation Sheet'!$AQ33:$BS33,0)&gt;0,0,1)</f>
        <v>1</v>
      </c>
      <c r="RG33" t="b">
        <f>IF($AN$33="",FALSE,SUMPRODUCT(('Final Calculation Sheet'!$E$4:$E$40=$AN$33)*($RF$4:$RF$40=1))&gt;0)</f>
        <v>0</v>
      </c>
      <c r="RH33">
        <f t="shared" si="181"/>
        <v>3</v>
      </c>
      <c r="RI33" t="str">
        <f t="shared" si="147"/>
        <v/>
      </c>
      <c r="RJ33">
        <f>IF(COUNTIF('Final Calculation Sheet'!$AL33:$AP33,0)+COUNTIF('Final Calculation Sheet'!$AR33:$BS33,0)&gt;0,0,1)</f>
        <v>1</v>
      </c>
      <c r="RK33" t="b">
        <f>IF($O$33="",FALSE,SUMPRODUCT(('Final Calculation Sheet'!$F$4:$F$40=$O$33)*($RJ$4:$RJ$40=1))&gt;0)</f>
        <v>1</v>
      </c>
      <c r="RL33">
        <f t="shared" si="182"/>
        <v>30</v>
      </c>
      <c r="RM33">
        <f t="shared" si="148"/>
        <v>2059</v>
      </c>
      <c r="RN33">
        <f>IF(COUNTIF('Final Calculation Sheet'!$AL33:$AQ33,0)+COUNTIF('Final Calculation Sheet'!$AS33:$BS33,0)&gt;0,0,1)</f>
        <v>1</v>
      </c>
      <c r="RO33" t="b">
        <f>IF($T$33="",FALSE,SUMPRODUCT(('Final Calculation Sheet'!$G$4:$G$40=$T$33)*($RN$4:$RN$40=1))&gt;0)</f>
        <v>0</v>
      </c>
      <c r="RP33">
        <f t="shared" si="183"/>
        <v>13</v>
      </c>
      <c r="RQ33" t="str">
        <f t="shared" si="149"/>
        <v/>
      </c>
      <c r="RR33">
        <f>IF(COUNTIF('Final Calculation Sheet'!$AL33:$AR33,0)+COUNTIF('Final Calculation Sheet'!$AT33:$BS33,0)&gt;0,0,1)</f>
        <v>1</v>
      </c>
      <c r="RS33" t="b">
        <f>IF($AX$33="",FALSE,SUMPRODUCT(('Final Calculation Sheet'!$H$4:$H$40=$AX$33)*($RR$4:$RR$40=1))&gt;0)</f>
        <v>1</v>
      </c>
      <c r="RT33">
        <f t="shared" si="184"/>
        <v>30</v>
      </c>
      <c r="RU33">
        <f t="shared" si="150"/>
        <v>400000</v>
      </c>
      <c r="RV33">
        <f>IF(COUNTIF('Final Calculation Sheet'!$AL33:$AS33,0)+COUNTIF('Final Calculation Sheet'!$AU33:$BS33,0)&gt;0,0,1)</f>
        <v>1</v>
      </c>
      <c r="RW33" t="b">
        <f>IF($BC$33="",FALSE,SUMPRODUCT(('Final Calculation Sheet'!$I$4:$I$40=$BC$33)*($RV$4:$RV$40=1))&gt;0)</f>
        <v>1</v>
      </c>
      <c r="RX33">
        <f t="shared" si="185"/>
        <v>30</v>
      </c>
      <c r="RY33">
        <f t="shared" si="151"/>
        <v>72000</v>
      </c>
      <c r="RZ33">
        <f>IF(COUNTIF('Final Calculation Sheet'!$AL33:$AT33,0)+COUNTIF('Final Calculation Sheet'!$AV33:$BS33,0)&gt;0,0,1)</f>
        <v>1</v>
      </c>
      <c r="SA33" t="b">
        <f>IF($BH$33="",FALSE,SUMPRODUCT(('Final Calculation Sheet'!$J$4:$J$40=$BH$33)*($RZ$4:$RZ$40=1))&gt;0)</f>
        <v>1</v>
      </c>
      <c r="SB33">
        <f t="shared" si="186"/>
        <v>30</v>
      </c>
      <c r="SC33">
        <f t="shared" si="152"/>
        <v>472000</v>
      </c>
      <c r="SD33">
        <f>IF(COUNTIF('Final Calculation Sheet'!$AL33:$AU33,0)+COUNTIF('Final Calculation Sheet'!$AW33:$BS33,0)&gt;0,0,1)</f>
        <v>1</v>
      </c>
      <c r="SE33" t="b">
        <f>IF($BM$33="",FALSE,SUMPRODUCT(('Final Calculation Sheet'!$K$4:$K$40=$BM$33)*($SD$4:$SD$40=1))&gt;0)</f>
        <v>1</v>
      </c>
      <c r="SF33">
        <f t="shared" si="187"/>
        <v>30</v>
      </c>
      <c r="SG33">
        <f t="shared" si="153"/>
        <v>12201</v>
      </c>
      <c r="SH33">
        <f>IF(COUNTIF('Final Calculation Sheet'!$AL33:$AV33,0)+COUNTIF('Final Calculation Sheet'!$AX33:$BS33,0)&gt;0,0,1)</f>
        <v>1</v>
      </c>
      <c r="SI33" t="b">
        <f>IF($BR$33="",FALSE,SUMPRODUCT(('Final Calculation Sheet'!$L$4:$L$40=$BR$33)*($SH$4:$SH$40=1))&gt;0)</f>
        <v>1</v>
      </c>
      <c r="SJ33">
        <f t="shared" si="188"/>
        <v>30</v>
      </c>
      <c r="SK33">
        <f t="shared" si="154"/>
        <v>400</v>
      </c>
      <c r="SL33">
        <f>IF(COUNTIF('Final Calculation Sheet'!$AL33:$AW33,0)+COUNTIF('Final Calculation Sheet'!$AY33:$BS33,0)&gt;0,0,1)</f>
        <v>1</v>
      </c>
      <c r="SM33" t="b">
        <f>IF($BW$33="",FALSE,SUMPRODUCT(('Final Calculation Sheet'!$M$4:$M$40=$BW$33)*($SL$4:$SL$40=1))&gt;0)</f>
        <v>1</v>
      </c>
      <c r="SN33">
        <f t="shared" si="189"/>
        <v>30</v>
      </c>
      <c r="SO33">
        <f t="shared" si="155"/>
        <v>10620</v>
      </c>
      <c r="SP33">
        <f>IF(COUNTIF('Final Calculation Sheet'!$AL33:$AX33,0)+COUNTIF('Final Calculation Sheet'!$AZ33:$BS33,0)&gt;0,0,1)</f>
        <v>1</v>
      </c>
      <c r="SQ33" t="b">
        <f>IF($CB$33="",FALSE,SUMPRODUCT(('Final Calculation Sheet'!$N$4:$N$40=$CB$33)*($SP$4:$SP$40=1))&gt;0)</f>
        <v>1</v>
      </c>
      <c r="SR33">
        <f t="shared" si="190"/>
        <v>30</v>
      </c>
      <c r="SS33">
        <f t="shared" si="156"/>
        <v>180</v>
      </c>
      <c r="ST33">
        <f>IF(COUNTIF('Final Calculation Sheet'!$AL33:$AY33,0)+COUNTIF('Final Calculation Sheet'!$BA33:$BS33,0)&gt;0,0,1)</f>
        <v>1</v>
      </c>
      <c r="SU33" t="b">
        <f>IF($CG$33="",FALSE,SUMPRODUCT(('Final Calculation Sheet'!$O$4:$O$40=$CG$33)*($ST$4:$ST$40=1))&gt;0)</f>
        <v>1</v>
      </c>
      <c r="SV33">
        <f t="shared" si="191"/>
        <v>30</v>
      </c>
      <c r="SW33">
        <f t="shared" si="157"/>
        <v>10440</v>
      </c>
      <c r="SX33">
        <f>IF(COUNTIF('Final Calculation Sheet'!$AL33:$AZ33,0)+COUNTIF('Final Calculation Sheet'!$BB33:$BS33,0)&gt;0,0,1)</f>
        <v>1</v>
      </c>
      <c r="SY33" t="b">
        <f>IF($CL$33="",FALSE,SUMPRODUCT(('Final Calculation Sheet'!$P$4:$P$40=$CL$33)*($SX$4:$SX$40=1))&gt;0)</f>
        <v>1</v>
      </c>
      <c r="SZ33">
        <f t="shared" si="192"/>
        <v>30</v>
      </c>
      <c r="TA33">
        <f t="shared" si="158"/>
        <v>14011</v>
      </c>
      <c r="TB33">
        <f>IF(COUNTIF('Final Calculation Sheet'!$AL33:$BA33,0)+COUNTIF('Final Calculation Sheet'!$BC33:$BS33,0)&gt;0,0,1)</f>
        <v>1</v>
      </c>
      <c r="TC33" t="b">
        <f>IF($CQ$33="",FALSE,SUMPRODUCT(('Final Calculation Sheet'!$Q$4:$Q$40=$CQ$33)*($TB$4:$TB$40=1))&gt;0)</f>
        <v>0</v>
      </c>
      <c r="TD33">
        <f t="shared" si="193"/>
        <v>2</v>
      </c>
      <c r="TE33" t="str">
        <f t="shared" si="159"/>
        <v/>
      </c>
      <c r="TF33">
        <f>IF(COUNTIF('Final Calculation Sheet'!$AL33:$BB33,0)+COUNTIF('Final Calculation Sheet'!$BD33:$BS33,0)&gt;0,0,1)</f>
        <v>1</v>
      </c>
      <c r="TG33" t="b">
        <f>IF($CV$33="",FALSE,SUMPRODUCT(('Final Calculation Sheet'!$R$4:$R$40=$CV$33)*($TF$4:$TF$40=1))&gt;0)</f>
        <v>0</v>
      </c>
      <c r="TH33">
        <f t="shared" si="194"/>
        <v>5</v>
      </c>
      <c r="TI33" t="str">
        <f t="shared" si="160"/>
        <v/>
      </c>
      <c r="TJ33">
        <f>IF(COUNTIF('Final Calculation Sheet'!$AL33:$BC33,0)+COUNTIF('Final Calculation Sheet'!$BE33:$BS33,0)&gt;0,0,1)</f>
        <v>1</v>
      </c>
      <c r="TK33" t="b">
        <f>IF($DA$33="",FALSE,SUMPRODUCT(('Final Calculation Sheet'!$S$4:$S$40=$DA$33)*($TJ$4:$TJ$40=1))&gt;0)</f>
        <v>1</v>
      </c>
      <c r="TL33">
        <f t="shared" si="195"/>
        <v>30</v>
      </c>
      <c r="TM33">
        <f t="shared" si="161"/>
        <v>470600</v>
      </c>
      <c r="TN33">
        <f>IF(COUNTIF('Final Calculation Sheet'!$AL33:$BD33,0)+COUNTIF('Final Calculation Sheet'!$BF33:$BS33,0)&gt;0,0,1)</f>
        <v>1</v>
      </c>
      <c r="TO33" t="b">
        <f>IF($DF$33="",FALSE,SUMPRODUCT(('Final Calculation Sheet'!$T$4:$T$40=$DF$33)*($TN$4:$TN$40=1))&gt;0)</f>
        <v>1</v>
      </c>
      <c r="TP33">
        <f t="shared" si="196"/>
        <v>30</v>
      </c>
      <c r="TQ33">
        <f t="shared" si="162"/>
        <v>100000</v>
      </c>
      <c r="TR33">
        <f>IF(COUNTIF('Final Calculation Sheet'!$AL33:$BE33,0)+COUNTIF('Final Calculation Sheet'!$BG33:$BS33,0)&gt;0,0,1)</f>
        <v>1</v>
      </c>
      <c r="TS33" t="b">
        <f>IF($DK$33="",FALSE,SUMPRODUCT(('Final Calculation Sheet'!$U$4:$U$40=$DK$33)*($TR$4:$TR$40=1))&gt;0)</f>
        <v>1</v>
      </c>
      <c r="TT33">
        <f t="shared" si="197"/>
        <v>30</v>
      </c>
      <c r="TU33">
        <f t="shared" si="163"/>
        <v>100000</v>
      </c>
      <c r="TV33">
        <f>IF(COUNTIF('Final Calculation Sheet'!$AL33:$BF33,0)+COUNTIF('Final Calculation Sheet'!$BH33:$BS33,0)&gt;0,0,1)</f>
        <v>1</v>
      </c>
      <c r="TW33" t="b">
        <f>IF($DP$33="",FALSE,SUMPRODUCT(('Final Calculation Sheet'!$V$4:$V$40=$DP$33)*($TV$4:$TV$40=1))&gt;0)</f>
        <v>0</v>
      </c>
      <c r="TX33">
        <f t="shared" si="198"/>
        <v>6</v>
      </c>
      <c r="TY33" t="str">
        <f t="shared" si="164"/>
        <v/>
      </c>
      <c r="TZ33">
        <f>IF(COUNTIF('Final Calculation Sheet'!$AL33:$BG33,0)+COUNTIF('Final Calculation Sheet'!$BI33:$BS33,0)&gt;0,0,1)</f>
        <v>1</v>
      </c>
      <c r="UA33" t="b">
        <f>IF($DU$33="",FALSE,SUMPRODUCT(('Final Calculation Sheet'!$W$4:$W$40=$DU$33)*($TZ$4:$TZ$40=1))&gt;0)</f>
        <v>1</v>
      </c>
      <c r="UB33">
        <f t="shared" si="199"/>
        <v>30</v>
      </c>
      <c r="UC33">
        <f t="shared" si="165"/>
        <v>370600</v>
      </c>
      <c r="UD33">
        <f>IF(COUNTIF('Final Calculation Sheet'!$AL33:$BH33,0)+COUNTIF('Final Calculation Sheet'!$BJ33:$BS33,0)&gt;0,0,1)</f>
        <v>1</v>
      </c>
      <c r="UE33" t="e">
        <f>IF($DZ$33="",FALSE,SUMPRODUCT(('Final Calculation Sheet'!$X$4:$X$40=$DZ$33)*($UD$4:$UD$40=1))&gt;0)</f>
        <v>#N/A</v>
      </c>
      <c r="UF33" t="e">
        <f t="shared" si="200"/>
        <v>#N/A</v>
      </c>
      <c r="UG33" t="e">
        <f t="shared" si="166"/>
        <v>#N/A</v>
      </c>
      <c r="UH33">
        <f>IF(COUNTIF('Final Calculation Sheet'!$AL33:$BI33,0)+COUNTIF('Final Calculation Sheet'!$BK33:$BS33,0)&gt;0,0,1)</f>
        <v>1</v>
      </c>
      <c r="UI33" t="e">
        <f>IF($EE$33="",FALSE,SUMPRODUCT(('Final Calculation Sheet'!$Y$4:$Y$40=$EE$33)*($UH$4:$UH$40=1))&gt;0)</f>
        <v>#N/A</v>
      </c>
      <c r="UJ33" t="e">
        <f t="shared" si="201"/>
        <v>#N/A</v>
      </c>
      <c r="UK33" t="e">
        <f t="shared" si="167"/>
        <v>#N/A</v>
      </c>
      <c r="UL33">
        <f>IF(COUNTIF('Final Calculation Sheet'!$AL33:$BJ33,0)+COUNTIF('Final Calculation Sheet'!$BL33:$BS33,0)&gt;0,0,1)</f>
        <v>1</v>
      </c>
      <c r="UM33" t="b">
        <f ca="1">IF($EJ$33="",FALSE,SUMPRODUCT(('Final Calculation Sheet'!$Z$4:$Z$40=$EJ$33)*($UL$4:$UL$40=1))&gt;0)</f>
        <v>1</v>
      </c>
      <c r="UN33">
        <f t="shared" ca="1" si="202"/>
        <v>30</v>
      </c>
      <c r="UO33">
        <f t="shared" ca="1" si="168"/>
        <v>14160</v>
      </c>
      <c r="UP33">
        <f>IF(COUNTIF('Final Calculation Sheet'!$AL33:$BK33,0)+COUNTIF('Final Calculation Sheet'!$BM33:$BS33,0)&gt;0,0,1)</f>
        <v>1</v>
      </c>
      <c r="UQ33" t="e">
        <f>IF($EO$33="",FALSE,SUMPRODUCT(('Final Calculation Sheet'!$AA$4:$AA$40=$EO$33)*($UP$4:$UP$40=1))&gt;0)</f>
        <v>#N/A</v>
      </c>
      <c r="UR33" t="e">
        <f t="shared" si="203"/>
        <v>#N/A</v>
      </c>
      <c r="US33" t="e">
        <f t="shared" si="169"/>
        <v>#N/A</v>
      </c>
      <c r="UT33">
        <f>IF(COUNTIF('Final Calculation Sheet'!$AL33:$BL33,0)+COUNTIF('Final Calculation Sheet'!$BN33:$BS33,0)&gt;0,0,1)</f>
        <v>1</v>
      </c>
      <c r="UU33" t="e">
        <f>IF($ET$33="",FALSE,SUMPRODUCT(('Final Calculation Sheet'!$AB$4:$AB$40=$ET$33)*($UT$4:$UT$40=1))&gt;0)</f>
        <v>#N/A</v>
      </c>
      <c r="UV33" t="e">
        <f t="shared" si="204"/>
        <v>#N/A</v>
      </c>
      <c r="UW33" t="e">
        <f t="shared" si="170"/>
        <v>#N/A</v>
      </c>
      <c r="UX33">
        <f>IF(COUNTIF('Final Calculation Sheet'!$AL33:$BM33,0)+COUNTIF('Final Calculation Sheet'!$BO33:$BS33,0)&gt;0,0,1)</f>
        <v>1</v>
      </c>
      <c r="UY33" t="b">
        <f>IF($EY$33="",FALSE,SUMPRODUCT(('Final Calculation Sheet'!$AC$4:$AC$40=$EY$33)*($UX$4:$UX$40=1))&gt;0)</f>
        <v>1</v>
      </c>
      <c r="UZ33">
        <f t="shared" si="205"/>
        <v>30</v>
      </c>
      <c r="VA33">
        <f t="shared" si="171"/>
        <v>388951</v>
      </c>
      <c r="VB33">
        <f>IF(COUNTIF('Final Calculation Sheet'!$AL33:$BN33,0)+COUNTIF('Final Calculation Sheet'!$BP33:$BS33,0)&gt;0,0,1)</f>
        <v>1</v>
      </c>
      <c r="VC33" t="b">
        <f>IF($FD$33="",FALSE,SUMPRODUCT(('Final Calculation Sheet'!$AD$4:$AD$40=$FD$33)*($VB$4:$VB$40=1))&gt;0)</f>
        <v>0</v>
      </c>
      <c r="VD33">
        <f t="shared" si="206"/>
        <v>11</v>
      </c>
      <c r="VE33" t="str">
        <f t="shared" si="172"/>
        <v/>
      </c>
      <c r="VF33">
        <f>IF(COUNTIF('Final Calculation Sheet'!$AL33:$BO33,0)+COUNTIF('Final Calculation Sheet'!$BQ33:$BS33,0)&gt;0,0,1)</f>
        <v>1</v>
      </c>
      <c r="VG33" t="e">
        <f>IF($FI$33="",FALSE,SUMPRODUCT(('Final Calculation Sheet'!$AE$4:$AE$40=$FI$33)*($VF$4:$VF$40=1))&gt;0)</f>
        <v>#N/A</v>
      </c>
      <c r="VH33" t="e">
        <f t="shared" si="207"/>
        <v>#N/A</v>
      </c>
      <c r="VI33" t="e">
        <f t="shared" si="173"/>
        <v>#N/A</v>
      </c>
      <c r="VJ33">
        <f>IF(COUNTIF('Final Calculation Sheet'!$AL33:$BP33,0)+COUNTIF('Final Calculation Sheet'!$BR33:$BS33,0)&gt;0,0,1)</f>
        <v>1</v>
      </c>
      <c r="VK33" t="e">
        <f>IF($FN$33="",FALSE,SUMPRODUCT(('Final Calculation Sheet'!$AF$4:$AF$40=$FN$33)*($VJ$4:$VJ$40=1))&gt;0)</f>
        <v>#N/A</v>
      </c>
      <c r="VL33" t="e">
        <f t="shared" si="208"/>
        <v>#N/A</v>
      </c>
      <c r="VM33" t="e">
        <f t="shared" si="174"/>
        <v>#N/A</v>
      </c>
      <c r="VN33">
        <f>IF(COUNTIF('Final Calculation Sheet'!$AL33:$BQ33,0)+COUNTIF('Final Calculation Sheet'!$BS33:$BS33,0)&gt;0,0,1)</f>
        <v>1</v>
      </c>
      <c r="VO33" t="e">
        <f>IF($FS$33="",FALSE,SUMPRODUCT(('Final Calculation Sheet'!$AG$4:$AG$40=$FS$33)*($VN$4:$VN$40=1))&gt;0)</f>
        <v>#N/A</v>
      </c>
      <c r="VP33" t="e">
        <f t="shared" si="209"/>
        <v>#N/A</v>
      </c>
      <c r="VQ33" t="e">
        <f t="shared" si="175"/>
        <v>#N/A</v>
      </c>
      <c r="VR33">
        <f>IF(COUNTIF('Final Calculation Sheet'!$AL33:$BR33,0)&gt;0,0,1)</f>
        <v>1</v>
      </c>
      <c r="VS33" t="e">
        <f>IF($QO$33="",FALSE,SUMPRODUCT(('Final Calculation Sheet'!$AH$4:$AH$40=$QO$33)*($VR$4:$VR$40=1))&gt;0)</f>
        <v>#N/A</v>
      </c>
      <c r="VT33" t="e">
        <f t="shared" si="210"/>
        <v>#N/A</v>
      </c>
      <c r="VU33" t="e">
        <f t="shared" si="176"/>
        <v>#N/A</v>
      </c>
    </row>
    <row r="34" spans="1:593" x14ac:dyDescent="0.3">
      <c r="A34">
        <f>IF('Final Calculation Sheet'!$F$34="","",'Final Calculation Sheet'!$F$34)</f>
        <v>2062</v>
      </c>
      <c r="B34">
        <f>IF(A34="","",COUNTIFS(A$4:A$114,"&lt;"&amp;A34,A$4:A$114,"&lt;&gt;"&amp;"")+COUNTIF(A$4:A34,A34))</f>
        <v>31</v>
      </c>
      <c r="C34">
        <f t="shared" si="0"/>
        <v>2062</v>
      </c>
      <c r="D34">
        <f>D33+IF(AND(C34&lt;&gt;"",COUNTIF(C$4:C34,C34)=1),1,0)</f>
        <v>31</v>
      </c>
      <c r="E34" t="e">
        <f t="shared" si="1"/>
        <v>#N/A</v>
      </c>
      <c r="F34">
        <f t="shared" si="2"/>
        <v>31</v>
      </c>
      <c r="G34">
        <f>IF(F34="","",COUNTIFS(F$4:F$40,"&lt;"&amp;F34,F$4:F$40,"&lt;&gt;"&amp;"")+COUNTIF(F$4:F34,F34))</f>
        <v>31</v>
      </c>
      <c r="H34">
        <f t="shared" si="3"/>
        <v>31</v>
      </c>
      <c r="I34">
        <f>I33+IF(AND(H34&lt;&gt;"",COUNTIF(H$4:H34,H34)=1),1,0)</f>
        <v>31</v>
      </c>
      <c r="J34">
        <f t="shared" si="4"/>
        <v>31</v>
      </c>
      <c r="K34">
        <f>IF('Final Calculation Sheet'!$F$34="","",'Final Calculation Sheet'!$F$34)</f>
        <v>2062</v>
      </c>
      <c r="L34">
        <f>IF(K34="","",COUNTIFS(K$4:K$40,"&lt;"&amp;K34,K$4:K$40,"&lt;&gt;"&amp;"")+COUNTIF(K$4:K34,K34))</f>
        <v>31</v>
      </c>
      <c r="M34">
        <f t="shared" si="5"/>
        <v>2062</v>
      </c>
      <c r="N34">
        <f>N33+IF(AND(M34&lt;&gt;"",COUNTIF(M$4:M34,M34)=1),1,0)</f>
        <v>31</v>
      </c>
      <c r="O34">
        <f t="shared" si="6"/>
        <v>2062</v>
      </c>
      <c r="P34" t="str">
        <f>IF('Final Calculation Sheet'!$G$34="","",'Final Calculation Sheet'!$G$34)</f>
        <v>STERLING ENTERPRISES</v>
      </c>
      <c r="Q34">
        <f>IF(P34="","",COUNTIFS(P$4:P$40,"&lt;"&amp;P34,P$4:P$40,"&lt;&gt;"&amp;"")+COUNTIF(P$4:P34,P34))</f>
        <v>33</v>
      </c>
      <c r="R34" t="str">
        <f t="shared" si="7"/>
        <v>STERLING ENTERPRISES</v>
      </c>
      <c r="S34">
        <f>S33+IF(AND(R34&lt;&gt;"",COUNTIF(R$4:R34,R34)=1),1,0)</f>
        <v>12</v>
      </c>
      <c r="T34" t="str">
        <f t="shared" si="8"/>
        <v/>
      </c>
      <c r="U34" t="str">
        <f>IF('Final Calculation Sheet'!$B$34="","",'Final Calculation Sheet'!$B$34)</f>
        <v>Scrap of Empty oil Barrels</v>
      </c>
      <c r="V34">
        <f>IF(U34="","",COUNTIFS(U$4:U$40,"&lt;"&amp;U34,U$4:U$40,"&lt;&gt;"&amp;"")+COUNTIF(U$4:U34,U34))</f>
        <v>30</v>
      </c>
      <c r="W34" t="str">
        <f t="shared" si="9"/>
        <v>Scrap of empty oil Druam</v>
      </c>
      <c r="X34">
        <f>X33+IF(AND(W34&lt;&gt;"",COUNTIF(W$4:W34,W34)=1),1,0)</f>
        <v>21</v>
      </c>
      <c r="Y34" t="str">
        <f t="shared" si="10"/>
        <v/>
      </c>
      <c r="Z34">
        <f>IF('Final Calculation Sheet'!$D$34="","",'Final Calculation Sheet'!$D$34)</f>
        <v>21979</v>
      </c>
      <c r="AA34">
        <f>IF(Z34="","",COUNTIFS(Z$4:Z$40,"&lt;"&amp;Z34,Z$4:Z$40,"&lt;&gt;"&amp;"")+COUNTIF(Z$4:Z34,Z34))</f>
        <v>29</v>
      </c>
      <c r="AB34">
        <f t="shared" si="11"/>
        <v>21980</v>
      </c>
      <c r="AC34">
        <f>AC33+IF(AND(AB34&lt;&gt;"",COUNTIF(AB$4:AB34,AB34)=1),1,0)</f>
        <v>4</v>
      </c>
      <c r="AD34" t="str">
        <f t="shared" si="12"/>
        <v/>
      </c>
      <c r="AE34">
        <f>IF('Final Calculation Sheet'!$A$34="","",'Final Calculation Sheet'!$A$34)</f>
        <v>30</v>
      </c>
      <c r="AF34">
        <f>IF(AE34="","",COUNTIFS(AE$4:AE$40,"&lt;"&amp;AE34,AE$4:AE$40,"&lt;&gt;"&amp;"")+COUNTIF(AE$4:AE34,AE34))</f>
        <v>25</v>
      </c>
      <c r="AG34">
        <f t="shared" si="13"/>
        <v>270</v>
      </c>
      <c r="AH34">
        <f>AH33+IF(AND(AG34&lt;&gt;"",COUNTIF(AG$4:AG34,AG34)=1),1,0)</f>
        <v>16</v>
      </c>
      <c r="AI34" t="str">
        <f t="shared" si="14"/>
        <v/>
      </c>
      <c r="AJ34" t="str">
        <f>IF('Final Calculation Sheet'!$E$34="","",'Final Calculation Sheet'!$E$34)</f>
        <v>NO</v>
      </c>
      <c r="AK34">
        <f>IF(AJ34="","",COUNTIFS(AJ$4:AJ$40,"&lt;"&amp;AJ34,AJ$4:AJ$40,"&lt;&gt;"&amp;"")+COUNTIF(AJ$4:AJ34,AJ34))</f>
        <v>31</v>
      </c>
      <c r="AL34" t="str">
        <f t="shared" si="15"/>
        <v>NO</v>
      </c>
      <c r="AM34">
        <f>AM33+IF(AND(AL34&lt;&gt;"",COUNTIF(AL$4:AL34,AL34)=1),1,0)</f>
        <v>3</v>
      </c>
      <c r="AN34" t="str">
        <f t="shared" si="16"/>
        <v/>
      </c>
      <c r="AO34" s="50">
        <f>IF('Final Calculation Sheet'!$C$34="","",'Final Calculation Sheet'!$C$34)</f>
        <v>702</v>
      </c>
      <c r="AP34">
        <f>IF(AO34="","",COUNTIFS(AO$4:AO$40,"&lt;"&amp;AO34,AO$4:AO$40,"&lt;&gt;"&amp;"")+COUNTIF(AO$4:AO34,AO34))</f>
        <v>13</v>
      </c>
      <c r="AQ34" s="50">
        <f t="shared" si="17"/>
        <v>83743</v>
      </c>
      <c r="AR34">
        <f>AR33+IF(AND(AQ34&lt;&gt;"",COUNTIF(AQ$4:AQ34,AQ34)=1),1,0)</f>
        <v>29</v>
      </c>
      <c r="AS34" s="50">
        <f t="shared" si="18"/>
        <v>110200</v>
      </c>
      <c r="AT34" s="50">
        <f>IF('Final Calculation Sheet'!$H$34="","",'Final Calculation Sheet'!$H$34)</f>
        <v>21060</v>
      </c>
      <c r="AU34">
        <f>IF(AT34="","",COUNTIFS(AT$4:AT$40,"&lt;"&amp;AT34,AT$4:AT$40,"&lt;&gt;"&amp;"")+COUNTIF(AT$4:AT34,AT34))</f>
        <v>3</v>
      </c>
      <c r="AV34" s="50">
        <f t="shared" si="19"/>
        <v>517000</v>
      </c>
      <c r="AW34">
        <f>AW33+IF(AND(AV34&lt;&gt;"",COUNTIF(AV$4:AV34,AV34)=1),1,0)</f>
        <v>31</v>
      </c>
      <c r="AX34" s="50">
        <f t="shared" si="20"/>
        <v>517000</v>
      </c>
      <c r="AY34" s="50">
        <f>IF('Final Calculation Sheet'!$I$34="","",'Final Calculation Sheet'!$I$34)</f>
        <v>3791</v>
      </c>
      <c r="AZ34">
        <f>IF(AY34="","",COUNTIFS(AY$4:AY$40,"&lt;"&amp;AY34,AY$4:AY$40,"&lt;&gt;"&amp;"")+COUNTIF(AY$4:AY34,AY34))</f>
        <v>3</v>
      </c>
      <c r="BA34" s="50">
        <f t="shared" si="21"/>
        <v>93060</v>
      </c>
      <c r="BB34">
        <f>BB33+IF(AND(BA34&lt;&gt;"",COUNTIF(BA$4:BA34,BA34)=1),1,0)</f>
        <v>31</v>
      </c>
      <c r="BC34" s="50">
        <f t="shared" si="22"/>
        <v>93060</v>
      </c>
      <c r="BD34" s="50">
        <f>IF('Final Calculation Sheet'!$J$34="","",'Final Calculation Sheet'!$J$34)</f>
        <v>24851</v>
      </c>
      <c r="BE34">
        <f>IF(BD34="","",COUNTIFS(BD$4:BD$40,"&lt;"&amp;BD34,BD$4:BD$40,"&lt;&gt;"&amp;"")+COUNTIF(BD$4:BD34,BD34))</f>
        <v>3</v>
      </c>
      <c r="BF34" s="50">
        <f t="shared" si="23"/>
        <v>610060</v>
      </c>
      <c r="BG34">
        <f>BG33+IF(AND(BF34&lt;&gt;"",COUNTIF(BF$4:BF34,BF34)=1),1,0)</f>
        <v>31</v>
      </c>
      <c r="BH34" s="50">
        <f t="shared" si="24"/>
        <v>610060</v>
      </c>
      <c r="BI34" s="50">
        <f>IF('Final Calculation Sheet'!$K$34="","",'Final Calculation Sheet'!$K$34)</f>
        <v>497</v>
      </c>
      <c r="BJ34">
        <f>IF(BI34="","",COUNTIFS(BI$4:BI$40,"&lt;"&amp;BI34,BI$4:BI$40,"&lt;&gt;"&amp;"")+COUNTIF(BI$4:BI34,BI34))</f>
        <v>3</v>
      </c>
      <c r="BK34" s="50">
        <f t="shared" si="25"/>
        <v>12201</v>
      </c>
      <c r="BL34">
        <f>BL33+IF(AND(BK34&lt;&gt;"",COUNTIF(BK$4:BK34,BK34)=1),1,0)</f>
        <v>30</v>
      </c>
      <c r="BM34" s="50">
        <f t="shared" si="26"/>
        <v>12966</v>
      </c>
      <c r="BN34" s="50">
        <f>IF('Final Calculation Sheet'!$L$34="","",'Final Calculation Sheet'!$L$34)</f>
        <v>21.06</v>
      </c>
      <c r="BO34">
        <f>IF(BN34="","",COUNTIFS(BN$4:BN$40,"&lt;"&amp;BN34,BN$4:BN$40,"&lt;&gt;"&amp;"")+COUNTIF(BN$4:BN34,BN34))</f>
        <v>3</v>
      </c>
      <c r="BP34" s="50">
        <f t="shared" si="27"/>
        <v>517</v>
      </c>
      <c r="BQ34">
        <f>BQ33+IF(AND(BP34&lt;&gt;"",COUNTIF(BP$4:BP34,BP34)=1),1,0)</f>
        <v>31</v>
      </c>
      <c r="BR34" s="50">
        <f t="shared" si="28"/>
        <v>517</v>
      </c>
      <c r="BS34" s="50">
        <f>IF('Final Calculation Sheet'!$M$34="","",'Final Calculation Sheet'!$M$34)</f>
        <v>559.14299999999992</v>
      </c>
      <c r="BT34">
        <f>IF(BS34="","",COUNTIFS(BS$4:BS$40,"&lt;"&amp;BS34,BS$4:BS$40,"&lt;&gt;"&amp;"")+COUNTIF(BS$4:BS34,BS34))</f>
        <v>3</v>
      </c>
      <c r="BU34" s="50">
        <f t="shared" si="29"/>
        <v>13726.349999999999</v>
      </c>
      <c r="BV34">
        <f>BV33+IF(AND(BU34&lt;&gt;"",COUNTIF(BU$4:BU34,BU34)=1),1,0)</f>
        <v>31</v>
      </c>
      <c r="BW34" s="50">
        <f t="shared" si="30"/>
        <v>13726.349999999999</v>
      </c>
      <c r="BX34" s="126">
        <f>IF('Final Calculation Sheet'!$N$34="","",'Final Calculation Sheet'!$N$34)</f>
        <v>9.4770000000000003</v>
      </c>
      <c r="BY34">
        <f>IF(BX34="","",COUNTIFS(BX$4:BX$40,"&lt;"&amp;BX34,BX$4:BX$40,"&lt;&gt;"&amp;"")+COUNTIF(BX$4:BX34,BX34))</f>
        <v>3</v>
      </c>
      <c r="BZ34" s="126">
        <f t="shared" si="31"/>
        <v>232.65</v>
      </c>
      <c r="CA34">
        <f>CA33+IF(AND(BZ34&lt;&gt;"",COUNTIF(BZ$4:BZ34,BZ34)=1),1,0)</f>
        <v>31</v>
      </c>
      <c r="CB34" s="126">
        <f t="shared" si="32"/>
        <v>232.65</v>
      </c>
      <c r="CC34" s="50">
        <f>IF('Final Calculation Sheet'!$O$34="","",'Final Calculation Sheet'!$O$34)</f>
        <v>549.66599999999994</v>
      </c>
      <c r="CD34">
        <f>IF(CC34="","",COUNTIFS(CC$4:CC$40,"&lt;"&amp;CC34,CC$4:CC$40,"&lt;&gt;"&amp;"")+COUNTIF(CC$4:CC34,CC34))</f>
        <v>3</v>
      </c>
      <c r="CE34" s="50">
        <f t="shared" si="33"/>
        <v>13493.699999999999</v>
      </c>
      <c r="CF34">
        <f>CF33+IF(AND(CE34&lt;&gt;"",COUNTIF(CE$4:CE34,CE34)=1),1,0)</f>
        <v>31</v>
      </c>
      <c r="CG34" s="50">
        <f t="shared" si="34"/>
        <v>13493.699999999999</v>
      </c>
      <c r="CH34" s="50">
        <f>IF('Final Calculation Sheet'!$P$34="","",'Final Calculation Sheet'!$P$34)</f>
        <v>571</v>
      </c>
      <c r="CI34">
        <f>IF(CH34="","",COUNTIFS(CH$4:CH$40,"&lt;"&amp;CH34,CH$4:CH$40,"&lt;&gt;"&amp;"")+COUNTIF(CH$4:CH34,CH34))</f>
        <v>3</v>
      </c>
      <c r="CJ34" s="50">
        <f t="shared" si="35"/>
        <v>14011</v>
      </c>
      <c r="CK34">
        <f>CK33+IF(AND(CJ34&lt;&gt;"",COUNTIF(CJ$4:CJ34,CJ34)=1),1,0)</f>
        <v>30</v>
      </c>
      <c r="CL34" s="50">
        <f t="shared" si="36"/>
        <v>14889</v>
      </c>
      <c r="CM34" s="127">
        <f>IF('Final Calculation Sheet'!$Q$34="","",'Final Calculation Sheet'!$Q$34)</f>
        <v>0</v>
      </c>
      <c r="CN34">
        <f>IF(CM34="","",COUNTIFS(CM$4:CM$40,"&lt;"&amp;CM34,CM$4:CM$40,"&lt;&gt;"&amp;"")+COUNTIF(CM$4:CM34,CM34))</f>
        <v>27</v>
      </c>
      <c r="CO34" s="127">
        <f t="shared" si="37"/>
        <v>0</v>
      </c>
      <c r="CP34">
        <f>CP33+IF(AND(CO34&lt;&gt;"",COUNTIF(CO$4:CO34,CO34)=1),1,0)</f>
        <v>1</v>
      </c>
      <c r="CQ34" t="str">
        <f t="shared" si="38"/>
        <v/>
      </c>
      <c r="CR34" s="50">
        <f>IF('Final Calculation Sheet'!$R$34="","",'Final Calculation Sheet'!$R$34)</f>
        <v>0</v>
      </c>
      <c r="CS34">
        <f>IF(CR34="","",COUNTIFS(CR$4:CR$40,"&lt;"&amp;CR34,CR$4:CR$40,"&lt;&gt;"&amp;"")+COUNTIF(CR$4:CR34,CR34))</f>
        <v>27</v>
      </c>
      <c r="CT34" s="50">
        <f t="shared" si="39"/>
        <v>0</v>
      </c>
      <c r="CU34">
        <f>CU33+IF(AND(CT34&lt;&gt;"",COUNTIF(CT$4:CT34,CT34)=1),1,0)</f>
        <v>1</v>
      </c>
      <c r="CV34" t="str">
        <f t="shared" si="40"/>
        <v/>
      </c>
      <c r="CW34" s="50">
        <f>IF('Final Calculation Sheet'!$S$34="","",'Final Calculation Sheet'!$S$34)</f>
        <v>24777</v>
      </c>
      <c r="CX34">
        <f>IF(CW34="","",COUNTIFS(CW$4:CW$40,"&lt;"&amp;CW34,CW$4:CW$40,"&lt;&gt;"&amp;"")+COUNTIF(CW$4:CW34,CW34))</f>
        <v>3</v>
      </c>
      <c r="CY34" s="50">
        <f t="shared" si="41"/>
        <v>608251</v>
      </c>
      <c r="CZ34">
        <f>CZ33+IF(AND(CY34&lt;&gt;"",COUNTIF(CY$4:CY34,CY34)=1),1,0)</f>
        <v>31</v>
      </c>
      <c r="DA34" s="50">
        <f t="shared" si="42"/>
        <v>608251</v>
      </c>
      <c r="DB34" s="50">
        <f>IF('Final Calculation Sheet'!$T$34="","",'Final Calculation Sheet'!$T$34)</f>
        <v>5265</v>
      </c>
      <c r="DC34">
        <f>IF(DB34="","",COUNTIFS(DB$4:DB$40,"&lt;"&amp;DB34,DB$4:DB$40,"&lt;&gt;"&amp;"")+COUNTIF(DB$4:DB34,DB34))</f>
        <v>3</v>
      </c>
      <c r="DD34" s="50">
        <f t="shared" si="43"/>
        <v>129250</v>
      </c>
      <c r="DE34">
        <f>DE33+IF(AND(DD34&lt;&gt;"",COUNTIF(DD$4:DD34,DD34)=1),1,0)</f>
        <v>31</v>
      </c>
      <c r="DF34" s="50">
        <f t="shared" si="44"/>
        <v>129250</v>
      </c>
      <c r="DG34" s="128">
        <f>IF('Final Calculation Sheet'!$U$34="","",'Final Calculation Sheet'!$U$34)</f>
        <v>5265</v>
      </c>
      <c r="DH34">
        <f>IF(DG34="","",COUNTIFS(DG$4:DG$40,"&lt;"&amp;DG34,DG$4:DG$40,"&lt;&gt;"&amp;"")+COUNTIF(DG$4:DG34,DG34))</f>
        <v>3</v>
      </c>
      <c r="DI34" s="128">
        <f t="shared" si="45"/>
        <v>129250</v>
      </c>
      <c r="DJ34">
        <f>DJ33+IF(AND(DI34&lt;&gt;"",COUNTIF(DI$4:DI34,DI34)=1),1,0)</f>
        <v>31</v>
      </c>
      <c r="DK34" s="128">
        <f t="shared" si="46"/>
        <v>129250</v>
      </c>
      <c r="DL34" t="str">
        <f>IF('Final Calculation Sheet'!$V$34="","",'Final Calculation Sheet'!$V$34)</f>
        <v>11.08.2026</v>
      </c>
      <c r="DM34">
        <f>IF(DL34="","",COUNTIFS(DL$4:DL$40,"&lt;"&amp;DL34,DL$4:DL$40,"&lt;&gt;"&amp;"")+COUNTIF(DL$4:DL34,DL34))</f>
        <v>10</v>
      </c>
      <c r="DN34" t="str">
        <f t="shared" si="47"/>
        <v>14.08.2026</v>
      </c>
      <c r="DO34">
        <f>DO33+IF(AND(DN34&lt;&gt;"",COUNTIF(DN$4:DN34,DN34)=1),1,0)</f>
        <v>4</v>
      </c>
      <c r="DP34" t="str">
        <f t="shared" si="48"/>
        <v/>
      </c>
      <c r="DQ34" s="50">
        <f>IF('Final Calculation Sheet'!$W$34="","",'Final Calculation Sheet'!$W$34)</f>
        <v>19512</v>
      </c>
      <c r="DR34">
        <f>IF(DQ34="","",COUNTIFS(DQ$4:DQ$40,"&lt;"&amp;DQ34,DQ$4:DQ$40,"&lt;&gt;"&amp;"")+COUNTIF(DQ$4:DQ34,DQ34))</f>
        <v>3</v>
      </c>
      <c r="DS34" s="50">
        <f t="shared" si="49"/>
        <v>479001</v>
      </c>
      <c r="DT34">
        <f>DT33+IF(AND(DS34&lt;&gt;"",COUNTIF(DS$4:DS34,DS34)=1),1,0)</f>
        <v>31</v>
      </c>
      <c r="DU34" s="50">
        <f t="shared" si="50"/>
        <v>479001</v>
      </c>
      <c r="DV34" s="50">
        <f>IF('Final Calculation Sheet'!$X$34="","",'Final Calculation Sheet'!$X$34)</f>
        <v>19512</v>
      </c>
      <c r="DW34">
        <f>IF(DV34="","",COUNTIFS(DV$4:DV$40,"&lt;"&amp;DV34,DV$4:DV$40,"&lt;&gt;"&amp;"")+COUNTIF(DV$4:DV34,DV34))</f>
        <v>3</v>
      </c>
      <c r="DX34" s="50">
        <f t="shared" si="51"/>
        <v>1056525</v>
      </c>
      <c r="DY34">
        <f>DY33+IF(AND(DX34&lt;&gt;"",COUNTIF(DX$4:DX34,DX34)=1),1,0)</f>
        <v>31</v>
      </c>
      <c r="DZ34" t="e">
        <f t="shared" si="52"/>
        <v>#N/A</v>
      </c>
      <c r="EA34" t="str">
        <f>IF('Final Calculation Sheet'!$Y$34="","",'Final Calculation Sheet'!$Y$34)</f>
        <v>11.08.2026</v>
      </c>
      <c r="EB34">
        <f>IF(EA34="","",COUNTIFS(EA$4:EA$40,"&lt;"&amp;EA34,EA$4:EA$40,"&lt;&gt;"&amp;"")+COUNTIF(EA$4:EA34,EA34))</f>
        <v>8</v>
      </c>
      <c r="EC34" t="str">
        <f t="shared" si="53"/>
        <v>24.08.2026</v>
      </c>
      <c r="ED34">
        <f>ED33+IF(AND(EC34&lt;&gt;"",COUNTIF(EC$4:EC34,EC34)=1),1,0)</f>
        <v>9</v>
      </c>
      <c r="EE34" t="e">
        <f t="shared" si="54"/>
        <v>#N/A</v>
      </c>
      <c r="EF34" s="50">
        <f ca="1">IF('Final Calculation Sheet'!$Z$34="","",'Final Calculation Sheet'!$Z$34)</f>
        <v>745.52399999999989</v>
      </c>
      <c r="EG34">
        <f ca="1">IF(EF34="","",COUNTIFS(EF$4:EF$40,"&lt;"&amp;EF34,EF$4:EF$40,"&lt;&gt;"&amp;"")+COUNTIF(EF$4:EF34,EF34))</f>
        <v>4</v>
      </c>
      <c r="EH34" s="50">
        <f t="shared" ca="1" si="55"/>
        <v>18301.8</v>
      </c>
      <c r="EI34">
        <f ca="1">EI33+IF(AND(EH34&lt;&gt;"",COUNTIF(EH$4:EH34,EH34)=1),1,0)</f>
        <v>31</v>
      </c>
      <c r="EJ34">
        <f t="shared" ca="1" si="56"/>
        <v>18301.8</v>
      </c>
      <c r="EK34" t="str">
        <f>IF('Final Calculation Sheet'!$AA$34="","",'Final Calculation Sheet'!$AA$34)</f>
        <v/>
      </c>
      <c r="EL34" t="str">
        <f>IF(EK34="","",COUNTIFS(EK$4:EK$40,"&lt;"&amp;EK34,EK$4:EK$40,"&lt;&gt;"&amp;"")+COUNTIF(EK$4:EK34,EK34))</f>
        <v/>
      </c>
      <c r="EM34" t="e">
        <f t="shared" si="57"/>
        <v>#N/A</v>
      </c>
      <c r="EN34" t="e">
        <f>EN33+IF(AND(EM34&lt;&gt;"",COUNTIF(EM$4:EM34,EM34)=1),1,0)</f>
        <v>#N/A</v>
      </c>
      <c r="EO34" t="e">
        <f t="shared" si="58"/>
        <v>#N/A</v>
      </c>
      <c r="EP34" t="str">
        <f>IF('Final Calculation Sheet'!$AB$34="","",'Final Calculation Sheet'!$AB$34)</f>
        <v/>
      </c>
      <c r="EQ34" t="str">
        <f>IF(EP34="","",COUNTIFS(EP$4:EP$40,"&lt;"&amp;EP34,EP$4:EP$40,"&lt;&gt;"&amp;"")+COUNTIF(EP$4:EP34,EP34))</f>
        <v/>
      </c>
      <c r="ER34" t="e">
        <f t="shared" si="59"/>
        <v>#N/A</v>
      </c>
      <c r="ES34" t="e">
        <f>ES33+IF(AND(ER34&lt;&gt;"",COUNTIF(ER$4:ER34,ER34)=1),1,0)</f>
        <v>#N/A</v>
      </c>
      <c r="ET34" t="e">
        <f t="shared" si="60"/>
        <v>#N/A</v>
      </c>
      <c r="EU34" s="50">
        <f>IF('Final Calculation Sheet'!$AC$34="","",'Final Calculation Sheet'!$AC$34)</f>
        <v>24777</v>
      </c>
      <c r="EV34">
        <f>IF(EU34="","",COUNTIFS(EU$4:EU$40,"&lt;"&amp;EU34,EU$4:EU$40,"&lt;&gt;"&amp;"")+COUNTIF(EU$4:EU34,EU34))</f>
        <v>4</v>
      </c>
      <c r="EW34" s="50">
        <f t="shared" si="61"/>
        <v>470600</v>
      </c>
      <c r="EX34">
        <f>EX33+IF(AND(EW34&lt;&gt;"",COUNTIF(EW$4:EW34,EW34)=1),1,0)</f>
        <v>31</v>
      </c>
      <c r="EY34" s="50">
        <f t="shared" si="62"/>
        <v>470600</v>
      </c>
      <c r="EZ34" s="50">
        <f>IF('Final Calculation Sheet'!$AD$34="","",'Final Calculation Sheet'!$AD$34)</f>
        <v>0</v>
      </c>
      <c r="FA34">
        <f>IF(EZ34="","",COUNTIFS(EZ$4:EZ$40,"&lt;"&amp;EZ34,EZ$4:EZ$40,"&lt;&gt;"&amp;"")+COUNTIF(EZ$4:EZ34,EZ34))</f>
        <v>26</v>
      </c>
      <c r="FB34" s="50">
        <f t="shared" si="63"/>
        <v>1</v>
      </c>
      <c r="FC34">
        <f>FC33+IF(AND(FB34&lt;&gt;"",COUNTIF(FB$4:FB34,FB34)=1),1,0)</f>
        <v>8</v>
      </c>
      <c r="FD34" t="str">
        <f t="shared" si="64"/>
        <v/>
      </c>
      <c r="FE34" t="str">
        <f>IF('Final Calculation Sheet'!$AF$34="","",'Final Calculation Sheet'!$AF$34)</f>
        <v>DR2640100022</v>
      </c>
      <c r="FF34">
        <f>IF(FE34="","",COUNTIFS(FE$4:FE$40,"&lt;"&amp;FE34,FE$4:FE$40,"&lt;&gt;"&amp;"")+COUNTIF(FE$4:FE34,FE34))</f>
        <v>11</v>
      </c>
      <c r="FG34" t="str">
        <f t="shared" si="65"/>
        <v>DR2640100042</v>
      </c>
      <c r="FH34" t="e">
        <f>FH33+IF(AND(FG34&lt;&gt;"",COUNTIF(FG$4:FG34,FG34)=1),1,0)</f>
        <v>#N/A</v>
      </c>
      <c r="FI34" t="e">
        <f t="shared" si="66"/>
        <v>#N/A</v>
      </c>
      <c r="FJ34" s="129">
        <f>IF('Final Calculation Sheet'!$AG$34="","",'Final Calculation Sheet'!$AG$34)</f>
        <v>1800003161</v>
      </c>
      <c r="FK34">
        <f>IF(FJ34="","",COUNTIFS(FJ$4:FJ$40,"&lt;"&amp;FJ34,FJ$4:FJ$40,"&lt;&gt;"&amp;"")+COUNTIF(FJ$4:FJ34,FJ34))</f>
        <v>6</v>
      </c>
      <c r="FL34" s="129">
        <f t="shared" si="67"/>
        <v>1800003346</v>
      </c>
      <c r="FM34">
        <f>FM33+IF(AND(FL34&lt;&gt;"",COUNTIF(FL$4:FL34,FL34)=1),1,0)</f>
        <v>31</v>
      </c>
      <c r="FN34" t="e">
        <f t="shared" si="68"/>
        <v>#N/A</v>
      </c>
      <c r="FO34" t="str">
        <f>IF('Final Calculation Sheet'!$AH$34="","",'Final Calculation Sheet'!$AH$34)</f>
        <v>14.08.2026</v>
      </c>
      <c r="FP34">
        <f>IF(FO34="","",COUNTIFS(FO$4:FO$40,"&lt;"&amp;FO34,FO$4:FO$40,"&lt;&gt;"&amp;"")+COUNTIF(FO$4:FO34,FO34))</f>
        <v>11</v>
      </c>
      <c r="FQ34" t="str">
        <f t="shared" si="69"/>
        <v>27.08.2026</v>
      </c>
      <c r="FR34" t="e">
        <f>FR33+IF(AND(FQ34&lt;&gt;"",COUNTIF(FQ$4:FQ34,FQ34)=1),1,0)</f>
        <v>#N/A</v>
      </c>
      <c r="FS34" t="e">
        <f t="shared" si="70"/>
        <v>#N/A</v>
      </c>
      <c r="FU34" t="str">
        <f>IF(FT34="","",COUNTIFS(FT$4:FT$40,"&lt;"&amp;FT34,FT$4:FT$40,"&lt;&gt;"&amp;"")+COUNTIF(FT$4:FT34,FT34))</f>
        <v/>
      </c>
      <c r="FV34" t="str">
        <f t="shared" si="71"/>
        <v/>
      </c>
      <c r="FW34">
        <f>FW33+IF(AND(FV34&lt;&gt;"",COUNTIF(FV$4:FV34,FV34)=1),1,0)</f>
        <v>2</v>
      </c>
      <c r="FX34" t="str">
        <f t="shared" si="72"/>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4" t="b">
        <f>IF($Y$34="",FALSE,SUMPRODUCT(('Final Calculation Sheet'!$B$4:$B$40=$Y$34)*($FY$6:$FY$42=1))&gt;0)</f>
        <v>0</v>
      </c>
      <c r="GA34">
        <f>$GA$33+--($FZ$34)</f>
        <v>25</v>
      </c>
      <c r="GB34" t="str">
        <f t="shared" si="73"/>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D34" t="b">
        <f>IF($O$34="",FALSE,SUMPRODUCT(('Final Calculation Sheet'!$F$4:$F$40=$O$34)*($GC$6:$GC$42=1))&gt;0)</f>
        <v>1</v>
      </c>
      <c r="GE34">
        <f>$GE$33+--($GD34)</f>
        <v>31</v>
      </c>
      <c r="GF34">
        <f t="shared" si="74"/>
        <v>2062</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H34" t="b">
        <f>IF($T$34="",FALSE,SUMPRODUCT(('Final Calculation Sheet'!$G$4:$G$40=$T$34)*($GG$6:$GG$42=1))&gt;0)</f>
        <v>0</v>
      </c>
      <c r="GI34">
        <f>$GI$33+--($GH34)</f>
        <v>13</v>
      </c>
      <c r="GJ34" t="str">
        <f t="shared" si="75"/>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L34" t="b">
        <f>IF($AD$34="",FALSE,SUMPRODUCT(('Final Calculation Sheet'!$D$4:$D$40=$AD$34)*($GK$6:$GK$42=1))&gt;0)</f>
        <v>0</v>
      </c>
      <c r="GM34">
        <f>$GM$33+--($GL34)</f>
        <v>4</v>
      </c>
      <c r="GN34" t="str">
        <f t="shared" si="76"/>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P34" t="b">
        <f>IF($AI$34="",FALSE,SUMPRODUCT(('Final Calculation Sheet'!$A$4:$A$40=$AI$34)*($GO$6:$GO$42=1))&gt;0)</f>
        <v>0</v>
      </c>
      <c r="GQ34">
        <f>$GQ$33+--($GP34)</f>
        <v>22</v>
      </c>
      <c r="GR34" t="str">
        <f t="shared" si="77"/>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T34" t="b">
        <f>IF($AN$34="",FALSE,SUMPRODUCT(('Final Calculation Sheet'!$E$4:$E$40=$AN$34)*($GS$6:$GS$42=1))&gt;0)</f>
        <v>0</v>
      </c>
      <c r="GU34">
        <f>$GU$33+--($GT34)</f>
        <v>3</v>
      </c>
      <c r="GV34" t="str">
        <f t="shared" si="78"/>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GX34" t="b">
        <f>IF($AS$34="",FALSE,SUMPRODUCT(('Final Calculation Sheet'!$C$4:$C$40=$AS$34)*($GW$6:$GW$42=1))&gt;0)</f>
        <v>1</v>
      </c>
      <c r="GY34">
        <f>$GY$33+--($GX34)</f>
        <v>31</v>
      </c>
      <c r="GZ34">
        <f t="shared" si="79"/>
        <v>110200</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B34" t="b">
        <f>IF($AX$34="",FALSE,SUMPRODUCT(('Final Calculation Sheet'!$H$4:$H$40=$AX$34)*($HA$6:$HA$42=1))&gt;0)</f>
        <v>1</v>
      </c>
      <c r="HC34">
        <f>$HC$33+--($HB34)</f>
        <v>31</v>
      </c>
      <c r="HD34">
        <f t="shared" si="80"/>
        <v>517000</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F34" t="b">
        <f>IF($BC$34="",FALSE,SUMPRODUCT(('Final Calculation Sheet'!$I$4:$I$40=$BC$34)*($HE$6:$HE$42=1))&gt;0)</f>
        <v>1</v>
      </c>
      <c r="HG34">
        <f>$HG$33+--($HF34)</f>
        <v>31</v>
      </c>
      <c r="HH34">
        <f t="shared" si="81"/>
        <v>93060</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J34" t="b">
        <f>IF($BH$34="",FALSE,SUMPRODUCT(('Final Calculation Sheet'!$J$4:$J$40=$BH$34)*($HI$6:$HI$42=1))&gt;0)</f>
        <v>1</v>
      </c>
      <c r="HK34">
        <f>$HK$33+--($HJ34)</f>
        <v>31</v>
      </c>
      <c r="HL34">
        <f t="shared" si="82"/>
        <v>610060</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N34" t="b">
        <f>IF($BM$34="",FALSE,SUMPRODUCT(('Final Calculation Sheet'!$K$4:$K$40=$BM$34)*($HM$6:$HM$42=1))&gt;0)</f>
        <v>1</v>
      </c>
      <c r="HO34">
        <f>$HO$33+--($HN34)</f>
        <v>31</v>
      </c>
      <c r="HP34">
        <f t="shared" si="83"/>
        <v>12966</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R34" t="b">
        <f>IF($BR$34="",FALSE,SUMPRODUCT(('Final Calculation Sheet'!$L$4:$L$40=$BR$34)*($HQ$6:$HQ$42=1))&gt;0)</f>
        <v>1</v>
      </c>
      <c r="HS34">
        <f>$HS$33+--($HR34)</f>
        <v>31</v>
      </c>
      <c r="HT34">
        <f t="shared" si="84"/>
        <v>517</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V34" t="b">
        <f>IF($BW$34="",FALSE,SUMPRODUCT(('Final Calculation Sheet'!$M$4:$M$40=$BW$34)*($HU$6:$HU$42=1))&gt;0)</f>
        <v>1</v>
      </c>
      <c r="HW34">
        <f>$HW$33+--($HV34)</f>
        <v>31</v>
      </c>
      <c r="HX34">
        <f t="shared" si="85"/>
        <v>13726.349999999999</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HZ34" t="b">
        <f>IF($CB$34="",FALSE,SUMPRODUCT(('Final Calculation Sheet'!$N$4:$N$40=$CB$34)*($HY$6:$HY$42=1))&gt;0)</f>
        <v>1</v>
      </c>
      <c r="IA34">
        <f>$IA$33+--($HZ34)</f>
        <v>31</v>
      </c>
      <c r="IB34">
        <f t="shared" si="86"/>
        <v>232.65</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D34" t="b">
        <f>IF($CG$34="",FALSE,SUMPRODUCT(('Final Calculation Sheet'!$O$4:$O$40=$CG$34)*($IC$6:$IC$42=1))&gt;0)</f>
        <v>1</v>
      </c>
      <c r="IE34">
        <f>$IE$33+--($ID34)</f>
        <v>31</v>
      </c>
      <c r="IF34">
        <f t="shared" si="87"/>
        <v>13493.699999999999</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H34" t="b">
        <f>IF($CL$34="",FALSE,SUMPRODUCT(('Final Calculation Sheet'!$P$4:$P$40=$CL$34)*($IG$6:$IG$42=1))&gt;0)</f>
        <v>1</v>
      </c>
      <c r="II34">
        <f>$II$33+--($IH34)</f>
        <v>31</v>
      </c>
      <c r="IJ34">
        <f t="shared" si="88"/>
        <v>14889</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L34" t="b">
        <f>IF($CQ$34="",FALSE,SUMPRODUCT(('Final Calculation Sheet'!$Q$4:$Q$40=$CQ$34)*($IK$6:$IK$42=1))&gt;0)</f>
        <v>0</v>
      </c>
      <c r="IM34">
        <f>$IM$33+--($IL34)</f>
        <v>2</v>
      </c>
      <c r="IN34" t="str">
        <f t="shared" si="89"/>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P34" t="b">
        <f>IF($CV$34="",FALSE,SUMPRODUCT(('Final Calculation Sheet'!$R$4:$R$40=$CV$34)*($IO$6:$IO$42=1))&gt;0)</f>
        <v>0</v>
      </c>
      <c r="IQ34">
        <f>$IQ$33+--($IP34)</f>
        <v>5</v>
      </c>
      <c r="IR34" t="str">
        <f t="shared" si="90"/>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T34" t="b">
        <f>IF($DA$34="",FALSE,SUMPRODUCT(('Final Calculation Sheet'!$S$4:$S$40=$DA$34)*($IS$6:$IS$42=1))&gt;0)</f>
        <v>1</v>
      </c>
      <c r="IU34">
        <f>$IU$33+--($IT34)</f>
        <v>31</v>
      </c>
      <c r="IV34">
        <f t="shared" si="91"/>
        <v>608251</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IX34" t="b">
        <f>IF($DF$34="",FALSE,SUMPRODUCT(('Final Calculation Sheet'!$T$4:$T$40=$DF$34)*($IW$6:$IW$42=1))&gt;0)</f>
        <v>1</v>
      </c>
      <c r="IY34">
        <f>$IY$33+--($IX34)</f>
        <v>31</v>
      </c>
      <c r="IZ34">
        <f t="shared" si="92"/>
        <v>129250</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B34" t="b">
        <f>IF($DK$34="",FALSE,SUMPRODUCT(('Final Calculation Sheet'!$U$4:$U$40=$DK$34)*($JA$6:$JA$42=1))&gt;0)</f>
        <v>1</v>
      </c>
      <c r="JC34">
        <f>$JC$33+--($JB34)</f>
        <v>31</v>
      </c>
      <c r="JD34">
        <f t="shared" si="93"/>
        <v>129250</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F34" t="b">
        <f>IF($DP$34="",FALSE,SUMPRODUCT(('Final Calculation Sheet'!$V$4:$V$40=$DP$34)*($JE$6:$JE$42=1))&gt;0)</f>
        <v>0</v>
      </c>
      <c r="JG34">
        <f>$JG$33+--($JF34)</f>
        <v>6</v>
      </c>
      <c r="JH34" t="str">
        <f t="shared" si="94"/>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J34" t="b">
        <f>IF($DU$34="",FALSE,SUMPRODUCT(('Final Calculation Sheet'!$W$4:$W$40=$DU$34)*($JI$6:$JI$42=1))&gt;0)</f>
        <v>1</v>
      </c>
      <c r="JK34">
        <f>$JK$33+--($JJ34)</f>
        <v>31</v>
      </c>
      <c r="JL34">
        <f t="shared" si="95"/>
        <v>479001</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N34" t="e">
        <f>IF($DZ$34="",FALSE,SUMPRODUCT(('Final Calculation Sheet'!$X$4:$X$40=$DZ$34)*($JM$6:$JM$42=1))&gt;0)</f>
        <v>#N/A</v>
      </c>
      <c r="JO34" t="e">
        <f>$JO$33+--($JN34)</f>
        <v>#N/A</v>
      </c>
      <c r="JP34" t="e">
        <f t="shared" si="96"/>
        <v>#N/A</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R34" t="e">
        <f>IF($EE$34="",FALSE,SUMPRODUCT(('Final Calculation Sheet'!$Y$4:$Y$40=$EE$34)*($JQ$6:$JQ$42=1))&gt;0)</f>
        <v>#N/A</v>
      </c>
      <c r="JS34" t="e">
        <f>$JS$33+--($JR34)</f>
        <v>#N/A</v>
      </c>
      <c r="JT34" t="e">
        <f t="shared" si="97"/>
        <v>#N/A</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V34" t="b">
        <f ca="1">IF($EJ$34="",FALSE,SUMPRODUCT(('Final Calculation Sheet'!$Z$4:$Z$40=$EJ$34)*($JU$6:$JU$42=1))&gt;0)</f>
        <v>1</v>
      </c>
      <c r="JW34">
        <f ca="1">$JW$33+--($JV34)</f>
        <v>31</v>
      </c>
      <c r="JX34">
        <f t="shared" ca="1" si="98"/>
        <v>18301.8</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JZ34" t="e">
        <f>IF($EO$34="",FALSE,SUMPRODUCT(('Final Calculation Sheet'!$AA$4:$AA$40=$EO$34)*($JY$6:$JY$42=1))&gt;0)</f>
        <v>#N/A</v>
      </c>
      <c r="KA34" t="e">
        <f>$KA$33+--($JZ34)</f>
        <v>#N/A</v>
      </c>
      <c r="KB34" t="e">
        <f t="shared" si="99"/>
        <v>#N/A</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D34" t="e">
        <f>IF($ET$34="",FALSE,SUMPRODUCT(('Final Calculation Sheet'!$AB$4:$AB$40=$ET$34)*($KC$6:$KC$42=1))&gt;0)</f>
        <v>#N/A</v>
      </c>
      <c r="KE34" t="e">
        <f>$KE$33+--($KD34)</f>
        <v>#N/A</v>
      </c>
      <c r="KF34" t="e">
        <f t="shared" si="100"/>
        <v>#N/A</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H34" t="b">
        <f>IF($EY$34="",FALSE,SUMPRODUCT(('Final Calculation Sheet'!$AC$4:$AC$40=$EY$34)*($KG$6:$KG$42=1))&gt;0)</f>
        <v>1</v>
      </c>
      <c r="KI34">
        <f>$KI$33+--($KH34)</f>
        <v>31</v>
      </c>
      <c r="KJ34">
        <f t="shared" si="101"/>
        <v>470600</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L34" t="b">
        <f>IF($FD$34="",FALSE,SUMPRODUCT(('Final Calculation Sheet'!$AD$4:$AD$40=$FD$34)*($KK$6:$KK$42=1))&gt;0)</f>
        <v>0</v>
      </c>
      <c r="KM34">
        <f>$KM$33+--($KL34)</f>
        <v>11</v>
      </c>
      <c r="KN34" t="str">
        <f t="shared" si="102"/>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P34" t="b">
        <f>IF($FX$34="",FALSE,SUMPRODUCT((IF('Final Calculation Sheet'!$AD$4:$AD$40&lt;=5,"SETTLED","OUTSTANDING")=$FX$34)*($KO$6:$KO$42=1))&gt;0)</f>
        <v>0</v>
      </c>
      <c r="KQ34">
        <f>$KQ$33+--($KP34)</f>
        <v>1</v>
      </c>
      <c r="KR34" t="str">
        <f t="shared" si="103"/>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T34" t="e">
        <f>IF($FI$34="",FALSE,SUMPRODUCT(('Final Calculation Sheet'!$AF$4:$AF$40=$FI$34)*($KS$6:$KS$42=1))&gt;0)</f>
        <v>#N/A</v>
      </c>
      <c r="KU34" t="e">
        <f>$KU$33+--($KT34)</f>
        <v>#N/A</v>
      </c>
      <c r="KV34" t="e">
        <f t="shared" si="104"/>
        <v>#N/A</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KX34" t="e">
        <f>IF($FN$34="",FALSE,SUMPRODUCT(('Final Calculation Sheet'!$AG$4:$AG$40=$FN$34)*($KW$6:$KW$42=1))&gt;0)</f>
        <v>#N/A</v>
      </c>
      <c r="KY34" t="e">
        <f>$KY$33+--($KX34)</f>
        <v>#N/A</v>
      </c>
      <c r="KZ34" t="e">
        <f t="shared" si="105"/>
        <v>#N/A</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LB34" t="e">
        <f>IF($FS$34="",FALSE,SUMPRODUCT(('Final Calculation Sheet'!$AH$4:$AH$40=$FS$34)*($LA$6:$LA$42=1))&gt;0)</f>
        <v>#N/A</v>
      </c>
      <c r="LC34" t="e">
        <f>$LC$33+--($LB34)</f>
        <v>#N/A</v>
      </c>
      <c r="LD34" t="e">
        <f t="shared" si="106"/>
        <v>#N/A</v>
      </c>
      <c r="LE34">
        <f>IF(COUNTIF('Buyer Groups'!DH34:EN34,0)&gt;0,0,1)</f>
        <v>1</v>
      </c>
      <c r="LF34" t="b">
        <f>IF($O$34="",FALSE,SUMPRODUCT(('Final Calculation Sheet'!$F$4:$F$40=$O$34)*($LE$6:$LE$42=1))&gt;0)</f>
        <v>1</v>
      </c>
      <c r="LG34">
        <f>$LG$33+--($LF34)</f>
        <v>31</v>
      </c>
      <c r="LH34">
        <f t="shared" si="107"/>
        <v>2062</v>
      </c>
      <c r="LI34">
        <f>IF(COUNTIF('Buyer Groups'!DG34:DG34,0)+COUNTIF('Buyer Groups'!DI34:EN34,0)&gt;0,0,1)</f>
        <v>1</v>
      </c>
      <c r="LJ34" t="b">
        <f>IF($T$34="",FALSE,SUMPRODUCT(('Final Calculation Sheet'!$G$4:$G$40=$T$34)*($LI$6:$LI$42=1))&gt;0)</f>
        <v>0</v>
      </c>
      <c r="LK34">
        <f>$LK$33+--($LJ34)</f>
        <v>13</v>
      </c>
      <c r="LL34" t="str">
        <f t="shared" si="108"/>
        <v/>
      </c>
      <c r="LM34">
        <f>IF(COUNTIF('Buyer Groups'!DG34:DH34,0)+COUNTIF('Buyer Groups'!DJ34:EN34,0)&gt;0,0,1)</f>
        <v>1</v>
      </c>
      <c r="LN34" t="b">
        <f>IF($Y$34="",FALSE,SUMPRODUCT(('Final Calculation Sheet'!$B$4:$B$40=$Y$34)*($LM$6:$LM$42=1))&gt;0)</f>
        <v>0</v>
      </c>
      <c r="LO34">
        <f>$LO$33+--($LN34)</f>
        <v>25</v>
      </c>
      <c r="LP34" t="str">
        <f t="shared" si="109"/>
        <v/>
      </c>
      <c r="LQ34">
        <f>IF(COUNTIF('Buyer Groups'!DG34:DI34,0)+COUNTIF('Buyer Groups'!DK34:EN34,0)&gt;0,0,1)</f>
        <v>1</v>
      </c>
      <c r="LR34" t="b">
        <f>IF($AD$34="",FALSE,SUMPRODUCT(('Final Calculation Sheet'!$D$4:$D$40=$AD$34)*($LQ$6:$LQ$42=1))&gt;0)</f>
        <v>0</v>
      </c>
      <c r="LS34">
        <f>$LS$33+--($LR34)</f>
        <v>4</v>
      </c>
      <c r="LT34" t="str">
        <f t="shared" si="110"/>
        <v/>
      </c>
      <c r="LU34">
        <f>IF(COUNTIF('Buyer Groups'!DG34:DJ34,0)+COUNTIF('Buyer Groups'!DL34:EN34,0)&gt;0,0,1)</f>
        <v>1</v>
      </c>
      <c r="LV34" t="b">
        <f>IF($AI$34="",FALSE,SUMPRODUCT(('Final Calculation Sheet'!$A$4:$A$40=$AI$34)*($LU$6:$LU$42=1))&gt;0)</f>
        <v>0</v>
      </c>
      <c r="LW34">
        <f>$LW$33+--($LV34)</f>
        <v>22</v>
      </c>
      <c r="LX34" t="str">
        <f t="shared" si="111"/>
        <v/>
      </c>
      <c r="LY34">
        <f>IF(COUNTIF('Buyer Groups'!DG34:DK34,0)+COUNTIF('Buyer Groups'!DM34:EN34,0)&gt;0,0,1)</f>
        <v>1</v>
      </c>
      <c r="LZ34" t="b">
        <f>IF($AN$34="",FALSE,SUMPRODUCT(('Final Calculation Sheet'!$E$4:$E$40=$AN$34)*($LY$6:$LY$42=1))&gt;0)</f>
        <v>0</v>
      </c>
      <c r="MA34">
        <f>$MA$33+--($LZ34)</f>
        <v>3</v>
      </c>
      <c r="MB34" t="str">
        <f t="shared" si="112"/>
        <v/>
      </c>
      <c r="MC34">
        <f>IF(COUNTIF('Buyer Groups'!DG34:DL34,0)+COUNTIF('Buyer Groups'!DN34:EN34,0)&gt;0,0,1)</f>
        <v>1</v>
      </c>
      <c r="MD34" t="b">
        <f>IF($AS$34="",FALSE,SUMPRODUCT(('Final Calculation Sheet'!$C$4:$C$40=$AS$34)*($MC$6:$MC$42=1))&gt;0)</f>
        <v>1</v>
      </c>
      <c r="ME34">
        <f>$ME$33+--($MD34)</f>
        <v>31</v>
      </c>
      <c r="MF34">
        <f t="shared" si="113"/>
        <v>110200</v>
      </c>
      <c r="MG34">
        <f>IF(COUNTIF('Buyer Groups'!DG34:DM34,0)+COUNTIF('Buyer Groups'!DO34:EN34,0)&gt;0,0,1)</f>
        <v>1</v>
      </c>
      <c r="MH34" t="b">
        <f>IF($AX$34="",FALSE,SUMPRODUCT(('Final Calculation Sheet'!$H$4:$H$40=$AX$34)*($MG$6:$MG$42=1))&gt;0)</f>
        <v>1</v>
      </c>
      <c r="MI34">
        <f>$MI$33+--($MH34)</f>
        <v>31</v>
      </c>
      <c r="MJ34">
        <f t="shared" si="114"/>
        <v>517000</v>
      </c>
      <c r="MK34">
        <f>IF(COUNTIF('Buyer Groups'!DG34:DN34,0)+COUNTIF('Buyer Groups'!DP34:EN34,0)&gt;0,0,1)</f>
        <v>1</v>
      </c>
      <c r="ML34" t="b">
        <f>IF($BC$34="",FALSE,SUMPRODUCT(('Final Calculation Sheet'!$I$4:$I$40=$BC$34)*($MK$6:$MK$42=1))&gt;0)</f>
        <v>1</v>
      </c>
      <c r="MM34">
        <f>$MM$33+--($ML34)</f>
        <v>31</v>
      </c>
      <c r="MN34">
        <f t="shared" si="115"/>
        <v>93060</v>
      </c>
      <c r="MO34">
        <f>IF(COUNTIF('Buyer Groups'!DG34:DO34,0)+COUNTIF('Buyer Groups'!DQ34:EN34,0)&gt;0,0,1)</f>
        <v>1</v>
      </c>
      <c r="MP34" t="b">
        <f>IF($BH$34="",FALSE,SUMPRODUCT(('Final Calculation Sheet'!$J$4:$J$40=$BH$34)*($MO$6:$MO$42=1))&gt;0)</f>
        <v>1</v>
      </c>
      <c r="MQ34">
        <f>$MQ$33+--($MP34)</f>
        <v>31</v>
      </c>
      <c r="MR34">
        <f t="shared" si="116"/>
        <v>610060</v>
      </c>
      <c r="MS34">
        <f>IF(COUNTIF('Buyer Groups'!DG34:DP34,0)+COUNTIF('Buyer Groups'!DR34:EN34,0)&gt;0,0,1)</f>
        <v>1</v>
      </c>
      <c r="MT34" t="b">
        <f>IF($BM$34="",FALSE,SUMPRODUCT(('Final Calculation Sheet'!$K$4:$K$40=$BM$34)*($MS$6:$MS$42=1))&gt;0)</f>
        <v>1</v>
      </c>
      <c r="MU34">
        <f>$MU$33+--($MT34)</f>
        <v>31</v>
      </c>
      <c r="MV34">
        <f t="shared" si="117"/>
        <v>12966</v>
      </c>
      <c r="MW34">
        <f>IF(COUNTIF('Buyer Groups'!DG34:DQ34,0)+COUNTIF('Buyer Groups'!DS34:EN34,0)&gt;0,0,1)</f>
        <v>1</v>
      </c>
      <c r="MX34" t="b">
        <f>IF($BR$34="",FALSE,SUMPRODUCT(('Final Calculation Sheet'!$L$4:$L$40=$BR$34)*($MW$6:$MW$42=1))&gt;0)</f>
        <v>1</v>
      </c>
      <c r="MY34">
        <f>$MY$33+--($MX34)</f>
        <v>31</v>
      </c>
      <c r="MZ34">
        <f t="shared" si="118"/>
        <v>517</v>
      </c>
      <c r="NA34">
        <f>IF(COUNTIF('Buyer Groups'!DG34:DR34,0)+COUNTIF('Buyer Groups'!DT34:EN34,0)&gt;0,0,1)</f>
        <v>1</v>
      </c>
      <c r="NB34" t="b">
        <f>IF($BW$34="",FALSE,SUMPRODUCT(('Final Calculation Sheet'!$M$4:$M$40=$BW$34)*($NA$6:$NA$42=1))&gt;0)</f>
        <v>1</v>
      </c>
      <c r="NC34">
        <f>$NC$33+--($NB34)</f>
        <v>31</v>
      </c>
      <c r="ND34">
        <f t="shared" si="119"/>
        <v>13726.349999999999</v>
      </c>
      <c r="NE34">
        <f>IF(COUNTIF('Buyer Groups'!DG34:DS34,0)+COUNTIF('Buyer Groups'!DU34:EN34,0)&gt;0,0,1)</f>
        <v>1</v>
      </c>
      <c r="NF34" t="b">
        <f>IF($CB$34="",FALSE,SUMPRODUCT(('Final Calculation Sheet'!$N$4:$N$40=$CB$34)*($NE$6:$NE$42=1))&gt;0)</f>
        <v>1</v>
      </c>
      <c r="NG34">
        <f>$NG$33+--($NF34)</f>
        <v>31</v>
      </c>
      <c r="NH34">
        <f t="shared" si="120"/>
        <v>232.65</v>
      </c>
      <c r="NI34">
        <f>IF(COUNTIF('Buyer Groups'!DG34:DT34,0)+COUNTIF('Buyer Groups'!DV34:EN34,0)&gt;0,0,1)</f>
        <v>1</v>
      </c>
      <c r="NJ34" t="b">
        <f>IF($CG$34="",FALSE,SUMPRODUCT(('Final Calculation Sheet'!$O$4:$O$40=$CG$34)*($NI$6:$NI$42=1))&gt;0)</f>
        <v>1</v>
      </c>
      <c r="NK34">
        <f>$NK$33+--($NJ34)</f>
        <v>31</v>
      </c>
      <c r="NL34">
        <f t="shared" si="121"/>
        <v>13493.699999999999</v>
      </c>
      <c r="NM34">
        <f>IF(COUNTIF('Buyer Groups'!DG34:DU34,0)+COUNTIF('Buyer Groups'!DW34:EN34,0)&gt;0,0,1)</f>
        <v>1</v>
      </c>
      <c r="NN34" t="b">
        <f>IF($CL$34="",FALSE,SUMPRODUCT(('Final Calculation Sheet'!$P$4:$P$40=$CL$34)*($NM$6:$NM$42=1))&gt;0)</f>
        <v>1</v>
      </c>
      <c r="NO34">
        <f>$NO$33+--($NN34)</f>
        <v>31</v>
      </c>
      <c r="NP34">
        <f t="shared" si="122"/>
        <v>14889</v>
      </c>
      <c r="NQ34">
        <f>IF(COUNTIF('Buyer Groups'!DG34:DV34,0)+COUNTIF('Buyer Groups'!DX34:EN34,0)&gt;0,0,1)</f>
        <v>1</v>
      </c>
      <c r="NR34" t="b">
        <f>IF($CQ$34="",FALSE,SUMPRODUCT(('Final Calculation Sheet'!$Q$4:$Q$40=$CQ$34)*($NQ$6:$NQ$42=1))&gt;0)</f>
        <v>0</v>
      </c>
      <c r="NS34">
        <f>$NS$33+--($NR34)</f>
        <v>2</v>
      </c>
      <c r="NT34" t="str">
        <f t="shared" si="123"/>
        <v/>
      </c>
      <c r="NU34">
        <f>IF(COUNTIF('Buyer Groups'!DG34:DW34,0)+COUNTIF('Buyer Groups'!DY34:EN34,0)&gt;0,0,1)</f>
        <v>1</v>
      </c>
      <c r="NV34" t="b">
        <f>IF($CV$34="",FALSE,SUMPRODUCT(('Final Calculation Sheet'!$R$4:$R$40=$CV$34)*($NU$6:$NU$42=1))&gt;0)</f>
        <v>0</v>
      </c>
      <c r="NW34">
        <f>$NW$33+--($NV34)</f>
        <v>5</v>
      </c>
      <c r="NX34" t="str">
        <f t="shared" si="124"/>
        <v/>
      </c>
      <c r="NY34">
        <f>IF(COUNTIF('Buyer Groups'!DG34:DX34,0)+COUNTIF('Buyer Groups'!DZ34:EN34,0)&gt;0,0,1)</f>
        <v>1</v>
      </c>
      <c r="NZ34" t="b">
        <f>IF($DA$34="",FALSE,SUMPRODUCT(('Final Calculation Sheet'!$S$4:$S$40=$DA$34)*($NY$6:$NY$42=1))&gt;0)</f>
        <v>1</v>
      </c>
      <c r="OA34">
        <f>$OA$33+--($NZ34)</f>
        <v>31</v>
      </c>
      <c r="OB34">
        <f t="shared" si="125"/>
        <v>608251</v>
      </c>
      <c r="OC34">
        <f>IF(COUNTIF('Buyer Groups'!DG34:DY34,0)+COUNTIF('Buyer Groups'!EA34:EN34,0)&gt;0,0,1)</f>
        <v>1</v>
      </c>
      <c r="OD34" t="b">
        <f>IF($DF$34="",FALSE,SUMPRODUCT(('Final Calculation Sheet'!$T$4:$T$40=$DF$34)*($OC$6:$OC$42=1))&gt;0)</f>
        <v>1</v>
      </c>
      <c r="OE34">
        <f>$OE$33+--($OD34)</f>
        <v>31</v>
      </c>
      <c r="OF34">
        <f t="shared" si="126"/>
        <v>129250</v>
      </c>
      <c r="OG34">
        <f>IF(COUNTIF('Buyer Groups'!DG34:DZ34,0)+COUNTIF('Buyer Groups'!EB34:EN34,0)&gt;0,0,1)</f>
        <v>1</v>
      </c>
      <c r="OH34" t="b">
        <f>IF($DK$34="",FALSE,SUMPRODUCT(('Final Calculation Sheet'!$U$4:$U$40=$DK$34)*($OG$6:$OG$42=1))&gt;0)</f>
        <v>1</v>
      </c>
      <c r="OI34">
        <f>$OI$33+--($OH34)</f>
        <v>31</v>
      </c>
      <c r="OJ34">
        <f t="shared" si="127"/>
        <v>129250</v>
      </c>
      <c r="OK34">
        <f>IF(COUNTIF('Buyer Groups'!DG34:EA34,0)+COUNTIF('Buyer Groups'!EC34:EN34,0)&gt;0,0,1)</f>
        <v>1</v>
      </c>
      <c r="OL34" t="b">
        <f>IF($DP$34="",FALSE,SUMPRODUCT(('Final Calculation Sheet'!$V$4:$V$40=$DP$34)*($OK$6:$OK$42=1))&gt;0)</f>
        <v>0</v>
      </c>
      <c r="OM34">
        <f>$OM$33+--($OL34)</f>
        <v>6</v>
      </c>
      <c r="ON34" t="str">
        <f t="shared" si="128"/>
        <v/>
      </c>
      <c r="OO34">
        <f>IF(COUNTIF('Buyer Groups'!DG34:EB34,0)+COUNTIF('Buyer Groups'!ED34:EN34,0)&gt;0,0,1)</f>
        <v>1</v>
      </c>
      <c r="OP34" t="b">
        <f>IF($DU$34="",FALSE,SUMPRODUCT(('Final Calculation Sheet'!$W$4:$W$40=$DU$34)*($OO$6:$OO$42=1))&gt;0)</f>
        <v>1</v>
      </c>
      <c r="OQ34">
        <f>$OQ$33+--($OP34)</f>
        <v>31</v>
      </c>
      <c r="OR34">
        <f t="shared" si="129"/>
        <v>479001</v>
      </c>
      <c r="OS34">
        <f>IF(COUNTIF('Buyer Groups'!DG34:EC34,0)+COUNTIF('Buyer Groups'!EE34:EN34,0)&gt;0,0,1)</f>
        <v>1</v>
      </c>
      <c r="OT34" t="e">
        <f>IF($DZ$34="",FALSE,SUMPRODUCT(('Final Calculation Sheet'!$X$4:$X$40=$DZ$34)*($OS$6:$OS$42=1))&gt;0)</f>
        <v>#N/A</v>
      </c>
      <c r="OU34" t="e">
        <f>$OU$33+--($OT34)</f>
        <v>#N/A</v>
      </c>
      <c r="OV34" t="e">
        <f t="shared" si="130"/>
        <v>#N/A</v>
      </c>
      <c r="OW34">
        <f>IF(COUNTIF('Buyer Groups'!DG34:ED34,0)+COUNTIF('Buyer Groups'!EF34:EN34,0)&gt;0,0,1)</f>
        <v>1</v>
      </c>
      <c r="OX34" t="e">
        <f>IF($EE$34="",FALSE,SUMPRODUCT(('Final Calculation Sheet'!$Y$4:$Y$40=$EE$34)*($OW$6:$OW$42=1))&gt;0)</f>
        <v>#N/A</v>
      </c>
      <c r="OY34" t="e">
        <f>$OY$33+--($OX34)</f>
        <v>#N/A</v>
      </c>
      <c r="OZ34" t="e">
        <f t="shared" si="131"/>
        <v>#N/A</v>
      </c>
      <c r="PA34">
        <f>IF(COUNTIF('Buyer Groups'!DG34:EE34,0)+COUNTIF('Buyer Groups'!EG34:EN34,0)&gt;0,0,1)</f>
        <v>1</v>
      </c>
      <c r="PB34" t="b">
        <f ca="1">IF($EJ$34="",FALSE,SUMPRODUCT(('Final Calculation Sheet'!$Z$4:$Z$40=$EJ$34)*($PA$6:$PA$42=1))&gt;0)</f>
        <v>1</v>
      </c>
      <c r="PC34">
        <f ca="1">$PC$33+--($PB34)</f>
        <v>31</v>
      </c>
      <c r="PD34">
        <f t="shared" ca="1" si="132"/>
        <v>18301.8</v>
      </c>
      <c r="PE34">
        <f>IF(COUNTIF('Buyer Groups'!DG34:EF34,0)+COUNTIF('Buyer Groups'!EH34:EN34,0)&gt;0,0,1)</f>
        <v>1</v>
      </c>
      <c r="PF34" t="e">
        <f>IF($EO$34="",FALSE,SUMPRODUCT(('Final Calculation Sheet'!$AA$4:$AA$40=$EO$34)*($PE$6:$PE$42=1))&gt;0)</f>
        <v>#N/A</v>
      </c>
      <c r="PG34" t="e">
        <f>$PG$33+--($PF34)</f>
        <v>#N/A</v>
      </c>
      <c r="PH34" t="e">
        <f t="shared" si="133"/>
        <v>#N/A</v>
      </c>
      <c r="PI34">
        <f>IF(COUNTIF('Buyer Groups'!DG34:EG34,0)+COUNTIF('Buyer Groups'!EI34:EN34,0)&gt;0,0,1)</f>
        <v>1</v>
      </c>
      <c r="PJ34" t="e">
        <f>IF($ET$34="",FALSE,SUMPRODUCT(('Final Calculation Sheet'!$AB$4:$AB$40=$ET$34)*($PI$6:$PI$42=1))&gt;0)</f>
        <v>#N/A</v>
      </c>
      <c r="PK34" t="e">
        <f>$PK$33+--($PJ34)</f>
        <v>#N/A</v>
      </c>
      <c r="PL34" t="e">
        <f t="shared" si="134"/>
        <v>#N/A</v>
      </c>
      <c r="PM34">
        <f>IF(COUNTIF('Buyer Groups'!DG34:EH34,0)+COUNTIF('Buyer Groups'!EJ34:EN34,0)&gt;0,0,1)</f>
        <v>1</v>
      </c>
      <c r="PN34" t="b">
        <f>IF($EY$34="",FALSE,SUMPRODUCT(('Final Calculation Sheet'!$AC$4:$AC$40=$EY$34)*($PM$6:$PM$42=1))&gt;0)</f>
        <v>1</v>
      </c>
      <c r="PO34">
        <f>$PO$33+--($PN34)</f>
        <v>31</v>
      </c>
      <c r="PP34">
        <f t="shared" si="135"/>
        <v>470600</v>
      </c>
      <c r="PQ34">
        <f>IF(COUNTIF('Buyer Groups'!DG34:EI34,0)+COUNTIF('Buyer Groups'!EK34:EN34,0)&gt;0,0,1)</f>
        <v>1</v>
      </c>
      <c r="PR34" t="b">
        <f>IF($FD$34="",FALSE,SUMPRODUCT(('Final Calculation Sheet'!$AD$4:$AD$40=$FD$34)*($PQ$6:$PQ$42=1))&gt;0)</f>
        <v>0</v>
      </c>
      <c r="PS34">
        <f>$PS$33+--($PR34)</f>
        <v>11</v>
      </c>
      <c r="PT34" t="str">
        <f t="shared" si="136"/>
        <v/>
      </c>
      <c r="PU34">
        <f>IF(COUNTIF('Buyer Groups'!DG34:EJ34,0)+COUNTIF('Buyer Groups'!EL34:EN34,0)&gt;0,0,1)</f>
        <v>1</v>
      </c>
      <c r="PV34" t="b">
        <f>IF($FX$34="",FALSE,SUMPRODUCT((IF('Final Calculation Sheet'!$AD$4:$AD$40&lt;=5,"SETTLED","OUTSTANDING")=$FX$34)*($PU$6:$PU$42=1))&gt;0)</f>
        <v>0</v>
      </c>
      <c r="PW34">
        <f>$PW$33+--($PV34)</f>
        <v>1</v>
      </c>
      <c r="PX34" t="str">
        <f t="shared" si="137"/>
        <v/>
      </c>
      <c r="PY34">
        <f>IF(COUNTIF('Buyer Groups'!DG34:EK34,0)+COUNTIF('Buyer Groups'!EM34:EN34,0)&gt;0,0,1)</f>
        <v>1</v>
      </c>
      <c r="PZ34" t="e">
        <f>IF($FI$34="",FALSE,SUMPRODUCT(('Final Calculation Sheet'!$AF$4:$AF$40=$FI$34)*($PY$6:$PY$42=1))&gt;0)</f>
        <v>#N/A</v>
      </c>
      <c r="QA34" t="e">
        <f>$QA$33+--($PZ34)</f>
        <v>#N/A</v>
      </c>
      <c r="QB34" t="e">
        <f t="shared" si="138"/>
        <v>#N/A</v>
      </c>
      <c r="QC34">
        <f>IF(COUNTIF('Buyer Groups'!DG34:EL34,0)+COUNTIF('Buyer Groups'!EN34:EN34,0)&gt;0,0,1)</f>
        <v>1</v>
      </c>
      <c r="QD34" t="e">
        <f>IF($FN$34="",FALSE,SUMPRODUCT(('Final Calculation Sheet'!$AG$4:$AG$40=$FN$34)*($QC$6:$QC$42=1))&gt;0)</f>
        <v>#N/A</v>
      </c>
      <c r="QE34" t="e">
        <f>$QE$33+--($QD34)</f>
        <v>#N/A</v>
      </c>
      <c r="QF34" t="e">
        <f t="shared" si="139"/>
        <v>#N/A</v>
      </c>
      <c r="QG34">
        <f>IF(COUNTIF('Buyer Groups'!DG34:EM34,0)&gt;0,0,1)</f>
        <v>1</v>
      </c>
      <c r="QH34" t="e">
        <f>IF($FS$34="",FALSE,SUMPRODUCT(('Final Calculation Sheet'!$AH$4:$AH$40=$FS$34)*($QG$6:$QG$42=1))&gt;0)</f>
        <v>#N/A</v>
      </c>
      <c r="QI34" t="e">
        <f>$QI$33+--($QH34)</f>
        <v>#N/A</v>
      </c>
      <c r="QJ34" t="e">
        <f t="shared" si="140"/>
        <v>#N/A</v>
      </c>
      <c r="QK34" t="str">
        <f>IF('Final Calculation Sheet'!$AH$34="","",'Final Calculation Sheet'!$AH$34)</f>
        <v>14.08.2026</v>
      </c>
      <c r="QL34">
        <f>IF(QK34="","",COUNTIFS(QK$4:QK$40,"&lt;"&amp;QK34,QK$4:QK$40,"&lt;&gt;"&amp;"")+COUNTIF(QK$4:QK34,QK34))</f>
        <v>11</v>
      </c>
      <c r="QM34" t="str">
        <f t="shared" si="141"/>
        <v>27.08.2026</v>
      </c>
      <c r="QN34" t="e">
        <f ca="1">QN33+F(AND(QM34&lt;&gt;"",COUNTIF(QM$4:QM34,QM34)=1),1,0)</f>
        <v>#N/A</v>
      </c>
      <c r="QO34" t="e">
        <f t="shared" si="142"/>
        <v>#N/A</v>
      </c>
      <c r="QP34">
        <f>IF(COUNTIF('Final Calculation Sheet'!$AM34:$BS34,0)&gt;0,0,1)</f>
        <v>1</v>
      </c>
      <c r="QQ34" t="b">
        <f>IF($AI$34="",FALSE,SUMPRODUCT(('Final Calculation Sheet'!$A$4:$A$40=$AI$34)*($QP$4:$QP$40=1))&gt;0)</f>
        <v>0</v>
      </c>
      <c r="QR34">
        <f t="shared" si="177"/>
        <v>22</v>
      </c>
      <c r="QS34" t="str">
        <f t="shared" si="143"/>
        <v/>
      </c>
      <c r="QT34">
        <f>IF(COUNTIF('Final Calculation Sheet'!$AL34:$AL34,0)+COUNTIF('Final Calculation Sheet'!$AN34:$BS34,0)&gt;0,0,1)</f>
        <v>1</v>
      </c>
      <c r="QU34" t="b">
        <f>IF($Y$34="",FALSE,SUMPRODUCT(('Final Calculation Sheet'!$B$4:$B$40=$Y$34)*($QT$4:$QT$40=1))&gt;0)</f>
        <v>0</v>
      </c>
      <c r="QV34">
        <f t="shared" si="178"/>
        <v>25</v>
      </c>
      <c r="QW34" t="str">
        <f t="shared" si="144"/>
        <v/>
      </c>
      <c r="QX34">
        <f>IF(COUNTIF('Final Calculation Sheet'!$AL34:$AM34,0)+COUNTIF('Final Calculation Sheet'!$AO34:$BS34,0)&gt;0,0,1)</f>
        <v>1</v>
      </c>
      <c r="QY34" t="b">
        <f>IF($AS$34="",FALSE,SUMPRODUCT(('Final Calculation Sheet'!$C$4:$C$40=$AS$34)*($QX$4:$QX$40=1))&gt;0)</f>
        <v>1</v>
      </c>
      <c r="QZ34">
        <f t="shared" si="179"/>
        <v>31</v>
      </c>
      <c r="RA34">
        <f t="shared" si="145"/>
        <v>110200</v>
      </c>
      <c r="RB34">
        <f>IF(COUNTIF('Final Calculation Sheet'!$AL34:$AN34,0)+COUNTIF('Final Calculation Sheet'!$AP34:$BS34,0)&gt;0,0,1)</f>
        <v>1</v>
      </c>
      <c r="RC34" t="b">
        <f>IF($AD$34="",FALSE,SUMPRODUCT(('Final Calculation Sheet'!$D$4:$D$40=$AD$34)*($RB$4:$RB$40=1))&gt;0)</f>
        <v>0</v>
      </c>
      <c r="RD34">
        <f t="shared" si="180"/>
        <v>4</v>
      </c>
      <c r="RE34" t="str">
        <f t="shared" si="146"/>
        <v/>
      </c>
      <c r="RF34">
        <f>IF(COUNTIF('Final Calculation Sheet'!$AL34:$AO34,0)+COUNTIF('Final Calculation Sheet'!$AQ34:$BS34,0)&gt;0,0,1)</f>
        <v>1</v>
      </c>
      <c r="RG34" t="b">
        <f>IF($AN$34="",FALSE,SUMPRODUCT(('Final Calculation Sheet'!$E$4:$E$40=$AN$34)*($RF$4:$RF$40=1))&gt;0)</f>
        <v>0</v>
      </c>
      <c r="RH34">
        <f t="shared" si="181"/>
        <v>3</v>
      </c>
      <c r="RI34" t="str">
        <f t="shared" si="147"/>
        <v/>
      </c>
      <c r="RJ34">
        <f>IF(COUNTIF('Final Calculation Sheet'!$AL34:$AP34,0)+COUNTIF('Final Calculation Sheet'!$AR34:$BS34,0)&gt;0,0,1)</f>
        <v>1</v>
      </c>
      <c r="RK34" t="b">
        <f>IF($O$34="",FALSE,SUMPRODUCT(('Final Calculation Sheet'!$F$4:$F$40=$O$34)*($RJ$4:$RJ$40=1))&gt;0)</f>
        <v>1</v>
      </c>
      <c r="RL34">
        <f t="shared" si="182"/>
        <v>31</v>
      </c>
      <c r="RM34">
        <f t="shared" si="148"/>
        <v>2062</v>
      </c>
      <c r="RN34">
        <f>IF(COUNTIF('Final Calculation Sheet'!$AL34:$AQ34,0)+COUNTIF('Final Calculation Sheet'!$AS34:$BS34,0)&gt;0,0,1)</f>
        <v>1</v>
      </c>
      <c r="RO34" t="b">
        <f>IF($T$34="",FALSE,SUMPRODUCT(('Final Calculation Sheet'!$G$4:$G$40=$T$34)*($RN$4:$RN$40=1))&gt;0)</f>
        <v>0</v>
      </c>
      <c r="RP34">
        <f t="shared" si="183"/>
        <v>13</v>
      </c>
      <c r="RQ34" t="str">
        <f t="shared" si="149"/>
        <v/>
      </c>
      <c r="RR34">
        <f>IF(COUNTIF('Final Calculation Sheet'!$AL34:$AR34,0)+COUNTIF('Final Calculation Sheet'!$AT34:$BS34,0)&gt;0,0,1)</f>
        <v>1</v>
      </c>
      <c r="RS34" t="b">
        <f>IF($AX$34="",FALSE,SUMPRODUCT(('Final Calculation Sheet'!$H$4:$H$40=$AX$34)*($RR$4:$RR$40=1))&gt;0)</f>
        <v>1</v>
      </c>
      <c r="RT34">
        <f t="shared" si="184"/>
        <v>31</v>
      </c>
      <c r="RU34">
        <f t="shared" si="150"/>
        <v>517000</v>
      </c>
      <c r="RV34">
        <f>IF(COUNTIF('Final Calculation Sheet'!$AL34:$AS34,0)+COUNTIF('Final Calculation Sheet'!$AU34:$BS34,0)&gt;0,0,1)</f>
        <v>1</v>
      </c>
      <c r="RW34" t="b">
        <f>IF($BC$34="",FALSE,SUMPRODUCT(('Final Calculation Sheet'!$I$4:$I$40=$BC$34)*($RV$4:$RV$40=1))&gt;0)</f>
        <v>1</v>
      </c>
      <c r="RX34">
        <f t="shared" si="185"/>
        <v>31</v>
      </c>
      <c r="RY34">
        <f t="shared" si="151"/>
        <v>93060</v>
      </c>
      <c r="RZ34">
        <f>IF(COUNTIF('Final Calculation Sheet'!$AL34:$AT34,0)+COUNTIF('Final Calculation Sheet'!$AV34:$BS34,0)&gt;0,0,1)</f>
        <v>1</v>
      </c>
      <c r="SA34" t="b">
        <f>IF($BH$34="",FALSE,SUMPRODUCT(('Final Calculation Sheet'!$J$4:$J$40=$BH$34)*($RZ$4:$RZ$40=1))&gt;0)</f>
        <v>1</v>
      </c>
      <c r="SB34">
        <f t="shared" si="186"/>
        <v>31</v>
      </c>
      <c r="SC34">
        <f t="shared" si="152"/>
        <v>610060</v>
      </c>
      <c r="SD34">
        <f>IF(COUNTIF('Final Calculation Sheet'!$AL34:$AU34,0)+COUNTIF('Final Calculation Sheet'!$AW34:$BS34,0)&gt;0,0,1)</f>
        <v>1</v>
      </c>
      <c r="SE34" t="b">
        <f>IF($BM$34="",FALSE,SUMPRODUCT(('Final Calculation Sheet'!$K$4:$K$40=$BM$34)*($SD$4:$SD$40=1))&gt;0)</f>
        <v>1</v>
      </c>
      <c r="SF34">
        <f t="shared" si="187"/>
        <v>31</v>
      </c>
      <c r="SG34">
        <f t="shared" si="153"/>
        <v>12966</v>
      </c>
      <c r="SH34">
        <f>IF(COUNTIF('Final Calculation Sheet'!$AL34:$AV34,0)+COUNTIF('Final Calculation Sheet'!$AX34:$BS34,0)&gt;0,0,1)</f>
        <v>1</v>
      </c>
      <c r="SI34" t="b">
        <f>IF($BR$34="",FALSE,SUMPRODUCT(('Final Calculation Sheet'!$L$4:$L$40=$BR$34)*($SH$4:$SH$40=1))&gt;0)</f>
        <v>1</v>
      </c>
      <c r="SJ34">
        <f t="shared" si="188"/>
        <v>31</v>
      </c>
      <c r="SK34">
        <f t="shared" si="154"/>
        <v>517</v>
      </c>
      <c r="SL34">
        <f>IF(COUNTIF('Final Calculation Sheet'!$AL34:$AW34,0)+COUNTIF('Final Calculation Sheet'!$AY34:$BS34,0)&gt;0,0,1)</f>
        <v>1</v>
      </c>
      <c r="SM34" t="b">
        <f>IF($BW$34="",FALSE,SUMPRODUCT(('Final Calculation Sheet'!$M$4:$M$40=$BW$34)*($SL$4:$SL$40=1))&gt;0)</f>
        <v>1</v>
      </c>
      <c r="SN34">
        <f t="shared" si="189"/>
        <v>31</v>
      </c>
      <c r="SO34">
        <f t="shared" si="155"/>
        <v>13726.349999999999</v>
      </c>
      <c r="SP34">
        <f>IF(COUNTIF('Final Calculation Sheet'!$AL34:$AX34,0)+COUNTIF('Final Calculation Sheet'!$AZ34:$BS34,0)&gt;0,0,1)</f>
        <v>1</v>
      </c>
      <c r="SQ34" t="b">
        <f>IF($CB$34="",FALSE,SUMPRODUCT(('Final Calculation Sheet'!$N$4:$N$40=$CB$34)*($SP$4:$SP$40=1))&gt;0)</f>
        <v>1</v>
      </c>
      <c r="SR34">
        <f t="shared" si="190"/>
        <v>31</v>
      </c>
      <c r="SS34">
        <f t="shared" si="156"/>
        <v>232.65</v>
      </c>
      <c r="ST34">
        <f>IF(COUNTIF('Final Calculation Sheet'!$AL34:$AY34,0)+COUNTIF('Final Calculation Sheet'!$BA34:$BS34,0)&gt;0,0,1)</f>
        <v>1</v>
      </c>
      <c r="SU34" t="b">
        <f>IF($CG$34="",FALSE,SUMPRODUCT(('Final Calculation Sheet'!$O$4:$O$40=$CG$34)*($ST$4:$ST$40=1))&gt;0)</f>
        <v>1</v>
      </c>
      <c r="SV34">
        <f t="shared" si="191"/>
        <v>31</v>
      </c>
      <c r="SW34">
        <f t="shared" si="157"/>
        <v>13493.699999999999</v>
      </c>
      <c r="SX34">
        <f>IF(COUNTIF('Final Calculation Sheet'!$AL34:$AZ34,0)+COUNTIF('Final Calculation Sheet'!$BB34:$BS34,0)&gt;0,0,1)</f>
        <v>1</v>
      </c>
      <c r="SY34" t="b">
        <f>IF($CL$34="",FALSE,SUMPRODUCT(('Final Calculation Sheet'!$P$4:$P$40=$CL$34)*($SX$4:$SX$40=1))&gt;0)</f>
        <v>1</v>
      </c>
      <c r="SZ34">
        <f t="shared" si="192"/>
        <v>31</v>
      </c>
      <c r="TA34">
        <f t="shared" si="158"/>
        <v>14889</v>
      </c>
      <c r="TB34">
        <f>IF(COUNTIF('Final Calculation Sheet'!$AL34:$BA34,0)+COUNTIF('Final Calculation Sheet'!$BC34:$BS34,0)&gt;0,0,1)</f>
        <v>1</v>
      </c>
      <c r="TC34" t="b">
        <f>IF($CQ$34="",FALSE,SUMPRODUCT(('Final Calculation Sheet'!$Q$4:$Q$40=$CQ$34)*($TB$4:$TB$40=1))&gt;0)</f>
        <v>0</v>
      </c>
      <c r="TD34">
        <f t="shared" si="193"/>
        <v>2</v>
      </c>
      <c r="TE34" t="str">
        <f t="shared" si="159"/>
        <v/>
      </c>
      <c r="TF34">
        <f>IF(COUNTIF('Final Calculation Sheet'!$AL34:$BB34,0)+COUNTIF('Final Calculation Sheet'!$BD34:$BS34,0)&gt;0,0,1)</f>
        <v>1</v>
      </c>
      <c r="TG34" t="b">
        <f>IF($CV$34="",FALSE,SUMPRODUCT(('Final Calculation Sheet'!$R$4:$R$40=$CV$34)*($TF$4:$TF$40=1))&gt;0)</f>
        <v>0</v>
      </c>
      <c r="TH34">
        <f t="shared" si="194"/>
        <v>5</v>
      </c>
      <c r="TI34" t="str">
        <f t="shared" si="160"/>
        <v/>
      </c>
      <c r="TJ34">
        <f>IF(COUNTIF('Final Calculation Sheet'!$AL34:$BC34,0)+COUNTIF('Final Calculation Sheet'!$BE34:$BS34,0)&gt;0,0,1)</f>
        <v>1</v>
      </c>
      <c r="TK34" t="b">
        <f>IF($DA$34="",FALSE,SUMPRODUCT(('Final Calculation Sheet'!$S$4:$S$40=$DA$34)*($TJ$4:$TJ$40=1))&gt;0)</f>
        <v>1</v>
      </c>
      <c r="TL34">
        <f t="shared" si="195"/>
        <v>31</v>
      </c>
      <c r="TM34">
        <f t="shared" si="161"/>
        <v>608251</v>
      </c>
      <c r="TN34">
        <f>IF(COUNTIF('Final Calculation Sheet'!$AL34:$BD34,0)+COUNTIF('Final Calculation Sheet'!$BF34:$BS34,0)&gt;0,0,1)</f>
        <v>1</v>
      </c>
      <c r="TO34" t="b">
        <f>IF($DF$34="",FALSE,SUMPRODUCT(('Final Calculation Sheet'!$T$4:$T$40=$DF$34)*($TN$4:$TN$40=1))&gt;0)</f>
        <v>1</v>
      </c>
      <c r="TP34">
        <f t="shared" si="196"/>
        <v>31</v>
      </c>
      <c r="TQ34">
        <f t="shared" si="162"/>
        <v>129250</v>
      </c>
      <c r="TR34">
        <f>IF(COUNTIF('Final Calculation Sheet'!$AL34:$BE34,0)+COUNTIF('Final Calculation Sheet'!$BG34:$BS34,0)&gt;0,0,1)</f>
        <v>1</v>
      </c>
      <c r="TS34" t="b">
        <f>IF($DK$34="",FALSE,SUMPRODUCT(('Final Calculation Sheet'!$U$4:$U$40=$DK$34)*($TR$4:$TR$40=1))&gt;0)</f>
        <v>1</v>
      </c>
      <c r="TT34">
        <f t="shared" si="197"/>
        <v>31</v>
      </c>
      <c r="TU34">
        <f t="shared" si="163"/>
        <v>129250</v>
      </c>
      <c r="TV34">
        <f>IF(COUNTIF('Final Calculation Sheet'!$AL34:$BF34,0)+COUNTIF('Final Calculation Sheet'!$BH34:$BS34,0)&gt;0,0,1)</f>
        <v>1</v>
      </c>
      <c r="TW34" t="b">
        <f>IF($DP$34="",FALSE,SUMPRODUCT(('Final Calculation Sheet'!$V$4:$V$40=$DP$34)*($TV$4:$TV$40=1))&gt;0)</f>
        <v>0</v>
      </c>
      <c r="TX34">
        <f t="shared" si="198"/>
        <v>6</v>
      </c>
      <c r="TY34" t="str">
        <f t="shared" si="164"/>
        <v/>
      </c>
      <c r="TZ34">
        <f>IF(COUNTIF('Final Calculation Sheet'!$AL34:$BG34,0)+COUNTIF('Final Calculation Sheet'!$BI34:$BS34,0)&gt;0,0,1)</f>
        <v>1</v>
      </c>
      <c r="UA34" t="b">
        <f>IF($DU$34="",FALSE,SUMPRODUCT(('Final Calculation Sheet'!$W$4:$W$40=$DU$34)*($TZ$4:$TZ$40=1))&gt;0)</f>
        <v>1</v>
      </c>
      <c r="UB34">
        <f t="shared" si="199"/>
        <v>31</v>
      </c>
      <c r="UC34">
        <f t="shared" si="165"/>
        <v>479001</v>
      </c>
      <c r="UD34">
        <f>IF(COUNTIF('Final Calculation Sheet'!$AL34:$BH34,0)+COUNTIF('Final Calculation Sheet'!$BJ34:$BS34,0)&gt;0,0,1)</f>
        <v>1</v>
      </c>
      <c r="UE34" t="e">
        <f>IF($DZ$34="",FALSE,SUMPRODUCT(('Final Calculation Sheet'!$X$4:$X$40=$DZ$34)*($UD$4:$UD$40=1))&gt;0)</f>
        <v>#N/A</v>
      </c>
      <c r="UF34" t="e">
        <f t="shared" si="200"/>
        <v>#N/A</v>
      </c>
      <c r="UG34" t="e">
        <f t="shared" si="166"/>
        <v>#N/A</v>
      </c>
      <c r="UH34">
        <f>IF(COUNTIF('Final Calculation Sheet'!$AL34:$BI34,0)+COUNTIF('Final Calculation Sheet'!$BK34:$BS34,0)&gt;0,0,1)</f>
        <v>1</v>
      </c>
      <c r="UI34" t="e">
        <f>IF($EE$34="",FALSE,SUMPRODUCT(('Final Calculation Sheet'!$Y$4:$Y$40=$EE$34)*($UH$4:$UH$40=1))&gt;0)</f>
        <v>#N/A</v>
      </c>
      <c r="UJ34" t="e">
        <f t="shared" si="201"/>
        <v>#N/A</v>
      </c>
      <c r="UK34" t="e">
        <f t="shared" si="167"/>
        <v>#N/A</v>
      </c>
      <c r="UL34">
        <f>IF(COUNTIF('Final Calculation Sheet'!$AL34:$BJ34,0)+COUNTIF('Final Calculation Sheet'!$BL34:$BS34,0)&gt;0,0,1)</f>
        <v>1</v>
      </c>
      <c r="UM34" t="b">
        <f ca="1">IF($EJ$34="",FALSE,SUMPRODUCT(('Final Calculation Sheet'!$Z$4:$Z$40=$EJ$34)*($UL$4:$UL$40=1))&gt;0)</f>
        <v>1</v>
      </c>
      <c r="UN34">
        <f t="shared" ca="1" si="202"/>
        <v>31</v>
      </c>
      <c r="UO34">
        <f t="shared" ca="1" si="168"/>
        <v>18301.8</v>
      </c>
      <c r="UP34">
        <f>IF(COUNTIF('Final Calculation Sheet'!$AL34:$BK34,0)+COUNTIF('Final Calculation Sheet'!$BM34:$BS34,0)&gt;0,0,1)</f>
        <v>1</v>
      </c>
      <c r="UQ34" t="e">
        <f>IF($EO$34="",FALSE,SUMPRODUCT(('Final Calculation Sheet'!$AA$4:$AA$40=$EO$34)*($UP$4:$UP$40=1))&gt;0)</f>
        <v>#N/A</v>
      </c>
      <c r="UR34" t="e">
        <f t="shared" si="203"/>
        <v>#N/A</v>
      </c>
      <c r="US34" t="e">
        <f t="shared" si="169"/>
        <v>#N/A</v>
      </c>
      <c r="UT34">
        <f>IF(COUNTIF('Final Calculation Sheet'!$AL34:$BL34,0)+COUNTIF('Final Calculation Sheet'!$BN34:$BS34,0)&gt;0,0,1)</f>
        <v>1</v>
      </c>
      <c r="UU34" t="e">
        <f>IF($ET$34="",FALSE,SUMPRODUCT(('Final Calculation Sheet'!$AB$4:$AB$40=$ET$34)*($UT$4:$UT$40=1))&gt;0)</f>
        <v>#N/A</v>
      </c>
      <c r="UV34" t="e">
        <f t="shared" si="204"/>
        <v>#N/A</v>
      </c>
      <c r="UW34" t="e">
        <f t="shared" si="170"/>
        <v>#N/A</v>
      </c>
      <c r="UX34">
        <f>IF(COUNTIF('Final Calculation Sheet'!$AL34:$BM34,0)+COUNTIF('Final Calculation Sheet'!$BO34:$BS34,0)&gt;0,0,1)</f>
        <v>1</v>
      </c>
      <c r="UY34" t="b">
        <f>IF($EY$34="",FALSE,SUMPRODUCT(('Final Calculation Sheet'!$AC$4:$AC$40=$EY$34)*($UX$4:$UX$40=1))&gt;0)</f>
        <v>1</v>
      </c>
      <c r="UZ34">
        <f t="shared" si="205"/>
        <v>31</v>
      </c>
      <c r="VA34">
        <f t="shared" si="171"/>
        <v>470600</v>
      </c>
      <c r="VB34">
        <f>IF(COUNTIF('Final Calculation Sheet'!$AL34:$BN34,0)+COUNTIF('Final Calculation Sheet'!$BP34:$BS34,0)&gt;0,0,1)</f>
        <v>1</v>
      </c>
      <c r="VC34" t="b">
        <f>IF($FD$34="",FALSE,SUMPRODUCT(('Final Calculation Sheet'!$AD$4:$AD$40=$FD$34)*($VB$4:$VB$40=1))&gt;0)</f>
        <v>0</v>
      </c>
      <c r="VD34">
        <f t="shared" si="206"/>
        <v>11</v>
      </c>
      <c r="VE34" t="str">
        <f t="shared" si="172"/>
        <v/>
      </c>
      <c r="VF34">
        <f>IF(COUNTIF('Final Calculation Sheet'!$AL34:$BO34,0)+COUNTIF('Final Calculation Sheet'!$BQ34:$BS34,0)&gt;0,0,1)</f>
        <v>1</v>
      </c>
      <c r="VG34" t="e">
        <f>IF($FI$34="",FALSE,SUMPRODUCT(('Final Calculation Sheet'!$AE$4:$AE$40=$FI$34)*($VF$4:$VF$40=1))&gt;0)</f>
        <v>#N/A</v>
      </c>
      <c r="VH34" t="e">
        <f t="shared" si="207"/>
        <v>#N/A</v>
      </c>
      <c r="VI34" t="e">
        <f t="shared" si="173"/>
        <v>#N/A</v>
      </c>
      <c r="VJ34">
        <f>IF(COUNTIF('Final Calculation Sheet'!$AL34:$BP34,0)+COUNTIF('Final Calculation Sheet'!$BR34:$BS34,0)&gt;0,0,1)</f>
        <v>1</v>
      </c>
      <c r="VK34" t="e">
        <f>IF($FN$34="",FALSE,SUMPRODUCT(('Final Calculation Sheet'!$AF$4:$AF$40=$FN$34)*($VJ$4:$VJ$40=1))&gt;0)</f>
        <v>#N/A</v>
      </c>
      <c r="VL34" t="e">
        <f t="shared" si="208"/>
        <v>#N/A</v>
      </c>
      <c r="VM34" t="e">
        <f t="shared" si="174"/>
        <v>#N/A</v>
      </c>
      <c r="VN34">
        <f>IF(COUNTIF('Final Calculation Sheet'!$AL34:$BQ34,0)+COUNTIF('Final Calculation Sheet'!$BS34:$BS34,0)&gt;0,0,1)</f>
        <v>1</v>
      </c>
      <c r="VO34" t="e">
        <f>IF($FS$34="",FALSE,SUMPRODUCT(('Final Calculation Sheet'!$AG$4:$AG$40=$FS$34)*($VN$4:$VN$40=1))&gt;0)</f>
        <v>#N/A</v>
      </c>
      <c r="VP34" t="e">
        <f t="shared" si="209"/>
        <v>#N/A</v>
      </c>
      <c r="VQ34" t="e">
        <f t="shared" si="175"/>
        <v>#N/A</v>
      </c>
      <c r="VR34">
        <f>IF(COUNTIF('Final Calculation Sheet'!$AL34:$BR34,0)&gt;0,0,1)</f>
        <v>1</v>
      </c>
      <c r="VS34" t="e">
        <f>IF($QO$34="",FALSE,SUMPRODUCT(('Final Calculation Sheet'!$AH$4:$AH$40=$QO$34)*($VR$4:$VR$40=1))&gt;0)</f>
        <v>#N/A</v>
      </c>
      <c r="VT34" t="e">
        <f t="shared" si="210"/>
        <v>#N/A</v>
      </c>
      <c r="VU34" t="e">
        <f t="shared" si="176"/>
        <v>#N/A</v>
      </c>
    </row>
    <row r="35" spans="1:593" x14ac:dyDescent="0.3">
      <c r="A35">
        <f>IF('Final Calculation Sheet'!$F$35="","",'Final Calculation Sheet'!$F$35)</f>
        <v>2067</v>
      </c>
      <c r="B35">
        <f>IF(A35="","",COUNTIFS(A$4:A$114,"&lt;"&amp;A35,A$4:A$114,"&lt;&gt;"&amp;"")+COUNTIF(A$4:A35,A35))</f>
        <v>32</v>
      </c>
      <c r="C35">
        <f t="shared" si="0"/>
        <v>2067</v>
      </c>
      <c r="D35">
        <f>D34+IF(AND(C35&lt;&gt;"",COUNTIF(C$4:C35,C35)=1),1,0)</f>
        <v>32</v>
      </c>
      <c r="E35" t="e">
        <f t="shared" si="1"/>
        <v>#N/A</v>
      </c>
      <c r="F35">
        <f t="shared" si="2"/>
        <v>32</v>
      </c>
      <c r="G35">
        <f>IF(F35="","",COUNTIFS(F$4:F$40,"&lt;"&amp;F35,F$4:F$40,"&lt;&gt;"&amp;"")+COUNTIF(F$4:F35,F35))</f>
        <v>32</v>
      </c>
      <c r="H35">
        <f t="shared" si="3"/>
        <v>32</v>
      </c>
      <c r="I35">
        <f>I34+IF(AND(H35&lt;&gt;"",COUNTIF(H$4:H35,H35)=1),1,0)</f>
        <v>32</v>
      </c>
      <c r="J35">
        <f t="shared" si="4"/>
        <v>32</v>
      </c>
      <c r="K35">
        <f>IF('Final Calculation Sheet'!$F$35="","",'Final Calculation Sheet'!$F$35)</f>
        <v>2067</v>
      </c>
      <c r="L35">
        <f>IF(K35="","",COUNTIFS(K$4:K$40,"&lt;"&amp;K35,K$4:K$40,"&lt;&gt;"&amp;"")+COUNTIF(K$4:K35,K35))</f>
        <v>32</v>
      </c>
      <c r="M35">
        <f t="shared" si="5"/>
        <v>2067</v>
      </c>
      <c r="N35">
        <f>N34+IF(AND(M35&lt;&gt;"",COUNTIF(M$4:M35,M35)=1),1,0)</f>
        <v>32</v>
      </c>
      <c r="O35">
        <f t="shared" si="6"/>
        <v>2067</v>
      </c>
      <c r="P35" t="str">
        <f>IF('Final Calculation Sheet'!$G$35="","",'Final Calculation Sheet'!$G$35)</f>
        <v>WATAN SCRAP TRADERS</v>
      </c>
      <c r="Q35">
        <f>IF(P35="","",COUNTIFS(P$4:P$40,"&lt;"&amp;P35,P$4:P$40,"&lt;&gt;"&amp;"")+COUNTIF(P$4:P35,P35))</f>
        <v>37</v>
      </c>
      <c r="R35" t="str">
        <f t="shared" si="7"/>
        <v>STERLING ENTERPRISES</v>
      </c>
      <c r="S35">
        <f>S34+IF(AND(R35&lt;&gt;"",COUNTIF(R$4:R35,R35)=1),1,0)</f>
        <v>12</v>
      </c>
      <c r="T35" t="str">
        <f t="shared" si="8"/>
        <v/>
      </c>
      <c r="U35" t="str">
        <f>IF('Final Calculation Sheet'!$B$35="","",'Final Calculation Sheet'!$B$35)</f>
        <v>Scrap of empty oil drums</v>
      </c>
      <c r="V35">
        <f>IF(U35="","",COUNTIFS(U$4:U$40,"&lt;"&amp;U35,U$4:U$40,"&lt;&gt;"&amp;"")+COUNTIF(U$4:U35,U35))</f>
        <v>34</v>
      </c>
      <c r="W35" t="str">
        <f t="shared" si="9"/>
        <v>Scrap of Empty oil drum</v>
      </c>
      <c r="X35">
        <f>X34+IF(AND(W35&lt;&gt;"",COUNTIF(W$4:W35,W35)=1),1,0)</f>
        <v>22</v>
      </c>
      <c r="Y35" t="str">
        <f t="shared" si="10"/>
        <v/>
      </c>
      <c r="Z35">
        <f>IF('Final Calculation Sheet'!$D$35="","",'Final Calculation Sheet'!$D$35)</f>
        <v>21980</v>
      </c>
      <c r="AA35">
        <f>IF(Z35="","",COUNTIFS(Z$4:Z$40,"&lt;"&amp;Z35,Z$4:Z$40,"&lt;&gt;"&amp;"")+COUNTIF(Z$4:Z35,Z35))</f>
        <v>32</v>
      </c>
      <c r="AB35">
        <f t="shared" si="11"/>
        <v>21980</v>
      </c>
      <c r="AC35">
        <f>AC34+IF(AND(AB35&lt;&gt;"",COUNTIF(AB$4:AB35,AB35)=1),1,0)</f>
        <v>4</v>
      </c>
      <c r="AD35" t="str">
        <f t="shared" si="12"/>
        <v/>
      </c>
      <c r="AE35">
        <f>IF('Final Calculation Sheet'!$A$35="","",'Final Calculation Sheet'!$A$35)</f>
        <v>150</v>
      </c>
      <c r="AF35">
        <f>IF(AE35="","",COUNTIFS(AE$4:AE$40,"&lt;"&amp;AE35,AE$4:AE$40,"&lt;&gt;"&amp;"")+COUNTIF(AE$4:AE35,AE35))</f>
        <v>29</v>
      </c>
      <c r="AG35">
        <f t="shared" si="13"/>
        <v>669</v>
      </c>
      <c r="AH35">
        <f>AH34+IF(AND(AG35&lt;&gt;"",COUNTIF(AG$4:AG35,AG35)=1),1,0)</f>
        <v>17</v>
      </c>
      <c r="AI35" t="str">
        <f t="shared" si="14"/>
        <v/>
      </c>
      <c r="AJ35" t="str">
        <f>IF('Final Calculation Sheet'!$E$35="","",'Final Calculation Sheet'!$E$35)</f>
        <v>NO</v>
      </c>
      <c r="AK35">
        <f>IF(AJ35="","",COUNTIFS(AJ$4:AJ$40,"&lt;"&amp;AJ35,AJ$4:AJ$40,"&lt;&gt;"&amp;"")+COUNTIF(AJ$4:AJ35,AJ35))</f>
        <v>32</v>
      </c>
      <c r="AL35" t="str">
        <f t="shared" si="15"/>
        <v>NO</v>
      </c>
      <c r="AM35">
        <f>AM34+IF(AND(AL35&lt;&gt;"",COUNTIF(AL$4:AL35,AL35)=1),1,0)</f>
        <v>3</v>
      </c>
      <c r="AN35" t="str">
        <f t="shared" si="16"/>
        <v/>
      </c>
      <c r="AO35" s="50">
        <f>IF('Final Calculation Sheet'!$C$35="","",'Final Calculation Sheet'!$C$35)</f>
        <v>571</v>
      </c>
      <c r="AP35">
        <f>IF(AO35="","",COUNTIFS(AO$4:AO$40,"&lt;"&amp;AO35,AO$4:AO$40,"&lt;&gt;"&amp;"")+COUNTIF(AO$4:AO35,AO35))</f>
        <v>8</v>
      </c>
      <c r="AQ35" s="50">
        <f t="shared" si="17"/>
        <v>90002</v>
      </c>
      <c r="AR35">
        <f>AR34+IF(AND(AQ35&lt;&gt;"",COUNTIF(AQ$4:AQ35,AQ35)=1),1,0)</f>
        <v>30</v>
      </c>
      <c r="AS35" s="50">
        <f t="shared" si="18"/>
        <v>210001</v>
      </c>
      <c r="AT35" s="50">
        <f>IF('Final Calculation Sheet'!$H$35="","",'Final Calculation Sheet'!$H$35)</f>
        <v>85650</v>
      </c>
      <c r="AU35">
        <f>IF(AT35="","",COUNTIFS(AT$4:AT$40,"&lt;"&amp;AT35,AT$4:AT$40,"&lt;&gt;"&amp;"")+COUNTIF(AT$4:AT35,AT35))</f>
        <v>16</v>
      </c>
      <c r="AV35" s="50">
        <f t="shared" si="19"/>
        <v>549400</v>
      </c>
      <c r="AW35">
        <f>AW34+IF(AND(AV35&lt;&gt;"",COUNTIF(AV$4:AV35,AV35)=1),1,0)</f>
        <v>32</v>
      </c>
      <c r="AX35" s="50">
        <f t="shared" si="20"/>
        <v>549400</v>
      </c>
      <c r="AY35" s="50">
        <f>IF('Final Calculation Sheet'!$I$35="","",'Final Calculation Sheet'!$I$35)</f>
        <v>15417</v>
      </c>
      <c r="AZ35">
        <f>IF(AY35="","",COUNTIFS(AY$4:AY$40,"&lt;"&amp;AY35,AY$4:AY$40,"&lt;&gt;"&amp;"")+COUNTIF(AY$4:AY35,AY35))</f>
        <v>16</v>
      </c>
      <c r="BA35" s="50">
        <f t="shared" si="21"/>
        <v>98892</v>
      </c>
      <c r="BB35">
        <f>BB34+IF(AND(BA35&lt;&gt;"",COUNTIF(BA$4:BA35,BA35)=1),1,0)</f>
        <v>32</v>
      </c>
      <c r="BC35" s="50">
        <f t="shared" si="22"/>
        <v>98892</v>
      </c>
      <c r="BD35" s="50">
        <f>IF('Final Calculation Sheet'!$J$35="","",'Final Calculation Sheet'!$J$35)</f>
        <v>101067</v>
      </c>
      <c r="BE35">
        <f>IF(BD35="","",COUNTIFS(BD$4:BD$40,"&lt;"&amp;BD35,BD$4:BD$40,"&lt;&gt;"&amp;"")+COUNTIF(BD$4:BD35,BD35))</f>
        <v>16</v>
      </c>
      <c r="BF35" s="50">
        <f t="shared" si="23"/>
        <v>648292</v>
      </c>
      <c r="BG35">
        <f>BG34+IF(AND(BF35&lt;&gt;"",COUNTIF(BF$4:BF35,BF35)=1),1,0)</f>
        <v>32</v>
      </c>
      <c r="BH35" s="50">
        <f t="shared" si="24"/>
        <v>648292</v>
      </c>
      <c r="BI35" s="50">
        <f>IF('Final Calculation Sheet'!$K$35="","",'Final Calculation Sheet'!$K$35)</f>
        <v>2021</v>
      </c>
      <c r="BJ35">
        <f>IF(BI35="","",COUNTIFS(BI$4:BI$40,"&lt;"&amp;BI35,BI$4:BI$40,"&lt;&gt;"&amp;"")+COUNTIF(BI$4:BI35,BI35))</f>
        <v>16</v>
      </c>
      <c r="BK35" s="50">
        <f t="shared" si="25"/>
        <v>12966</v>
      </c>
      <c r="BL35">
        <f>BL34+IF(AND(BK35&lt;&gt;"",COUNTIF(BK$4:BK35,BK35)=1),1,0)</f>
        <v>31</v>
      </c>
      <c r="BM35" s="50">
        <f t="shared" si="26"/>
        <v>18646</v>
      </c>
      <c r="BN35" s="50">
        <f>IF('Final Calculation Sheet'!$L$35="","",'Final Calculation Sheet'!$L$35)</f>
        <v>85.65</v>
      </c>
      <c r="BO35">
        <f>IF(BN35="","",COUNTIFS(BN$4:BN$40,"&lt;"&amp;BN35,BN$4:BN$40,"&lt;&gt;"&amp;"")+COUNTIF(BN$4:BN35,BN35))</f>
        <v>16</v>
      </c>
      <c r="BP35" s="50">
        <f t="shared" si="27"/>
        <v>549.4</v>
      </c>
      <c r="BQ35">
        <f>BQ34+IF(AND(BP35&lt;&gt;"",COUNTIF(BP$4:BP35,BP35)=1),1,0)</f>
        <v>32</v>
      </c>
      <c r="BR35" s="50">
        <f t="shared" si="28"/>
        <v>549.4</v>
      </c>
      <c r="BS35" s="50">
        <f>IF('Final Calculation Sheet'!$M$35="","",'Final Calculation Sheet'!$M$35)</f>
        <v>2274.0074999999997</v>
      </c>
      <c r="BT35">
        <f>IF(BS35="","",COUNTIFS(BS$4:BS$40,"&lt;"&amp;BS35,BS$4:BS$40,"&lt;&gt;"&amp;"")+COUNTIF(BS$4:BS35,BS35))</f>
        <v>16</v>
      </c>
      <c r="BU35" s="50">
        <f t="shared" si="29"/>
        <v>14586.57</v>
      </c>
      <c r="BV35">
        <f>BV34+IF(AND(BU35&lt;&gt;"",COUNTIF(BU$4:BU35,BU35)=1),1,0)</f>
        <v>32</v>
      </c>
      <c r="BW35" s="50">
        <f t="shared" si="30"/>
        <v>14586.57</v>
      </c>
      <c r="BX35" s="126">
        <f>IF('Final Calculation Sheet'!$N$35="","",'Final Calculation Sheet'!$N$35)</f>
        <v>38.542500000000004</v>
      </c>
      <c r="BY35">
        <f>IF(BX35="","",COUNTIFS(BX$4:BX$40,"&lt;"&amp;BX35,BX$4:BX$40,"&lt;&gt;"&amp;"")+COUNTIF(BX$4:BX35,BX35))</f>
        <v>16</v>
      </c>
      <c r="BZ35" s="126">
        <f t="shared" si="31"/>
        <v>247.23000000000002</v>
      </c>
      <c r="CA35">
        <f>CA34+IF(AND(BZ35&lt;&gt;"",COUNTIF(BZ$4:BZ35,BZ35)=1),1,0)</f>
        <v>32</v>
      </c>
      <c r="CB35" s="126">
        <f t="shared" si="32"/>
        <v>247.23000000000002</v>
      </c>
      <c r="CC35" s="50">
        <f>IF('Final Calculation Sheet'!$O$35="","",'Final Calculation Sheet'!$O$35)</f>
        <v>2235.4649999999997</v>
      </c>
      <c r="CD35">
        <f>IF(CC35="","",COUNTIFS(CC$4:CC$40,"&lt;"&amp;CC35,CC$4:CC$40,"&lt;&gt;"&amp;"")+COUNTIF(CC$4:CC35,CC35))</f>
        <v>16</v>
      </c>
      <c r="CE35" s="50">
        <f t="shared" si="33"/>
        <v>14339.34</v>
      </c>
      <c r="CF35">
        <f>CF34+IF(AND(CE35&lt;&gt;"",COUNTIF(CE$4:CE35,CE35)=1),1,0)</f>
        <v>32</v>
      </c>
      <c r="CG35" s="50">
        <f t="shared" si="34"/>
        <v>14339.34</v>
      </c>
      <c r="CH35" s="50">
        <f>IF('Final Calculation Sheet'!$P$35="","",'Final Calculation Sheet'!$P$35)</f>
        <v>2321</v>
      </c>
      <c r="CI35">
        <f>IF(CH35="","",COUNTIFS(CH$4:CH$40,"&lt;"&amp;CH35,CH$4:CH$40,"&lt;&gt;"&amp;"")+COUNTIF(CH$4:CH35,CH35))</f>
        <v>16</v>
      </c>
      <c r="CJ35" s="50">
        <f t="shared" si="35"/>
        <v>14889</v>
      </c>
      <c r="CK35">
        <f>CK34+IF(AND(CJ35&lt;&gt;"",COUNTIF(CJ$4:CJ35,CJ35)=1),1,0)</f>
        <v>31</v>
      </c>
      <c r="CL35" s="50">
        <f t="shared" si="36"/>
        <v>21411</v>
      </c>
      <c r="CM35" s="127">
        <f>IF('Final Calculation Sheet'!$Q$35="","",'Final Calculation Sheet'!$Q$35)</f>
        <v>0</v>
      </c>
      <c r="CN35">
        <f>IF(CM35="","",COUNTIFS(CM$4:CM$40,"&lt;"&amp;CM35,CM$4:CM$40,"&lt;&gt;"&amp;"")+COUNTIF(CM$4:CM35,CM35))</f>
        <v>28</v>
      </c>
      <c r="CO35" s="127">
        <f t="shared" si="37"/>
        <v>0</v>
      </c>
      <c r="CP35">
        <f>CP34+IF(AND(CO35&lt;&gt;"",COUNTIF(CO$4:CO35,CO35)=1),1,0)</f>
        <v>1</v>
      </c>
      <c r="CQ35" t="str">
        <f t="shared" si="38"/>
        <v/>
      </c>
      <c r="CR35" s="50">
        <f>IF('Final Calculation Sheet'!$R$35="","",'Final Calculation Sheet'!$R$35)</f>
        <v>0</v>
      </c>
      <c r="CS35">
        <f>IF(CR35="","",COUNTIFS(CR$4:CR$40,"&lt;"&amp;CR35,CR$4:CR$40,"&lt;&gt;"&amp;"")+COUNTIF(CR$4:CR35,CR35))</f>
        <v>28</v>
      </c>
      <c r="CT35" s="50">
        <f t="shared" si="39"/>
        <v>0</v>
      </c>
      <c r="CU35">
        <f>CU34+IF(AND(CT35&lt;&gt;"",COUNTIF(CT$4:CT35,CT35)=1),1,0)</f>
        <v>1</v>
      </c>
      <c r="CV35" t="str">
        <f t="shared" si="40"/>
        <v/>
      </c>
      <c r="CW35" s="50">
        <f>IF('Final Calculation Sheet'!$S$35="","",'Final Calculation Sheet'!$S$35)</f>
        <v>100767</v>
      </c>
      <c r="CX35">
        <f>IF(CW35="","",COUNTIFS(CW$4:CW$40,"&lt;"&amp;CW35,CW$4:CW$40,"&lt;&gt;"&amp;"")+COUNTIF(CW$4:CW35,CW35))</f>
        <v>16</v>
      </c>
      <c r="CY35" s="50">
        <f t="shared" si="41"/>
        <v>635381</v>
      </c>
      <c r="CZ35">
        <f>CZ34+IF(AND(CY35&lt;&gt;"",COUNTIF(CY$4:CY35,CY35)=1),1,0)</f>
        <v>32</v>
      </c>
      <c r="DA35" s="50">
        <f t="shared" si="42"/>
        <v>635381</v>
      </c>
      <c r="DB35" s="50">
        <f>IF('Final Calculation Sheet'!$T$35="","",'Final Calculation Sheet'!$T$35)</f>
        <v>21413</v>
      </c>
      <c r="DC35">
        <f>IF(DB35="","",COUNTIFS(DB$4:DB$40,"&lt;"&amp;DB35,DB$4:DB$40,"&lt;&gt;"&amp;"")+COUNTIF(DB$4:DB35,DB35))</f>
        <v>16</v>
      </c>
      <c r="DD35" s="50">
        <f t="shared" si="43"/>
        <v>137350</v>
      </c>
      <c r="DE35">
        <f>DE34+IF(AND(DD35&lt;&gt;"",COUNTIF(DD$4:DD35,DD35)=1),1,0)</f>
        <v>32</v>
      </c>
      <c r="DF35" s="50">
        <f t="shared" si="44"/>
        <v>137350</v>
      </c>
      <c r="DG35" s="128">
        <f>IF('Final Calculation Sheet'!$U$35="","",'Final Calculation Sheet'!$U$35)</f>
        <v>21413</v>
      </c>
      <c r="DH35">
        <f>IF(DG35="","",COUNTIFS(DG$4:DG$40,"&lt;"&amp;DG35,DG$4:DG$40,"&lt;&gt;"&amp;"")+COUNTIF(DG$4:DG35,DG35))</f>
        <v>16</v>
      </c>
      <c r="DI35" s="128">
        <f t="shared" si="45"/>
        <v>137350</v>
      </c>
      <c r="DJ35">
        <f>DJ34+IF(AND(DI35&lt;&gt;"",COUNTIF(DI$4:DI35,DI35)=1),1,0)</f>
        <v>32</v>
      </c>
      <c r="DK35" s="128">
        <f t="shared" si="46"/>
        <v>137350</v>
      </c>
      <c r="DL35" t="str">
        <f>IF('Final Calculation Sheet'!$V$35="","",'Final Calculation Sheet'!$V$35)</f>
        <v>14.08.2026</v>
      </c>
      <c r="DM35">
        <f>IF(DL35="","",COUNTIFS(DL$4:DL$40,"&lt;"&amp;DL35,DL$4:DL$40,"&lt;&gt;"&amp;"")+COUNTIF(DL$4:DL35,DL35))</f>
        <v>33</v>
      </c>
      <c r="DN35" t="str">
        <f t="shared" si="47"/>
        <v>14.08.2026</v>
      </c>
      <c r="DO35">
        <f>DO34+IF(AND(DN35&lt;&gt;"",COUNTIF(DN$4:DN35,DN35)=1),1,0)</f>
        <v>4</v>
      </c>
      <c r="DP35" t="str">
        <f t="shared" si="48"/>
        <v/>
      </c>
      <c r="DQ35" s="50">
        <f>IF('Final Calculation Sheet'!$W$35="","",'Final Calculation Sheet'!$W$35)</f>
        <v>79355</v>
      </c>
      <c r="DR35">
        <f>IF(DQ35="","",COUNTIFS(DQ$4:DQ$40,"&lt;"&amp;DQ35,DQ$4:DQ$40,"&lt;&gt;"&amp;"")+COUNTIF(DQ$4:DQ35,DQ35))</f>
        <v>16</v>
      </c>
      <c r="DS35" s="50">
        <f t="shared" si="49"/>
        <v>498031</v>
      </c>
      <c r="DT35">
        <f>DT34+IF(AND(DS35&lt;&gt;"",COUNTIF(DS$4:DS35,DS35)=1),1,0)</f>
        <v>32</v>
      </c>
      <c r="DU35" s="50">
        <f t="shared" si="50"/>
        <v>498031</v>
      </c>
      <c r="DV35" s="50">
        <f>IF('Final Calculation Sheet'!$X$35="","",'Final Calculation Sheet'!$X$35)</f>
        <v>79354</v>
      </c>
      <c r="DW35">
        <f>IF(DV35="","",COUNTIFS(DV$4:DV$40,"&lt;"&amp;DV35,DV$4:DV$40,"&lt;&gt;"&amp;"")+COUNTIF(DV$4:DV35,DV35))</f>
        <v>15</v>
      </c>
      <c r="DX35" s="50">
        <f t="shared" si="51"/>
        <v>1492490</v>
      </c>
      <c r="DY35">
        <f>DY34+IF(AND(DX35&lt;&gt;"",COUNTIF(DX$4:DX35,DX35)=1),1,0)</f>
        <v>32</v>
      </c>
      <c r="DZ35" t="e">
        <f t="shared" si="52"/>
        <v>#N/A</v>
      </c>
      <c r="EA35" t="str">
        <f>IF('Final Calculation Sheet'!$Y$35="","",'Final Calculation Sheet'!$Y$35)</f>
        <v>20.08.2026</v>
      </c>
      <c r="EB35">
        <f>IF(EA35="","",COUNTIFS(EA$4:EA$40,"&lt;"&amp;EA35,EA$4:EA$40,"&lt;&gt;"&amp;"")+COUNTIF(EA$4:EA35,EA35))</f>
        <v>16</v>
      </c>
      <c r="EC35" t="str">
        <f t="shared" si="53"/>
        <v>24.08.2026</v>
      </c>
      <c r="ED35">
        <f>ED34+IF(AND(EC35&lt;&gt;"",COUNTIF(EC$4:EC35,EC35)=1),1,0)</f>
        <v>9</v>
      </c>
      <c r="EE35" t="e">
        <f t="shared" si="54"/>
        <v>#N/A</v>
      </c>
      <c r="EF35" s="50">
        <f ca="1">IF('Final Calculation Sheet'!$Z$35="","",'Final Calculation Sheet'!$Z$35)</f>
        <v>3032.0099999999998</v>
      </c>
      <c r="EG35">
        <f ca="1">IF(EF35="","",COUNTIFS(EF$4:EF$40,"&lt;"&amp;EF35,EF$4:EF$40,"&lt;&gt;"&amp;"")+COUNTIF(EF$4:EF35,EF35))</f>
        <v>17</v>
      </c>
      <c r="EH35" s="50">
        <f t="shared" ca="1" si="55"/>
        <v>19448.760000000002</v>
      </c>
      <c r="EI35">
        <f ca="1">EI34+IF(AND(EH35&lt;&gt;"",COUNTIF(EH$4:EH35,EH35)=1),1,0)</f>
        <v>32</v>
      </c>
      <c r="EJ35">
        <f t="shared" ca="1" si="56"/>
        <v>19448.760000000002</v>
      </c>
      <c r="EK35" t="str">
        <f>IF('Final Calculation Sheet'!$AA$35="","",'Final Calculation Sheet'!$AA$35)</f>
        <v/>
      </c>
      <c r="EL35" t="str">
        <f>IF(EK35="","",COUNTIFS(EK$4:EK$40,"&lt;"&amp;EK35,EK$4:EK$40,"&lt;&gt;"&amp;"")+COUNTIF(EK$4:EK35,EK35))</f>
        <v/>
      </c>
      <c r="EM35" t="e">
        <f t="shared" si="57"/>
        <v>#N/A</v>
      </c>
      <c r="EN35" t="e">
        <f>EN34+IF(AND(EM35&lt;&gt;"",COUNTIF(EM$4:EM35,EM35)=1),1,0)</f>
        <v>#N/A</v>
      </c>
      <c r="EO35" t="e">
        <f t="shared" si="58"/>
        <v>#N/A</v>
      </c>
      <c r="EP35" t="str">
        <f>IF('Final Calculation Sheet'!$AB$35="","",'Final Calculation Sheet'!$AB$35)</f>
        <v/>
      </c>
      <c r="EQ35" t="str">
        <f>IF(EP35="","",COUNTIFS(EP$4:EP$40,"&lt;"&amp;EP35,EP$4:EP$40,"&lt;&gt;"&amp;"")+COUNTIF(EP$4:EP35,EP35))</f>
        <v/>
      </c>
      <c r="ER35" t="e">
        <f t="shared" si="59"/>
        <v>#N/A</v>
      </c>
      <c r="ES35" t="e">
        <f>ES34+IF(AND(ER35&lt;&gt;"",COUNTIF(ER$4:ER35,ER35)=1),1,0)</f>
        <v>#N/A</v>
      </c>
      <c r="ET35" t="e">
        <f t="shared" si="60"/>
        <v>#N/A</v>
      </c>
      <c r="EU35" s="50">
        <f>IF('Final Calculation Sheet'!$AC$35="","",'Final Calculation Sheet'!$AC$35)</f>
        <v>100767</v>
      </c>
      <c r="EV35">
        <f>IF(EU35="","",COUNTIFS(EU$4:EU$40,"&lt;"&amp;EU35,EU$4:EU$40,"&lt;&gt;"&amp;"")+COUNTIF(EU$4:EU35,EU35))</f>
        <v>17</v>
      </c>
      <c r="EW35" s="50">
        <f t="shared" si="61"/>
        <v>608251</v>
      </c>
      <c r="EX35">
        <f>EX34+IF(AND(EW35&lt;&gt;"",COUNTIF(EW$4:EW35,EW35)=1),1,0)</f>
        <v>32</v>
      </c>
      <c r="EY35" s="50">
        <f t="shared" si="62"/>
        <v>608251</v>
      </c>
      <c r="EZ35" s="50">
        <f>IF('Final Calculation Sheet'!$AD$35="","",'Final Calculation Sheet'!$AD$35)</f>
        <v>0</v>
      </c>
      <c r="FA35">
        <f>IF(EZ35="","",COUNTIFS(EZ$4:EZ$40,"&lt;"&amp;EZ35,EZ$4:EZ$40,"&lt;&gt;"&amp;"")+COUNTIF(EZ$4:EZ35,EZ35))</f>
        <v>27</v>
      </c>
      <c r="FB35" s="50">
        <f t="shared" si="63"/>
        <v>1</v>
      </c>
      <c r="FC35">
        <f>FC34+IF(AND(FB35&lt;&gt;"",COUNTIF(FB$4:FB35,FB35)=1),1,0)</f>
        <v>8</v>
      </c>
      <c r="FD35" t="str">
        <f t="shared" si="64"/>
        <v/>
      </c>
      <c r="FE35" t="str">
        <f>IF('Final Calculation Sheet'!$AF$35="","",'Final Calculation Sheet'!$AF$35)</f>
        <v>DR2640100027</v>
      </c>
      <c r="FF35">
        <f>IF(FE35="","",COUNTIFS(FE$4:FE$40,"&lt;"&amp;FE35,FE$4:FE$40,"&lt;&gt;"&amp;"")+COUNTIF(FE$4:FE35,FE35))</f>
        <v>16</v>
      </c>
      <c r="FG35" t="str">
        <f t="shared" si="65"/>
        <v>DR2640100043</v>
      </c>
      <c r="FH35" t="e">
        <f>FH34+IF(AND(FG35&lt;&gt;"",COUNTIF(FG$4:FG35,FG35)=1),1,0)</f>
        <v>#N/A</v>
      </c>
      <c r="FI35" t="e">
        <f t="shared" si="66"/>
        <v>#N/A</v>
      </c>
      <c r="FJ35" s="129">
        <f>IF('Final Calculation Sheet'!$AG$35="","",'Final Calculation Sheet'!$AG$35)</f>
        <v>1800003248</v>
      </c>
      <c r="FK35">
        <f>IF(FJ35="","",COUNTIFS(FJ$4:FJ$40,"&lt;"&amp;FJ35,FJ$4:FJ$40,"&lt;&gt;"&amp;"")+COUNTIF(FJ$4:FJ35,FJ35))</f>
        <v>11</v>
      </c>
      <c r="FL35" s="129">
        <f t="shared" si="67"/>
        <v>1800003347</v>
      </c>
      <c r="FM35">
        <f>FM34+IF(AND(FL35&lt;&gt;"",COUNTIF(FL$4:FL35,FL35)=1),1,0)</f>
        <v>32</v>
      </c>
      <c r="FN35" t="e">
        <f t="shared" si="68"/>
        <v>#N/A</v>
      </c>
      <c r="FO35" t="str">
        <f>IF('Final Calculation Sheet'!$AH$35="","",'Final Calculation Sheet'!$AH$35)</f>
        <v>20.08.2026</v>
      </c>
      <c r="FP35">
        <f>IF(FO35="","",COUNTIFS(FO$4:FO$40,"&lt;"&amp;FO35,FO$4:FO$40,"&lt;&gt;"&amp;"")+COUNTIF(FO$4:FO35,FO35))</f>
        <v>16</v>
      </c>
      <c r="FQ35" t="str">
        <f t="shared" si="69"/>
        <v>27.08.2026</v>
      </c>
      <c r="FR35" t="e">
        <f>FR34+IF(AND(FQ35&lt;&gt;"",COUNTIF(FQ$4:FQ35,FQ35)=1),1,0)</f>
        <v>#N/A</v>
      </c>
      <c r="FS35" t="e">
        <f t="shared" si="70"/>
        <v>#N/A</v>
      </c>
      <c r="FU35" t="str">
        <f>IF(FT35="","",COUNTIFS(FT$4:FT$40,"&lt;"&amp;FT35,FT$4:FT$40,"&lt;&gt;"&amp;"")+COUNTIF(FT$4:FT35,FT35))</f>
        <v/>
      </c>
      <c r="FV35" t="str">
        <f t="shared" si="71"/>
        <v/>
      </c>
      <c r="FW35">
        <f>FW34+IF(AND(FV35&lt;&gt;"",COUNTIF(FV$4:FV35,FV35)=1),1,0)</f>
        <v>2</v>
      </c>
      <c r="FX35" t="str">
        <f t="shared" si="72"/>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5" t="b">
        <f>IF($Y$35="",FALSE,SUMPRODUCT(('Final Calculation Sheet'!$B$4:$B$40=$Y$35)*($FY$6:$FY$42=1))&gt;0)</f>
        <v>0</v>
      </c>
      <c r="GA35">
        <f>$GA$34+--($FZ$35)</f>
        <v>25</v>
      </c>
      <c r="GB35" t="str">
        <f t="shared" si="73"/>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D35" t="b">
        <f>IF($O$35="",FALSE,SUMPRODUCT(('Final Calculation Sheet'!$F$4:$F$40=$O$35)*($GC$6:$GC$42=1))&gt;0)</f>
        <v>1</v>
      </c>
      <c r="GE35">
        <f>$GE$34+--($GD35)</f>
        <v>32</v>
      </c>
      <c r="GF35">
        <f t="shared" si="74"/>
        <v>2067</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H35" t="b">
        <f>IF($T$35="",FALSE,SUMPRODUCT(('Final Calculation Sheet'!$G$4:$G$40=$T$35)*($GG$6:$GG$42=1))&gt;0)</f>
        <v>0</v>
      </c>
      <c r="GI35">
        <f>$GI$34+--($GH35)</f>
        <v>13</v>
      </c>
      <c r="GJ35" t="str">
        <f t="shared" si="75"/>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L35" t="b">
        <f>IF($AD$35="",FALSE,SUMPRODUCT(('Final Calculation Sheet'!$D$4:$D$40=$AD$35)*($GK$6:$GK$42=1))&gt;0)</f>
        <v>0</v>
      </c>
      <c r="GM35">
        <f>$GM$34+--($GL35)</f>
        <v>4</v>
      </c>
      <c r="GN35" t="str">
        <f t="shared" si="76"/>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P35" t="b">
        <f>IF($AI$35="",FALSE,SUMPRODUCT(('Final Calculation Sheet'!$A$4:$A$40=$AI$35)*($GO$6:$GO$42=1))&gt;0)</f>
        <v>0</v>
      </c>
      <c r="GQ35">
        <f>$GQ$34+--($GP35)</f>
        <v>22</v>
      </c>
      <c r="GR35" t="str">
        <f t="shared" si="77"/>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T35" t="b">
        <f>IF($AN$35="",FALSE,SUMPRODUCT(('Final Calculation Sheet'!$E$4:$E$40=$AN$35)*($GS$6:$GS$42=1))&gt;0)</f>
        <v>0</v>
      </c>
      <c r="GU35">
        <f>$GU$34+--($GT35)</f>
        <v>3</v>
      </c>
      <c r="GV35" t="str">
        <f t="shared" si="78"/>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GX35" t="b">
        <f>IF($AS$35="",FALSE,SUMPRODUCT(('Final Calculation Sheet'!$C$4:$C$40=$AS$35)*($GW$6:$GW$42=1))&gt;0)</f>
        <v>1</v>
      </c>
      <c r="GY35">
        <f>$GY$34+--($GX35)</f>
        <v>32</v>
      </c>
      <c r="GZ35">
        <f t="shared" si="79"/>
        <v>210001</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B35" t="b">
        <f>IF($AX$35="",FALSE,SUMPRODUCT(('Final Calculation Sheet'!$H$4:$H$40=$AX$35)*($HA$6:$HA$42=1))&gt;0)</f>
        <v>1</v>
      </c>
      <c r="HC35">
        <f>$HC$34+--($HB35)</f>
        <v>32</v>
      </c>
      <c r="HD35">
        <f t="shared" si="80"/>
        <v>549400</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F35" t="b">
        <f>IF($BC$35="",FALSE,SUMPRODUCT(('Final Calculation Sheet'!$I$4:$I$40=$BC$35)*($HE$6:$HE$42=1))&gt;0)</f>
        <v>1</v>
      </c>
      <c r="HG35">
        <f>$HG$34+--($HF35)</f>
        <v>32</v>
      </c>
      <c r="HH35">
        <f t="shared" si="81"/>
        <v>98892</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J35" t="b">
        <f>IF($BH$35="",FALSE,SUMPRODUCT(('Final Calculation Sheet'!$J$4:$J$40=$BH$35)*($HI$6:$HI$42=1))&gt;0)</f>
        <v>1</v>
      </c>
      <c r="HK35">
        <f>$HK$34+--($HJ35)</f>
        <v>32</v>
      </c>
      <c r="HL35">
        <f t="shared" si="82"/>
        <v>648292</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N35" t="b">
        <f>IF($BM$35="",FALSE,SUMPRODUCT(('Final Calculation Sheet'!$K$4:$K$40=$BM$35)*($HM$6:$HM$42=1))&gt;0)</f>
        <v>1</v>
      </c>
      <c r="HO35">
        <f>$HO$34+--($HN35)</f>
        <v>32</v>
      </c>
      <c r="HP35">
        <f t="shared" si="83"/>
        <v>18646</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R35" t="b">
        <f>IF($BR$35="",FALSE,SUMPRODUCT(('Final Calculation Sheet'!$L$4:$L$40=$BR$35)*($HQ$6:$HQ$42=1))&gt;0)</f>
        <v>1</v>
      </c>
      <c r="HS35">
        <f>$HS$34+--($HR35)</f>
        <v>32</v>
      </c>
      <c r="HT35">
        <f t="shared" si="84"/>
        <v>549.4</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V35" t="b">
        <f>IF($BW$35="",FALSE,SUMPRODUCT(('Final Calculation Sheet'!$M$4:$M$40=$BW$35)*($HU$6:$HU$42=1))&gt;0)</f>
        <v>1</v>
      </c>
      <c r="HW35">
        <f>$HW$34+--($HV35)</f>
        <v>32</v>
      </c>
      <c r="HX35">
        <f t="shared" si="85"/>
        <v>14586.57</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HZ35" t="b">
        <f>IF($CB$35="",FALSE,SUMPRODUCT(('Final Calculation Sheet'!$N$4:$N$40=$CB$35)*($HY$6:$HY$42=1))&gt;0)</f>
        <v>1</v>
      </c>
      <c r="IA35">
        <f>$IA$34+--($HZ35)</f>
        <v>32</v>
      </c>
      <c r="IB35">
        <f t="shared" si="86"/>
        <v>247.23000000000002</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D35" t="b">
        <f>IF($CG$35="",FALSE,SUMPRODUCT(('Final Calculation Sheet'!$O$4:$O$40=$CG$35)*($IC$6:$IC$42=1))&gt;0)</f>
        <v>1</v>
      </c>
      <c r="IE35">
        <f>$IE$34+--($ID35)</f>
        <v>32</v>
      </c>
      <c r="IF35">
        <f t="shared" si="87"/>
        <v>14339.34</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H35" t="b">
        <f>IF($CL$35="",FALSE,SUMPRODUCT(('Final Calculation Sheet'!$P$4:$P$40=$CL$35)*($IG$6:$IG$42=1))&gt;0)</f>
        <v>1</v>
      </c>
      <c r="II35">
        <f>$II$34+--($IH35)</f>
        <v>32</v>
      </c>
      <c r="IJ35">
        <f t="shared" si="88"/>
        <v>21411</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L35" t="b">
        <f>IF($CQ$35="",FALSE,SUMPRODUCT(('Final Calculation Sheet'!$Q$4:$Q$40=$CQ$35)*($IK$6:$IK$42=1))&gt;0)</f>
        <v>0</v>
      </c>
      <c r="IM35">
        <f>$IM$34+--($IL35)</f>
        <v>2</v>
      </c>
      <c r="IN35" t="str">
        <f t="shared" si="89"/>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P35" t="b">
        <f>IF($CV$35="",FALSE,SUMPRODUCT(('Final Calculation Sheet'!$R$4:$R$40=$CV$35)*($IO$6:$IO$42=1))&gt;0)</f>
        <v>0</v>
      </c>
      <c r="IQ35">
        <f>$IQ$34+--($IP35)</f>
        <v>5</v>
      </c>
      <c r="IR35" t="str">
        <f t="shared" si="90"/>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T35" t="b">
        <f>IF($DA$35="",FALSE,SUMPRODUCT(('Final Calculation Sheet'!$S$4:$S$40=$DA$35)*($IS$6:$IS$42=1))&gt;0)</f>
        <v>1</v>
      </c>
      <c r="IU35">
        <f>$IU$34+--($IT35)</f>
        <v>32</v>
      </c>
      <c r="IV35">
        <f t="shared" si="91"/>
        <v>635381</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IX35" t="b">
        <f>IF($DF$35="",FALSE,SUMPRODUCT(('Final Calculation Sheet'!$T$4:$T$40=$DF$35)*($IW$6:$IW$42=1))&gt;0)</f>
        <v>1</v>
      </c>
      <c r="IY35">
        <f>$IY$34+--($IX35)</f>
        <v>32</v>
      </c>
      <c r="IZ35">
        <f t="shared" si="92"/>
        <v>137350</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B35" t="b">
        <f>IF($DK$35="",FALSE,SUMPRODUCT(('Final Calculation Sheet'!$U$4:$U$40=$DK$35)*($JA$6:$JA$42=1))&gt;0)</f>
        <v>1</v>
      </c>
      <c r="JC35">
        <f>$JC$34+--($JB35)</f>
        <v>32</v>
      </c>
      <c r="JD35">
        <f t="shared" si="93"/>
        <v>137350</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F35" t="b">
        <f>IF($DP$35="",FALSE,SUMPRODUCT(('Final Calculation Sheet'!$V$4:$V$40=$DP$35)*($JE$6:$JE$42=1))&gt;0)</f>
        <v>0</v>
      </c>
      <c r="JG35">
        <f>$JG$34+--($JF35)</f>
        <v>6</v>
      </c>
      <c r="JH35" t="str">
        <f t="shared" si="94"/>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J35" t="b">
        <f>IF($DU$35="",FALSE,SUMPRODUCT(('Final Calculation Sheet'!$W$4:$W$40=$DU$35)*($JI$6:$JI$42=1))&gt;0)</f>
        <v>1</v>
      </c>
      <c r="JK35">
        <f>$JK$34+--($JJ35)</f>
        <v>32</v>
      </c>
      <c r="JL35">
        <f t="shared" si="95"/>
        <v>498031</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N35" t="e">
        <f>IF($DZ$35="",FALSE,SUMPRODUCT(('Final Calculation Sheet'!$X$4:$X$40=$DZ$35)*($JM$6:$JM$42=1))&gt;0)</f>
        <v>#N/A</v>
      </c>
      <c r="JO35" t="e">
        <f>$JO$34+--($JN35)</f>
        <v>#N/A</v>
      </c>
      <c r="JP35" t="e">
        <f t="shared" si="96"/>
        <v>#N/A</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R35" t="e">
        <f>IF($EE$35="",FALSE,SUMPRODUCT(('Final Calculation Sheet'!$Y$4:$Y$40=$EE$35)*($JQ$6:$JQ$42=1))&gt;0)</f>
        <v>#N/A</v>
      </c>
      <c r="JS35" t="e">
        <f>$JS$34+--($JR35)</f>
        <v>#N/A</v>
      </c>
      <c r="JT35" t="e">
        <f t="shared" si="97"/>
        <v>#N/A</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V35" t="b">
        <f ca="1">IF($EJ$35="",FALSE,SUMPRODUCT(('Final Calculation Sheet'!$Z$4:$Z$40=$EJ$35)*($JU$6:$JU$42=1))&gt;0)</f>
        <v>1</v>
      </c>
      <c r="JW35">
        <f ca="1">$JW$34+--($JV35)</f>
        <v>32</v>
      </c>
      <c r="JX35">
        <f t="shared" ca="1" si="98"/>
        <v>19448.760000000002</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JZ35" t="e">
        <f>IF($EO$35="",FALSE,SUMPRODUCT(('Final Calculation Sheet'!$AA$4:$AA$40=$EO$35)*($JY$6:$JY$42=1))&gt;0)</f>
        <v>#N/A</v>
      </c>
      <c r="KA35" t="e">
        <f>$KA$34+--($JZ35)</f>
        <v>#N/A</v>
      </c>
      <c r="KB35" t="e">
        <f t="shared" si="99"/>
        <v>#N/A</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D35" t="e">
        <f>IF($ET$35="",FALSE,SUMPRODUCT(('Final Calculation Sheet'!$AB$4:$AB$40=$ET$35)*($KC$6:$KC$42=1))&gt;0)</f>
        <v>#N/A</v>
      </c>
      <c r="KE35" t="e">
        <f>$KE$34+--($KD35)</f>
        <v>#N/A</v>
      </c>
      <c r="KF35" t="e">
        <f t="shared" si="100"/>
        <v>#N/A</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H35" t="b">
        <f>IF($EY$35="",FALSE,SUMPRODUCT(('Final Calculation Sheet'!$AC$4:$AC$40=$EY$35)*($KG$6:$KG$42=1))&gt;0)</f>
        <v>1</v>
      </c>
      <c r="KI35">
        <f>$KI$34+--($KH35)</f>
        <v>32</v>
      </c>
      <c r="KJ35">
        <f t="shared" si="101"/>
        <v>608251</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L35" t="b">
        <f>IF($FD$35="",FALSE,SUMPRODUCT(('Final Calculation Sheet'!$AD$4:$AD$40=$FD$35)*($KK$6:$KK$42=1))&gt;0)</f>
        <v>0</v>
      </c>
      <c r="KM35">
        <f>$KM$34+--($KL35)</f>
        <v>11</v>
      </c>
      <c r="KN35" t="str">
        <f t="shared" si="102"/>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P35" t="b">
        <f>IF($FX$35="",FALSE,SUMPRODUCT((IF('Final Calculation Sheet'!$AD$4:$AD$40&lt;=5,"SETTLED","OUTSTANDING")=$FX$35)*($KO$6:$KO$42=1))&gt;0)</f>
        <v>0</v>
      </c>
      <c r="KQ35">
        <f>$KQ$34+--($KP35)</f>
        <v>1</v>
      </c>
      <c r="KR35" t="str">
        <f t="shared" si="103"/>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T35" t="e">
        <f>IF($FI$35="",FALSE,SUMPRODUCT(('Final Calculation Sheet'!$AF$4:$AF$40=$FI$35)*($KS$6:$KS$42=1))&gt;0)</f>
        <v>#N/A</v>
      </c>
      <c r="KU35" t="e">
        <f>$KU$34+--($KT35)</f>
        <v>#N/A</v>
      </c>
      <c r="KV35" t="e">
        <f t="shared" si="104"/>
        <v>#N/A</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KX35" t="e">
        <f>IF($FN$35="",FALSE,SUMPRODUCT(('Final Calculation Sheet'!$AG$4:$AG$40=$FN$35)*($KW$6:$KW$42=1))&gt;0)</f>
        <v>#N/A</v>
      </c>
      <c r="KY35" t="e">
        <f>$KY$34+--($KX35)</f>
        <v>#N/A</v>
      </c>
      <c r="KZ35" t="e">
        <f t="shared" si="105"/>
        <v>#N/A</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LB35" t="e">
        <f>IF($FS$35="",FALSE,SUMPRODUCT(('Final Calculation Sheet'!$AH$4:$AH$40=$FS$35)*($LA$6:$LA$42=1))&gt;0)</f>
        <v>#N/A</v>
      </c>
      <c r="LC35" t="e">
        <f>$LC$34+--($LB35)</f>
        <v>#N/A</v>
      </c>
      <c r="LD35" t="e">
        <f t="shared" si="106"/>
        <v>#N/A</v>
      </c>
      <c r="LE35">
        <f>IF(COUNTIF('Buyer Groups'!DH35:EN35,0)&gt;0,0,1)</f>
        <v>1</v>
      </c>
      <c r="LF35" t="b">
        <f>IF($O$35="",FALSE,SUMPRODUCT(('Final Calculation Sheet'!$F$4:$F$40=$O$35)*($LE$6:$LE$42=1))&gt;0)</f>
        <v>1</v>
      </c>
      <c r="LG35">
        <f>$LG$34+--($LF35)</f>
        <v>32</v>
      </c>
      <c r="LH35">
        <f t="shared" si="107"/>
        <v>2067</v>
      </c>
      <c r="LI35">
        <f>IF(COUNTIF('Buyer Groups'!DG35:DG35,0)+COUNTIF('Buyer Groups'!DI35:EN35,0)&gt;0,0,1)</f>
        <v>1</v>
      </c>
      <c r="LJ35" t="b">
        <f>IF($T$35="",FALSE,SUMPRODUCT(('Final Calculation Sheet'!$G$4:$G$40=$T$35)*($LI$6:$LI$42=1))&gt;0)</f>
        <v>0</v>
      </c>
      <c r="LK35">
        <f>$LK$34+--($LJ35)</f>
        <v>13</v>
      </c>
      <c r="LL35" t="str">
        <f t="shared" si="108"/>
        <v/>
      </c>
      <c r="LM35">
        <f>IF(COUNTIF('Buyer Groups'!DG35:DH35,0)+COUNTIF('Buyer Groups'!DJ35:EN35,0)&gt;0,0,1)</f>
        <v>1</v>
      </c>
      <c r="LN35" t="b">
        <f>IF($Y$35="",FALSE,SUMPRODUCT(('Final Calculation Sheet'!$B$4:$B$40=$Y$35)*($LM$6:$LM$42=1))&gt;0)</f>
        <v>0</v>
      </c>
      <c r="LO35">
        <f>$LO$34+--($LN35)</f>
        <v>25</v>
      </c>
      <c r="LP35" t="str">
        <f t="shared" si="109"/>
        <v/>
      </c>
      <c r="LQ35">
        <f>IF(COUNTIF('Buyer Groups'!DG35:DI35,0)+COUNTIF('Buyer Groups'!DK35:EN35,0)&gt;0,0,1)</f>
        <v>1</v>
      </c>
      <c r="LR35" t="b">
        <f>IF($AD$35="",FALSE,SUMPRODUCT(('Final Calculation Sheet'!$D$4:$D$40=$AD$35)*($LQ$6:$LQ$42=1))&gt;0)</f>
        <v>0</v>
      </c>
      <c r="LS35">
        <f>$LS$34+--($LR35)</f>
        <v>4</v>
      </c>
      <c r="LT35" t="str">
        <f t="shared" si="110"/>
        <v/>
      </c>
      <c r="LU35">
        <f>IF(COUNTIF('Buyer Groups'!DG35:DJ35,0)+COUNTIF('Buyer Groups'!DL35:EN35,0)&gt;0,0,1)</f>
        <v>1</v>
      </c>
      <c r="LV35" t="b">
        <f>IF($AI$35="",FALSE,SUMPRODUCT(('Final Calculation Sheet'!$A$4:$A$40=$AI$35)*($LU$6:$LU$42=1))&gt;0)</f>
        <v>0</v>
      </c>
      <c r="LW35">
        <f>$LW$34+--($LV35)</f>
        <v>22</v>
      </c>
      <c r="LX35" t="str">
        <f t="shared" si="111"/>
        <v/>
      </c>
      <c r="LY35">
        <f>IF(COUNTIF('Buyer Groups'!DG35:DK35,0)+COUNTIF('Buyer Groups'!DM35:EN35,0)&gt;0,0,1)</f>
        <v>1</v>
      </c>
      <c r="LZ35" t="b">
        <f>IF($AN$35="",FALSE,SUMPRODUCT(('Final Calculation Sheet'!$E$4:$E$40=$AN$35)*($LY$6:$LY$42=1))&gt;0)</f>
        <v>0</v>
      </c>
      <c r="MA35">
        <f>$MA$34+--($LZ35)</f>
        <v>3</v>
      </c>
      <c r="MB35" t="str">
        <f t="shared" si="112"/>
        <v/>
      </c>
      <c r="MC35">
        <f>IF(COUNTIF('Buyer Groups'!DG35:DL35,0)+COUNTIF('Buyer Groups'!DN35:EN35,0)&gt;0,0,1)</f>
        <v>1</v>
      </c>
      <c r="MD35" t="b">
        <f>IF($AS$35="",FALSE,SUMPRODUCT(('Final Calculation Sheet'!$C$4:$C$40=$AS$35)*($MC$6:$MC$42=1))&gt;0)</f>
        <v>1</v>
      </c>
      <c r="ME35">
        <f>$ME$34+--($MD35)</f>
        <v>32</v>
      </c>
      <c r="MF35">
        <f t="shared" si="113"/>
        <v>210001</v>
      </c>
      <c r="MG35">
        <f>IF(COUNTIF('Buyer Groups'!DG35:DM35,0)+COUNTIF('Buyer Groups'!DO35:EN35,0)&gt;0,0,1)</f>
        <v>1</v>
      </c>
      <c r="MH35" t="b">
        <f>IF($AX$35="",FALSE,SUMPRODUCT(('Final Calculation Sheet'!$H$4:$H$40=$AX$35)*($MG$6:$MG$42=1))&gt;0)</f>
        <v>1</v>
      </c>
      <c r="MI35">
        <f>$MI$34+--($MH35)</f>
        <v>32</v>
      </c>
      <c r="MJ35">
        <f t="shared" si="114"/>
        <v>549400</v>
      </c>
      <c r="MK35">
        <f>IF(COUNTIF('Buyer Groups'!DG35:DN35,0)+COUNTIF('Buyer Groups'!DP35:EN35,0)&gt;0,0,1)</f>
        <v>1</v>
      </c>
      <c r="ML35" t="b">
        <f>IF($BC$35="",FALSE,SUMPRODUCT(('Final Calculation Sheet'!$I$4:$I$40=$BC$35)*($MK$6:$MK$42=1))&gt;0)</f>
        <v>1</v>
      </c>
      <c r="MM35">
        <f>$MM$34+--($ML35)</f>
        <v>32</v>
      </c>
      <c r="MN35">
        <f t="shared" si="115"/>
        <v>98892</v>
      </c>
      <c r="MO35">
        <f>IF(COUNTIF('Buyer Groups'!DG35:DO35,0)+COUNTIF('Buyer Groups'!DQ35:EN35,0)&gt;0,0,1)</f>
        <v>1</v>
      </c>
      <c r="MP35" t="b">
        <f>IF($BH$35="",FALSE,SUMPRODUCT(('Final Calculation Sheet'!$J$4:$J$40=$BH$35)*($MO$6:$MO$42=1))&gt;0)</f>
        <v>1</v>
      </c>
      <c r="MQ35">
        <f>$MQ$34+--($MP35)</f>
        <v>32</v>
      </c>
      <c r="MR35">
        <f t="shared" si="116"/>
        <v>648292</v>
      </c>
      <c r="MS35">
        <f>IF(COUNTIF('Buyer Groups'!DG35:DP35,0)+COUNTIF('Buyer Groups'!DR35:EN35,0)&gt;0,0,1)</f>
        <v>1</v>
      </c>
      <c r="MT35" t="b">
        <f>IF($BM$35="",FALSE,SUMPRODUCT(('Final Calculation Sheet'!$K$4:$K$40=$BM$35)*($MS$6:$MS$42=1))&gt;0)</f>
        <v>1</v>
      </c>
      <c r="MU35">
        <f>$MU$34+--($MT35)</f>
        <v>32</v>
      </c>
      <c r="MV35">
        <f t="shared" si="117"/>
        <v>18646</v>
      </c>
      <c r="MW35">
        <f>IF(COUNTIF('Buyer Groups'!DG35:DQ35,0)+COUNTIF('Buyer Groups'!DS35:EN35,0)&gt;0,0,1)</f>
        <v>1</v>
      </c>
      <c r="MX35" t="b">
        <f>IF($BR$35="",FALSE,SUMPRODUCT(('Final Calculation Sheet'!$L$4:$L$40=$BR$35)*($MW$6:$MW$42=1))&gt;0)</f>
        <v>1</v>
      </c>
      <c r="MY35">
        <f>$MY$34+--($MX35)</f>
        <v>32</v>
      </c>
      <c r="MZ35">
        <f t="shared" si="118"/>
        <v>549.4</v>
      </c>
      <c r="NA35">
        <f>IF(COUNTIF('Buyer Groups'!DG35:DR35,0)+COUNTIF('Buyer Groups'!DT35:EN35,0)&gt;0,0,1)</f>
        <v>1</v>
      </c>
      <c r="NB35" t="b">
        <f>IF($BW$35="",FALSE,SUMPRODUCT(('Final Calculation Sheet'!$M$4:$M$40=$BW$35)*($NA$6:$NA$42=1))&gt;0)</f>
        <v>1</v>
      </c>
      <c r="NC35">
        <f>$NC$34+--($NB35)</f>
        <v>32</v>
      </c>
      <c r="ND35">
        <f t="shared" si="119"/>
        <v>14586.57</v>
      </c>
      <c r="NE35">
        <f>IF(COUNTIF('Buyer Groups'!DG35:DS35,0)+COUNTIF('Buyer Groups'!DU35:EN35,0)&gt;0,0,1)</f>
        <v>1</v>
      </c>
      <c r="NF35" t="b">
        <f>IF($CB$35="",FALSE,SUMPRODUCT(('Final Calculation Sheet'!$N$4:$N$40=$CB$35)*($NE$6:$NE$42=1))&gt;0)</f>
        <v>1</v>
      </c>
      <c r="NG35">
        <f>$NG$34+--($NF35)</f>
        <v>32</v>
      </c>
      <c r="NH35">
        <f t="shared" si="120"/>
        <v>247.23000000000002</v>
      </c>
      <c r="NI35">
        <f>IF(COUNTIF('Buyer Groups'!DG35:DT35,0)+COUNTIF('Buyer Groups'!DV35:EN35,0)&gt;0,0,1)</f>
        <v>1</v>
      </c>
      <c r="NJ35" t="b">
        <f>IF($CG$35="",FALSE,SUMPRODUCT(('Final Calculation Sheet'!$O$4:$O$40=$CG$35)*($NI$6:$NI$42=1))&gt;0)</f>
        <v>1</v>
      </c>
      <c r="NK35">
        <f>$NK$34+--($NJ35)</f>
        <v>32</v>
      </c>
      <c r="NL35">
        <f t="shared" si="121"/>
        <v>14339.34</v>
      </c>
      <c r="NM35">
        <f>IF(COUNTIF('Buyer Groups'!DG35:DU35,0)+COUNTIF('Buyer Groups'!DW35:EN35,0)&gt;0,0,1)</f>
        <v>1</v>
      </c>
      <c r="NN35" t="b">
        <f>IF($CL$35="",FALSE,SUMPRODUCT(('Final Calculation Sheet'!$P$4:$P$40=$CL$35)*($NM$6:$NM$42=1))&gt;0)</f>
        <v>1</v>
      </c>
      <c r="NO35">
        <f>$NO$34+--($NN35)</f>
        <v>32</v>
      </c>
      <c r="NP35">
        <f t="shared" si="122"/>
        <v>21411</v>
      </c>
      <c r="NQ35">
        <f>IF(COUNTIF('Buyer Groups'!DG35:DV35,0)+COUNTIF('Buyer Groups'!DX35:EN35,0)&gt;0,0,1)</f>
        <v>1</v>
      </c>
      <c r="NR35" t="b">
        <f>IF($CQ$35="",FALSE,SUMPRODUCT(('Final Calculation Sheet'!$Q$4:$Q$40=$CQ$35)*($NQ$6:$NQ$42=1))&gt;0)</f>
        <v>0</v>
      </c>
      <c r="NS35">
        <f>$NS$34+--($NR35)</f>
        <v>2</v>
      </c>
      <c r="NT35" t="str">
        <f t="shared" si="123"/>
        <v/>
      </c>
      <c r="NU35">
        <f>IF(COUNTIF('Buyer Groups'!DG35:DW35,0)+COUNTIF('Buyer Groups'!DY35:EN35,0)&gt;0,0,1)</f>
        <v>1</v>
      </c>
      <c r="NV35" t="b">
        <f>IF($CV$35="",FALSE,SUMPRODUCT(('Final Calculation Sheet'!$R$4:$R$40=$CV$35)*($NU$6:$NU$42=1))&gt;0)</f>
        <v>0</v>
      </c>
      <c r="NW35">
        <f>$NW$34+--($NV35)</f>
        <v>5</v>
      </c>
      <c r="NX35" t="str">
        <f t="shared" si="124"/>
        <v/>
      </c>
      <c r="NY35">
        <f>IF(COUNTIF('Buyer Groups'!DG35:DX35,0)+COUNTIF('Buyer Groups'!DZ35:EN35,0)&gt;0,0,1)</f>
        <v>1</v>
      </c>
      <c r="NZ35" t="b">
        <f>IF($DA$35="",FALSE,SUMPRODUCT(('Final Calculation Sheet'!$S$4:$S$40=$DA$35)*($NY$6:$NY$42=1))&gt;0)</f>
        <v>1</v>
      </c>
      <c r="OA35">
        <f>$OA$34+--($NZ35)</f>
        <v>32</v>
      </c>
      <c r="OB35">
        <f t="shared" si="125"/>
        <v>635381</v>
      </c>
      <c r="OC35">
        <f>IF(COUNTIF('Buyer Groups'!DG35:DY35,0)+COUNTIF('Buyer Groups'!EA35:EN35,0)&gt;0,0,1)</f>
        <v>1</v>
      </c>
      <c r="OD35" t="b">
        <f>IF($DF$35="",FALSE,SUMPRODUCT(('Final Calculation Sheet'!$T$4:$T$40=$DF$35)*($OC$6:$OC$42=1))&gt;0)</f>
        <v>1</v>
      </c>
      <c r="OE35">
        <f>$OE$34+--($OD35)</f>
        <v>32</v>
      </c>
      <c r="OF35">
        <f t="shared" si="126"/>
        <v>137350</v>
      </c>
      <c r="OG35">
        <f>IF(COUNTIF('Buyer Groups'!DG35:DZ35,0)+COUNTIF('Buyer Groups'!EB35:EN35,0)&gt;0,0,1)</f>
        <v>1</v>
      </c>
      <c r="OH35" t="b">
        <f>IF($DK$35="",FALSE,SUMPRODUCT(('Final Calculation Sheet'!$U$4:$U$40=$DK$35)*($OG$6:$OG$42=1))&gt;0)</f>
        <v>1</v>
      </c>
      <c r="OI35">
        <f>$OI$34+--($OH35)</f>
        <v>32</v>
      </c>
      <c r="OJ35">
        <f t="shared" si="127"/>
        <v>137350</v>
      </c>
      <c r="OK35">
        <f>IF(COUNTIF('Buyer Groups'!DG35:EA35,0)+COUNTIF('Buyer Groups'!EC35:EN35,0)&gt;0,0,1)</f>
        <v>1</v>
      </c>
      <c r="OL35" t="b">
        <f>IF($DP$35="",FALSE,SUMPRODUCT(('Final Calculation Sheet'!$V$4:$V$40=$DP$35)*($OK$6:$OK$42=1))&gt;0)</f>
        <v>0</v>
      </c>
      <c r="OM35">
        <f>$OM$34+--($OL35)</f>
        <v>6</v>
      </c>
      <c r="ON35" t="str">
        <f t="shared" si="128"/>
        <v/>
      </c>
      <c r="OO35">
        <f>IF(COUNTIF('Buyer Groups'!DG35:EB35,0)+COUNTIF('Buyer Groups'!ED35:EN35,0)&gt;0,0,1)</f>
        <v>1</v>
      </c>
      <c r="OP35" t="b">
        <f>IF($DU$35="",FALSE,SUMPRODUCT(('Final Calculation Sheet'!$W$4:$W$40=$DU$35)*($OO$6:$OO$42=1))&gt;0)</f>
        <v>1</v>
      </c>
      <c r="OQ35">
        <f>$OQ$34+--($OP35)</f>
        <v>32</v>
      </c>
      <c r="OR35">
        <f t="shared" si="129"/>
        <v>498031</v>
      </c>
      <c r="OS35">
        <f>IF(COUNTIF('Buyer Groups'!DG35:EC35,0)+COUNTIF('Buyer Groups'!EE35:EN35,0)&gt;0,0,1)</f>
        <v>1</v>
      </c>
      <c r="OT35" t="e">
        <f>IF($DZ$35="",FALSE,SUMPRODUCT(('Final Calculation Sheet'!$X$4:$X$40=$DZ$35)*($OS$6:$OS$42=1))&gt;0)</f>
        <v>#N/A</v>
      </c>
      <c r="OU35" t="e">
        <f>$OU$34+--($OT35)</f>
        <v>#N/A</v>
      </c>
      <c r="OV35" t="e">
        <f t="shared" si="130"/>
        <v>#N/A</v>
      </c>
      <c r="OW35">
        <f>IF(COUNTIF('Buyer Groups'!DG35:ED35,0)+COUNTIF('Buyer Groups'!EF35:EN35,0)&gt;0,0,1)</f>
        <v>1</v>
      </c>
      <c r="OX35" t="e">
        <f>IF($EE$35="",FALSE,SUMPRODUCT(('Final Calculation Sheet'!$Y$4:$Y$40=$EE$35)*($OW$6:$OW$42=1))&gt;0)</f>
        <v>#N/A</v>
      </c>
      <c r="OY35" t="e">
        <f>$OY$34+--($OX35)</f>
        <v>#N/A</v>
      </c>
      <c r="OZ35" t="e">
        <f t="shared" si="131"/>
        <v>#N/A</v>
      </c>
      <c r="PA35">
        <f>IF(COUNTIF('Buyer Groups'!DG35:EE35,0)+COUNTIF('Buyer Groups'!EG35:EN35,0)&gt;0,0,1)</f>
        <v>1</v>
      </c>
      <c r="PB35" t="b">
        <f ca="1">IF($EJ$35="",FALSE,SUMPRODUCT(('Final Calculation Sheet'!$Z$4:$Z$40=$EJ$35)*($PA$6:$PA$42=1))&gt;0)</f>
        <v>1</v>
      </c>
      <c r="PC35">
        <f ca="1">$PC$34+--($PB35)</f>
        <v>32</v>
      </c>
      <c r="PD35">
        <f t="shared" ca="1" si="132"/>
        <v>19448.760000000002</v>
      </c>
      <c r="PE35">
        <f>IF(COUNTIF('Buyer Groups'!DG35:EF35,0)+COUNTIF('Buyer Groups'!EH35:EN35,0)&gt;0,0,1)</f>
        <v>1</v>
      </c>
      <c r="PF35" t="e">
        <f>IF($EO$35="",FALSE,SUMPRODUCT(('Final Calculation Sheet'!$AA$4:$AA$40=$EO$35)*($PE$6:$PE$42=1))&gt;0)</f>
        <v>#N/A</v>
      </c>
      <c r="PG35" t="e">
        <f>$PG$34+--($PF35)</f>
        <v>#N/A</v>
      </c>
      <c r="PH35" t="e">
        <f t="shared" si="133"/>
        <v>#N/A</v>
      </c>
      <c r="PI35">
        <f>IF(COUNTIF('Buyer Groups'!DG35:EG35,0)+COUNTIF('Buyer Groups'!EI35:EN35,0)&gt;0,0,1)</f>
        <v>1</v>
      </c>
      <c r="PJ35" t="e">
        <f>IF($ET$35="",FALSE,SUMPRODUCT(('Final Calculation Sheet'!$AB$4:$AB$40=$ET$35)*($PI$6:$PI$42=1))&gt;0)</f>
        <v>#N/A</v>
      </c>
      <c r="PK35" t="e">
        <f>$PK$34+--($PJ35)</f>
        <v>#N/A</v>
      </c>
      <c r="PL35" t="e">
        <f t="shared" si="134"/>
        <v>#N/A</v>
      </c>
      <c r="PM35">
        <f>IF(COUNTIF('Buyer Groups'!DG35:EH35,0)+COUNTIF('Buyer Groups'!EJ35:EN35,0)&gt;0,0,1)</f>
        <v>1</v>
      </c>
      <c r="PN35" t="b">
        <f>IF($EY$35="",FALSE,SUMPRODUCT(('Final Calculation Sheet'!$AC$4:$AC$40=$EY$35)*($PM$6:$PM$42=1))&gt;0)</f>
        <v>1</v>
      </c>
      <c r="PO35">
        <f>$PO$34+--($PN35)</f>
        <v>32</v>
      </c>
      <c r="PP35">
        <f t="shared" si="135"/>
        <v>608251</v>
      </c>
      <c r="PQ35">
        <f>IF(COUNTIF('Buyer Groups'!DG35:EI35,0)+COUNTIF('Buyer Groups'!EK35:EN35,0)&gt;0,0,1)</f>
        <v>1</v>
      </c>
      <c r="PR35" t="b">
        <f>IF($FD$35="",FALSE,SUMPRODUCT(('Final Calculation Sheet'!$AD$4:$AD$40=$FD$35)*($PQ$6:$PQ$42=1))&gt;0)</f>
        <v>0</v>
      </c>
      <c r="PS35">
        <f>$PS$34+--($PR35)</f>
        <v>11</v>
      </c>
      <c r="PT35" t="str">
        <f t="shared" si="136"/>
        <v/>
      </c>
      <c r="PU35">
        <f>IF(COUNTIF('Buyer Groups'!DG35:EJ35,0)+COUNTIF('Buyer Groups'!EL35:EN35,0)&gt;0,0,1)</f>
        <v>1</v>
      </c>
      <c r="PV35" t="b">
        <f>IF($FX$35="",FALSE,SUMPRODUCT((IF('Final Calculation Sheet'!$AD$4:$AD$40&lt;=5,"SETTLED","OUTSTANDING")=$FX$35)*($PU$6:$PU$42=1))&gt;0)</f>
        <v>0</v>
      </c>
      <c r="PW35">
        <f>$PW$34+--($PV35)</f>
        <v>1</v>
      </c>
      <c r="PX35" t="str">
        <f t="shared" si="137"/>
        <v/>
      </c>
      <c r="PY35">
        <f>IF(COUNTIF('Buyer Groups'!DG35:EK35,0)+COUNTIF('Buyer Groups'!EM35:EN35,0)&gt;0,0,1)</f>
        <v>1</v>
      </c>
      <c r="PZ35" t="e">
        <f>IF($FI$35="",FALSE,SUMPRODUCT(('Final Calculation Sheet'!$AF$4:$AF$40=$FI$35)*($PY$6:$PY$42=1))&gt;0)</f>
        <v>#N/A</v>
      </c>
      <c r="QA35" t="e">
        <f>$QA$34+--($PZ35)</f>
        <v>#N/A</v>
      </c>
      <c r="QB35" t="e">
        <f t="shared" si="138"/>
        <v>#N/A</v>
      </c>
      <c r="QC35">
        <f>IF(COUNTIF('Buyer Groups'!DG35:EL35,0)+COUNTIF('Buyer Groups'!EN35:EN35,0)&gt;0,0,1)</f>
        <v>1</v>
      </c>
      <c r="QD35" t="e">
        <f>IF($FN$35="",FALSE,SUMPRODUCT(('Final Calculation Sheet'!$AG$4:$AG$40=$FN$35)*($QC$6:$QC$42=1))&gt;0)</f>
        <v>#N/A</v>
      </c>
      <c r="QE35" t="e">
        <f>$QE$34+--($QD35)</f>
        <v>#N/A</v>
      </c>
      <c r="QF35" t="e">
        <f t="shared" si="139"/>
        <v>#N/A</v>
      </c>
      <c r="QG35">
        <f>IF(COUNTIF('Buyer Groups'!DG35:EM35,0)&gt;0,0,1)</f>
        <v>1</v>
      </c>
      <c r="QH35" t="e">
        <f>IF($FS$35="",FALSE,SUMPRODUCT(('Final Calculation Sheet'!$AH$4:$AH$40=$FS$35)*($QG$6:$QG$42=1))&gt;0)</f>
        <v>#N/A</v>
      </c>
      <c r="QI35" t="e">
        <f>$QI$34+--($QH35)</f>
        <v>#N/A</v>
      </c>
      <c r="QJ35" t="e">
        <f t="shared" si="140"/>
        <v>#N/A</v>
      </c>
      <c r="QK35" t="str">
        <f>IF('Final Calculation Sheet'!$AH$35="","",'Final Calculation Sheet'!$AH$35)</f>
        <v>20.08.2026</v>
      </c>
      <c r="QL35">
        <f>IF(QK35="","",COUNTIFS(QK$4:QK$40,"&lt;"&amp;QK35,QK$4:QK$40,"&lt;&gt;"&amp;"")+COUNTIF(QK$4:QK35,QK35))</f>
        <v>16</v>
      </c>
      <c r="QM35" t="str">
        <f t="shared" si="141"/>
        <v>27.08.2026</v>
      </c>
      <c r="QN35" t="e">
        <f ca="1">QN34+F(AND(QM35&lt;&gt;"",COUNTIF(QM$4:QM35,QM35)=1),1,0)</f>
        <v>#N/A</v>
      </c>
      <c r="QO35" t="e">
        <f t="shared" si="142"/>
        <v>#N/A</v>
      </c>
      <c r="QP35">
        <f>IF(COUNTIF('Final Calculation Sheet'!$AM35:$BS35,0)&gt;0,0,1)</f>
        <v>1</v>
      </c>
      <c r="QQ35" t="b">
        <f>IF($AI$35="",FALSE,SUMPRODUCT(('Final Calculation Sheet'!$A$4:$A$40=$AI$35)*($QP$4:$QP$40=1))&gt;0)</f>
        <v>0</v>
      </c>
      <c r="QR35">
        <f t="shared" si="177"/>
        <v>22</v>
      </c>
      <c r="QS35" t="str">
        <f t="shared" si="143"/>
        <v/>
      </c>
      <c r="QT35">
        <f>IF(COUNTIF('Final Calculation Sheet'!$AL35:$AL35,0)+COUNTIF('Final Calculation Sheet'!$AN35:$BS35,0)&gt;0,0,1)</f>
        <v>1</v>
      </c>
      <c r="QU35" t="b">
        <f>IF($Y$35="",FALSE,SUMPRODUCT(('Final Calculation Sheet'!$B$4:$B$40=$Y$35)*($QT$4:$QT$40=1))&gt;0)</f>
        <v>0</v>
      </c>
      <c r="QV35">
        <f t="shared" si="178"/>
        <v>25</v>
      </c>
      <c r="QW35" t="str">
        <f t="shared" si="144"/>
        <v/>
      </c>
      <c r="QX35">
        <f>IF(COUNTIF('Final Calculation Sheet'!$AL35:$AM35,0)+COUNTIF('Final Calculation Sheet'!$AO35:$BS35,0)&gt;0,0,1)</f>
        <v>1</v>
      </c>
      <c r="QY35" t="b">
        <f>IF($AS$35="",FALSE,SUMPRODUCT(('Final Calculation Sheet'!$C$4:$C$40=$AS$35)*($QX$4:$QX$40=1))&gt;0)</f>
        <v>1</v>
      </c>
      <c r="QZ35">
        <f t="shared" si="179"/>
        <v>32</v>
      </c>
      <c r="RA35">
        <f t="shared" si="145"/>
        <v>210001</v>
      </c>
      <c r="RB35">
        <f>IF(COUNTIF('Final Calculation Sheet'!$AL35:$AN35,0)+COUNTIF('Final Calculation Sheet'!$AP35:$BS35,0)&gt;0,0,1)</f>
        <v>1</v>
      </c>
      <c r="RC35" t="b">
        <f>IF($AD$35="",FALSE,SUMPRODUCT(('Final Calculation Sheet'!$D$4:$D$40=$AD$35)*($RB$4:$RB$40=1))&gt;0)</f>
        <v>0</v>
      </c>
      <c r="RD35">
        <f t="shared" si="180"/>
        <v>4</v>
      </c>
      <c r="RE35" t="str">
        <f t="shared" si="146"/>
        <v/>
      </c>
      <c r="RF35">
        <f>IF(COUNTIF('Final Calculation Sheet'!$AL35:$AO35,0)+COUNTIF('Final Calculation Sheet'!$AQ35:$BS35,0)&gt;0,0,1)</f>
        <v>1</v>
      </c>
      <c r="RG35" t="b">
        <f>IF($AN$35="",FALSE,SUMPRODUCT(('Final Calculation Sheet'!$E$4:$E$40=$AN$35)*($RF$4:$RF$40=1))&gt;0)</f>
        <v>0</v>
      </c>
      <c r="RH35">
        <f t="shared" si="181"/>
        <v>3</v>
      </c>
      <c r="RI35" t="str">
        <f t="shared" si="147"/>
        <v/>
      </c>
      <c r="RJ35">
        <f>IF(COUNTIF('Final Calculation Sheet'!$AL35:$AP35,0)+COUNTIF('Final Calculation Sheet'!$AR35:$BS35,0)&gt;0,0,1)</f>
        <v>1</v>
      </c>
      <c r="RK35" t="b">
        <f>IF($O$35="",FALSE,SUMPRODUCT(('Final Calculation Sheet'!$F$4:$F$40=$O$35)*($RJ$4:$RJ$40=1))&gt;0)</f>
        <v>1</v>
      </c>
      <c r="RL35">
        <f t="shared" si="182"/>
        <v>32</v>
      </c>
      <c r="RM35">
        <f t="shared" si="148"/>
        <v>2067</v>
      </c>
      <c r="RN35">
        <f>IF(COUNTIF('Final Calculation Sheet'!$AL35:$AQ35,0)+COUNTIF('Final Calculation Sheet'!$AS35:$BS35,0)&gt;0,0,1)</f>
        <v>1</v>
      </c>
      <c r="RO35" t="b">
        <f>IF($T$35="",FALSE,SUMPRODUCT(('Final Calculation Sheet'!$G$4:$G$40=$T$35)*($RN$4:$RN$40=1))&gt;0)</f>
        <v>0</v>
      </c>
      <c r="RP35">
        <f t="shared" si="183"/>
        <v>13</v>
      </c>
      <c r="RQ35" t="str">
        <f t="shared" si="149"/>
        <v/>
      </c>
      <c r="RR35">
        <f>IF(COUNTIF('Final Calculation Sheet'!$AL35:$AR35,0)+COUNTIF('Final Calculation Sheet'!$AT35:$BS35,0)&gt;0,0,1)</f>
        <v>1</v>
      </c>
      <c r="RS35" t="b">
        <f>IF($AX$35="",FALSE,SUMPRODUCT(('Final Calculation Sheet'!$H$4:$H$40=$AX$35)*($RR$4:$RR$40=1))&gt;0)</f>
        <v>1</v>
      </c>
      <c r="RT35">
        <f t="shared" si="184"/>
        <v>32</v>
      </c>
      <c r="RU35">
        <f t="shared" si="150"/>
        <v>549400</v>
      </c>
      <c r="RV35">
        <f>IF(COUNTIF('Final Calculation Sheet'!$AL35:$AS35,0)+COUNTIF('Final Calculation Sheet'!$AU35:$BS35,0)&gt;0,0,1)</f>
        <v>1</v>
      </c>
      <c r="RW35" t="b">
        <f>IF($BC$35="",FALSE,SUMPRODUCT(('Final Calculation Sheet'!$I$4:$I$40=$BC$35)*($RV$4:$RV$40=1))&gt;0)</f>
        <v>1</v>
      </c>
      <c r="RX35">
        <f t="shared" si="185"/>
        <v>32</v>
      </c>
      <c r="RY35">
        <f t="shared" si="151"/>
        <v>98892</v>
      </c>
      <c r="RZ35">
        <f>IF(COUNTIF('Final Calculation Sheet'!$AL35:$AT35,0)+COUNTIF('Final Calculation Sheet'!$AV35:$BS35,0)&gt;0,0,1)</f>
        <v>1</v>
      </c>
      <c r="SA35" t="b">
        <f>IF($BH$35="",FALSE,SUMPRODUCT(('Final Calculation Sheet'!$J$4:$J$40=$BH$35)*($RZ$4:$RZ$40=1))&gt;0)</f>
        <v>1</v>
      </c>
      <c r="SB35">
        <f t="shared" si="186"/>
        <v>32</v>
      </c>
      <c r="SC35">
        <f t="shared" si="152"/>
        <v>648292</v>
      </c>
      <c r="SD35">
        <f>IF(COUNTIF('Final Calculation Sheet'!$AL35:$AU35,0)+COUNTIF('Final Calculation Sheet'!$AW35:$BS35,0)&gt;0,0,1)</f>
        <v>1</v>
      </c>
      <c r="SE35" t="b">
        <f>IF($BM$35="",FALSE,SUMPRODUCT(('Final Calculation Sheet'!$K$4:$K$40=$BM$35)*($SD$4:$SD$40=1))&gt;0)</f>
        <v>1</v>
      </c>
      <c r="SF35">
        <f t="shared" si="187"/>
        <v>32</v>
      </c>
      <c r="SG35">
        <f t="shared" si="153"/>
        <v>18646</v>
      </c>
      <c r="SH35">
        <f>IF(COUNTIF('Final Calculation Sheet'!$AL35:$AV35,0)+COUNTIF('Final Calculation Sheet'!$AX35:$BS35,0)&gt;0,0,1)</f>
        <v>1</v>
      </c>
      <c r="SI35" t="b">
        <f>IF($BR$35="",FALSE,SUMPRODUCT(('Final Calculation Sheet'!$L$4:$L$40=$BR$35)*($SH$4:$SH$40=1))&gt;0)</f>
        <v>1</v>
      </c>
      <c r="SJ35">
        <f t="shared" si="188"/>
        <v>32</v>
      </c>
      <c r="SK35">
        <f t="shared" si="154"/>
        <v>549.4</v>
      </c>
      <c r="SL35">
        <f>IF(COUNTIF('Final Calculation Sheet'!$AL35:$AW35,0)+COUNTIF('Final Calculation Sheet'!$AY35:$BS35,0)&gt;0,0,1)</f>
        <v>1</v>
      </c>
      <c r="SM35" t="b">
        <f>IF($BW$35="",FALSE,SUMPRODUCT(('Final Calculation Sheet'!$M$4:$M$40=$BW$35)*($SL$4:$SL$40=1))&gt;0)</f>
        <v>1</v>
      </c>
      <c r="SN35">
        <f t="shared" si="189"/>
        <v>32</v>
      </c>
      <c r="SO35">
        <f t="shared" si="155"/>
        <v>14586.57</v>
      </c>
      <c r="SP35">
        <f>IF(COUNTIF('Final Calculation Sheet'!$AL35:$AX35,0)+COUNTIF('Final Calculation Sheet'!$AZ35:$BS35,0)&gt;0,0,1)</f>
        <v>1</v>
      </c>
      <c r="SQ35" t="b">
        <f>IF($CB$35="",FALSE,SUMPRODUCT(('Final Calculation Sheet'!$N$4:$N$40=$CB$35)*($SP$4:$SP$40=1))&gt;0)</f>
        <v>1</v>
      </c>
      <c r="SR35">
        <f t="shared" si="190"/>
        <v>32</v>
      </c>
      <c r="SS35">
        <f t="shared" si="156"/>
        <v>247.23000000000002</v>
      </c>
      <c r="ST35">
        <f>IF(COUNTIF('Final Calculation Sheet'!$AL35:$AY35,0)+COUNTIF('Final Calculation Sheet'!$BA35:$BS35,0)&gt;0,0,1)</f>
        <v>1</v>
      </c>
      <c r="SU35" t="b">
        <f>IF($CG$35="",FALSE,SUMPRODUCT(('Final Calculation Sheet'!$O$4:$O$40=$CG$35)*($ST$4:$ST$40=1))&gt;0)</f>
        <v>1</v>
      </c>
      <c r="SV35">
        <f t="shared" si="191"/>
        <v>32</v>
      </c>
      <c r="SW35">
        <f t="shared" si="157"/>
        <v>14339.34</v>
      </c>
      <c r="SX35">
        <f>IF(COUNTIF('Final Calculation Sheet'!$AL35:$AZ35,0)+COUNTIF('Final Calculation Sheet'!$BB35:$BS35,0)&gt;0,0,1)</f>
        <v>1</v>
      </c>
      <c r="SY35" t="b">
        <f>IF($CL$35="",FALSE,SUMPRODUCT(('Final Calculation Sheet'!$P$4:$P$40=$CL$35)*($SX$4:$SX$40=1))&gt;0)</f>
        <v>1</v>
      </c>
      <c r="SZ35">
        <f t="shared" si="192"/>
        <v>32</v>
      </c>
      <c r="TA35">
        <f t="shared" si="158"/>
        <v>21411</v>
      </c>
      <c r="TB35">
        <f>IF(COUNTIF('Final Calculation Sheet'!$AL35:$BA35,0)+COUNTIF('Final Calculation Sheet'!$BC35:$BS35,0)&gt;0,0,1)</f>
        <v>1</v>
      </c>
      <c r="TC35" t="b">
        <f>IF($CQ$35="",FALSE,SUMPRODUCT(('Final Calculation Sheet'!$Q$4:$Q$40=$CQ$35)*($TB$4:$TB$40=1))&gt;0)</f>
        <v>0</v>
      </c>
      <c r="TD35">
        <f t="shared" si="193"/>
        <v>2</v>
      </c>
      <c r="TE35" t="str">
        <f t="shared" si="159"/>
        <v/>
      </c>
      <c r="TF35">
        <f>IF(COUNTIF('Final Calculation Sheet'!$AL35:$BB35,0)+COUNTIF('Final Calculation Sheet'!$BD35:$BS35,0)&gt;0,0,1)</f>
        <v>1</v>
      </c>
      <c r="TG35" t="b">
        <f>IF($CV$35="",FALSE,SUMPRODUCT(('Final Calculation Sheet'!$R$4:$R$40=$CV$35)*($TF$4:$TF$40=1))&gt;0)</f>
        <v>0</v>
      </c>
      <c r="TH35">
        <f t="shared" si="194"/>
        <v>5</v>
      </c>
      <c r="TI35" t="str">
        <f t="shared" si="160"/>
        <v/>
      </c>
      <c r="TJ35">
        <f>IF(COUNTIF('Final Calculation Sheet'!$AL35:$BC35,0)+COUNTIF('Final Calculation Sheet'!$BE35:$BS35,0)&gt;0,0,1)</f>
        <v>1</v>
      </c>
      <c r="TK35" t="b">
        <f>IF($DA$35="",FALSE,SUMPRODUCT(('Final Calculation Sheet'!$S$4:$S$40=$DA$35)*($TJ$4:$TJ$40=1))&gt;0)</f>
        <v>1</v>
      </c>
      <c r="TL35">
        <f t="shared" si="195"/>
        <v>32</v>
      </c>
      <c r="TM35">
        <f t="shared" si="161"/>
        <v>635381</v>
      </c>
      <c r="TN35">
        <f>IF(COUNTIF('Final Calculation Sheet'!$AL35:$BD35,0)+COUNTIF('Final Calculation Sheet'!$BF35:$BS35,0)&gt;0,0,1)</f>
        <v>1</v>
      </c>
      <c r="TO35" t="b">
        <f>IF($DF$35="",FALSE,SUMPRODUCT(('Final Calculation Sheet'!$T$4:$T$40=$DF$35)*($TN$4:$TN$40=1))&gt;0)</f>
        <v>1</v>
      </c>
      <c r="TP35">
        <f t="shared" si="196"/>
        <v>32</v>
      </c>
      <c r="TQ35">
        <f t="shared" si="162"/>
        <v>137350</v>
      </c>
      <c r="TR35">
        <f>IF(COUNTIF('Final Calculation Sheet'!$AL35:$BE35,0)+COUNTIF('Final Calculation Sheet'!$BG35:$BS35,0)&gt;0,0,1)</f>
        <v>1</v>
      </c>
      <c r="TS35" t="b">
        <f>IF($DK$35="",FALSE,SUMPRODUCT(('Final Calculation Sheet'!$U$4:$U$40=$DK$35)*($TR$4:$TR$40=1))&gt;0)</f>
        <v>1</v>
      </c>
      <c r="TT35">
        <f t="shared" si="197"/>
        <v>32</v>
      </c>
      <c r="TU35">
        <f t="shared" si="163"/>
        <v>137350</v>
      </c>
      <c r="TV35">
        <f>IF(COUNTIF('Final Calculation Sheet'!$AL35:$BF35,0)+COUNTIF('Final Calculation Sheet'!$BH35:$BS35,0)&gt;0,0,1)</f>
        <v>1</v>
      </c>
      <c r="TW35" t="b">
        <f>IF($DP$35="",FALSE,SUMPRODUCT(('Final Calculation Sheet'!$V$4:$V$40=$DP$35)*($TV$4:$TV$40=1))&gt;0)</f>
        <v>0</v>
      </c>
      <c r="TX35">
        <f t="shared" si="198"/>
        <v>6</v>
      </c>
      <c r="TY35" t="str">
        <f t="shared" si="164"/>
        <v/>
      </c>
      <c r="TZ35">
        <f>IF(COUNTIF('Final Calculation Sheet'!$AL35:$BG35,0)+COUNTIF('Final Calculation Sheet'!$BI35:$BS35,0)&gt;0,0,1)</f>
        <v>1</v>
      </c>
      <c r="UA35" t="b">
        <f>IF($DU$35="",FALSE,SUMPRODUCT(('Final Calculation Sheet'!$W$4:$W$40=$DU$35)*($TZ$4:$TZ$40=1))&gt;0)</f>
        <v>1</v>
      </c>
      <c r="UB35">
        <f t="shared" si="199"/>
        <v>32</v>
      </c>
      <c r="UC35">
        <f t="shared" si="165"/>
        <v>498031</v>
      </c>
      <c r="UD35">
        <f>IF(COUNTIF('Final Calculation Sheet'!$AL35:$BH35,0)+COUNTIF('Final Calculation Sheet'!$BJ35:$BS35,0)&gt;0,0,1)</f>
        <v>1</v>
      </c>
      <c r="UE35" t="e">
        <f>IF($DZ$35="",FALSE,SUMPRODUCT(('Final Calculation Sheet'!$X$4:$X$40=$DZ$35)*($UD$4:$UD$40=1))&gt;0)</f>
        <v>#N/A</v>
      </c>
      <c r="UF35" t="e">
        <f t="shared" si="200"/>
        <v>#N/A</v>
      </c>
      <c r="UG35" t="e">
        <f t="shared" si="166"/>
        <v>#N/A</v>
      </c>
      <c r="UH35">
        <f>IF(COUNTIF('Final Calculation Sheet'!$AL35:$BI35,0)+COUNTIF('Final Calculation Sheet'!$BK35:$BS35,0)&gt;0,0,1)</f>
        <v>1</v>
      </c>
      <c r="UI35" t="e">
        <f>IF($EE$35="",FALSE,SUMPRODUCT(('Final Calculation Sheet'!$Y$4:$Y$40=$EE$35)*($UH$4:$UH$40=1))&gt;0)</f>
        <v>#N/A</v>
      </c>
      <c r="UJ35" t="e">
        <f t="shared" si="201"/>
        <v>#N/A</v>
      </c>
      <c r="UK35" t="e">
        <f t="shared" si="167"/>
        <v>#N/A</v>
      </c>
      <c r="UL35">
        <f>IF(COUNTIF('Final Calculation Sheet'!$AL35:$BJ35,0)+COUNTIF('Final Calculation Sheet'!$BL35:$BS35,0)&gt;0,0,1)</f>
        <v>1</v>
      </c>
      <c r="UM35" t="b">
        <f ca="1">IF($EJ$35="",FALSE,SUMPRODUCT(('Final Calculation Sheet'!$Z$4:$Z$40=$EJ$35)*($UL$4:$UL$40=1))&gt;0)</f>
        <v>1</v>
      </c>
      <c r="UN35">
        <f t="shared" ca="1" si="202"/>
        <v>32</v>
      </c>
      <c r="UO35">
        <f t="shared" ca="1" si="168"/>
        <v>19448.760000000002</v>
      </c>
      <c r="UP35">
        <f>IF(COUNTIF('Final Calculation Sheet'!$AL35:$BK35,0)+COUNTIF('Final Calculation Sheet'!$BM35:$BS35,0)&gt;0,0,1)</f>
        <v>1</v>
      </c>
      <c r="UQ35" t="e">
        <f>IF($EO$35="",FALSE,SUMPRODUCT(('Final Calculation Sheet'!$AA$4:$AA$40=$EO$35)*($UP$4:$UP$40=1))&gt;0)</f>
        <v>#N/A</v>
      </c>
      <c r="UR35" t="e">
        <f t="shared" si="203"/>
        <v>#N/A</v>
      </c>
      <c r="US35" t="e">
        <f t="shared" si="169"/>
        <v>#N/A</v>
      </c>
      <c r="UT35">
        <f>IF(COUNTIF('Final Calculation Sheet'!$AL35:$BL35,0)+COUNTIF('Final Calculation Sheet'!$BN35:$BS35,0)&gt;0,0,1)</f>
        <v>1</v>
      </c>
      <c r="UU35" t="e">
        <f>IF($ET$35="",FALSE,SUMPRODUCT(('Final Calculation Sheet'!$AB$4:$AB$40=$ET$35)*($UT$4:$UT$40=1))&gt;0)</f>
        <v>#N/A</v>
      </c>
      <c r="UV35" t="e">
        <f t="shared" si="204"/>
        <v>#N/A</v>
      </c>
      <c r="UW35" t="e">
        <f t="shared" si="170"/>
        <v>#N/A</v>
      </c>
      <c r="UX35">
        <f>IF(COUNTIF('Final Calculation Sheet'!$AL35:$BM35,0)+COUNTIF('Final Calculation Sheet'!$BO35:$BS35,0)&gt;0,0,1)</f>
        <v>1</v>
      </c>
      <c r="UY35" t="b">
        <f>IF($EY$35="",FALSE,SUMPRODUCT(('Final Calculation Sheet'!$AC$4:$AC$40=$EY$35)*($UX$4:$UX$40=1))&gt;0)</f>
        <v>1</v>
      </c>
      <c r="UZ35">
        <f t="shared" si="205"/>
        <v>32</v>
      </c>
      <c r="VA35">
        <f t="shared" si="171"/>
        <v>608251</v>
      </c>
      <c r="VB35">
        <f>IF(COUNTIF('Final Calculation Sheet'!$AL35:$BN35,0)+COUNTIF('Final Calculation Sheet'!$BP35:$BS35,0)&gt;0,0,1)</f>
        <v>1</v>
      </c>
      <c r="VC35" t="b">
        <f>IF($FD$35="",FALSE,SUMPRODUCT(('Final Calculation Sheet'!$AD$4:$AD$40=$FD$35)*($VB$4:$VB$40=1))&gt;0)</f>
        <v>0</v>
      </c>
      <c r="VD35">
        <f t="shared" si="206"/>
        <v>11</v>
      </c>
      <c r="VE35" t="str">
        <f t="shared" si="172"/>
        <v/>
      </c>
      <c r="VF35">
        <f>IF(COUNTIF('Final Calculation Sheet'!$AL35:$BO35,0)+COUNTIF('Final Calculation Sheet'!$BQ35:$BS35,0)&gt;0,0,1)</f>
        <v>1</v>
      </c>
      <c r="VG35" t="e">
        <f>IF($FI$35="",FALSE,SUMPRODUCT(('Final Calculation Sheet'!$AE$4:$AE$40=$FI$35)*($VF$4:$VF$40=1))&gt;0)</f>
        <v>#N/A</v>
      </c>
      <c r="VH35" t="e">
        <f t="shared" si="207"/>
        <v>#N/A</v>
      </c>
      <c r="VI35" t="e">
        <f t="shared" si="173"/>
        <v>#N/A</v>
      </c>
      <c r="VJ35">
        <f>IF(COUNTIF('Final Calculation Sheet'!$AL35:$BP35,0)+COUNTIF('Final Calculation Sheet'!$BR35:$BS35,0)&gt;0,0,1)</f>
        <v>1</v>
      </c>
      <c r="VK35" t="e">
        <f>IF($FN$35="",FALSE,SUMPRODUCT(('Final Calculation Sheet'!$AF$4:$AF$40=$FN$35)*($VJ$4:$VJ$40=1))&gt;0)</f>
        <v>#N/A</v>
      </c>
      <c r="VL35" t="e">
        <f t="shared" si="208"/>
        <v>#N/A</v>
      </c>
      <c r="VM35" t="e">
        <f t="shared" si="174"/>
        <v>#N/A</v>
      </c>
      <c r="VN35">
        <f>IF(COUNTIF('Final Calculation Sheet'!$AL35:$BQ35,0)+COUNTIF('Final Calculation Sheet'!$BS35:$BS35,0)&gt;0,0,1)</f>
        <v>1</v>
      </c>
      <c r="VO35" t="e">
        <f>IF($FS$35="",FALSE,SUMPRODUCT(('Final Calculation Sheet'!$AG$4:$AG$40=$FS$35)*($VN$4:$VN$40=1))&gt;0)</f>
        <v>#N/A</v>
      </c>
      <c r="VP35" t="e">
        <f t="shared" si="209"/>
        <v>#N/A</v>
      </c>
      <c r="VQ35" t="e">
        <f t="shared" si="175"/>
        <v>#N/A</v>
      </c>
      <c r="VR35">
        <f>IF(COUNTIF('Final Calculation Sheet'!$AL35:$BR35,0)&gt;0,0,1)</f>
        <v>1</v>
      </c>
      <c r="VS35" t="e">
        <f>IF($QO$35="",FALSE,SUMPRODUCT(('Final Calculation Sheet'!$AH$4:$AH$40=$QO$35)*($VR$4:$VR$40=1))&gt;0)</f>
        <v>#N/A</v>
      </c>
      <c r="VT35" t="e">
        <f t="shared" si="210"/>
        <v>#N/A</v>
      </c>
      <c r="VU35" t="e">
        <f t="shared" si="176"/>
        <v>#N/A</v>
      </c>
    </row>
    <row r="36" spans="1:593" x14ac:dyDescent="0.3">
      <c r="A36">
        <f>IF('Final Calculation Sheet'!$F$36="","",'Final Calculation Sheet'!$F$36)</f>
        <v>2069</v>
      </c>
      <c r="B36">
        <f>IF(A36="","",COUNTIFS(A$4:A$114,"&lt;"&amp;A36,A$4:A$114,"&lt;&gt;"&amp;"")+COUNTIF(A$4:A36,A36))</f>
        <v>33</v>
      </c>
      <c r="C36">
        <f t="shared" ref="C36:C67" si="211">IF(ROW()-3&gt;COUNTIF(A$4:A$114,"&lt;&gt;"&amp;""),"",INDEX(A$4:A$114,MATCH(ROW()-3,B$4:B$114,0)))</f>
        <v>2069</v>
      </c>
      <c r="D36">
        <f>D35+IF(AND(C36&lt;&gt;"",COUNTIF(C$4:C36,C36)=1),1,0)</f>
        <v>33</v>
      </c>
      <c r="E36" t="e">
        <f t="shared" ref="E36:E67" si="212">IF(ROW()-3&gt;MAX(D$4:D$114),"",INDEX(C$4:C$114,MATCH(ROW()-3,D$4:D$114,0)))</f>
        <v>#N/A</v>
      </c>
      <c r="F36">
        <f t="shared" si="2"/>
        <v>33</v>
      </c>
      <c r="G36">
        <f>IF(F36="","",COUNTIFS(F$4:F$40,"&lt;"&amp;F36,F$4:F$40,"&lt;&gt;"&amp;"")+COUNTIF(F$4:F36,F36))</f>
        <v>33</v>
      </c>
      <c r="H36">
        <f t="shared" si="3"/>
        <v>33</v>
      </c>
      <c r="I36">
        <f>I35+IF(AND(H36&lt;&gt;"",COUNTIF(H$4:H36,H36)=1),1,0)</f>
        <v>33</v>
      </c>
      <c r="J36">
        <f t="shared" si="4"/>
        <v>33</v>
      </c>
      <c r="K36">
        <f>IF('Final Calculation Sheet'!$F$36="","",'Final Calculation Sheet'!$F$36)</f>
        <v>2069</v>
      </c>
      <c r="L36">
        <f>IF(K36="","",COUNTIFS(K$4:K$40,"&lt;"&amp;K36,K$4:K$40,"&lt;&gt;"&amp;"")+COUNTIF(K$4:K36,K36))</f>
        <v>33</v>
      </c>
      <c r="M36">
        <f t="shared" si="5"/>
        <v>2069</v>
      </c>
      <c r="N36">
        <f>N35+IF(AND(M36&lt;&gt;"",COUNTIF(M$4:M36,M36)=1),1,0)</f>
        <v>33</v>
      </c>
      <c r="O36">
        <f t="shared" si="6"/>
        <v>2069</v>
      </c>
      <c r="P36" t="str">
        <f>IF('Final Calculation Sheet'!$G$36="","",'Final Calculation Sheet'!$G$36)</f>
        <v>STERLING ENTERPRISES</v>
      </c>
      <c r="Q36">
        <f>IF(P36="","",COUNTIFS(P$4:P$40,"&lt;"&amp;P36,P$4:P$40,"&lt;&gt;"&amp;"")+COUNTIF(P$4:P36,P36))</f>
        <v>34</v>
      </c>
      <c r="R36" t="str">
        <f t="shared" si="7"/>
        <v>STERLING ENTERPRISES</v>
      </c>
      <c r="S36">
        <f>S35+IF(AND(R36&lt;&gt;"",COUNTIF(R$4:R36,R36)=1),1,0)</f>
        <v>12</v>
      </c>
      <c r="T36" t="str">
        <f t="shared" si="8"/>
        <v/>
      </c>
      <c r="U36" t="str">
        <f>IF('Final Calculation Sheet'!$B$36="","",'Final Calculation Sheet'!$B$36)</f>
        <v>Scrap of 33 KV CB</v>
      </c>
      <c r="V36">
        <f>IF(U36="","",COUNTIFS(U$4:U$40,"&lt;"&amp;U36,U$4:U$40,"&lt;&gt;"&amp;"")+COUNTIF(U$4:U36,U36))</f>
        <v>19</v>
      </c>
      <c r="W36" t="str">
        <f t="shared" si="9"/>
        <v>Scrap of empty oil drums</v>
      </c>
      <c r="X36">
        <f>X35+IF(AND(W36&lt;&gt;"",COUNTIF(W$4:W36,W36)=1),1,0)</f>
        <v>23</v>
      </c>
      <c r="Y36" t="str">
        <f t="shared" si="10"/>
        <v/>
      </c>
      <c r="Z36">
        <f>IF('Final Calculation Sheet'!$D$36="","",'Final Calculation Sheet'!$D$36)</f>
        <v>21980</v>
      </c>
      <c r="AA36">
        <f>IF(Z36="","",COUNTIFS(Z$4:Z$40,"&lt;"&amp;Z36,Z$4:Z$40,"&lt;&gt;"&amp;"")+COUNTIF(Z$4:Z36,Z36))</f>
        <v>33</v>
      </c>
      <c r="AB36">
        <f t="shared" si="11"/>
        <v>21980</v>
      </c>
      <c r="AC36">
        <f>AC35+IF(AND(AB36&lt;&gt;"",COUNTIF(AB$4:AB36,AB36)=1),1,0)</f>
        <v>4</v>
      </c>
      <c r="AD36" t="str">
        <f t="shared" si="12"/>
        <v/>
      </c>
      <c r="AE36">
        <f>IF('Final Calculation Sheet'!$A$36="","",'Final Calculation Sheet'!$A$36)</f>
        <v>1</v>
      </c>
      <c r="AF36">
        <f>IF(AE36="","",COUNTIFS(AE$4:AE$40,"&lt;"&amp;AE36,AE$4:AE$40,"&lt;&gt;"&amp;"")+COUNTIF(AE$4:AE36,AE36))</f>
        <v>9</v>
      </c>
      <c r="AG36">
        <f t="shared" si="13"/>
        <v>670</v>
      </c>
      <c r="AH36">
        <f>AH35+IF(AND(AG36&lt;&gt;"",COUNTIF(AG$4:AG36,AG36)=1),1,0)</f>
        <v>18</v>
      </c>
      <c r="AI36" t="str">
        <f t="shared" si="14"/>
        <v/>
      </c>
      <c r="AJ36" t="str">
        <f>IF('Final Calculation Sheet'!$E$36="","",'Final Calculation Sheet'!$E$36)</f>
        <v>NO</v>
      </c>
      <c r="AK36">
        <f>IF(AJ36="","",COUNTIFS(AJ$4:AJ$40,"&lt;"&amp;AJ36,AJ$4:AJ$40,"&lt;&gt;"&amp;"")+COUNTIF(AJ$4:AJ36,AJ36))</f>
        <v>33</v>
      </c>
      <c r="AL36" t="str">
        <f t="shared" si="15"/>
        <v>NO</v>
      </c>
      <c r="AM36">
        <f>AM35+IF(AND(AL36&lt;&gt;"",COUNTIF(AL$4:AL36,AL36)=1),1,0)</f>
        <v>3</v>
      </c>
      <c r="AN36" t="str">
        <f t="shared" si="16"/>
        <v/>
      </c>
      <c r="AO36" s="50">
        <f>IF('Final Calculation Sheet'!$C$36="","",'Final Calculation Sheet'!$C$36)</f>
        <v>54000</v>
      </c>
      <c r="AP36">
        <f>IF(AO36="","",COUNTIFS(AO$4:AO$40,"&lt;"&amp;AO36,AO$4:AO$40,"&lt;&gt;"&amp;"")+COUNTIF(AO$4:AO36,AO36))</f>
        <v>24</v>
      </c>
      <c r="AQ36" s="50">
        <f t="shared" si="17"/>
        <v>110200</v>
      </c>
      <c r="AR36">
        <f>AR35+IF(AND(AQ36&lt;&gt;"",COUNTIF(AQ$4:AQ36,AQ36)=1),1,0)</f>
        <v>31</v>
      </c>
      <c r="AS36" s="50">
        <f t="shared" si="18"/>
        <v>220001</v>
      </c>
      <c r="AT36" s="50">
        <f>IF('Final Calculation Sheet'!$H$36="","",'Final Calculation Sheet'!$H$36)</f>
        <v>54000</v>
      </c>
      <c r="AU36">
        <f>IF(AT36="","",COUNTIFS(AT$4:AT$40,"&lt;"&amp;AT36,AT$4:AT$40,"&lt;&gt;"&amp;"")+COUNTIF(AT$4:AT36,AT36))</f>
        <v>10</v>
      </c>
      <c r="AV36" s="50">
        <f t="shared" si="19"/>
        <v>790089</v>
      </c>
      <c r="AW36">
        <f>AW35+IF(AND(AV36&lt;&gt;"",COUNTIF(AV$4:AV36,AV36)=1),1,0)</f>
        <v>33</v>
      </c>
      <c r="AX36" s="50">
        <f t="shared" si="20"/>
        <v>790089</v>
      </c>
      <c r="AY36" s="50">
        <f>IF('Final Calculation Sheet'!$I$36="","",'Final Calculation Sheet'!$I$36)</f>
        <v>9720</v>
      </c>
      <c r="AZ36">
        <f>IF(AY36="","",COUNTIFS(AY$4:AY$40,"&lt;"&amp;AY36,AY$4:AY$40,"&lt;&gt;"&amp;"")+COUNTIF(AY$4:AY36,AY36))</f>
        <v>10</v>
      </c>
      <c r="BA36" s="50">
        <f t="shared" si="21"/>
        <v>142216</v>
      </c>
      <c r="BB36">
        <f>BB35+IF(AND(BA36&lt;&gt;"",COUNTIF(BA$4:BA36,BA36)=1),1,0)</f>
        <v>33</v>
      </c>
      <c r="BC36" s="50">
        <f t="shared" si="22"/>
        <v>142216</v>
      </c>
      <c r="BD36" s="50">
        <f>IF('Final Calculation Sheet'!$J$36="","",'Final Calculation Sheet'!$J$36)</f>
        <v>63720</v>
      </c>
      <c r="BE36">
        <f>IF(BD36="","",COUNTIFS(BD$4:BD$40,"&lt;"&amp;BD36,BD$4:BD$40,"&lt;&gt;"&amp;"")+COUNTIF(BD$4:BD36,BD36))</f>
        <v>10</v>
      </c>
      <c r="BF36" s="50">
        <f t="shared" si="23"/>
        <v>932305</v>
      </c>
      <c r="BG36">
        <f>BG35+IF(AND(BF36&lt;&gt;"",COUNTIF(BF$4:BF36,BF36)=1),1,0)</f>
        <v>33</v>
      </c>
      <c r="BH36" s="50">
        <f t="shared" si="24"/>
        <v>932305</v>
      </c>
      <c r="BI36" s="50">
        <f>IF('Final Calculation Sheet'!$K$36="","",'Final Calculation Sheet'!$K$36)</f>
        <v>1274</v>
      </c>
      <c r="BJ36">
        <f>IF(BI36="","",COUNTIFS(BI$4:BI$40,"&lt;"&amp;BI36,BI$4:BI$40,"&lt;&gt;"&amp;"")+COUNTIF(BI$4:BI36,BI36))</f>
        <v>10</v>
      </c>
      <c r="BK36" s="50">
        <f t="shared" si="25"/>
        <v>18646</v>
      </c>
      <c r="BL36">
        <f>BL35+IF(AND(BK36&lt;&gt;"",COUNTIF(BK$4:BK36,BK36)=1),1,0)</f>
        <v>32</v>
      </c>
      <c r="BM36" s="50">
        <f t="shared" si="26"/>
        <v>27506</v>
      </c>
      <c r="BN36" s="50">
        <f>IF('Final Calculation Sheet'!$L$36="","",'Final Calculation Sheet'!$L$36)</f>
        <v>54</v>
      </c>
      <c r="BO36">
        <f>IF(BN36="","",COUNTIFS(BN$4:BN$40,"&lt;"&amp;BN36,BN$4:BN$40,"&lt;&gt;"&amp;"")+COUNTIF(BN$4:BN36,BN36))</f>
        <v>10</v>
      </c>
      <c r="BP36" s="50">
        <f t="shared" si="27"/>
        <v>790.08900000000006</v>
      </c>
      <c r="BQ36">
        <f>BQ35+IF(AND(BP36&lt;&gt;"",COUNTIF(BP$4:BP36,BP36)=1),1,0)</f>
        <v>33</v>
      </c>
      <c r="BR36" s="50">
        <f t="shared" si="28"/>
        <v>790.08900000000006</v>
      </c>
      <c r="BS36" s="50">
        <f>IF('Final Calculation Sheet'!$M$36="","",'Final Calculation Sheet'!$M$36)</f>
        <v>1433.6999999999998</v>
      </c>
      <c r="BT36">
        <f>IF(BS36="","",COUNTIFS(BS$4:BS$40,"&lt;"&amp;BS36,BS$4:BS$40,"&lt;&gt;"&amp;"")+COUNTIF(BS$4:BS36,BS36))</f>
        <v>10</v>
      </c>
      <c r="BU36" s="50">
        <f t="shared" si="29"/>
        <v>20976.862949999999</v>
      </c>
      <c r="BV36">
        <f>BV35+IF(AND(BU36&lt;&gt;"",COUNTIF(BU$4:BU36,BU36)=1),1,0)</f>
        <v>33</v>
      </c>
      <c r="BW36" s="50">
        <f t="shared" si="30"/>
        <v>20976.862949999999</v>
      </c>
      <c r="BX36" s="126">
        <f>IF('Final Calculation Sheet'!$N$36="","",'Final Calculation Sheet'!$N$36)</f>
        <v>24.3</v>
      </c>
      <c r="BY36">
        <f>IF(BX36="","",COUNTIFS(BX$4:BX$40,"&lt;"&amp;BX36,BX$4:BX$40,"&lt;&gt;"&amp;"")+COUNTIF(BX$4:BX36,BX36))</f>
        <v>10</v>
      </c>
      <c r="BZ36" s="126">
        <f t="shared" si="31"/>
        <v>355.54005000000001</v>
      </c>
      <c r="CA36">
        <f>CA35+IF(AND(BZ36&lt;&gt;"",COUNTIF(BZ$4:BZ36,BZ36)=1),1,0)</f>
        <v>33</v>
      </c>
      <c r="CB36" s="126">
        <f t="shared" si="32"/>
        <v>355.54005000000001</v>
      </c>
      <c r="CC36" s="50">
        <f>IF('Final Calculation Sheet'!$O$36="","",'Final Calculation Sheet'!$O$36)</f>
        <v>1409.3999999999999</v>
      </c>
      <c r="CD36">
        <f>IF(CC36="","",COUNTIFS(CC$4:CC$40,"&lt;"&amp;CC36,CC$4:CC$40,"&lt;&gt;"&amp;"")+COUNTIF(CC$4:CC36,CC36))</f>
        <v>10</v>
      </c>
      <c r="CE36" s="50">
        <f t="shared" si="33"/>
        <v>20621.322899999999</v>
      </c>
      <c r="CF36">
        <f>CF35+IF(AND(CE36&lt;&gt;"",COUNTIF(CE$4:CE36,CE36)=1),1,0)</f>
        <v>33</v>
      </c>
      <c r="CG36" s="50">
        <f t="shared" si="34"/>
        <v>20621.322899999999</v>
      </c>
      <c r="CH36" s="50">
        <f>IF('Final Calculation Sheet'!$P$36="","",'Final Calculation Sheet'!$P$36)</f>
        <v>1463</v>
      </c>
      <c r="CI36">
        <f>IF(CH36="","",COUNTIFS(CH$4:CH$40,"&lt;"&amp;CH36,CH$4:CH$40,"&lt;&gt;"&amp;"")+COUNTIF(CH$4:CH36,CH36))</f>
        <v>10</v>
      </c>
      <c r="CJ36" s="50">
        <f t="shared" si="35"/>
        <v>21411</v>
      </c>
      <c r="CK36">
        <f>CK35+IF(AND(CJ36&lt;&gt;"",COUNTIF(CJ$4:CJ36,CJ36)=1),1,0)</f>
        <v>32</v>
      </c>
      <c r="CL36" s="50">
        <f t="shared" si="36"/>
        <v>31585</v>
      </c>
      <c r="CM36" s="127">
        <f>IF('Final Calculation Sheet'!$Q$36="","",'Final Calculation Sheet'!$Q$36)</f>
        <v>0</v>
      </c>
      <c r="CN36">
        <f>IF(CM36="","",COUNTIFS(CM$4:CM$40,"&lt;"&amp;CM36,CM$4:CM$40,"&lt;&gt;"&amp;"")+COUNTIF(CM$4:CM36,CM36))</f>
        <v>29</v>
      </c>
      <c r="CO36" s="127">
        <f t="shared" si="37"/>
        <v>0</v>
      </c>
      <c r="CP36">
        <f>CP35+IF(AND(CO36&lt;&gt;"",COUNTIF(CO$4:CO36,CO36)=1),1,0)</f>
        <v>1</v>
      </c>
      <c r="CQ36" t="str">
        <f t="shared" si="38"/>
        <v/>
      </c>
      <c r="CR36" s="50">
        <f>IF('Final Calculation Sheet'!$R$36="","",'Final Calculation Sheet'!$R$36)</f>
        <v>0</v>
      </c>
      <c r="CS36">
        <f>IF(CR36="","",COUNTIFS(CR$4:CR$40,"&lt;"&amp;CR36,CR$4:CR$40,"&lt;&gt;"&amp;"")+COUNTIF(CR$4:CR36,CR36))</f>
        <v>29</v>
      </c>
      <c r="CT36" s="50">
        <f t="shared" si="39"/>
        <v>0</v>
      </c>
      <c r="CU36">
        <f>CU35+IF(AND(CT36&lt;&gt;"",COUNTIF(CT$4:CT36,CT36)=1),1,0)</f>
        <v>1</v>
      </c>
      <c r="CV36" t="str">
        <f t="shared" si="40"/>
        <v/>
      </c>
      <c r="CW36" s="50">
        <f>IF('Final Calculation Sheet'!$S$36="","",'Final Calculation Sheet'!$S$36)</f>
        <v>63531</v>
      </c>
      <c r="CX36">
        <f>IF(CW36="","",COUNTIFS(CW$4:CW$40,"&lt;"&amp;CW36,CW$4:CW$40,"&lt;&gt;"&amp;"")+COUNTIF(CW$4:CW36,CW36))</f>
        <v>10</v>
      </c>
      <c r="CY36" s="50">
        <f t="shared" si="41"/>
        <v>913738</v>
      </c>
      <c r="CZ36">
        <f>CZ35+IF(AND(CY36&lt;&gt;"",COUNTIF(CY$4:CY36,CY36)=1),1,0)</f>
        <v>33</v>
      </c>
      <c r="DA36" s="50">
        <f t="shared" si="42"/>
        <v>913738</v>
      </c>
      <c r="DB36" s="50">
        <f>IF('Final Calculation Sheet'!$T$36="","",'Final Calculation Sheet'!$T$36)</f>
        <v>13500</v>
      </c>
      <c r="DC36">
        <f>IF(DB36="","",COUNTIFS(DB$4:DB$40,"&lt;"&amp;DB36,DB$4:DB$40,"&lt;&gt;"&amp;"")+COUNTIF(DB$4:DB36,DB36))</f>
        <v>10</v>
      </c>
      <c r="DD36" s="50">
        <f t="shared" si="43"/>
        <v>197522</v>
      </c>
      <c r="DE36">
        <f>DE35+IF(AND(DD36&lt;&gt;"",COUNTIF(DD$4:DD36,DD36)=1),1,0)</f>
        <v>33</v>
      </c>
      <c r="DF36" s="50">
        <f t="shared" si="44"/>
        <v>197522</v>
      </c>
      <c r="DG36" s="128">
        <f>IF('Final Calculation Sheet'!$U$36="","",'Final Calculation Sheet'!$U$36)</f>
        <v>13500</v>
      </c>
      <c r="DH36">
        <f>IF(DG36="","",COUNTIFS(DG$4:DG$40,"&lt;"&amp;DG36,DG$4:DG$40,"&lt;&gt;"&amp;"")+COUNTIF(DG$4:DG36,DG36))</f>
        <v>10</v>
      </c>
      <c r="DI36" s="128">
        <f t="shared" si="45"/>
        <v>197522</v>
      </c>
      <c r="DJ36">
        <f>DJ35+IF(AND(DI36&lt;&gt;"",COUNTIF(DI$4:DI36,DI36)=1),1,0)</f>
        <v>33</v>
      </c>
      <c r="DK36" s="128">
        <f t="shared" si="46"/>
        <v>197522</v>
      </c>
      <c r="DL36" t="str">
        <f>IF('Final Calculation Sheet'!$V$36="","",'Final Calculation Sheet'!$V$36)</f>
        <v>11.08.2026</v>
      </c>
      <c r="DM36">
        <f>IF(DL36="","",COUNTIFS(DL$4:DL$40,"&lt;"&amp;DL36,DL$4:DL$40,"&lt;&gt;"&amp;"")+COUNTIF(DL$4:DL36,DL36))</f>
        <v>11</v>
      </c>
      <c r="DN36" t="str">
        <f t="shared" si="47"/>
        <v>14.08.2026</v>
      </c>
      <c r="DO36">
        <f>DO35+IF(AND(DN36&lt;&gt;"",COUNTIF(DN$4:DN36,DN36)=1),1,0)</f>
        <v>4</v>
      </c>
      <c r="DP36" t="str">
        <f t="shared" si="48"/>
        <v/>
      </c>
      <c r="DQ36" s="50">
        <f>IF('Final Calculation Sheet'!$W$36="","",'Final Calculation Sheet'!$W$36)</f>
        <v>50031</v>
      </c>
      <c r="DR36">
        <f>IF(DQ36="","",COUNTIFS(DQ$4:DQ$40,"&lt;"&amp;DQ36,DQ$4:DQ$40,"&lt;&gt;"&amp;"")+COUNTIF(DQ$4:DQ36,DQ36))</f>
        <v>10</v>
      </c>
      <c r="DS36" s="50">
        <f t="shared" si="49"/>
        <v>716215</v>
      </c>
      <c r="DT36">
        <f>DT35+IF(AND(DS36&lt;&gt;"",COUNTIF(DS$4:DS36,DS36)=1),1,0)</f>
        <v>33</v>
      </c>
      <c r="DU36" s="50">
        <f t="shared" si="50"/>
        <v>716215</v>
      </c>
      <c r="DV36" t="str">
        <f>IF('Final Calculation Sheet'!$X$36="","",'Final Calculation Sheet'!$X$36)</f>
        <v/>
      </c>
      <c r="DW36" t="str">
        <f>IF(DV36="","",COUNTIFS(DV$4:DV$40,"&lt;"&amp;DV36,DV$4:DV$40,"&lt;&gt;"&amp;"")+COUNTIF(DV$4:DV36,DV36))</f>
        <v/>
      </c>
      <c r="DX36" s="50">
        <f t="shared" si="51"/>
        <v>2582447.0942916102</v>
      </c>
      <c r="DY36">
        <f>DY35+IF(AND(DX36&lt;&gt;"",COUNTIF(DX$4:DX36,DX36)=1),1,0)</f>
        <v>33</v>
      </c>
      <c r="DZ36" t="e">
        <f t="shared" si="52"/>
        <v>#N/A</v>
      </c>
      <c r="EA36" s="50">
        <f>IF('Final Calculation Sheet'!$Y$36="","",'Final Calculation Sheet'!$Y$36)</f>
        <v>0</v>
      </c>
      <c r="EB36">
        <f>IF(EA36="","",COUNTIFS(EA$4:EA$40,"&lt;"&amp;EA36,EA$4:EA$40,"&lt;&gt;"&amp;"")+COUNTIF(EA$4:EA36,EA36))</f>
        <v>3</v>
      </c>
      <c r="EC36" t="str">
        <f t="shared" si="53"/>
        <v>24.08.2026</v>
      </c>
      <c r="ED36">
        <f>ED35+IF(AND(EC36&lt;&gt;"",COUNTIF(EC$4:EC36,EC36)=1),1,0)</f>
        <v>9</v>
      </c>
      <c r="EE36" t="e">
        <f t="shared" si="54"/>
        <v>#N/A</v>
      </c>
      <c r="EF36" s="50">
        <f ca="1">IF('Final Calculation Sheet'!$Z$36="","",'Final Calculation Sheet'!$Z$36)</f>
        <v>1911.6</v>
      </c>
      <c r="EG36">
        <f ca="1">IF(EF36="","",COUNTIFS(EF$4:EF$40,"&lt;"&amp;EF36,EF$4:EF$40,"&lt;&gt;"&amp;"")+COUNTIF(EF$4:EF36,EF36))</f>
        <v>10</v>
      </c>
      <c r="EH36" s="50">
        <f t="shared" ca="1" si="55"/>
        <v>27969.150600000001</v>
      </c>
      <c r="EI36">
        <f ca="1">EI35+IF(AND(EH36&lt;&gt;"",COUNTIF(EH$4:EH36,EH36)=1),1,0)</f>
        <v>33</v>
      </c>
      <c r="EJ36">
        <f t="shared" ca="1" si="56"/>
        <v>27969.150600000001</v>
      </c>
      <c r="EK36" t="str">
        <f>IF('Final Calculation Sheet'!$AA$36="","",'Final Calculation Sheet'!$AA$36)</f>
        <v/>
      </c>
      <c r="EL36" t="str">
        <f>IF(EK36="","",COUNTIFS(EK$4:EK$40,"&lt;"&amp;EK36,EK$4:EK$40,"&lt;&gt;"&amp;"")+COUNTIF(EK$4:EK36,EK36))</f>
        <v/>
      </c>
      <c r="EM36" t="e">
        <f t="shared" si="57"/>
        <v>#N/A</v>
      </c>
      <c r="EN36" t="e">
        <f>EN35+IF(AND(EM36&lt;&gt;"",COUNTIF(EM$4:EM36,EM36)=1),1,0)</f>
        <v>#N/A</v>
      </c>
      <c r="EO36" t="e">
        <f t="shared" si="58"/>
        <v>#N/A</v>
      </c>
      <c r="EP36" t="str">
        <f>IF('Final Calculation Sheet'!$AB$36="","",'Final Calculation Sheet'!$AB$36)</f>
        <v/>
      </c>
      <c r="EQ36" t="str">
        <f>IF(EP36="","",COUNTIFS(EP$4:EP$40,"&lt;"&amp;EP36,EP$4:EP$40,"&lt;&gt;"&amp;"")+COUNTIF(EP$4:EP36,EP36))</f>
        <v/>
      </c>
      <c r="ER36" t="e">
        <f t="shared" si="59"/>
        <v>#N/A</v>
      </c>
      <c r="ES36" t="e">
        <f>ES35+IF(AND(ER36&lt;&gt;"",COUNTIF(ER$4:ER36,ER36)=1),1,0)</f>
        <v>#N/A</v>
      </c>
      <c r="ET36" t="e">
        <f t="shared" si="60"/>
        <v>#N/A</v>
      </c>
      <c r="EU36" s="50">
        <f>IF('Final Calculation Sheet'!$AC$36="","",'Final Calculation Sheet'!$AC$36)</f>
        <v>13500</v>
      </c>
      <c r="EV36">
        <f>IF(EU36="","",COUNTIFS(EU$4:EU$40,"&lt;"&amp;EU36,EU$4:EU$40,"&lt;&gt;"&amp;"")+COUNTIF(EU$4:EU36,EU36))</f>
        <v>1</v>
      </c>
      <c r="EW36" s="50">
        <f t="shared" si="61"/>
        <v>913738</v>
      </c>
      <c r="EX36">
        <f>EX35+IF(AND(EW36&lt;&gt;"",COUNTIF(EW$4:EW36,EW36)=1),1,0)</f>
        <v>33</v>
      </c>
      <c r="EY36" s="50">
        <f t="shared" si="62"/>
        <v>913738</v>
      </c>
      <c r="EZ36" s="50">
        <f>IF('Final Calculation Sheet'!$AD$36="","",'Final Calculation Sheet'!$AD$36)</f>
        <v>50031</v>
      </c>
      <c r="FA36">
        <f>IF(EZ36="","",COUNTIFS(EZ$4:EZ$40,"&lt;"&amp;EZ36,EZ$4:EZ$40,"&lt;&gt;"&amp;"")+COUNTIF(EZ$4:EZ36,EZ36))</f>
        <v>35</v>
      </c>
      <c r="FB36" s="50">
        <f t="shared" si="63"/>
        <v>1</v>
      </c>
      <c r="FC36">
        <f>FC35+IF(AND(FB36&lt;&gt;"",COUNTIF(FB$4:FB36,FB36)=1),1,0)</f>
        <v>8</v>
      </c>
      <c r="FD36" t="str">
        <f t="shared" si="64"/>
        <v/>
      </c>
      <c r="FE36" t="str">
        <f>IF('Final Calculation Sheet'!$AF$36="","",'Final Calculation Sheet'!$AF$36)</f>
        <v/>
      </c>
      <c r="FF36" t="str">
        <f>IF(FE36="","",COUNTIFS(FE$4:FE$40,"&lt;"&amp;FE36,FE$4:FE$40,"&lt;&gt;"&amp;"")+COUNTIF(FE$4:FE36,FE36))</f>
        <v/>
      </c>
      <c r="FG36" t="str">
        <f t="shared" si="65"/>
        <v>DR2640100044</v>
      </c>
      <c r="FH36" t="e">
        <f>FH35+IF(AND(FG36&lt;&gt;"",COUNTIF(FG$4:FG36,FG36)=1),1,0)</f>
        <v>#N/A</v>
      </c>
      <c r="FI36" t="e">
        <f t="shared" si="66"/>
        <v>#N/A</v>
      </c>
      <c r="FJ36" t="str">
        <f>IF('Final Calculation Sheet'!$AG$36="","",'Final Calculation Sheet'!$AG$36)</f>
        <v/>
      </c>
      <c r="FK36" t="str">
        <f>IF(FJ36="","",COUNTIFS(FJ$4:FJ$40,"&lt;"&amp;FJ36,FJ$4:FJ$40,"&lt;&gt;"&amp;"")+COUNTIF(FJ$4:FJ36,FJ36))</f>
        <v/>
      </c>
      <c r="FL36" t="e">
        <f t="shared" si="67"/>
        <v>#N/A</v>
      </c>
      <c r="FM36" t="e">
        <f>FM35+IF(AND(FL36&lt;&gt;"",COUNTIF(FL$4:FL36,FL36)=1),1,0)</f>
        <v>#N/A</v>
      </c>
      <c r="FN36" t="e">
        <f t="shared" si="68"/>
        <v>#N/A</v>
      </c>
      <c r="FO36" t="str">
        <f>IF('Final Calculation Sheet'!$AH$36="","",'Final Calculation Sheet'!$AH$36)</f>
        <v/>
      </c>
      <c r="FP36" t="str">
        <f>IF(FO36="","",COUNTIFS(FO$4:FO$40,"&lt;"&amp;FO36,FO$4:FO$40,"&lt;&gt;"&amp;"")+COUNTIF(FO$4:FO36,FO36))</f>
        <v/>
      </c>
      <c r="FQ36" t="str">
        <f t="shared" si="69"/>
        <v>27.08.2026</v>
      </c>
      <c r="FR36" t="e">
        <f>FR35+IF(AND(FQ36&lt;&gt;"",COUNTIF(FQ$4:FQ36,FQ36)=1),1,0)</f>
        <v>#N/A</v>
      </c>
      <c r="FS36" t="e">
        <f t="shared" si="70"/>
        <v>#N/A</v>
      </c>
      <c r="FU36" t="str">
        <f>IF(FT36="","",COUNTIFS(FT$4:FT$40,"&lt;"&amp;FT36,FT$4:FT$40,"&lt;&gt;"&amp;"")+COUNTIF(FT$4:FT36,FT36))</f>
        <v/>
      </c>
      <c r="FV36" t="str">
        <f t="shared" si="71"/>
        <v/>
      </c>
      <c r="FW36">
        <f>FW35+IF(AND(FV36&lt;&gt;"",COUNTIF(FV$4:FV36,FV36)=1),1,0)</f>
        <v>2</v>
      </c>
      <c r="FX36" t="str">
        <f t="shared" si="72"/>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6" t="b">
        <f>IF($Y$36="",FALSE,SUMPRODUCT(('Final Calculation Sheet'!$B$4:$B$40=$Y$36)*($FY$6:$FY$42=1))&gt;0)</f>
        <v>0</v>
      </c>
      <c r="GA36">
        <f>$GA$35+--($FZ$36)</f>
        <v>25</v>
      </c>
      <c r="GB36" t="str">
        <f t="shared" si="73"/>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D36" t="b">
        <f>IF($O$36="",FALSE,SUMPRODUCT(('Final Calculation Sheet'!$F$4:$F$40=$O$36)*($GC$6:$GC$42=1))&gt;0)</f>
        <v>1</v>
      </c>
      <c r="GE36">
        <f>$GE$35+--($GD36)</f>
        <v>33</v>
      </c>
      <c r="GF36">
        <f t="shared" si="74"/>
        <v>2069</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H36" t="b">
        <f>IF($T$36="",FALSE,SUMPRODUCT(('Final Calculation Sheet'!$G$4:$G$40=$T$36)*($GG$6:$GG$42=1))&gt;0)</f>
        <v>0</v>
      </c>
      <c r="GI36">
        <f>$GI$35+--($GH36)</f>
        <v>13</v>
      </c>
      <c r="GJ36" t="str">
        <f t="shared" si="75"/>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L36" t="b">
        <f>IF($AD$36="",FALSE,SUMPRODUCT(('Final Calculation Sheet'!$D$4:$D$40=$AD$36)*($GK$6:$GK$42=1))&gt;0)</f>
        <v>0</v>
      </c>
      <c r="GM36">
        <f>$GM$35+--($GL36)</f>
        <v>4</v>
      </c>
      <c r="GN36" t="str">
        <f t="shared" si="76"/>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P36" t="b">
        <f>IF($AI$36="",FALSE,SUMPRODUCT(('Final Calculation Sheet'!$A$4:$A$40=$AI$36)*($GO$6:$GO$42=1))&gt;0)</f>
        <v>0</v>
      </c>
      <c r="GQ36">
        <f>$GQ$35+--($GP36)</f>
        <v>22</v>
      </c>
      <c r="GR36" t="str">
        <f t="shared" si="77"/>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T36" t="b">
        <f>IF($AN$36="",FALSE,SUMPRODUCT(('Final Calculation Sheet'!$E$4:$E$40=$AN$36)*($GS$6:$GS$42=1))&gt;0)</f>
        <v>0</v>
      </c>
      <c r="GU36">
        <f>$GU$35+--($GT36)</f>
        <v>3</v>
      </c>
      <c r="GV36" t="str">
        <f t="shared" si="78"/>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GX36" t="b">
        <f>IF($AS$36="",FALSE,SUMPRODUCT(('Final Calculation Sheet'!$C$4:$C$40=$AS$36)*($GW$6:$GW$42=1))&gt;0)</f>
        <v>1</v>
      </c>
      <c r="GY36">
        <f>$GY$35+--($GX36)</f>
        <v>33</v>
      </c>
      <c r="GZ36">
        <f t="shared" si="79"/>
        <v>220001</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B36" t="b">
        <f>IF($AX$36="",FALSE,SUMPRODUCT(('Final Calculation Sheet'!$H$4:$H$40=$AX$36)*($HA$6:$HA$42=1))&gt;0)</f>
        <v>1</v>
      </c>
      <c r="HC36">
        <f>$HC$35+--($HB36)</f>
        <v>33</v>
      </c>
      <c r="HD36">
        <f t="shared" si="80"/>
        <v>790089</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F36" t="b">
        <f>IF($BC$36="",FALSE,SUMPRODUCT(('Final Calculation Sheet'!$I$4:$I$40=$BC$36)*($HE$6:$HE$42=1))&gt;0)</f>
        <v>1</v>
      </c>
      <c r="HG36">
        <f>$HG$35+--($HF36)</f>
        <v>33</v>
      </c>
      <c r="HH36">
        <f t="shared" si="81"/>
        <v>142216</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J36" t="b">
        <f>IF($BH$36="",FALSE,SUMPRODUCT(('Final Calculation Sheet'!$J$4:$J$40=$BH$36)*($HI$6:$HI$42=1))&gt;0)</f>
        <v>1</v>
      </c>
      <c r="HK36">
        <f>$HK$35+--($HJ36)</f>
        <v>33</v>
      </c>
      <c r="HL36">
        <f t="shared" si="82"/>
        <v>932305</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N36" t="b">
        <f>IF($BM$36="",FALSE,SUMPRODUCT(('Final Calculation Sheet'!$K$4:$K$40=$BM$36)*($HM$6:$HM$42=1))&gt;0)</f>
        <v>1</v>
      </c>
      <c r="HO36">
        <f>$HO$35+--($HN36)</f>
        <v>33</v>
      </c>
      <c r="HP36">
        <f t="shared" si="83"/>
        <v>27506</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R36" t="b">
        <f>IF($BR$36="",FALSE,SUMPRODUCT(('Final Calculation Sheet'!$L$4:$L$40=$BR$36)*($HQ$6:$HQ$42=1))&gt;0)</f>
        <v>1</v>
      </c>
      <c r="HS36">
        <f>$HS$35+--($HR36)</f>
        <v>33</v>
      </c>
      <c r="HT36">
        <f t="shared" si="84"/>
        <v>790.08900000000006</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V36" t="b">
        <f>IF($BW$36="",FALSE,SUMPRODUCT(('Final Calculation Sheet'!$M$4:$M$40=$BW$36)*($HU$6:$HU$42=1))&gt;0)</f>
        <v>1</v>
      </c>
      <c r="HW36">
        <f>$HW$35+--($HV36)</f>
        <v>33</v>
      </c>
      <c r="HX36">
        <f t="shared" si="85"/>
        <v>20976.862949999999</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HZ36" t="b">
        <f>IF($CB$36="",FALSE,SUMPRODUCT(('Final Calculation Sheet'!$N$4:$N$40=$CB$36)*($HY$6:$HY$42=1))&gt;0)</f>
        <v>1</v>
      </c>
      <c r="IA36">
        <f>$IA$35+--($HZ36)</f>
        <v>33</v>
      </c>
      <c r="IB36">
        <f t="shared" si="86"/>
        <v>355.54005000000001</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D36" t="b">
        <f>IF($CG$36="",FALSE,SUMPRODUCT(('Final Calculation Sheet'!$O$4:$O$40=$CG$36)*($IC$6:$IC$42=1))&gt;0)</f>
        <v>1</v>
      </c>
      <c r="IE36">
        <f>$IE$35+--($ID36)</f>
        <v>33</v>
      </c>
      <c r="IF36">
        <f t="shared" si="87"/>
        <v>20621.322899999999</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H36" t="b">
        <f>IF($CL$36="",FALSE,SUMPRODUCT(('Final Calculation Sheet'!$P$4:$P$40=$CL$36)*($IG$6:$IG$42=1))&gt;0)</f>
        <v>1</v>
      </c>
      <c r="II36">
        <f>$II$35+--($IH36)</f>
        <v>33</v>
      </c>
      <c r="IJ36">
        <f t="shared" si="88"/>
        <v>31585</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L36" t="b">
        <f>IF($CQ$36="",FALSE,SUMPRODUCT(('Final Calculation Sheet'!$Q$4:$Q$40=$CQ$36)*($IK$6:$IK$42=1))&gt;0)</f>
        <v>0</v>
      </c>
      <c r="IM36">
        <f>$IM$35+--($IL36)</f>
        <v>2</v>
      </c>
      <c r="IN36" t="str">
        <f t="shared" si="89"/>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P36" t="b">
        <f>IF($CV$36="",FALSE,SUMPRODUCT(('Final Calculation Sheet'!$R$4:$R$40=$CV$36)*($IO$6:$IO$42=1))&gt;0)</f>
        <v>0</v>
      </c>
      <c r="IQ36">
        <f>$IQ$35+--($IP36)</f>
        <v>5</v>
      </c>
      <c r="IR36" t="str">
        <f t="shared" si="90"/>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T36" t="b">
        <f>IF($DA$36="",FALSE,SUMPRODUCT(('Final Calculation Sheet'!$S$4:$S$40=$DA$36)*($IS$6:$IS$42=1))&gt;0)</f>
        <v>1</v>
      </c>
      <c r="IU36">
        <f>$IU$35+--($IT36)</f>
        <v>33</v>
      </c>
      <c r="IV36">
        <f t="shared" si="91"/>
        <v>913738</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IX36" t="b">
        <f>IF($DF$36="",FALSE,SUMPRODUCT(('Final Calculation Sheet'!$T$4:$T$40=$DF$36)*($IW$6:$IW$42=1))&gt;0)</f>
        <v>1</v>
      </c>
      <c r="IY36">
        <f>$IY$35+--($IX36)</f>
        <v>33</v>
      </c>
      <c r="IZ36">
        <f t="shared" si="92"/>
        <v>197522</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B36" t="b">
        <f>IF($DK$36="",FALSE,SUMPRODUCT(('Final Calculation Sheet'!$U$4:$U$40=$DK$36)*($JA$6:$JA$42=1))&gt;0)</f>
        <v>1</v>
      </c>
      <c r="JC36">
        <f>$JC$35+--($JB36)</f>
        <v>33</v>
      </c>
      <c r="JD36">
        <f t="shared" si="93"/>
        <v>197522</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F36" t="b">
        <f>IF($DP$36="",FALSE,SUMPRODUCT(('Final Calculation Sheet'!$V$4:$V$40=$DP$36)*($JE$6:$JE$42=1))&gt;0)</f>
        <v>0</v>
      </c>
      <c r="JG36">
        <f>$JG$35+--($JF36)</f>
        <v>6</v>
      </c>
      <c r="JH36" t="str">
        <f t="shared" si="94"/>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J36" t="b">
        <f>IF($DU$36="",FALSE,SUMPRODUCT(('Final Calculation Sheet'!$W$4:$W$40=$DU$36)*($JI$6:$JI$42=1))&gt;0)</f>
        <v>1</v>
      </c>
      <c r="JK36">
        <f>$JK$35+--($JJ36)</f>
        <v>33</v>
      </c>
      <c r="JL36">
        <f t="shared" si="95"/>
        <v>716215</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N36" t="e">
        <f>IF($DZ$36="",FALSE,SUMPRODUCT(('Final Calculation Sheet'!$X$4:$X$40=$DZ$36)*($JM$6:$JM$42=1))&gt;0)</f>
        <v>#N/A</v>
      </c>
      <c r="JO36" t="e">
        <f>$JO$35+--($JN36)</f>
        <v>#N/A</v>
      </c>
      <c r="JP36" t="e">
        <f t="shared" si="96"/>
        <v>#N/A</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R36" t="e">
        <f>IF($EE$36="",FALSE,SUMPRODUCT(('Final Calculation Sheet'!$Y$4:$Y$40=$EE$36)*($JQ$6:$JQ$42=1))&gt;0)</f>
        <v>#N/A</v>
      </c>
      <c r="JS36" t="e">
        <f>$JS$35+--($JR36)</f>
        <v>#N/A</v>
      </c>
      <c r="JT36" t="e">
        <f t="shared" si="97"/>
        <v>#N/A</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V36" t="b">
        <f ca="1">IF($EJ$36="",FALSE,SUMPRODUCT(('Final Calculation Sheet'!$Z$4:$Z$40=$EJ$36)*($JU$6:$JU$42=1))&gt;0)</f>
        <v>1</v>
      </c>
      <c r="JW36">
        <f ca="1">$JW$35+--($JV36)</f>
        <v>33</v>
      </c>
      <c r="JX36">
        <f t="shared" ca="1" si="98"/>
        <v>27969.150600000001</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JZ36" t="e">
        <f>IF($EO$36="",FALSE,SUMPRODUCT(('Final Calculation Sheet'!$AA$4:$AA$40=$EO$36)*($JY$6:$JY$42=1))&gt;0)</f>
        <v>#N/A</v>
      </c>
      <c r="KA36" t="e">
        <f>$KA$35+--($JZ36)</f>
        <v>#N/A</v>
      </c>
      <c r="KB36" t="e">
        <f t="shared" si="99"/>
        <v>#N/A</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D36" t="e">
        <f>IF($ET$36="",FALSE,SUMPRODUCT(('Final Calculation Sheet'!$AB$4:$AB$40=$ET$36)*($KC$6:$KC$42=1))&gt;0)</f>
        <v>#N/A</v>
      </c>
      <c r="KE36" t="e">
        <f>$KE$35+--($KD36)</f>
        <v>#N/A</v>
      </c>
      <c r="KF36" t="e">
        <f t="shared" si="100"/>
        <v>#N/A</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H36" t="b">
        <f>IF($EY$36="",FALSE,SUMPRODUCT(('Final Calculation Sheet'!$AC$4:$AC$40=$EY$36)*($KG$6:$KG$42=1))&gt;0)</f>
        <v>1</v>
      </c>
      <c r="KI36">
        <f>$KI$35+--($KH36)</f>
        <v>33</v>
      </c>
      <c r="KJ36">
        <f t="shared" si="101"/>
        <v>913738</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L36" t="b">
        <f>IF($FD$36="",FALSE,SUMPRODUCT(('Final Calculation Sheet'!$AD$4:$AD$40=$FD$36)*($KK$6:$KK$42=1))&gt;0)</f>
        <v>0</v>
      </c>
      <c r="KM36">
        <f>$KM$35+--($KL36)</f>
        <v>11</v>
      </c>
      <c r="KN36" t="str">
        <f t="shared" si="102"/>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P36" t="b">
        <f>IF($FX$36="",FALSE,SUMPRODUCT((IF('Final Calculation Sheet'!$AD$4:$AD$40&lt;=5,"SETTLED","OUTSTANDING")=$FX$36)*($KO$6:$KO$42=1))&gt;0)</f>
        <v>0</v>
      </c>
      <c r="KQ36">
        <f>$KQ$35+--($KP36)</f>
        <v>1</v>
      </c>
      <c r="KR36" t="str">
        <f t="shared" si="103"/>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T36" t="e">
        <f>IF($FI$36="",FALSE,SUMPRODUCT(('Final Calculation Sheet'!$AF$4:$AF$40=$FI$36)*($KS$6:$KS$42=1))&gt;0)</f>
        <v>#N/A</v>
      </c>
      <c r="KU36" t="e">
        <f>$KU$35+--($KT36)</f>
        <v>#N/A</v>
      </c>
      <c r="KV36" t="e">
        <f t="shared" si="104"/>
        <v>#N/A</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KX36" t="e">
        <f>IF($FN$36="",FALSE,SUMPRODUCT(('Final Calculation Sheet'!$AG$4:$AG$40=$FN$36)*($KW$6:$KW$42=1))&gt;0)</f>
        <v>#N/A</v>
      </c>
      <c r="KY36" t="e">
        <f>$KY$35+--($KX36)</f>
        <v>#N/A</v>
      </c>
      <c r="KZ36" t="e">
        <f t="shared" si="105"/>
        <v>#N/A</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LB36" t="e">
        <f>IF($FS$36="",FALSE,SUMPRODUCT(('Final Calculation Sheet'!$AH$4:$AH$40=$FS$36)*($LA$6:$LA$42=1))&gt;0)</f>
        <v>#N/A</v>
      </c>
      <c r="LC36" t="e">
        <f>$LC$35+--($LB36)</f>
        <v>#N/A</v>
      </c>
      <c r="LD36" t="e">
        <f t="shared" si="106"/>
        <v>#N/A</v>
      </c>
      <c r="LE36">
        <f>IF(COUNTIF('Buyer Groups'!DH36:EN36,0)&gt;0,0,1)</f>
        <v>1</v>
      </c>
      <c r="LF36" t="b">
        <f>IF($O$36="",FALSE,SUMPRODUCT(('Final Calculation Sheet'!$F$4:$F$40=$O$36)*($LE$6:$LE$42=1))&gt;0)</f>
        <v>1</v>
      </c>
      <c r="LG36">
        <f>$LG$35+--($LF36)</f>
        <v>33</v>
      </c>
      <c r="LH36">
        <f t="shared" si="107"/>
        <v>2069</v>
      </c>
      <c r="LI36">
        <f>IF(COUNTIF('Buyer Groups'!DG36:DG36,0)+COUNTIF('Buyer Groups'!DI36:EN36,0)&gt;0,0,1)</f>
        <v>1</v>
      </c>
      <c r="LJ36" t="b">
        <f>IF($T$36="",FALSE,SUMPRODUCT(('Final Calculation Sheet'!$G$4:$G$40=$T$36)*($LI$6:$LI$42=1))&gt;0)</f>
        <v>0</v>
      </c>
      <c r="LK36">
        <f>$LK$35+--($LJ36)</f>
        <v>13</v>
      </c>
      <c r="LL36" t="str">
        <f t="shared" si="108"/>
        <v/>
      </c>
      <c r="LM36">
        <f>IF(COUNTIF('Buyer Groups'!DG36:DH36,0)+COUNTIF('Buyer Groups'!DJ36:EN36,0)&gt;0,0,1)</f>
        <v>1</v>
      </c>
      <c r="LN36" t="b">
        <f>IF($Y$36="",FALSE,SUMPRODUCT(('Final Calculation Sheet'!$B$4:$B$40=$Y$36)*($LM$6:$LM$42=1))&gt;0)</f>
        <v>0</v>
      </c>
      <c r="LO36">
        <f>$LO$35+--($LN36)</f>
        <v>25</v>
      </c>
      <c r="LP36" t="str">
        <f t="shared" si="109"/>
        <v/>
      </c>
      <c r="LQ36">
        <f>IF(COUNTIF('Buyer Groups'!DG36:DI36,0)+COUNTIF('Buyer Groups'!DK36:EN36,0)&gt;0,0,1)</f>
        <v>1</v>
      </c>
      <c r="LR36" t="b">
        <f>IF($AD$36="",FALSE,SUMPRODUCT(('Final Calculation Sheet'!$D$4:$D$40=$AD$36)*($LQ$6:$LQ$42=1))&gt;0)</f>
        <v>0</v>
      </c>
      <c r="LS36">
        <f>$LS$35+--($LR36)</f>
        <v>4</v>
      </c>
      <c r="LT36" t="str">
        <f t="shared" si="110"/>
        <v/>
      </c>
      <c r="LU36">
        <f>IF(COUNTIF('Buyer Groups'!DG36:DJ36,0)+COUNTIF('Buyer Groups'!DL36:EN36,0)&gt;0,0,1)</f>
        <v>1</v>
      </c>
      <c r="LV36" t="b">
        <f>IF($AI$36="",FALSE,SUMPRODUCT(('Final Calculation Sheet'!$A$4:$A$40=$AI$36)*($LU$6:$LU$42=1))&gt;0)</f>
        <v>0</v>
      </c>
      <c r="LW36">
        <f>$LW$35+--($LV36)</f>
        <v>22</v>
      </c>
      <c r="LX36" t="str">
        <f t="shared" si="111"/>
        <v/>
      </c>
      <c r="LY36">
        <f>IF(COUNTIF('Buyer Groups'!DG36:DK36,0)+COUNTIF('Buyer Groups'!DM36:EN36,0)&gt;0,0,1)</f>
        <v>1</v>
      </c>
      <c r="LZ36" t="b">
        <f>IF($AN$36="",FALSE,SUMPRODUCT(('Final Calculation Sheet'!$E$4:$E$40=$AN$36)*($LY$6:$LY$42=1))&gt;0)</f>
        <v>0</v>
      </c>
      <c r="MA36">
        <f>$MA$35+--($LZ36)</f>
        <v>3</v>
      </c>
      <c r="MB36" t="str">
        <f t="shared" si="112"/>
        <v/>
      </c>
      <c r="MC36">
        <f>IF(COUNTIF('Buyer Groups'!DG36:DL36,0)+COUNTIF('Buyer Groups'!DN36:EN36,0)&gt;0,0,1)</f>
        <v>1</v>
      </c>
      <c r="MD36" t="b">
        <f>IF($AS$36="",FALSE,SUMPRODUCT(('Final Calculation Sheet'!$C$4:$C$40=$AS$36)*($MC$6:$MC$42=1))&gt;0)</f>
        <v>1</v>
      </c>
      <c r="ME36">
        <f>$ME$35+--($MD36)</f>
        <v>33</v>
      </c>
      <c r="MF36">
        <f t="shared" si="113"/>
        <v>220001</v>
      </c>
      <c r="MG36">
        <f>IF(COUNTIF('Buyer Groups'!DG36:DM36,0)+COUNTIF('Buyer Groups'!DO36:EN36,0)&gt;0,0,1)</f>
        <v>1</v>
      </c>
      <c r="MH36" t="b">
        <f>IF($AX$36="",FALSE,SUMPRODUCT(('Final Calculation Sheet'!$H$4:$H$40=$AX$36)*($MG$6:$MG$42=1))&gt;0)</f>
        <v>1</v>
      </c>
      <c r="MI36">
        <f>$MI$35+--($MH36)</f>
        <v>33</v>
      </c>
      <c r="MJ36">
        <f t="shared" si="114"/>
        <v>790089</v>
      </c>
      <c r="MK36">
        <f>IF(COUNTIF('Buyer Groups'!DG36:DN36,0)+COUNTIF('Buyer Groups'!DP36:EN36,0)&gt;0,0,1)</f>
        <v>1</v>
      </c>
      <c r="ML36" t="b">
        <f>IF($BC$36="",FALSE,SUMPRODUCT(('Final Calculation Sheet'!$I$4:$I$40=$BC$36)*($MK$6:$MK$42=1))&gt;0)</f>
        <v>1</v>
      </c>
      <c r="MM36">
        <f>$MM$35+--($ML36)</f>
        <v>33</v>
      </c>
      <c r="MN36">
        <f t="shared" si="115"/>
        <v>142216</v>
      </c>
      <c r="MO36">
        <f>IF(COUNTIF('Buyer Groups'!DG36:DO36,0)+COUNTIF('Buyer Groups'!DQ36:EN36,0)&gt;0,0,1)</f>
        <v>1</v>
      </c>
      <c r="MP36" t="b">
        <f>IF($BH$36="",FALSE,SUMPRODUCT(('Final Calculation Sheet'!$J$4:$J$40=$BH$36)*($MO$6:$MO$42=1))&gt;0)</f>
        <v>1</v>
      </c>
      <c r="MQ36">
        <f>$MQ$35+--($MP36)</f>
        <v>33</v>
      </c>
      <c r="MR36">
        <f t="shared" si="116"/>
        <v>932305</v>
      </c>
      <c r="MS36">
        <f>IF(COUNTIF('Buyer Groups'!DG36:DP36,0)+COUNTIF('Buyer Groups'!DR36:EN36,0)&gt;0,0,1)</f>
        <v>1</v>
      </c>
      <c r="MT36" t="b">
        <f>IF($BM$36="",FALSE,SUMPRODUCT(('Final Calculation Sheet'!$K$4:$K$40=$BM$36)*($MS$6:$MS$42=1))&gt;0)</f>
        <v>1</v>
      </c>
      <c r="MU36">
        <f>$MU$35+--($MT36)</f>
        <v>33</v>
      </c>
      <c r="MV36">
        <f t="shared" si="117"/>
        <v>27506</v>
      </c>
      <c r="MW36">
        <f>IF(COUNTIF('Buyer Groups'!DG36:DQ36,0)+COUNTIF('Buyer Groups'!DS36:EN36,0)&gt;0,0,1)</f>
        <v>1</v>
      </c>
      <c r="MX36" t="b">
        <f>IF($BR$36="",FALSE,SUMPRODUCT(('Final Calculation Sheet'!$L$4:$L$40=$BR$36)*($MW$6:$MW$42=1))&gt;0)</f>
        <v>1</v>
      </c>
      <c r="MY36">
        <f>$MY$35+--($MX36)</f>
        <v>33</v>
      </c>
      <c r="MZ36">
        <f t="shared" si="118"/>
        <v>790.08900000000006</v>
      </c>
      <c r="NA36">
        <f>IF(COUNTIF('Buyer Groups'!DG36:DR36,0)+COUNTIF('Buyer Groups'!DT36:EN36,0)&gt;0,0,1)</f>
        <v>1</v>
      </c>
      <c r="NB36" t="b">
        <f>IF($BW$36="",FALSE,SUMPRODUCT(('Final Calculation Sheet'!$M$4:$M$40=$BW$36)*($NA$6:$NA$42=1))&gt;0)</f>
        <v>1</v>
      </c>
      <c r="NC36">
        <f>$NC$35+--($NB36)</f>
        <v>33</v>
      </c>
      <c r="ND36">
        <f t="shared" si="119"/>
        <v>20976.862949999999</v>
      </c>
      <c r="NE36">
        <f>IF(COUNTIF('Buyer Groups'!DG36:DS36,0)+COUNTIF('Buyer Groups'!DU36:EN36,0)&gt;0,0,1)</f>
        <v>1</v>
      </c>
      <c r="NF36" t="b">
        <f>IF($CB$36="",FALSE,SUMPRODUCT(('Final Calculation Sheet'!$N$4:$N$40=$CB$36)*($NE$6:$NE$42=1))&gt;0)</f>
        <v>1</v>
      </c>
      <c r="NG36">
        <f>$NG$35+--($NF36)</f>
        <v>33</v>
      </c>
      <c r="NH36">
        <f t="shared" si="120"/>
        <v>355.54005000000001</v>
      </c>
      <c r="NI36">
        <f>IF(COUNTIF('Buyer Groups'!DG36:DT36,0)+COUNTIF('Buyer Groups'!DV36:EN36,0)&gt;0,0,1)</f>
        <v>1</v>
      </c>
      <c r="NJ36" t="b">
        <f>IF($CG$36="",FALSE,SUMPRODUCT(('Final Calculation Sheet'!$O$4:$O$40=$CG$36)*($NI$6:$NI$42=1))&gt;0)</f>
        <v>1</v>
      </c>
      <c r="NK36">
        <f>$NK$35+--($NJ36)</f>
        <v>33</v>
      </c>
      <c r="NL36">
        <f t="shared" si="121"/>
        <v>20621.322899999999</v>
      </c>
      <c r="NM36">
        <f>IF(COUNTIF('Buyer Groups'!DG36:DU36,0)+COUNTIF('Buyer Groups'!DW36:EN36,0)&gt;0,0,1)</f>
        <v>1</v>
      </c>
      <c r="NN36" t="b">
        <f>IF($CL$36="",FALSE,SUMPRODUCT(('Final Calculation Sheet'!$P$4:$P$40=$CL$36)*($NM$6:$NM$42=1))&gt;0)</f>
        <v>1</v>
      </c>
      <c r="NO36">
        <f>$NO$35+--($NN36)</f>
        <v>33</v>
      </c>
      <c r="NP36">
        <f t="shared" si="122"/>
        <v>31585</v>
      </c>
      <c r="NQ36">
        <f>IF(COUNTIF('Buyer Groups'!DG36:DV36,0)+COUNTIF('Buyer Groups'!DX36:EN36,0)&gt;0,0,1)</f>
        <v>1</v>
      </c>
      <c r="NR36" t="b">
        <f>IF($CQ$36="",FALSE,SUMPRODUCT(('Final Calculation Sheet'!$Q$4:$Q$40=$CQ$36)*($NQ$6:$NQ$42=1))&gt;0)</f>
        <v>0</v>
      </c>
      <c r="NS36">
        <f>$NS$35+--($NR36)</f>
        <v>2</v>
      </c>
      <c r="NT36" t="str">
        <f t="shared" si="123"/>
        <v/>
      </c>
      <c r="NU36">
        <f>IF(COUNTIF('Buyer Groups'!DG36:DW36,0)+COUNTIF('Buyer Groups'!DY36:EN36,0)&gt;0,0,1)</f>
        <v>1</v>
      </c>
      <c r="NV36" t="b">
        <f>IF($CV$36="",FALSE,SUMPRODUCT(('Final Calculation Sheet'!$R$4:$R$40=$CV$36)*($NU$6:$NU$42=1))&gt;0)</f>
        <v>0</v>
      </c>
      <c r="NW36">
        <f>$NW$35+--($NV36)</f>
        <v>5</v>
      </c>
      <c r="NX36" t="str">
        <f t="shared" si="124"/>
        <v/>
      </c>
      <c r="NY36">
        <f>IF(COUNTIF('Buyer Groups'!DG36:DX36,0)+COUNTIF('Buyer Groups'!DZ36:EN36,0)&gt;0,0,1)</f>
        <v>1</v>
      </c>
      <c r="NZ36" t="b">
        <f>IF($DA$36="",FALSE,SUMPRODUCT(('Final Calculation Sheet'!$S$4:$S$40=$DA$36)*($NY$6:$NY$42=1))&gt;0)</f>
        <v>1</v>
      </c>
      <c r="OA36">
        <f>$OA$35+--($NZ36)</f>
        <v>33</v>
      </c>
      <c r="OB36">
        <f t="shared" si="125"/>
        <v>913738</v>
      </c>
      <c r="OC36">
        <f>IF(COUNTIF('Buyer Groups'!DG36:DY36,0)+COUNTIF('Buyer Groups'!EA36:EN36,0)&gt;0,0,1)</f>
        <v>1</v>
      </c>
      <c r="OD36" t="b">
        <f>IF($DF$36="",FALSE,SUMPRODUCT(('Final Calculation Sheet'!$T$4:$T$40=$DF$36)*($OC$6:$OC$42=1))&gt;0)</f>
        <v>1</v>
      </c>
      <c r="OE36">
        <f>$OE$35+--($OD36)</f>
        <v>33</v>
      </c>
      <c r="OF36">
        <f t="shared" si="126"/>
        <v>197522</v>
      </c>
      <c r="OG36">
        <f>IF(COUNTIF('Buyer Groups'!DG36:DZ36,0)+COUNTIF('Buyer Groups'!EB36:EN36,0)&gt;0,0,1)</f>
        <v>1</v>
      </c>
      <c r="OH36" t="b">
        <f>IF($DK$36="",FALSE,SUMPRODUCT(('Final Calculation Sheet'!$U$4:$U$40=$DK$36)*($OG$6:$OG$42=1))&gt;0)</f>
        <v>1</v>
      </c>
      <c r="OI36">
        <f>$OI$35+--($OH36)</f>
        <v>33</v>
      </c>
      <c r="OJ36">
        <f t="shared" si="127"/>
        <v>197522</v>
      </c>
      <c r="OK36">
        <f>IF(COUNTIF('Buyer Groups'!DG36:EA36,0)+COUNTIF('Buyer Groups'!EC36:EN36,0)&gt;0,0,1)</f>
        <v>1</v>
      </c>
      <c r="OL36" t="b">
        <f>IF($DP$36="",FALSE,SUMPRODUCT(('Final Calculation Sheet'!$V$4:$V$40=$DP$36)*($OK$6:$OK$42=1))&gt;0)</f>
        <v>0</v>
      </c>
      <c r="OM36">
        <f>$OM$35+--($OL36)</f>
        <v>6</v>
      </c>
      <c r="ON36" t="str">
        <f t="shared" si="128"/>
        <v/>
      </c>
      <c r="OO36">
        <f>IF(COUNTIF('Buyer Groups'!DG36:EB36,0)+COUNTIF('Buyer Groups'!ED36:EN36,0)&gt;0,0,1)</f>
        <v>1</v>
      </c>
      <c r="OP36" t="b">
        <f>IF($DU$36="",FALSE,SUMPRODUCT(('Final Calculation Sheet'!$W$4:$W$40=$DU$36)*($OO$6:$OO$42=1))&gt;0)</f>
        <v>1</v>
      </c>
      <c r="OQ36">
        <f>$OQ$35+--($OP36)</f>
        <v>33</v>
      </c>
      <c r="OR36">
        <f t="shared" si="129"/>
        <v>716215</v>
      </c>
      <c r="OS36">
        <f>IF(COUNTIF('Buyer Groups'!DG36:EC36,0)+COUNTIF('Buyer Groups'!EE36:EN36,0)&gt;0,0,1)</f>
        <v>1</v>
      </c>
      <c r="OT36" t="e">
        <f>IF($DZ$36="",FALSE,SUMPRODUCT(('Final Calculation Sheet'!$X$4:$X$40=$DZ$36)*($OS$6:$OS$42=1))&gt;0)</f>
        <v>#N/A</v>
      </c>
      <c r="OU36" t="e">
        <f>$OU$35+--($OT36)</f>
        <v>#N/A</v>
      </c>
      <c r="OV36" t="e">
        <f t="shared" si="130"/>
        <v>#N/A</v>
      </c>
      <c r="OW36">
        <f>IF(COUNTIF('Buyer Groups'!DG36:ED36,0)+COUNTIF('Buyer Groups'!EF36:EN36,0)&gt;0,0,1)</f>
        <v>1</v>
      </c>
      <c r="OX36" t="e">
        <f>IF($EE$36="",FALSE,SUMPRODUCT(('Final Calculation Sheet'!$Y$4:$Y$40=$EE$36)*($OW$6:$OW$42=1))&gt;0)</f>
        <v>#N/A</v>
      </c>
      <c r="OY36" t="e">
        <f>$OY$35+--($OX36)</f>
        <v>#N/A</v>
      </c>
      <c r="OZ36" t="e">
        <f t="shared" si="131"/>
        <v>#N/A</v>
      </c>
      <c r="PA36">
        <f>IF(COUNTIF('Buyer Groups'!DG36:EE36,0)+COUNTIF('Buyer Groups'!EG36:EN36,0)&gt;0,0,1)</f>
        <v>1</v>
      </c>
      <c r="PB36" t="b">
        <f ca="1">IF($EJ$36="",FALSE,SUMPRODUCT(('Final Calculation Sheet'!$Z$4:$Z$40=$EJ$36)*($PA$6:$PA$42=1))&gt;0)</f>
        <v>1</v>
      </c>
      <c r="PC36">
        <f ca="1">$PC$35+--($PB36)</f>
        <v>33</v>
      </c>
      <c r="PD36">
        <f t="shared" ca="1" si="132"/>
        <v>27969.150600000001</v>
      </c>
      <c r="PE36">
        <f>IF(COUNTIF('Buyer Groups'!DG36:EF36,0)+COUNTIF('Buyer Groups'!EH36:EN36,0)&gt;0,0,1)</f>
        <v>1</v>
      </c>
      <c r="PF36" t="e">
        <f>IF($EO$36="",FALSE,SUMPRODUCT(('Final Calculation Sheet'!$AA$4:$AA$40=$EO$36)*($PE$6:$PE$42=1))&gt;0)</f>
        <v>#N/A</v>
      </c>
      <c r="PG36" t="e">
        <f>$PG$35+--($PF36)</f>
        <v>#N/A</v>
      </c>
      <c r="PH36" t="e">
        <f t="shared" si="133"/>
        <v>#N/A</v>
      </c>
      <c r="PI36">
        <f>IF(COUNTIF('Buyer Groups'!DG36:EG36,0)+COUNTIF('Buyer Groups'!EI36:EN36,0)&gt;0,0,1)</f>
        <v>1</v>
      </c>
      <c r="PJ36" t="e">
        <f>IF($ET$36="",FALSE,SUMPRODUCT(('Final Calculation Sheet'!$AB$4:$AB$40=$ET$36)*($PI$6:$PI$42=1))&gt;0)</f>
        <v>#N/A</v>
      </c>
      <c r="PK36" t="e">
        <f>$PK$35+--($PJ36)</f>
        <v>#N/A</v>
      </c>
      <c r="PL36" t="e">
        <f t="shared" si="134"/>
        <v>#N/A</v>
      </c>
      <c r="PM36">
        <f>IF(COUNTIF('Buyer Groups'!DG36:EH36,0)+COUNTIF('Buyer Groups'!EJ36:EN36,0)&gt;0,0,1)</f>
        <v>1</v>
      </c>
      <c r="PN36" t="b">
        <f>IF($EY$36="",FALSE,SUMPRODUCT(('Final Calculation Sheet'!$AC$4:$AC$40=$EY$36)*($PM$6:$PM$42=1))&gt;0)</f>
        <v>1</v>
      </c>
      <c r="PO36">
        <f>$PO$35+--($PN36)</f>
        <v>33</v>
      </c>
      <c r="PP36">
        <f t="shared" si="135"/>
        <v>913738</v>
      </c>
      <c r="PQ36">
        <f>IF(COUNTIF('Buyer Groups'!DG36:EI36,0)+COUNTIF('Buyer Groups'!EK36:EN36,0)&gt;0,0,1)</f>
        <v>1</v>
      </c>
      <c r="PR36" t="b">
        <f>IF($FD$36="",FALSE,SUMPRODUCT(('Final Calculation Sheet'!$AD$4:$AD$40=$FD$36)*($PQ$6:$PQ$42=1))&gt;0)</f>
        <v>0</v>
      </c>
      <c r="PS36">
        <f>$PS$35+--($PR36)</f>
        <v>11</v>
      </c>
      <c r="PT36" t="str">
        <f t="shared" si="136"/>
        <v/>
      </c>
      <c r="PU36">
        <f>IF(COUNTIF('Buyer Groups'!DG36:EJ36,0)+COUNTIF('Buyer Groups'!EL36:EN36,0)&gt;0,0,1)</f>
        <v>1</v>
      </c>
      <c r="PV36" t="b">
        <f>IF($FX$36="",FALSE,SUMPRODUCT((IF('Final Calculation Sheet'!$AD$4:$AD$40&lt;=5,"SETTLED","OUTSTANDING")=$FX$36)*($PU$6:$PU$42=1))&gt;0)</f>
        <v>0</v>
      </c>
      <c r="PW36">
        <f>$PW$35+--($PV36)</f>
        <v>1</v>
      </c>
      <c r="PX36" t="str">
        <f t="shared" si="137"/>
        <v/>
      </c>
      <c r="PY36">
        <f>IF(COUNTIF('Buyer Groups'!DG36:EK36,0)+COUNTIF('Buyer Groups'!EM36:EN36,0)&gt;0,0,1)</f>
        <v>1</v>
      </c>
      <c r="PZ36" t="e">
        <f>IF($FI$36="",FALSE,SUMPRODUCT(('Final Calculation Sheet'!$AF$4:$AF$40=$FI$36)*($PY$6:$PY$42=1))&gt;0)</f>
        <v>#N/A</v>
      </c>
      <c r="QA36" t="e">
        <f>$QA$35+--($PZ36)</f>
        <v>#N/A</v>
      </c>
      <c r="QB36" t="e">
        <f t="shared" si="138"/>
        <v>#N/A</v>
      </c>
      <c r="QC36">
        <f>IF(COUNTIF('Buyer Groups'!DG36:EL36,0)+COUNTIF('Buyer Groups'!EN36:EN36,0)&gt;0,0,1)</f>
        <v>1</v>
      </c>
      <c r="QD36" t="e">
        <f>IF($FN$36="",FALSE,SUMPRODUCT(('Final Calculation Sheet'!$AG$4:$AG$40=$FN$36)*($QC$6:$QC$42=1))&gt;0)</f>
        <v>#N/A</v>
      </c>
      <c r="QE36" t="e">
        <f>$QE$35+--($QD36)</f>
        <v>#N/A</v>
      </c>
      <c r="QF36" t="e">
        <f t="shared" si="139"/>
        <v>#N/A</v>
      </c>
      <c r="QG36">
        <f>IF(COUNTIF('Buyer Groups'!DG36:EM36,0)&gt;0,0,1)</f>
        <v>1</v>
      </c>
      <c r="QH36" t="e">
        <f>IF($FS$36="",FALSE,SUMPRODUCT(('Final Calculation Sheet'!$AH$4:$AH$40=$FS$36)*($QG$6:$QG$42=1))&gt;0)</f>
        <v>#N/A</v>
      </c>
      <c r="QI36" t="e">
        <f>$QI$35+--($QH36)</f>
        <v>#N/A</v>
      </c>
      <c r="QJ36" t="e">
        <f t="shared" si="140"/>
        <v>#N/A</v>
      </c>
      <c r="QK36" t="str">
        <f>IF('Final Calculation Sheet'!$AH$36="","",'Final Calculation Sheet'!$AH$36)</f>
        <v/>
      </c>
      <c r="QL36" t="str">
        <f>IF(QK36="","",COUNTIFS(QK$4:QK$40,"&lt;"&amp;QK36,QK$4:QK$40,"&lt;&gt;"&amp;"")+COUNTIF(QK$4:QK36,QK36))</f>
        <v/>
      </c>
      <c r="QM36" t="str">
        <f t="shared" si="141"/>
        <v>27.08.2026</v>
      </c>
      <c r="QN36" t="e">
        <f ca="1">QN35+F(AND(QM36&lt;&gt;"",COUNTIF(QM$4:QM36,QM36)=1),1,0)</f>
        <v>#N/A</v>
      </c>
      <c r="QO36" t="e">
        <f t="shared" si="142"/>
        <v>#N/A</v>
      </c>
      <c r="QP36">
        <f>IF(COUNTIF('Final Calculation Sheet'!$AM36:$BS36,0)&gt;0,0,1)</f>
        <v>1</v>
      </c>
      <c r="QQ36" t="b">
        <f>IF($AI$36="",FALSE,SUMPRODUCT(('Final Calculation Sheet'!$A$4:$A$40=$AI$36)*($QP$4:$QP$40=1))&gt;0)</f>
        <v>0</v>
      </c>
      <c r="QR36">
        <f t="shared" si="177"/>
        <v>22</v>
      </c>
      <c r="QS36" t="str">
        <f t="shared" si="143"/>
        <v/>
      </c>
      <c r="QT36">
        <f>IF(COUNTIF('Final Calculation Sheet'!$AL36:$AL36,0)+COUNTIF('Final Calculation Sheet'!$AN36:$BS36,0)&gt;0,0,1)</f>
        <v>1</v>
      </c>
      <c r="QU36" t="b">
        <f>IF($Y$36="",FALSE,SUMPRODUCT(('Final Calculation Sheet'!$B$4:$B$40=$Y$36)*($QT$4:$QT$40=1))&gt;0)</f>
        <v>0</v>
      </c>
      <c r="QV36">
        <f t="shared" si="178"/>
        <v>25</v>
      </c>
      <c r="QW36" t="str">
        <f t="shared" si="144"/>
        <v/>
      </c>
      <c r="QX36">
        <f>IF(COUNTIF('Final Calculation Sheet'!$AL36:$AM36,0)+COUNTIF('Final Calculation Sheet'!$AO36:$BS36,0)&gt;0,0,1)</f>
        <v>1</v>
      </c>
      <c r="QY36" t="b">
        <f>IF($AS$36="",FALSE,SUMPRODUCT(('Final Calculation Sheet'!$C$4:$C$40=$AS$36)*($QX$4:$QX$40=1))&gt;0)</f>
        <v>1</v>
      </c>
      <c r="QZ36">
        <f t="shared" si="179"/>
        <v>33</v>
      </c>
      <c r="RA36">
        <f t="shared" si="145"/>
        <v>220001</v>
      </c>
      <c r="RB36">
        <f>IF(COUNTIF('Final Calculation Sheet'!$AL36:$AN36,0)+COUNTIF('Final Calculation Sheet'!$AP36:$BS36,0)&gt;0,0,1)</f>
        <v>1</v>
      </c>
      <c r="RC36" t="b">
        <f>IF($AD$36="",FALSE,SUMPRODUCT(('Final Calculation Sheet'!$D$4:$D$40=$AD$36)*($RB$4:$RB$40=1))&gt;0)</f>
        <v>0</v>
      </c>
      <c r="RD36">
        <f t="shared" si="180"/>
        <v>4</v>
      </c>
      <c r="RE36" t="str">
        <f t="shared" si="146"/>
        <v/>
      </c>
      <c r="RF36">
        <f>IF(COUNTIF('Final Calculation Sheet'!$AL36:$AO36,0)+COUNTIF('Final Calculation Sheet'!$AQ36:$BS36,0)&gt;0,0,1)</f>
        <v>1</v>
      </c>
      <c r="RG36" t="b">
        <f>IF($AN$36="",FALSE,SUMPRODUCT(('Final Calculation Sheet'!$E$4:$E$40=$AN$36)*($RF$4:$RF$40=1))&gt;0)</f>
        <v>0</v>
      </c>
      <c r="RH36">
        <f t="shared" si="181"/>
        <v>3</v>
      </c>
      <c r="RI36" t="str">
        <f t="shared" si="147"/>
        <v/>
      </c>
      <c r="RJ36">
        <f>IF(COUNTIF('Final Calculation Sheet'!$AL36:$AP36,0)+COUNTIF('Final Calculation Sheet'!$AR36:$BS36,0)&gt;0,0,1)</f>
        <v>1</v>
      </c>
      <c r="RK36" t="b">
        <f>IF($O$36="",FALSE,SUMPRODUCT(('Final Calculation Sheet'!$F$4:$F$40=$O$36)*($RJ$4:$RJ$40=1))&gt;0)</f>
        <v>1</v>
      </c>
      <c r="RL36">
        <f t="shared" si="182"/>
        <v>33</v>
      </c>
      <c r="RM36">
        <f t="shared" si="148"/>
        <v>2069</v>
      </c>
      <c r="RN36">
        <f>IF(COUNTIF('Final Calculation Sheet'!$AL36:$AQ36,0)+COUNTIF('Final Calculation Sheet'!$AS36:$BS36,0)&gt;0,0,1)</f>
        <v>1</v>
      </c>
      <c r="RO36" t="b">
        <f>IF($T$36="",FALSE,SUMPRODUCT(('Final Calculation Sheet'!$G$4:$G$40=$T$36)*($RN$4:$RN$40=1))&gt;0)</f>
        <v>0</v>
      </c>
      <c r="RP36">
        <f t="shared" si="183"/>
        <v>13</v>
      </c>
      <c r="RQ36" t="str">
        <f t="shared" si="149"/>
        <v/>
      </c>
      <c r="RR36">
        <f>IF(COUNTIF('Final Calculation Sheet'!$AL36:$AR36,0)+COUNTIF('Final Calculation Sheet'!$AT36:$BS36,0)&gt;0,0,1)</f>
        <v>1</v>
      </c>
      <c r="RS36" t="b">
        <f>IF($AX$36="",FALSE,SUMPRODUCT(('Final Calculation Sheet'!$H$4:$H$40=$AX$36)*($RR$4:$RR$40=1))&gt;0)</f>
        <v>1</v>
      </c>
      <c r="RT36">
        <f t="shared" si="184"/>
        <v>33</v>
      </c>
      <c r="RU36">
        <f t="shared" si="150"/>
        <v>790089</v>
      </c>
      <c r="RV36">
        <f>IF(COUNTIF('Final Calculation Sheet'!$AL36:$AS36,0)+COUNTIF('Final Calculation Sheet'!$AU36:$BS36,0)&gt;0,0,1)</f>
        <v>1</v>
      </c>
      <c r="RW36" t="b">
        <f>IF($BC$36="",FALSE,SUMPRODUCT(('Final Calculation Sheet'!$I$4:$I$40=$BC$36)*($RV$4:$RV$40=1))&gt;0)</f>
        <v>1</v>
      </c>
      <c r="RX36">
        <f t="shared" si="185"/>
        <v>33</v>
      </c>
      <c r="RY36">
        <f t="shared" si="151"/>
        <v>142216</v>
      </c>
      <c r="RZ36">
        <f>IF(COUNTIF('Final Calculation Sheet'!$AL36:$AT36,0)+COUNTIF('Final Calculation Sheet'!$AV36:$BS36,0)&gt;0,0,1)</f>
        <v>1</v>
      </c>
      <c r="SA36" t="b">
        <f>IF($BH$36="",FALSE,SUMPRODUCT(('Final Calculation Sheet'!$J$4:$J$40=$BH$36)*($RZ$4:$RZ$40=1))&gt;0)</f>
        <v>1</v>
      </c>
      <c r="SB36">
        <f t="shared" si="186"/>
        <v>33</v>
      </c>
      <c r="SC36">
        <f t="shared" si="152"/>
        <v>932305</v>
      </c>
      <c r="SD36">
        <f>IF(COUNTIF('Final Calculation Sheet'!$AL36:$AU36,0)+COUNTIF('Final Calculation Sheet'!$AW36:$BS36,0)&gt;0,0,1)</f>
        <v>1</v>
      </c>
      <c r="SE36" t="b">
        <f>IF($BM$36="",FALSE,SUMPRODUCT(('Final Calculation Sheet'!$K$4:$K$40=$BM$36)*($SD$4:$SD$40=1))&gt;0)</f>
        <v>1</v>
      </c>
      <c r="SF36">
        <f t="shared" si="187"/>
        <v>33</v>
      </c>
      <c r="SG36">
        <f t="shared" si="153"/>
        <v>27506</v>
      </c>
      <c r="SH36">
        <f>IF(COUNTIF('Final Calculation Sheet'!$AL36:$AV36,0)+COUNTIF('Final Calculation Sheet'!$AX36:$BS36,0)&gt;0,0,1)</f>
        <v>1</v>
      </c>
      <c r="SI36" t="b">
        <f>IF($BR$36="",FALSE,SUMPRODUCT(('Final Calculation Sheet'!$L$4:$L$40=$BR$36)*($SH$4:$SH$40=1))&gt;0)</f>
        <v>1</v>
      </c>
      <c r="SJ36">
        <f t="shared" si="188"/>
        <v>33</v>
      </c>
      <c r="SK36">
        <f t="shared" si="154"/>
        <v>790.08900000000006</v>
      </c>
      <c r="SL36">
        <f>IF(COUNTIF('Final Calculation Sheet'!$AL36:$AW36,0)+COUNTIF('Final Calculation Sheet'!$AY36:$BS36,0)&gt;0,0,1)</f>
        <v>1</v>
      </c>
      <c r="SM36" t="b">
        <f>IF($BW$36="",FALSE,SUMPRODUCT(('Final Calculation Sheet'!$M$4:$M$40=$BW$36)*($SL$4:$SL$40=1))&gt;0)</f>
        <v>1</v>
      </c>
      <c r="SN36">
        <f t="shared" si="189"/>
        <v>33</v>
      </c>
      <c r="SO36">
        <f t="shared" si="155"/>
        <v>20976.862949999999</v>
      </c>
      <c r="SP36">
        <f>IF(COUNTIF('Final Calculation Sheet'!$AL36:$AX36,0)+COUNTIF('Final Calculation Sheet'!$AZ36:$BS36,0)&gt;0,0,1)</f>
        <v>1</v>
      </c>
      <c r="SQ36" t="b">
        <f>IF($CB$36="",FALSE,SUMPRODUCT(('Final Calculation Sheet'!$N$4:$N$40=$CB$36)*($SP$4:$SP$40=1))&gt;0)</f>
        <v>1</v>
      </c>
      <c r="SR36">
        <f t="shared" si="190"/>
        <v>33</v>
      </c>
      <c r="SS36">
        <f t="shared" si="156"/>
        <v>355.54005000000001</v>
      </c>
      <c r="ST36">
        <f>IF(COUNTIF('Final Calculation Sheet'!$AL36:$AY36,0)+COUNTIF('Final Calculation Sheet'!$BA36:$BS36,0)&gt;0,0,1)</f>
        <v>1</v>
      </c>
      <c r="SU36" t="b">
        <f>IF($CG$36="",FALSE,SUMPRODUCT(('Final Calculation Sheet'!$O$4:$O$40=$CG$36)*($ST$4:$ST$40=1))&gt;0)</f>
        <v>1</v>
      </c>
      <c r="SV36">
        <f t="shared" si="191"/>
        <v>33</v>
      </c>
      <c r="SW36">
        <f t="shared" si="157"/>
        <v>20621.322899999999</v>
      </c>
      <c r="SX36">
        <f>IF(COUNTIF('Final Calculation Sheet'!$AL36:$AZ36,0)+COUNTIF('Final Calculation Sheet'!$BB36:$BS36,0)&gt;0,0,1)</f>
        <v>1</v>
      </c>
      <c r="SY36" t="b">
        <f>IF($CL$36="",FALSE,SUMPRODUCT(('Final Calculation Sheet'!$P$4:$P$40=$CL$36)*($SX$4:$SX$40=1))&gt;0)</f>
        <v>1</v>
      </c>
      <c r="SZ36">
        <f t="shared" si="192"/>
        <v>33</v>
      </c>
      <c r="TA36">
        <f t="shared" si="158"/>
        <v>31585</v>
      </c>
      <c r="TB36">
        <f>IF(COUNTIF('Final Calculation Sheet'!$AL36:$BA36,0)+COUNTIF('Final Calculation Sheet'!$BC36:$BS36,0)&gt;0,0,1)</f>
        <v>1</v>
      </c>
      <c r="TC36" t="b">
        <f>IF($CQ$36="",FALSE,SUMPRODUCT(('Final Calculation Sheet'!$Q$4:$Q$40=$CQ$36)*($TB$4:$TB$40=1))&gt;0)</f>
        <v>0</v>
      </c>
      <c r="TD36">
        <f t="shared" si="193"/>
        <v>2</v>
      </c>
      <c r="TE36" t="str">
        <f t="shared" si="159"/>
        <v/>
      </c>
      <c r="TF36">
        <f>IF(COUNTIF('Final Calculation Sheet'!$AL36:$BB36,0)+COUNTIF('Final Calculation Sheet'!$BD36:$BS36,0)&gt;0,0,1)</f>
        <v>1</v>
      </c>
      <c r="TG36" t="b">
        <f>IF($CV$36="",FALSE,SUMPRODUCT(('Final Calculation Sheet'!$R$4:$R$40=$CV$36)*($TF$4:$TF$40=1))&gt;0)</f>
        <v>0</v>
      </c>
      <c r="TH36">
        <f t="shared" si="194"/>
        <v>5</v>
      </c>
      <c r="TI36" t="str">
        <f t="shared" si="160"/>
        <v/>
      </c>
      <c r="TJ36">
        <f>IF(COUNTIF('Final Calculation Sheet'!$AL36:$BC36,0)+COUNTIF('Final Calculation Sheet'!$BE36:$BS36,0)&gt;0,0,1)</f>
        <v>1</v>
      </c>
      <c r="TK36" t="b">
        <f>IF($DA$36="",FALSE,SUMPRODUCT(('Final Calculation Sheet'!$S$4:$S$40=$DA$36)*($TJ$4:$TJ$40=1))&gt;0)</f>
        <v>1</v>
      </c>
      <c r="TL36">
        <f t="shared" si="195"/>
        <v>33</v>
      </c>
      <c r="TM36">
        <f t="shared" si="161"/>
        <v>913738</v>
      </c>
      <c r="TN36">
        <f>IF(COUNTIF('Final Calculation Sheet'!$AL36:$BD36,0)+COUNTIF('Final Calculation Sheet'!$BF36:$BS36,0)&gt;0,0,1)</f>
        <v>1</v>
      </c>
      <c r="TO36" t="b">
        <f>IF($DF$36="",FALSE,SUMPRODUCT(('Final Calculation Sheet'!$T$4:$T$40=$DF$36)*($TN$4:$TN$40=1))&gt;0)</f>
        <v>1</v>
      </c>
      <c r="TP36">
        <f t="shared" si="196"/>
        <v>33</v>
      </c>
      <c r="TQ36">
        <f t="shared" si="162"/>
        <v>197522</v>
      </c>
      <c r="TR36">
        <f>IF(COUNTIF('Final Calculation Sheet'!$AL36:$BE36,0)+COUNTIF('Final Calculation Sheet'!$BG36:$BS36,0)&gt;0,0,1)</f>
        <v>1</v>
      </c>
      <c r="TS36" t="b">
        <f>IF($DK$36="",FALSE,SUMPRODUCT(('Final Calculation Sheet'!$U$4:$U$40=$DK$36)*($TR$4:$TR$40=1))&gt;0)</f>
        <v>1</v>
      </c>
      <c r="TT36">
        <f t="shared" si="197"/>
        <v>33</v>
      </c>
      <c r="TU36">
        <f t="shared" si="163"/>
        <v>197522</v>
      </c>
      <c r="TV36">
        <f>IF(COUNTIF('Final Calculation Sheet'!$AL36:$BF36,0)+COUNTIF('Final Calculation Sheet'!$BH36:$BS36,0)&gt;0,0,1)</f>
        <v>1</v>
      </c>
      <c r="TW36" t="b">
        <f>IF($DP$36="",FALSE,SUMPRODUCT(('Final Calculation Sheet'!$V$4:$V$40=$DP$36)*($TV$4:$TV$40=1))&gt;0)</f>
        <v>0</v>
      </c>
      <c r="TX36">
        <f t="shared" si="198"/>
        <v>6</v>
      </c>
      <c r="TY36" t="str">
        <f t="shared" si="164"/>
        <v/>
      </c>
      <c r="TZ36">
        <f>IF(COUNTIF('Final Calculation Sheet'!$AL36:$BG36,0)+COUNTIF('Final Calculation Sheet'!$BI36:$BS36,0)&gt;0,0,1)</f>
        <v>1</v>
      </c>
      <c r="UA36" t="b">
        <f>IF($DU$36="",FALSE,SUMPRODUCT(('Final Calculation Sheet'!$W$4:$W$40=$DU$36)*($TZ$4:$TZ$40=1))&gt;0)</f>
        <v>1</v>
      </c>
      <c r="UB36">
        <f t="shared" si="199"/>
        <v>33</v>
      </c>
      <c r="UC36">
        <f t="shared" si="165"/>
        <v>716215</v>
      </c>
      <c r="UD36">
        <f>IF(COUNTIF('Final Calculation Sheet'!$AL36:$BH36,0)+COUNTIF('Final Calculation Sheet'!$BJ36:$BS36,0)&gt;0,0,1)</f>
        <v>1</v>
      </c>
      <c r="UE36" t="e">
        <f>IF($DZ$36="",FALSE,SUMPRODUCT(('Final Calculation Sheet'!$X$4:$X$40=$DZ$36)*($UD$4:$UD$40=1))&gt;0)</f>
        <v>#N/A</v>
      </c>
      <c r="UF36" t="e">
        <f t="shared" si="200"/>
        <v>#N/A</v>
      </c>
      <c r="UG36" t="e">
        <f t="shared" si="166"/>
        <v>#N/A</v>
      </c>
      <c r="UH36">
        <f>IF(COUNTIF('Final Calculation Sheet'!$AL36:$BI36,0)+COUNTIF('Final Calculation Sheet'!$BK36:$BS36,0)&gt;0,0,1)</f>
        <v>1</v>
      </c>
      <c r="UI36" t="e">
        <f>IF($EE$36="",FALSE,SUMPRODUCT(('Final Calculation Sheet'!$Y$4:$Y$40=$EE$36)*($UH$4:$UH$40=1))&gt;0)</f>
        <v>#N/A</v>
      </c>
      <c r="UJ36" t="e">
        <f t="shared" si="201"/>
        <v>#N/A</v>
      </c>
      <c r="UK36" t="e">
        <f t="shared" si="167"/>
        <v>#N/A</v>
      </c>
      <c r="UL36">
        <f>IF(COUNTIF('Final Calculation Sheet'!$AL36:$BJ36,0)+COUNTIF('Final Calculation Sheet'!$BL36:$BS36,0)&gt;0,0,1)</f>
        <v>1</v>
      </c>
      <c r="UM36" t="b">
        <f ca="1">IF($EJ$36="",FALSE,SUMPRODUCT(('Final Calculation Sheet'!$Z$4:$Z$40=$EJ$36)*($UL$4:$UL$40=1))&gt;0)</f>
        <v>1</v>
      </c>
      <c r="UN36">
        <f t="shared" ca="1" si="202"/>
        <v>33</v>
      </c>
      <c r="UO36">
        <f t="shared" ca="1" si="168"/>
        <v>27969.150600000001</v>
      </c>
      <c r="UP36">
        <f>IF(COUNTIF('Final Calculation Sheet'!$AL36:$BK36,0)+COUNTIF('Final Calculation Sheet'!$BM36:$BS36,0)&gt;0,0,1)</f>
        <v>1</v>
      </c>
      <c r="UQ36" t="e">
        <f>IF($EO$36="",FALSE,SUMPRODUCT(('Final Calculation Sheet'!$AA$4:$AA$40=$EO$36)*($UP$4:$UP$40=1))&gt;0)</f>
        <v>#N/A</v>
      </c>
      <c r="UR36" t="e">
        <f t="shared" si="203"/>
        <v>#N/A</v>
      </c>
      <c r="US36" t="e">
        <f t="shared" si="169"/>
        <v>#N/A</v>
      </c>
      <c r="UT36">
        <f>IF(COUNTIF('Final Calculation Sheet'!$AL36:$BL36,0)+COUNTIF('Final Calculation Sheet'!$BN36:$BS36,0)&gt;0,0,1)</f>
        <v>1</v>
      </c>
      <c r="UU36" t="e">
        <f>IF($ET$36="",FALSE,SUMPRODUCT(('Final Calculation Sheet'!$AB$4:$AB$40=$ET$36)*($UT$4:$UT$40=1))&gt;0)</f>
        <v>#N/A</v>
      </c>
      <c r="UV36" t="e">
        <f t="shared" si="204"/>
        <v>#N/A</v>
      </c>
      <c r="UW36" t="e">
        <f t="shared" si="170"/>
        <v>#N/A</v>
      </c>
      <c r="UX36">
        <f>IF(COUNTIF('Final Calculation Sheet'!$AL36:$BM36,0)+COUNTIF('Final Calculation Sheet'!$BO36:$BS36,0)&gt;0,0,1)</f>
        <v>1</v>
      </c>
      <c r="UY36" t="b">
        <f>IF($EY$36="",FALSE,SUMPRODUCT(('Final Calculation Sheet'!$AC$4:$AC$40=$EY$36)*($UX$4:$UX$40=1))&gt;0)</f>
        <v>1</v>
      </c>
      <c r="UZ36">
        <f t="shared" si="205"/>
        <v>33</v>
      </c>
      <c r="VA36">
        <f t="shared" si="171"/>
        <v>913738</v>
      </c>
      <c r="VB36">
        <f>IF(COUNTIF('Final Calculation Sheet'!$AL36:$BN36,0)+COUNTIF('Final Calculation Sheet'!$BP36:$BS36,0)&gt;0,0,1)</f>
        <v>1</v>
      </c>
      <c r="VC36" t="b">
        <f>IF($FD$36="",FALSE,SUMPRODUCT(('Final Calculation Sheet'!$AD$4:$AD$40=$FD$36)*($VB$4:$VB$40=1))&gt;0)</f>
        <v>0</v>
      </c>
      <c r="VD36">
        <f t="shared" si="206"/>
        <v>11</v>
      </c>
      <c r="VE36" t="str">
        <f t="shared" si="172"/>
        <v/>
      </c>
      <c r="VF36">
        <f>IF(COUNTIF('Final Calculation Sheet'!$AL36:$BO36,0)+COUNTIF('Final Calculation Sheet'!$BQ36:$BS36,0)&gt;0,0,1)</f>
        <v>1</v>
      </c>
      <c r="VG36" t="e">
        <f>IF($FI$36="",FALSE,SUMPRODUCT(('Final Calculation Sheet'!$AE$4:$AE$40=$FI$36)*($VF$4:$VF$40=1))&gt;0)</f>
        <v>#N/A</v>
      </c>
      <c r="VH36" t="e">
        <f t="shared" si="207"/>
        <v>#N/A</v>
      </c>
      <c r="VI36" t="e">
        <f t="shared" si="173"/>
        <v>#N/A</v>
      </c>
      <c r="VJ36">
        <f>IF(COUNTIF('Final Calculation Sheet'!$AL36:$BP36,0)+COUNTIF('Final Calculation Sheet'!$BR36:$BS36,0)&gt;0,0,1)</f>
        <v>1</v>
      </c>
      <c r="VK36" t="e">
        <f>IF($FN$36="",FALSE,SUMPRODUCT(('Final Calculation Sheet'!$AF$4:$AF$40=$FN$36)*($VJ$4:$VJ$40=1))&gt;0)</f>
        <v>#N/A</v>
      </c>
      <c r="VL36" t="e">
        <f t="shared" si="208"/>
        <v>#N/A</v>
      </c>
      <c r="VM36" t="e">
        <f t="shared" si="174"/>
        <v>#N/A</v>
      </c>
      <c r="VN36">
        <f>IF(COUNTIF('Final Calculation Sheet'!$AL36:$BQ36,0)+COUNTIF('Final Calculation Sheet'!$BS36:$BS36,0)&gt;0,0,1)</f>
        <v>1</v>
      </c>
      <c r="VO36" t="e">
        <f>IF($FS$36="",FALSE,SUMPRODUCT(('Final Calculation Sheet'!$AG$4:$AG$40=$FS$36)*($VN$4:$VN$40=1))&gt;0)</f>
        <v>#N/A</v>
      </c>
      <c r="VP36" t="e">
        <f t="shared" si="209"/>
        <v>#N/A</v>
      </c>
      <c r="VQ36" t="e">
        <f t="shared" si="175"/>
        <v>#N/A</v>
      </c>
      <c r="VR36">
        <f>IF(COUNTIF('Final Calculation Sheet'!$AL36:$BR36,0)&gt;0,0,1)</f>
        <v>1</v>
      </c>
      <c r="VS36" t="e">
        <f>IF($QO$36="",FALSE,SUMPRODUCT(('Final Calculation Sheet'!$AH$4:$AH$40=$QO$36)*($VR$4:$VR$40=1))&gt;0)</f>
        <v>#N/A</v>
      </c>
      <c r="VT36" t="e">
        <f t="shared" si="210"/>
        <v>#N/A</v>
      </c>
      <c r="VU36" t="e">
        <f t="shared" si="176"/>
        <v>#N/A</v>
      </c>
    </row>
    <row r="37" spans="1:593" x14ac:dyDescent="0.3">
      <c r="A37">
        <f>IF('Final Calculation Sheet'!$F$37="","",'Final Calculation Sheet'!$F$37)</f>
        <v>2071</v>
      </c>
      <c r="B37">
        <f>IF(A37="","",COUNTIFS(A$4:A$114,"&lt;"&amp;A37,A$4:A$114,"&lt;&gt;"&amp;"")+COUNTIF(A$4:A37,A37))</f>
        <v>34</v>
      </c>
      <c r="C37">
        <f t="shared" si="211"/>
        <v>2071</v>
      </c>
      <c r="D37">
        <f>D36+IF(AND(C37&lt;&gt;"",COUNTIF(C$4:C37,C37)=1),1,0)</f>
        <v>34</v>
      </c>
      <c r="E37" t="e">
        <f t="shared" si="212"/>
        <v>#N/A</v>
      </c>
      <c r="F37">
        <f t="shared" si="2"/>
        <v>34</v>
      </c>
      <c r="G37">
        <f>IF(F37="","",COUNTIFS(F$4:F$40,"&lt;"&amp;F37,F$4:F$40,"&lt;&gt;"&amp;"")+COUNTIF(F$4:F37,F37))</f>
        <v>34</v>
      </c>
      <c r="H37">
        <f t="shared" si="3"/>
        <v>34</v>
      </c>
      <c r="I37">
        <f>I36+IF(AND(H37&lt;&gt;"",COUNTIF(H$4:H37,H37)=1),1,0)</f>
        <v>34</v>
      </c>
      <c r="J37">
        <f t="shared" si="4"/>
        <v>34</v>
      </c>
      <c r="K37">
        <f>IF('Final Calculation Sheet'!$F$37="","",'Final Calculation Sheet'!$F$37)</f>
        <v>2071</v>
      </c>
      <c r="L37">
        <f>IF(K37="","",COUNTIFS(K$4:K$40,"&lt;"&amp;K37,K$4:K$40,"&lt;&gt;"&amp;"")+COUNTIF(K$4:K37,K37))</f>
        <v>34</v>
      </c>
      <c r="M37">
        <f t="shared" si="5"/>
        <v>2071</v>
      </c>
      <c r="N37">
        <f>N36+IF(AND(M37&lt;&gt;"",COUNTIF(M$4:M37,M37)=1),1,0)</f>
        <v>34</v>
      </c>
      <c r="O37">
        <f t="shared" si="6"/>
        <v>2071</v>
      </c>
      <c r="P37" t="str">
        <f>IF('Final Calculation Sheet'!$G$37="","",'Final Calculation Sheet'!$G$37)</f>
        <v>NATIONAL ENTERPRISES</v>
      </c>
      <c r="Q37">
        <f>IF(P37="","",COUNTIFS(P$4:P$40,"&lt;"&amp;P37,P$4:P$40,"&lt;&gt;"&amp;"")+COUNTIF(P$4:P37,P37))</f>
        <v>19</v>
      </c>
      <c r="R37" t="str">
        <f t="shared" si="7"/>
        <v>STERLING ENTERPRISES</v>
      </c>
      <c r="S37">
        <f>S36+IF(AND(R37&lt;&gt;"",COUNTIF(R$4:R37,R37)=1),1,0)</f>
        <v>12</v>
      </c>
      <c r="T37" t="str">
        <f t="shared" si="8"/>
        <v/>
      </c>
      <c r="U37" t="str">
        <f>IF('Final Calculation Sheet'!$B$37="","",'Final Calculation Sheet'!$B$37)</f>
        <v>Scrap of 66 KV Isolater</v>
      </c>
      <c r="V37">
        <f>IF(U37="","",COUNTIFS(U$4:U$40,"&lt;"&amp;U37,U$4:U$40,"&lt;&gt;"&amp;"")+COUNTIF(U$4:U37,U37))</f>
        <v>22</v>
      </c>
      <c r="W37" t="str">
        <f t="shared" si="9"/>
        <v>Scrap of empty oil drums</v>
      </c>
      <c r="X37">
        <f>X36+IF(AND(W37&lt;&gt;"",COUNTIF(W$4:W37,W37)=1),1,0)</f>
        <v>23</v>
      </c>
      <c r="Y37" t="str">
        <f t="shared" si="10"/>
        <v/>
      </c>
      <c r="Z37">
        <f>IF('Final Calculation Sheet'!$D$37="","",'Final Calculation Sheet'!$D$37)</f>
        <v>21980</v>
      </c>
      <c r="AA37">
        <f>IF(Z37="","",COUNTIFS(Z$4:Z$40,"&lt;"&amp;Z37,Z$4:Z$40,"&lt;&gt;"&amp;"")+COUNTIF(Z$4:Z37,Z37))</f>
        <v>34</v>
      </c>
      <c r="AB37">
        <f t="shared" si="11"/>
        <v>21980</v>
      </c>
      <c r="AC37">
        <f>AC36+IF(AND(AB37&lt;&gt;"",COUNTIF(AB$4:AB37,AB37)=1),1,0)</f>
        <v>4</v>
      </c>
      <c r="AD37" t="str">
        <f t="shared" si="12"/>
        <v/>
      </c>
      <c r="AE37">
        <f>IF('Final Calculation Sheet'!$A$37="","",'Final Calculation Sheet'!$A$37)</f>
        <v>3</v>
      </c>
      <c r="AF37">
        <f>IF(AE37="","",COUNTIFS(AE$4:AE$40,"&lt;"&amp;AE37,AE$4:AE$40,"&lt;&gt;"&amp;"")+COUNTIF(AE$4:AE37,AE37))</f>
        <v>16</v>
      </c>
      <c r="AG37">
        <f t="shared" si="13"/>
        <v>1000</v>
      </c>
      <c r="AH37">
        <f>AH36+IF(AND(AG37&lt;&gt;"",COUNTIF(AG$4:AG37,AG37)=1),1,0)</f>
        <v>19</v>
      </c>
      <c r="AI37" t="str">
        <f t="shared" si="14"/>
        <v/>
      </c>
      <c r="AJ37" t="str">
        <f>IF('Final Calculation Sheet'!$E$37="","",'Final Calculation Sheet'!$E$37)</f>
        <v>NO</v>
      </c>
      <c r="AK37">
        <f>IF(AJ37="","",COUNTIFS(AJ$4:AJ$40,"&lt;"&amp;AJ37,AJ$4:AJ$40,"&lt;&gt;"&amp;"")+COUNTIF(AJ$4:AJ37,AJ37))</f>
        <v>34</v>
      </c>
      <c r="AL37" t="str">
        <f t="shared" si="15"/>
        <v>NO</v>
      </c>
      <c r="AM37">
        <f>AM36+IF(AND(AL37&lt;&gt;"",COUNTIF(AL$4:AL37,AL37)=1),1,0)</f>
        <v>3</v>
      </c>
      <c r="AN37" t="str">
        <f t="shared" si="16"/>
        <v/>
      </c>
      <c r="AO37" s="50">
        <f>IF('Final Calculation Sheet'!$C$37="","",'Final Calculation Sheet'!$C$37)</f>
        <v>25001</v>
      </c>
      <c r="AP37">
        <f>IF(AO37="","",COUNTIFS(AO$4:AO$40,"&lt;"&amp;AO37,AO$4:AO$40,"&lt;&gt;"&amp;"")+COUNTIF(AO$4:AO37,AO37))</f>
        <v>19</v>
      </c>
      <c r="AQ37" s="50">
        <f t="shared" si="17"/>
        <v>210001</v>
      </c>
      <c r="AR37">
        <f>AR36+IF(AND(AQ37&lt;&gt;"",COUNTIF(AQ$4:AQ37,AQ37)=1),1,0)</f>
        <v>32</v>
      </c>
      <c r="AS37" s="50">
        <f t="shared" si="18"/>
        <v>2787314</v>
      </c>
      <c r="AT37" s="50">
        <f>IF('Final Calculation Sheet'!$H$37="","",'Final Calculation Sheet'!$H$37)</f>
        <v>75003</v>
      </c>
      <c r="AU37">
        <f>IF(AT37="","",COUNTIFS(AT$4:AT$40,"&lt;"&amp;AT37,AT$4:AT$40,"&lt;&gt;"&amp;"")+COUNTIF(AT$4:AT37,AT37))</f>
        <v>15</v>
      </c>
      <c r="AV37" s="50">
        <f t="shared" si="19"/>
        <v>1165500</v>
      </c>
      <c r="AW37">
        <f>AW36+IF(AND(AV37&lt;&gt;"",COUNTIF(AV$4:AV37,AV37)=1),1,0)</f>
        <v>34</v>
      </c>
      <c r="AX37" s="50">
        <f t="shared" si="20"/>
        <v>1165500</v>
      </c>
      <c r="AY37" s="50">
        <f>IF('Final Calculation Sheet'!$I$37="","",'Final Calculation Sheet'!$I$37)</f>
        <v>13501</v>
      </c>
      <c r="AZ37">
        <f>IF(AY37="","",COUNTIFS(AY$4:AY$40,"&lt;"&amp;AY37,AY$4:AY$40,"&lt;&gt;"&amp;"")+COUNTIF(AY$4:AY37,AY37))</f>
        <v>15</v>
      </c>
      <c r="BA37" s="50">
        <f t="shared" si="21"/>
        <v>209790</v>
      </c>
      <c r="BB37">
        <f>BB36+IF(AND(BA37&lt;&gt;"",COUNTIF(BA$4:BA37,BA37)=1),1,0)</f>
        <v>34</v>
      </c>
      <c r="BC37" s="50">
        <f t="shared" si="22"/>
        <v>209790</v>
      </c>
      <c r="BD37" s="50">
        <f>IF('Final Calculation Sheet'!$J$37="","",'Final Calculation Sheet'!$J$37)</f>
        <v>88504</v>
      </c>
      <c r="BE37">
        <f>IF(BD37="","",COUNTIFS(BD$4:BD$40,"&lt;"&amp;BD37,BD$4:BD$40,"&lt;&gt;"&amp;"")+COUNTIF(BD$4:BD37,BD37))</f>
        <v>15</v>
      </c>
      <c r="BF37" s="50">
        <f t="shared" si="23"/>
        <v>1375290</v>
      </c>
      <c r="BG37">
        <f>BG36+IF(AND(BF37&lt;&gt;"",COUNTIF(BF$4:BF37,BF37)=1),1,0)</f>
        <v>34</v>
      </c>
      <c r="BH37" s="50">
        <f t="shared" si="24"/>
        <v>1375290</v>
      </c>
      <c r="BI37" s="50">
        <f>IF('Final Calculation Sheet'!$K$37="","",'Final Calculation Sheet'!$K$37)</f>
        <v>1770</v>
      </c>
      <c r="BJ37">
        <f>IF(BI37="","",COUNTIFS(BI$4:BI$40,"&lt;"&amp;BI37,BI$4:BI$40,"&lt;&gt;"&amp;"")+COUNTIF(BI$4:BI37,BI37))</f>
        <v>15</v>
      </c>
      <c r="BK37" s="50">
        <f t="shared" si="25"/>
        <v>27506</v>
      </c>
      <c r="BL37">
        <f>BL36+IF(AND(BK37&lt;&gt;"",COUNTIF(BK$4:BK37,BK37)=1),1,0)</f>
        <v>33</v>
      </c>
      <c r="BM37" s="50">
        <f t="shared" si="26"/>
        <v>38856</v>
      </c>
      <c r="BN37" s="50">
        <f>IF('Final Calculation Sheet'!$L$37="","",'Final Calculation Sheet'!$L$37)</f>
        <v>75.003</v>
      </c>
      <c r="BO37">
        <f>IF(BN37="","",COUNTIFS(BN$4:BN$40,"&lt;"&amp;BN37,BN$4:BN$40,"&lt;&gt;"&amp;"")+COUNTIF(BN$4:BN37,BN37))</f>
        <v>15</v>
      </c>
      <c r="BP37" s="50">
        <f t="shared" si="27"/>
        <v>1165.5</v>
      </c>
      <c r="BQ37">
        <f>BQ36+IF(AND(BP37&lt;&gt;"",COUNTIF(BP$4:BP37,BP37)=1),1,0)</f>
        <v>34</v>
      </c>
      <c r="BR37" s="50">
        <f t="shared" si="28"/>
        <v>1165.5</v>
      </c>
      <c r="BS37" s="50">
        <f>IF('Final Calculation Sheet'!$M$37="","",'Final Calculation Sheet'!$M$37)</f>
        <v>1991.3296499999997</v>
      </c>
      <c r="BT37">
        <f>IF(BS37="","",COUNTIFS(BS$4:BS$40,"&lt;"&amp;BS37,BS$4:BS$40,"&lt;&gt;"&amp;"")+COUNTIF(BS$4:BS37,BS37))</f>
        <v>15</v>
      </c>
      <c r="BU37" s="50">
        <f t="shared" si="29"/>
        <v>30944.024999999998</v>
      </c>
      <c r="BV37">
        <f>BV36+IF(AND(BU37&lt;&gt;"",COUNTIF(BU$4:BU37,BU37)=1),1,0)</f>
        <v>34</v>
      </c>
      <c r="BW37" s="50">
        <f t="shared" si="30"/>
        <v>30944.024999999998</v>
      </c>
      <c r="BX37" s="126">
        <f>IF('Final Calculation Sheet'!$N$37="","",'Final Calculation Sheet'!$N$37)</f>
        <v>33.751349999999995</v>
      </c>
      <c r="BY37">
        <f>IF(BX37="","",COUNTIFS(BX$4:BX$40,"&lt;"&amp;BX37,BX$4:BX$40,"&lt;&gt;"&amp;"")+COUNTIF(BX$4:BX37,BX37))</f>
        <v>15</v>
      </c>
      <c r="BZ37" s="126">
        <f t="shared" si="31"/>
        <v>524.47500000000002</v>
      </c>
      <c r="CA37">
        <f>CA36+IF(AND(BZ37&lt;&gt;"",COUNTIF(BZ$4:BZ37,BZ37)=1),1,0)</f>
        <v>34</v>
      </c>
      <c r="CB37" s="126">
        <f t="shared" si="32"/>
        <v>524.47500000000002</v>
      </c>
      <c r="CC37" s="50">
        <f>IF('Final Calculation Sheet'!$O$37="","",'Final Calculation Sheet'!$O$37)</f>
        <v>1957.5782999999997</v>
      </c>
      <c r="CD37">
        <f>IF(CC37="","",COUNTIFS(CC$4:CC$40,"&lt;"&amp;CC37,CC$4:CC$40,"&lt;&gt;"&amp;"")+COUNTIF(CC$4:CC37,CC37))</f>
        <v>15</v>
      </c>
      <c r="CE37" s="50">
        <f t="shared" si="33"/>
        <v>30419.55</v>
      </c>
      <c r="CF37">
        <f>CF36+IF(AND(CE37&lt;&gt;"",COUNTIF(CE$4:CE37,CE37)=1),1,0)</f>
        <v>34</v>
      </c>
      <c r="CG37" s="50">
        <f t="shared" si="34"/>
        <v>30419.55</v>
      </c>
      <c r="CH37" s="50">
        <f>IF('Final Calculation Sheet'!$P$37="","",'Final Calculation Sheet'!$P$37)</f>
        <v>2033</v>
      </c>
      <c r="CI37">
        <f>IF(CH37="","",COUNTIFS(CH$4:CH$40,"&lt;"&amp;CH37,CH$4:CH$40,"&lt;&gt;"&amp;"")+COUNTIF(CH$4:CH37,CH37))</f>
        <v>15</v>
      </c>
      <c r="CJ37" s="50">
        <f t="shared" si="35"/>
        <v>31585</v>
      </c>
      <c r="CK37">
        <f>CK36+IF(AND(CJ37&lt;&gt;"",COUNTIF(CJ$4:CJ37,CJ37)=1),1,0)</f>
        <v>33</v>
      </c>
      <c r="CL37" s="50">
        <f t="shared" si="36"/>
        <v>44618</v>
      </c>
      <c r="CM37" s="127">
        <f>IF('Final Calculation Sheet'!$Q$37="","",'Final Calculation Sheet'!$Q$37)</f>
        <v>0</v>
      </c>
      <c r="CN37">
        <f>IF(CM37="","",COUNTIFS(CM$4:CM$40,"&lt;"&amp;CM37,CM$4:CM$40,"&lt;&gt;"&amp;"")+COUNTIF(CM$4:CM37,CM37))</f>
        <v>30</v>
      </c>
      <c r="CO37" s="127">
        <f t="shared" si="37"/>
        <v>0.02</v>
      </c>
      <c r="CP37">
        <f>CP36+IF(AND(CO37&lt;&gt;"",COUNTIF(CO$4:CO37,CO37)=1),1,0)</f>
        <v>2</v>
      </c>
      <c r="CQ37" t="str">
        <f t="shared" si="38"/>
        <v/>
      </c>
      <c r="CR37" s="50">
        <f>IF('Final Calculation Sheet'!$R$37="","",'Final Calculation Sheet'!$R$37)</f>
        <v>0</v>
      </c>
      <c r="CS37">
        <f>IF(CR37="","",COUNTIFS(CR$4:CR$40,"&lt;"&amp;CR37,CR$4:CR$40,"&lt;&gt;"&amp;"")+COUNTIF(CR$4:CR37,CR37))</f>
        <v>30</v>
      </c>
      <c r="CT37" s="50">
        <f t="shared" si="39"/>
        <v>10988</v>
      </c>
      <c r="CU37">
        <f>CU36+IF(AND(CT37&lt;&gt;"",COUNTIF(CT$4:CT37,CT37)=1),1,0)</f>
        <v>2</v>
      </c>
      <c r="CV37" t="str">
        <f t="shared" si="40"/>
        <v/>
      </c>
      <c r="CW37" s="50">
        <f>IF('Final Calculation Sheet'!$S$37="","",'Final Calculation Sheet'!$S$37)</f>
        <v>88241</v>
      </c>
      <c r="CX37">
        <f>IF(CW37="","",COUNTIFS(CW$4:CW$40,"&lt;"&amp;CW37,CW$4:CW$40,"&lt;&gt;"&amp;"")+COUNTIF(CW$4:CW37,CW37))</f>
        <v>15</v>
      </c>
      <c r="CY37" s="50">
        <f t="shared" si="41"/>
        <v>1347901</v>
      </c>
      <c r="CZ37">
        <f>CZ36+IF(AND(CY37&lt;&gt;"",COUNTIF(CY$4:CY37,CY37)=1),1,0)</f>
        <v>34</v>
      </c>
      <c r="DA37" s="50">
        <f t="shared" si="42"/>
        <v>1347901</v>
      </c>
      <c r="DB37" s="50">
        <f>IF('Final Calculation Sheet'!$T$37="","",'Final Calculation Sheet'!$T$37)</f>
        <v>18751</v>
      </c>
      <c r="DC37">
        <f>IF(DB37="","",COUNTIFS(DB$4:DB$40,"&lt;"&amp;DB37,DB$4:DB$40,"&lt;&gt;"&amp;"")+COUNTIF(DB$4:DB37,DB37))</f>
        <v>15</v>
      </c>
      <c r="DD37" s="50">
        <f t="shared" si="43"/>
        <v>291375</v>
      </c>
      <c r="DE37">
        <f>DE36+IF(AND(DD37&lt;&gt;"",COUNTIF(DD$4:DD37,DD37)=1),1,0)</f>
        <v>34</v>
      </c>
      <c r="DF37" s="50">
        <f t="shared" si="44"/>
        <v>291375</v>
      </c>
      <c r="DG37" s="128">
        <f>IF('Final Calculation Sheet'!$U$37="","",'Final Calculation Sheet'!$U$37)</f>
        <v>18751</v>
      </c>
      <c r="DH37">
        <f>IF(DG37="","",COUNTIFS(DG$4:DG$40,"&lt;"&amp;DG37,DG$4:DG$40,"&lt;&gt;"&amp;"")+COUNTIF(DG$4:DG37,DG37))</f>
        <v>15</v>
      </c>
      <c r="DI37" s="128">
        <f t="shared" si="45"/>
        <v>291375</v>
      </c>
      <c r="DJ37">
        <f>DJ36+IF(AND(DI37&lt;&gt;"",COUNTIF(DI$4:DI37,DI37)=1),1,0)</f>
        <v>34</v>
      </c>
      <c r="DK37" s="128">
        <f t="shared" si="46"/>
        <v>291375</v>
      </c>
      <c r="DL37" t="str">
        <f>IF('Final Calculation Sheet'!$V$37="","",'Final Calculation Sheet'!$V$37)</f>
        <v>13.08.2026</v>
      </c>
      <c r="DM37">
        <f>IF(DL37="","",COUNTIFS(DL$4:DL$40,"&lt;"&amp;DL37,DL$4:DL$40,"&lt;&gt;"&amp;"")+COUNTIF(DL$4:DL37,DL37))</f>
        <v>26</v>
      </c>
      <c r="DN37" t="str">
        <f t="shared" si="47"/>
        <v>14.08.2026</v>
      </c>
      <c r="DO37">
        <f>DO36+IF(AND(DN37&lt;&gt;"",COUNTIF(DN$4:DN37,DN37)=1),1,0)</f>
        <v>4</v>
      </c>
      <c r="DP37" t="str">
        <f t="shared" si="48"/>
        <v/>
      </c>
      <c r="DQ37" s="50">
        <f>IF('Final Calculation Sheet'!$W$37="","",'Final Calculation Sheet'!$W$37)</f>
        <v>69490</v>
      </c>
      <c r="DR37">
        <f>IF(DQ37="","",COUNTIFS(DQ$4:DQ$40,"&lt;"&amp;DQ37,DQ$4:DQ$40,"&lt;&gt;"&amp;"")+COUNTIF(DQ$4:DQ37,DQ37))</f>
        <v>15</v>
      </c>
      <c r="DS37" s="50">
        <f t="shared" si="49"/>
        <v>1056526</v>
      </c>
      <c r="DT37">
        <f>DT36+IF(AND(DS37&lt;&gt;"",COUNTIF(DS$4:DS37,DS37)=1),1,0)</f>
        <v>34</v>
      </c>
      <c r="DU37" s="50">
        <f t="shared" si="50"/>
        <v>1056526</v>
      </c>
      <c r="DV37" s="50">
        <f>IF('Final Calculation Sheet'!$X$37="","",'Final Calculation Sheet'!$X$37)</f>
        <v>69491</v>
      </c>
      <c r="DW37">
        <f>IF(DV37="","",COUNTIFS(DV$4:DV$40,"&lt;"&amp;DV37,DV$4:DV$40,"&lt;&gt;"&amp;"")+COUNTIF(DV$4:DV37,DV37))</f>
        <v>14</v>
      </c>
      <c r="DX37" s="50">
        <f t="shared" si="51"/>
        <v>3573618.9057083898</v>
      </c>
      <c r="DY37">
        <f>DY36+IF(AND(DX37&lt;&gt;"",COUNTIF(DX$4:DX37,DX37)=1),1,0)</f>
        <v>34</v>
      </c>
      <c r="DZ37" t="e">
        <f t="shared" si="52"/>
        <v>#N/A</v>
      </c>
      <c r="EA37" t="str">
        <f>IF('Final Calculation Sheet'!$Y$37="","",'Final Calculation Sheet'!$Y$37)</f>
        <v>24.08.2026</v>
      </c>
      <c r="EB37">
        <f>IF(EA37="","",COUNTIFS(EA$4:EA$40,"&lt;"&amp;EA37,EA$4:EA$40,"&lt;&gt;"&amp;"")+COUNTIF(EA$4:EA37,EA37))</f>
        <v>34</v>
      </c>
      <c r="EC37" t="str">
        <f t="shared" si="53"/>
        <v>24.08.2026</v>
      </c>
      <c r="ED37">
        <f>ED36+IF(AND(EC37&lt;&gt;"",COUNTIF(EC$4:EC37,EC37)=1),1,0)</f>
        <v>9</v>
      </c>
      <c r="EE37" t="e">
        <f t="shared" si="54"/>
        <v>#N/A</v>
      </c>
      <c r="EF37" s="50">
        <f ca="1">IF('Final Calculation Sheet'!$Z$37="","",'Final Calculation Sheet'!$Z$37)</f>
        <v>2655.1062000000002</v>
      </c>
      <c r="EG37">
        <f ca="1">IF(EF37="","",COUNTIFS(EF$4:EF$40,"&lt;"&amp;EF37,EF$4:EF$40,"&lt;&gt;"&amp;"")+COUNTIF(EF$4:EF37,EF37))</f>
        <v>15</v>
      </c>
      <c r="EH37" s="50">
        <f t="shared" ca="1" si="55"/>
        <v>41258.699999999997</v>
      </c>
      <c r="EI37">
        <f ca="1">EI36+IF(AND(EH37&lt;&gt;"",COUNTIF(EH$4:EH37,EH37)=1),1,0)</f>
        <v>34</v>
      </c>
      <c r="EJ37">
        <f t="shared" ca="1" si="56"/>
        <v>41258.699999999997</v>
      </c>
      <c r="EK37" t="str">
        <f>IF('Final Calculation Sheet'!$AA$37="","",'Final Calculation Sheet'!$AA$37)</f>
        <v/>
      </c>
      <c r="EL37" t="str">
        <f>IF(EK37="","",COUNTIFS(EK$4:EK$40,"&lt;"&amp;EK37,EK$4:EK$40,"&lt;&gt;"&amp;"")+COUNTIF(EK$4:EK37,EK37))</f>
        <v/>
      </c>
      <c r="EM37" t="e">
        <f t="shared" si="57"/>
        <v>#N/A</v>
      </c>
      <c r="EN37" t="e">
        <f>EN36+IF(AND(EM37&lt;&gt;"",COUNTIF(EM$4:EM37,EM37)=1),1,0)</f>
        <v>#N/A</v>
      </c>
      <c r="EO37" t="e">
        <f t="shared" si="58"/>
        <v>#N/A</v>
      </c>
      <c r="EP37" t="str">
        <f>IF('Final Calculation Sheet'!$AB$37="","",'Final Calculation Sheet'!$AB$37)</f>
        <v/>
      </c>
      <c r="EQ37" t="str">
        <f>IF(EP37="","",COUNTIFS(EP$4:EP$40,"&lt;"&amp;EP37,EP$4:EP$40,"&lt;&gt;"&amp;"")+COUNTIF(EP$4:EP37,EP37))</f>
        <v/>
      </c>
      <c r="ER37" t="e">
        <f t="shared" si="59"/>
        <v>#N/A</v>
      </c>
      <c r="ES37" t="e">
        <f>ES36+IF(AND(ER37&lt;&gt;"",COUNTIF(ER$4:ER37,ER37)=1),1,0)</f>
        <v>#N/A</v>
      </c>
      <c r="ET37" t="e">
        <f t="shared" si="60"/>
        <v>#N/A</v>
      </c>
      <c r="EU37" s="50">
        <f>IF('Final Calculation Sheet'!$AC$37="","",'Final Calculation Sheet'!$AC$37)</f>
        <v>88242</v>
      </c>
      <c r="EV37">
        <f>IF(EU37="","",COUNTIFS(EU$4:EU$40,"&lt;"&amp;EU37,EU$4:EU$40,"&lt;&gt;"&amp;"")+COUNTIF(EU$4:EU37,EU37))</f>
        <v>16</v>
      </c>
      <c r="EW37" s="50">
        <f t="shared" si="61"/>
        <v>1347900</v>
      </c>
      <c r="EX37">
        <f>EX36+IF(AND(EW37&lt;&gt;"",COUNTIF(EW$4:EW37,EW37)=1),1,0)</f>
        <v>34</v>
      </c>
      <c r="EY37" s="50">
        <f t="shared" si="62"/>
        <v>1347900</v>
      </c>
      <c r="EZ37" s="50">
        <f>IF('Final Calculation Sheet'!$AD$37="","",'Final Calculation Sheet'!$AD$37)</f>
        <v>-1</v>
      </c>
      <c r="FA37">
        <f>IF(EZ37="","",COUNTIFS(EZ$4:EZ$40,"&lt;"&amp;EZ37,EZ$4:EZ$40,"&lt;&gt;"&amp;"")+COUNTIF(EZ$4:EZ37,EZ37))</f>
        <v>6</v>
      </c>
      <c r="FB37" s="50">
        <f t="shared" si="63"/>
        <v>1</v>
      </c>
      <c r="FC37">
        <f>FC36+IF(AND(FB37&lt;&gt;"",COUNTIF(FB$4:FB37,FB37)=1),1,0)</f>
        <v>8</v>
      </c>
      <c r="FD37" t="str">
        <f t="shared" si="64"/>
        <v/>
      </c>
      <c r="FE37" t="str">
        <f>IF('Final Calculation Sheet'!$AF$37="","",'Final Calculation Sheet'!$AF$37)</f>
        <v>DR2640100040</v>
      </c>
      <c r="FF37">
        <f>IF(FE37="","",COUNTIFS(FE$4:FE$40,"&lt;"&amp;FE37,FE$4:FE$40,"&lt;&gt;"&amp;"")+COUNTIF(FE$4:FE37,FE37))</f>
        <v>29</v>
      </c>
      <c r="FG37" t="str">
        <f t="shared" si="65"/>
        <v>DR2640100045</v>
      </c>
      <c r="FH37" t="e">
        <f>FH36+IF(AND(FG37&lt;&gt;"",COUNTIF(FG$4:FG37,FG37)=1),1,0)</f>
        <v>#N/A</v>
      </c>
      <c r="FI37" t="e">
        <f t="shared" si="66"/>
        <v>#N/A</v>
      </c>
      <c r="FJ37" s="129">
        <f>IF('Final Calculation Sheet'!$AG$37="","",'Final Calculation Sheet'!$AG$37)</f>
        <v>1800003314</v>
      </c>
      <c r="FK37">
        <f>IF(FJ37="","",COUNTIFS(FJ$4:FJ$40,"&lt;"&amp;FJ37,FJ$4:FJ$40,"&lt;&gt;"&amp;"")+COUNTIF(FJ$4:FJ37,FJ37))</f>
        <v>26</v>
      </c>
      <c r="FL37" t="e">
        <f t="shared" si="67"/>
        <v>#N/A</v>
      </c>
      <c r="FM37" t="e">
        <f>FM36+IF(AND(FL37&lt;&gt;"",COUNTIF(FL$4:FL37,FL37)=1),1,0)</f>
        <v>#N/A</v>
      </c>
      <c r="FN37" t="e">
        <f t="shared" si="68"/>
        <v>#N/A</v>
      </c>
      <c r="FO37" t="str">
        <f>IF('Final Calculation Sheet'!$AH$37="","",'Final Calculation Sheet'!$AH$37)</f>
        <v>27.08.2026</v>
      </c>
      <c r="FP37">
        <f>IF(FO37="","",COUNTIFS(FO$4:FO$40,"&lt;"&amp;FO37,FO$4:FO$40,"&lt;&gt;"&amp;"")+COUNTIF(FO$4:FO37,FO37))</f>
        <v>37</v>
      </c>
      <c r="FQ37" t="str">
        <f t="shared" si="69"/>
        <v>27.08.2026</v>
      </c>
      <c r="FR37" t="e">
        <f>FR36+IF(AND(FQ37&lt;&gt;"",COUNTIF(FQ$4:FQ37,FQ37)=1),1,0)</f>
        <v>#N/A</v>
      </c>
      <c r="FS37" t="e">
        <f t="shared" si="70"/>
        <v>#N/A</v>
      </c>
      <c r="FU37" t="str">
        <f>IF(FT37="","",COUNTIFS(FT$4:FT$40,"&lt;"&amp;FT37,FT$4:FT$40,"&lt;&gt;"&amp;"")+COUNTIF(FT$4:FT37,FT37))</f>
        <v/>
      </c>
      <c r="FV37" t="str">
        <f t="shared" si="71"/>
        <v/>
      </c>
      <c r="FW37">
        <f>FW36+IF(AND(FV37&lt;&gt;"",COUNTIF(FV$4:FV37,FV37)=1),1,0)</f>
        <v>2</v>
      </c>
      <c r="FX37" t="str">
        <f t="shared" si="72"/>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7" t="b">
        <f>IF($Y$37="",FALSE,SUMPRODUCT(('Final Calculation Sheet'!$B$4:$B$40=$Y$37)*($FY$6:$FY$42=1))&gt;0)</f>
        <v>0</v>
      </c>
      <c r="GA37">
        <f>$GA$36+--($FZ$37)</f>
        <v>25</v>
      </c>
      <c r="GB37" t="str">
        <f t="shared" si="73"/>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D37" t="b">
        <f>IF($O$37="",FALSE,SUMPRODUCT(('Final Calculation Sheet'!$F$4:$F$40=$O$37)*($GC$6:$GC$42=1))&gt;0)</f>
        <v>1</v>
      </c>
      <c r="GE37">
        <f>$GE$36+--($GD37)</f>
        <v>34</v>
      </c>
      <c r="GF37">
        <f t="shared" si="74"/>
        <v>2071</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H37" t="b">
        <f>IF($T$37="",FALSE,SUMPRODUCT(('Final Calculation Sheet'!$G$4:$G$40=$T$37)*($GG$6:$GG$42=1))&gt;0)</f>
        <v>0</v>
      </c>
      <c r="GI37">
        <f>$GI$36+--($GH37)</f>
        <v>13</v>
      </c>
      <c r="GJ37" t="str">
        <f t="shared" si="75"/>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L37" t="b">
        <f>IF($AD$37="",FALSE,SUMPRODUCT(('Final Calculation Sheet'!$D$4:$D$40=$AD$37)*($GK$6:$GK$42=1))&gt;0)</f>
        <v>0</v>
      </c>
      <c r="GM37">
        <f>$GM$36+--($GL37)</f>
        <v>4</v>
      </c>
      <c r="GN37" t="str">
        <f t="shared" si="76"/>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P37" t="b">
        <f>IF($AI$37="",FALSE,SUMPRODUCT(('Final Calculation Sheet'!$A$4:$A$40=$AI$37)*($GO$6:$GO$42=1))&gt;0)</f>
        <v>0</v>
      </c>
      <c r="GQ37">
        <f>$GQ$36+--($GP37)</f>
        <v>22</v>
      </c>
      <c r="GR37" t="str">
        <f t="shared" si="77"/>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T37" t="b">
        <f>IF($AN$37="",FALSE,SUMPRODUCT(('Final Calculation Sheet'!$E$4:$E$40=$AN$37)*($GS$6:$GS$42=1))&gt;0)</f>
        <v>0</v>
      </c>
      <c r="GU37">
        <f>$GU$36+--($GT37)</f>
        <v>3</v>
      </c>
      <c r="GV37" t="str">
        <f t="shared" si="78"/>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GX37" t="b">
        <f>IF($AS$37="",FALSE,SUMPRODUCT(('Final Calculation Sheet'!$C$4:$C$40=$AS$37)*($GW$6:$GW$42=1))&gt;0)</f>
        <v>1</v>
      </c>
      <c r="GY37">
        <f>$GY$36+--($GX37)</f>
        <v>34</v>
      </c>
      <c r="GZ37">
        <f t="shared" si="79"/>
        <v>2787314</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B37" t="b">
        <f>IF($AX$37="",FALSE,SUMPRODUCT(('Final Calculation Sheet'!$H$4:$H$40=$AX$37)*($HA$6:$HA$42=1))&gt;0)</f>
        <v>1</v>
      </c>
      <c r="HC37">
        <f>$HC$36+--($HB37)</f>
        <v>34</v>
      </c>
      <c r="HD37">
        <f t="shared" si="80"/>
        <v>1165500</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F37" t="b">
        <f>IF($BC$37="",FALSE,SUMPRODUCT(('Final Calculation Sheet'!$I$4:$I$40=$BC$37)*($HE$6:$HE$42=1))&gt;0)</f>
        <v>1</v>
      </c>
      <c r="HG37">
        <f>$HG$36+--($HF37)</f>
        <v>34</v>
      </c>
      <c r="HH37">
        <f t="shared" si="81"/>
        <v>209790</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J37" t="b">
        <f>IF($BH$37="",FALSE,SUMPRODUCT(('Final Calculation Sheet'!$J$4:$J$40=$BH$37)*($HI$6:$HI$42=1))&gt;0)</f>
        <v>1</v>
      </c>
      <c r="HK37">
        <f>$HK$36+--($HJ37)</f>
        <v>34</v>
      </c>
      <c r="HL37">
        <f t="shared" si="82"/>
        <v>1375290</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N37" t="b">
        <f>IF($BM$37="",FALSE,SUMPRODUCT(('Final Calculation Sheet'!$K$4:$K$40=$BM$37)*($HM$6:$HM$42=1))&gt;0)</f>
        <v>1</v>
      </c>
      <c r="HO37">
        <f>$HO$36+--($HN37)</f>
        <v>34</v>
      </c>
      <c r="HP37">
        <f t="shared" si="83"/>
        <v>38856</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R37" t="b">
        <f>IF($BR$37="",FALSE,SUMPRODUCT(('Final Calculation Sheet'!$L$4:$L$40=$BR$37)*($HQ$6:$HQ$42=1))&gt;0)</f>
        <v>1</v>
      </c>
      <c r="HS37">
        <f>$HS$36+--($HR37)</f>
        <v>34</v>
      </c>
      <c r="HT37">
        <f t="shared" si="84"/>
        <v>1165.5</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V37" t="b">
        <f>IF($BW$37="",FALSE,SUMPRODUCT(('Final Calculation Sheet'!$M$4:$M$40=$BW$37)*($HU$6:$HU$42=1))&gt;0)</f>
        <v>1</v>
      </c>
      <c r="HW37">
        <f>$HW$36+--($HV37)</f>
        <v>34</v>
      </c>
      <c r="HX37">
        <f t="shared" si="85"/>
        <v>30944.024999999998</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HZ37" t="b">
        <f>IF($CB$37="",FALSE,SUMPRODUCT(('Final Calculation Sheet'!$N$4:$N$40=$CB$37)*($HY$6:$HY$42=1))&gt;0)</f>
        <v>1</v>
      </c>
      <c r="IA37">
        <f>$IA$36+--($HZ37)</f>
        <v>34</v>
      </c>
      <c r="IB37">
        <f t="shared" si="86"/>
        <v>524.47500000000002</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D37" t="b">
        <f>IF($CG$37="",FALSE,SUMPRODUCT(('Final Calculation Sheet'!$O$4:$O$40=$CG$37)*($IC$6:$IC$42=1))&gt;0)</f>
        <v>1</v>
      </c>
      <c r="IE37">
        <f>$IE$36+--($ID37)</f>
        <v>34</v>
      </c>
      <c r="IF37">
        <f t="shared" si="87"/>
        <v>30419.55</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H37" t="b">
        <f>IF($CL$37="",FALSE,SUMPRODUCT(('Final Calculation Sheet'!$P$4:$P$40=$CL$37)*($IG$6:$IG$42=1))&gt;0)</f>
        <v>1</v>
      </c>
      <c r="II37">
        <f>$II$36+--($IH37)</f>
        <v>34</v>
      </c>
      <c r="IJ37">
        <f t="shared" si="88"/>
        <v>44618</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L37" t="b">
        <f>IF($CQ$37="",FALSE,SUMPRODUCT(('Final Calculation Sheet'!$Q$4:$Q$40=$CQ$37)*($IK$6:$IK$42=1))&gt;0)</f>
        <v>0</v>
      </c>
      <c r="IM37">
        <f>$IM$36+--($IL37)</f>
        <v>2</v>
      </c>
      <c r="IN37" t="str">
        <f t="shared" si="89"/>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P37" t="b">
        <f>IF($CV$37="",FALSE,SUMPRODUCT(('Final Calculation Sheet'!$R$4:$R$40=$CV$37)*($IO$6:$IO$42=1))&gt;0)</f>
        <v>0</v>
      </c>
      <c r="IQ37">
        <f>$IQ$36+--($IP37)</f>
        <v>5</v>
      </c>
      <c r="IR37" t="str">
        <f t="shared" si="90"/>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T37" t="b">
        <f>IF($DA$37="",FALSE,SUMPRODUCT(('Final Calculation Sheet'!$S$4:$S$40=$DA$37)*($IS$6:$IS$42=1))&gt;0)</f>
        <v>1</v>
      </c>
      <c r="IU37">
        <f>$IU$36+--($IT37)</f>
        <v>34</v>
      </c>
      <c r="IV37">
        <f t="shared" si="91"/>
        <v>1347901</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IX37" t="b">
        <f>IF($DF$37="",FALSE,SUMPRODUCT(('Final Calculation Sheet'!$T$4:$T$40=$DF$37)*($IW$6:$IW$42=1))&gt;0)</f>
        <v>1</v>
      </c>
      <c r="IY37">
        <f>$IY$36+--($IX37)</f>
        <v>34</v>
      </c>
      <c r="IZ37">
        <f t="shared" si="92"/>
        <v>291375</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B37" t="b">
        <f>IF($DK$37="",FALSE,SUMPRODUCT(('Final Calculation Sheet'!$U$4:$U$40=$DK$37)*($JA$6:$JA$42=1))&gt;0)</f>
        <v>1</v>
      </c>
      <c r="JC37">
        <f>$JC$36+--($JB37)</f>
        <v>34</v>
      </c>
      <c r="JD37">
        <f t="shared" si="93"/>
        <v>291375</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F37" t="b">
        <f>IF($DP$37="",FALSE,SUMPRODUCT(('Final Calculation Sheet'!$V$4:$V$40=$DP$37)*($JE$6:$JE$42=1))&gt;0)</f>
        <v>0</v>
      </c>
      <c r="JG37">
        <f>$JG$36+--($JF37)</f>
        <v>6</v>
      </c>
      <c r="JH37" t="str">
        <f t="shared" si="94"/>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J37" t="b">
        <f>IF($DU$37="",FALSE,SUMPRODUCT(('Final Calculation Sheet'!$W$4:$W$40=$DU$37)*($JI$6:$JI$42=1))&gt;0)</f>
        <v>1</v>
      </c>
      <c r="JK37">
        <f>$JK$36+--($JJ37)</f>
        <v>34</v>
      </c>
      <c r="JL37">
        <f t="shared" si="95"/>
        <v>1056526</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N37" t="e">
        <f>IF($DZ$37="",FALSE,SUMPRODUCT(('Final Calculation Sheet'!$X$4:$X$40=$DZ$37)*($JM$6:$JM$42=1))&gt;0)</f>
        <v>#N/A</v>
      </c>
      <c r="JO37" t="e">
        <f>$JO$36+--($JN37)</f>
        <v>#N/A</v>
      </c>
      <c r="JP37" t="e">
        <f t="shared" si="96"/>
        <v>#N/A</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R37" t="e">
        <f>IF($EE$37="",FALSE,SUMPRODUCT(('Final Calculation Sheet'!$Y$4:$Y$40=$EE$37)*($JQ$6:$JQ$42=1))&gt;0)</f>
        <v>#N/A</v>
      </c>
      <c r="JS37" t="e">
        <f>$JS$36+--($JR37)</f>
        <v>#N/A</v>
      </c>
      <c r="JT37" t="e">
        <f t="shared" si="97"/>
        <v>#N/A</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V37" t="b">
        <f ca="1">IF($EJ$37="",FALSE,SUMPRODUCT(('Final Calculation Sheet'!$Z$4:$Z$40=$EJ$37)*($JU$6:$JU$42=1))&gt;0)</f>
        <v>1</v>
      </c>
      <c r="JW37">
        <f ca="1">$JW$36+--($JV37)</f>
        <v>34</v>
      </c>
      <c r="JX37">
        <f t="shared" ca="1" si="98"/>
        <v>41258.699999999997</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JZ37" t="e">
        <f>IF($EO$37="",FALSE,SUMPRODUCT(('Final Calculation Sheet'!$AA$4:$AA$40=$EO$37)*($JY$6:$JY$42=1))&gt;0)</f>
        <v>#N/A</v>
      </c>
      <c r="KA37" t="e">
        <f>$KA$36+--($JZ37)</f>
        <v>#N/A</v>
      </c>
      <c r="KB37" t="e">
        <f t="shared" si="99"/>
        <v>#N/A</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D37" t="e">
        <f>IF($ET$37="",FALSE,SUMPRODUCT(('Final Calculation Sheet'!$AB$4:$AB$40=$ET$37)*($KC$6:$KC$42=1))&gt;0)</f>
        <v>#N/A</v>
      </c>
      <c r="KE37" t="e">
        <f>$KE$36+--($KD37)</f>
        <v>#N/A</v>
      </c>
      <c r="KF37" t="e">
        <f t="shared" si="100"/>
        <v>#N/A</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H37" t="b">
        <f>IF($EY$37="",FALSE,SUMPRODUCT(('Final Calculation Sheet'!$AC$4:$AC$40=$EY$37)*($KG$6:$KG$42=1))&gt;0)</f>
        <v>1</v>
      </c>
      <c r="KI37">
        <f>$KI$36+--($KH37)</f>
        <v>34</v>
      </c>
      <c r="KJ37">
        <f t="shared" si="101"/>
        <v>1347900</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L37" t="b">
        <f>IF($FD$37="",FALSE,SUMPRODUCT(('Final Calculation Sheet'!$AD$4:$AD$40=$FD$37)*($KK$6:$KK$42=1))&gt;0)</f>
        <v>0</v>
      </c>
      <c r="KM37">
        <f>$KM$36+--($KL37)</f>
        <v>11</v>
      </c>
      <c r="KN37" t="str">
        <f t="shared" si="102"/>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P37" t="b">
        <f>IF($FX$37="",FALSE,SUMPRODUCT((IF('Final Calculation Sheet'!$AD$4:$AD$40&lt;=5,"SETTLED","OUTSTANDING")=$FX$37)*($KO$6:$KO$42=1))&gt;0)</f>
        <v>0</v>
      </c>
      <c r="KQ37">
        <f>$KQ$36+--($KP37)</f>
        <v>1</v>
      </c>
      <c r="KR37" t="str">
        <f t="shared" si="103"/>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T37" t="e">
        <f>IF($FI$37="",FALSE,SUMPRODUCT(('Final Calculation Sheet'!$AF$4:$AF$40=$FI$37)*($KS$6:$KS$42=1))&gt;0)</f>
        <v>#N/A</v>
      </c>
      <c r="KU37" t="e">
        <f>$KU$36+--($KT37)</f>
        <v>#N/A</v>
      </c>
      <c r="KV37" t="e">
        <f t="shared" si="104"/>
        <v>#N/A</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KX37" t="e">
        <f>IF($FN$37="",FALSE,SUMPRODUCT(('Final Calculation Sheet'!$AG$4:$AG$40=$FN$37)*($KW$6:$KW$42=1))&gt;0)</f>
        <v>#N/A</v>
      </c>
      <c r="KY37" t="e">
        <f>$KY$36+--($KX37)</f>
        <v>#N/A</v>
      </c>
      <c r="KZ37" t="e">
        <f t="shared" si="105"/>
        <v>#N/A</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LB37" t="e">
        <f>IF($FS$37="",FALSE,SUMPRODUCT(('Final Calculation Sheet'!$AH$4:$AH$40=$FS$37)*($LA$6:$LA$42=1))&gt;0)</f>
        <v>#N/A</v>
      </c>
      <c r="LC37" t="e">
        <f>$LC$36+--($LB37)</f>
        <v>#N/A</v>
      </c>
      <c r="LD37" t="e">
        <f t="shared" si="106"/>
        <v>#N/A</v>
      </c>
      <c r="LE37">
        <f>IF(COUNTIF('Buyer Groups'!DH37:EN37,0)&gt;0,0,1)</f>
        <v>1</v>
      </c>
      <c r="LF37" t="b">
        <f>IF($O$37="",FALSE,SUMPRODUCT(('Final Calculation Sheet'!$F$4:$F$40=$O$37)*($LE$6:$LE$42=1))&gt;0)</f>
        <v>1</v>
      </c>
      <c r="LG37">
        <f>$LG$36+--($LF37)</f>
        <v>34</v>
      </c>
      <c r="LH37">
        <f t="shared" si="107"/>
        <v>2071</v>
      </c>
      <c r="LI37">
        <f>IF(COUNTIF('Buyer Groups'!DG37:DG37,0)+COUNTIF('Buyer Groups'!DI37:EN37,0)&gt;0,0,1)</f>
        <v>1</v>
      </c>
      <c r="LJ37" t="b">
        <f>IF($T$37="",FALSE,SUMPRODUCT(('Final Calculation Sheet'!$G$4:$G$40=$T$37)*($LI$6:$LI$42=1))&gt;0)</f>
        <v>0</v>
      </c>
      <c r="LK37">
        <f>$LK$36+--($LJ37)</f>
        <v>13</v>
      </c>
      <c r="LL37" t="str">
        <f t="shared" si="108"/>
        <v/>
      </c>
      <c r="LM37">
        <f>IF(COUNTIF('Buyer Groups'!DG37:DH37,0)+COUNTIF('Buyer Groups'!DJ37:EN37,0)&gt;0,0,1)</f>
        <v>1</v>
      </c>
      <c r="LN37" t="b">
        <f>IF($Y$37="",FALSE,SUMPRODUCT(('Final Calculation Sheet'!$B$4:$B$40=$Y$37)*($LM$6:$LM$42=1))&gt;0)</f>
        <v>0</v>
      </c>
      <c r="LO37">
        <f>$LO$36+--($LN37)</f>
        <v>25</v>
      </c>
      <c r="LP37" t="str">
        <f t="shared" si="109"/>
        <v/>
      </c>
      <c r="LQ37">
        <f>IF(COUNTIF('Buyer Groups'!DG37:DI37,0)+COUNTIF('Buyer Groups'!DK37:EN37,0)&gt;0,0,1)</f>
        <v>1</v>
      </c>
      <c r="LR37" t="b">
        <f>IF($AD$37="",FALSE,SUMPRODUCT(('Final Calculation Sheet'!$D$4:$D$40=$AD$37)*($LQ$6:$LQ$42=1))&gt;0)</f>
        <v>0</v>
      </c>
      <c r="LS37">
        <f>$LS$36+--($LR37)</f>
        <v>4</v>
      </c>
      <c r="LT37" t="str">
        <f t="shared" si="110"/>
        <v/>
      </c>
      <c r="LU37">
        <f>IF(COUNTIF('Buyer Groups'!DG37:DJ37,0)+COUNTIF('Buyer Groups'!DL37:EN37,0)&gt;0,0,1)</f>
        <v>1</v>
      </c>
      <c r="LV37" t="b">
        <f>IF($AI$37="",FALSE,SUMPRODUCT(('Final Calculation Sheet'!$A$4:$A$40=$AI$37)*($LU$6:$LU$42=1))&gt;0)</f>
        <v>0</v>
      </c>
      <c r="LW37">
        <f>$LW$36+--($LV37)</f>
        <v>22</v>
      </c>
      <c r="LX37" t="str">
        <f t="shared" si="111"/>
        <v/>
      </c>
      <c r="LY37">
        <f>IF(COUNTIF('Buyer Groups'!DG37:DK37,0)+COUNTIF('Buyer Groups'!DM37:EN37,0)&gt;0,0,1)</f>
        <v>1</v>
      </c>
      <c r="LZ37" t="b">
        <f>IF($AN$37="",FALSE,SUMPRODUCT(('Final Calculation Sheet'!$E$4:$E$40=$AN$37)*($LY$6:$LY$42=1))&gt;0)</f>
        <v>0</v>
      </c>
      <c r="MA37">
        <f>$MA$36+--($LZ37)</f>
        <v>3</v>
      </c>
      <c r="MB37" t="str">
        <f t="shared" si="112"/>
        <v/>
      </c>
      <c r="MC37">
        <f>IF(COUNTIF('Buyer Groups'!DG37:DL37,0)+COUNTIF('Buyer Groups'!DN37:EN37,0)&gt;0,0,1)</f>
        <v>1</v>
      </c>
      <c r="MD37" t="b">
        <f>IF($AS$37="",FALSE,SUMPRODUCT(('Final Calculation Sheet'!$C$4:$C$40=$AS$37)*($MC$6:$MC$42=1))&gt;0)</f>
        <v>1</v>
      </c>
      <c r="ME37">
        <f>$ME$36+--($MD37)</f>
        <v>34</v>
      </c>
      <c r="MF37">
        <f t="shared" si="113"/>
        <v>2787314</v>
      </c>
      <c r="MG37">
        <f>IF(COUNTIF('Buyer Groups'!DG37:DM37,0)+COUNTIF('Buyer Groups'!DO37:EN37,0)&gt;0,0,1)</f>
        <v>1</v>
      </c>
      <c r="MH37" t="b">
        <f>IF($AX$37="",FALSE,SUMPRODUCT(('Final Calculation Sheet'!$H$4:$H$40=$AX$37)*($MG$6:$MG$42=1))&gt;0)</f>
        <v>1</v>
      </c>
      <c r="MI37">
        <f>$MI$36+--($MH37)</f>
        <v>34</v>
      </c>
      <c r="MJ37">
        <f t="shared" si="114"/>
        <v>1165500</v>
      </c>
      <c r="MK37">
        <f>IF(COUNTIF('Buyer Groups'!DG37:DN37,0)+COUNTIF('Buyer Groups'!DP37:EN37,0)&gt;0,0,1)</f>
        <v>1</v>
      </c>
      <c r="ML37" t="b">
        <f>IF($BC$37="",FALSE,SUMPRODUCT(('Final Calculation Sheet'!$I$4:$I$40=$BC$37)*($MK$6:$MK$42=1))&gt;0)</f>
        <v>1</v>
      </c>
      <c r="MM37">
        <f>$MM$36+--($ML37)</f>
        <v>34</v>
      </c>
      <c r="MN37">
        <f t="shared" si="115"/>
        <v>209790</v>
      </c>
      <c r="MO37">
        <f>IF(COUNTIF('Buyer Groups'!DG37:DO37,0)+COUNTIF('Buyer Groups'!DQ37:EN37,0)&gt;0,0,1)</f>
        <v>1</v>
      </c>
      <c r="MP37" t="b">
        <f>IF($BH$37="",FALSE,SUMPRODUCT(('Final Calculation Sheet'!$J$4:$J$40=$BH$37)*($MO$6:$MO$42=1))&gt;0)</f>
        <v>1</v>
      </c>
      <c r="MQ37">
        <f>$MQ$36+--($MP37)</f>
        <v>34</v>
      </c>
      <c r="MR37">
        <f t="shared" si="116"/>
        <v>1375290</v>
      </c>
      <c r="MS37">
        <f>IF(COUNTIF('Buyer Groups'!DG37:DP37,0)+COUNTIF('Buyer Groups'!DR37:EN37,0)&gt;0,0,1)</f>
        <v>1</v>
      </c>
      <c r="MT37" t="b">
        <f>IF($BM$37="",FALSE,SUMPRODUCT(('Final Calculation Sheet'!$K$4:$K$40=$BM$37)*($MS$6:$MS$42=1))&gt;0)</f>
        <v>1</v>
      </c>
      <c r="MU37">
        <f>$MU$36+--($MT37)</f>
        <v>34</v>
      </c>
      <c r="MV37">
        <f t="shared" si="117"/>
        <v>38856</v>
      </c>
      <c r="MW37">
        <f>IF(COUNTIF('Buyer Groups'!DG37:DQ37,0)+COUNTIF('Buyer Groups'!DS37:EN37,0)&gt;0,0,1)</f>
        <v>1</v>
      </c>
      <c r="MX37" t="b">
        <f>IF($BR$37="",FALSE,SUMPRODUCT(('Final Calculation Sheet'!$L$4:$L$40=$BR$37)*($MW$6:$MW$42=1))&gt;0)</f>
        <v>1</v>
      </c>
      <c r="MY37">
        <f>$MY$36+--($MX37)</f>
        <v>34</v>
      </c>
      <c r="MZ37">
        <f t="shared" si="118"/>
        <v>1165.5</v>
      </c>
      <c r="NA37">
        <f>IF(COUNTIF('Buyer Groups'!DG37:DR37,0)+COUNTIF('Buyer Groups'!DT37:EN37,0)&gt;0,0,1)</f>
        <v>1</v>
      </c>
      <c r="NB37" t="b">
        <f>IF($BW$37="",FALSE,SUMPRODUCT(('Final Calculation Sheet'!$M$4:$M$40=$BW$37)*($NA$6:$NA$42=1))&gt;0)</f>
        <v>1</v>
      </c>
      <c r="NC37">
        <f>$NC$36+--($NB37)</f>
        <v>34</v>
      </c>
      <c r="ND37">
        <f t="shared" si="119"/>
        <v>30944.024999999998</v>
      </c>
      <c r="NE37">
        <f>IF(COUNTIF('Buyer Groups'!DG37:DS37,0)+COUNTIF('Buyer Groups'!DU37:EN37,0)&gt;0,0,1)</f>
        <v>1</v>
      </c>
      <c r="NF37" t="b">
        <f>IF($CB$37="",FALSE,SUMPRODUCT(('Final Calculation Sheet'!$N$4:$N$40=$CB$37)*($NE$6:$NE$42=1))&gt;0)</f>
        <v>1</v>
      </c>
      <c r="NG37">
        <f>$NG$36+--($NF37)</f>
        <v>34</v>
      </c>
      <c r="NH37">
        <f t="shared" si="120"/>
        <v>524.47500000000002</v>
      </c>
      <c r="NI37">
        <f>IF(COUNTIF('Buyer Groups'!DG37:DT37,0)+COUNTIF('Buyer Groups'!DV37:EN37,0)&gt;0,0,1)</f>
        <v>1</v>
      </c>
      <c r="NJ37" t="b">
        <f>IF($CG$37="",FALSE,SUMPRODUCT(('Final Calculation Sheet'!$O$4:$O$40=$CG$37)*($NI$6:$NI$42=1))&gt;0)</f>
        <v>1</v>
      </c>
      <c r="NK37">
        <f>$NK$36+--($NJ37)</f>
        <v>34</v>
      </c>
      <c r="NL37">
        <f t="shared" si="121"/>
        <v>30419.55</v>
      </c>
      <c r="NM37">
        <f>IF(COUNTIF('Buyer Groups'!DG37:DU37,0)+COUNTIF('Buyer Groups'!DW37:EN37,0)&gt;0,0,1)</f>
        <v>1</v>
      </c>
      <c r="NN37" t="b">
        <f>IF($CL$37="",FALSE,SUMPRODUCT(('Final Calculation Sheet'!$P$4:$P$40=$CL$37)*($NM$6:$NM$42=1))&gt;0)</f>
        <v>1</v>
      </c>
      <c r="NO37">
        <f>$NO$36+--($NN37)</f>
        <v>34</v>
      </c>
      <c r="NP37">
        <f t="shared" si="122"/>
        <v>44618</v>
      </c>
      <c r="NQ37">
        <f>IF(COUNTIF('Buyer Groups'!DG37:DV37,0)+COUNTIF('Buyer Groups'!DX37:EN37,0)&gt;0,0,1)</f>
        <v>1</v>
      </c>
      <c r="NR37" t="b">
        <f>IF($CQ$37="",FALSE,SUMPRODUCT(('Final Calculation Sheet'!$Q$4:$Q$40=$CQ$37)*($NQ$6:$NQ$42=1))&gt;0)</f>
        <v>0</v>
      </c>
      <c r="NS37">
        <f>$NS$36+--($NR37)</f>
        <v>2</v>
      </c>
      <c r="NT37" t="str">
        <f t="shared" si="123"/>
        <v/>
      </c>
      <c r="NU37">
        <f>IF(COUNTIF('Buyer Groups'!DG37:DW37,0)+COUNTIF('Buyer Groups'!DY37:EN37,0)&gt;0,0,1)</f>
        <v>1</v>
      </c>
      <c r="NV37" t="b">
        <f>IF($CV$37="",FALSE,SUMPRODUCT(('Final Calculation Sheet'!$R$4:$R$40=$CV$37)*($NU$6:$NU$42=1))&gt;0)</f>
        <v>0</v>
      </c>
      <c r="NW37">
        <f>$NW$36+--($NV37)</f>
        <v>5</v>
      </c>
      <c r="NX37" t="str">
        <f t="shared" si="124"/>
        <v/>
      </c>
      <c r="NY37">
        <f>IF(COUNTIF('Buyer Groups'!DG37:DX37,0)+COUNTIF('Buyer Groups'!DZ37:EN37,0)&gt;0,0,1)</f>
        <v>1</v>
      </c>
      <c r="NZ37" t="b">
        <f>IF($DA$37="",FALSE,SUMPRODUCT(('Final Calculation Sheet'!$S$4:$S$40=$DA$37)*($NY$6:$NY$42=1))&gt;0)</f>
        <v>1</v>
      </c>
      <c r="OA37">
        <f>$OA$36+--($NZ37)</f>
        <v>34</v>
      </c>
      <c r="OB37">
        <f t="shared" si="125"/>
        <v>1347901</v>
      </c>
      <c r="OC37">
        <f>IF(COUNTIF('Buyer Groups'!DG37:DY37,0)+COUNTIF('Buyer Groups'!EA37:EN37,0)&gt;0,0,1)</f>
        <v>1</v>
      </c>
      <c r="OD37" t="b">
        <f>IF($DF$37="",FALSE,SUMPRODUCT(('Final Calculation Sheet'!$T$4:$T$40=$DF$37)*($OC$6:$OC$42=1))&gt;0)</f>
        <v>1</v>
      </c>
      <c r="OE37">
        <f>$OE$36+--($OD37)</f>
        <v>34</v>
      </c>
      <c r="OF37">
        <f t="shared" si="126"/>
        <v>291375</v>
      </c>
      <c r="OG37">
        <f>IF(COUNTIF('Buyer Groups'!DG37:DZ37,0)+COUNTIF('Buyer Groups'!EB37:EN37,0)&gt;0,0,1)</f>
        <v>1</v>
      </c>
      <c r="OH37" t="b">
        <f>IF($DK$37="",FALSE,SUMPRODUCT(('Final Calculation Sheet'!$U$4:$U$40=$DK$37)*($OG$6:$OG$42=1))&gt;0)</f>
        <v>1</v>
      </c>
      <c r="OI37">
        <f>$OI$36+--($OH37)</f>
        <v>34</v>
      </c>
      <c r="OJ37">
        <f t="shared" si="127"/>
        <v>291375</v>
      </c>
      <c r="OK37">
        <f>IF(COUNTIF('Buyer Groups'!DG37:EA37,0)+COUNTIF('Buyer Groups'!EC37:EN37,0)&gt;0,0,1)</f>
        <v>1</v>
      </c>
      <c r="OL37" t="b">
        <f>IF($DP$37="",FALSE,SUMPRODUCT(('Final Calculation Sheet'!$V$4:$V$40=$DP$37)*($OK$6:$OK$42=1))&gt;0)</f>
        <v>0</v>
      </c>
      <c r="OM37">
        <f>$OM$36+--($OL37)</f>
        <v>6</v>
      </c>
      <c r="ON37" t="str">
        <f t="shared" si="128"/>
        <v/>
      </c>
      <c r="OO37">
        <f>IF(COUNTIF('Buyer Groups'!DG37:EB37,0)+COUNTIF('Buyer Groups'!ED37:EN37,0)&gt;0,0,1)</f>
        <v>1</v>
      </c>
      <c r="OP37" t="b">
        <f>IF($DU$37="",FALSE,SUMPRODUCT(('Final Calculation Sheet'!$W$4:$W$40=$DU$37)*($OO$6:$OO$42=1))&gt;0)</f>
        <v>1</v>
      </c>
      <c r="OQ37">
        <f>$OQ$36+--($OP37)</f>
        <v>34</v>
      </c>
      <c r="OR37">
        <f t="shared" si="129"/>
        <v>1056526</v>
      </c>
      <c r="OS37">
        <f>IF(COUNTIF('Buyer Groups'!DG37:EC37,0)+COUNTIF('Buyer Groups'!EE37:EN37,0)&gt;0,0,1)</f>
        <v>1</v>
      </c>
      <c r="OT37" t="e">
        <f>IF($DZ$37="",FALSE,SUMPRODUCT(('Final Calculation Sheet'!$X$4:$X$40=$DZ$37)*($OS$6:$OS$42=1))&gt;0)</f>
        <v>#N/A</v>
      </c>
      <c r="OU37" t="e">
        <f>$OU$36+--($OT37)</f>
        <v>#N/A</v>
      </c>
      <c r="OV37" t="e">
        <f t="shared" si="130"/>
        <v>#N/A</v>
      </c>
      <c r="OW37">
        <f>IF(COUNTIF('Buyer Groups'!DG37:ED37,0)+COUNTIF('Buyer Groups'!EF37:EN37,0)&gt;0,0,1)</f>
        <v>1</v>
      </c>
      <c r="OX37" t="e">
        <f>IF($EE$37="",FALSE,SUMPRODUCT(('Final Calculation Sheet'!$Y$4:$Y$40=$EE$37)*($OW$6:$OW$42=1))&gt;0)</f>
        <v>#N/A</v>
      </c>
      <c r="OY37" t="e">
        <f>$OY$36+--($OX37)</f>
        <v>#N/A</v>
      </c>
      <c r="OZ37" t="e">
        <f t="shared" si="131"/>
        <v>#N/A</v>
      </c>
      <c r="PA37">
        <f>IF(COUNTIF('Buyer Groups'!DG37:EE37,0)+COUNTIF('Buyer Groups'!EG37:EN37,0)&gt;0,0,1)</f>
        <v>1</v>
      </c>
      <c r="PB37" t="b">
        <f ca="1">IF($EJ$37="",FALSE,SUMPRODUCT(('Final Calculation Sheet'!$Z$4:$Z$40=$EJ$37)*($PA$6:$PA$42=1))&gt;0)</f>
        <v>1</v>
      </c>
      <c r="PC37">
        <f ca="1">$PC$36+--($PB37)</f>
        <v>34</v>
      </c>
      <c r="PD37">
        <f t="shared" ca="1" si="132"/>
        <v>41258.699999999997</v>
      </c>
      <c r="PE37">
        <f>IF(COUNTIF('Buyer Groups'!DG37:EF37,0)+COUNTIF('Buyer Groups'!EH37:EN37,0)&gt;0,0,1)</f>
        <v>1</v>
      </c>
      <c r="PF37" t="e">
        <f>IF($EO$37="",FALSE,SUMPRODUCT(('Final Calculation Sheet'!$AA$4:$AA$40=$EO$37)*($PE$6:$PE$42=1))&gt;0)</f>
        <v>#N/A</v>
      </c>
      <c r="PG37" t="e">
        <f>$PG$36+--($PF37)</f>
        <v>#N/A</v>
      </c>
      <c r="PH37" t="e">
        <f t="shared" si="133"/>
        <v>#N/A</v>
      </c>
      <c r="PI37">
        <f>IF(COUNTIF('Buyer Groups'!DG37:EG37,0)+COUNTIF('Buyer Groups'!EI37:EN37,0)&gt;0,0,1)</f>
        <v>1</v>
      </c>
      <c r="PJ37" t="e">
        <f>IF($ET$37="",FALSE,SUMPRODUCT(('Final Calculation Sheet'!$AB$4:$AB$40=$ET$37)*($PI$6:$PI$42=1))&gt;0)</f>
        <v>#N/A</v>
      </c>
      <c r="PK37" t="e">
        <f>$PK$36+--($PJ37)</f>
        <v>#N/A</v>
      </c>
      <c r="PL37" t="e">
        <f t="shared" si="134"/>
        <v>#N/A</v>
      </c>
      <c r="PM37">
        <f>IF(COUNTIF('Buyer Groups'!DG37:EH37,0)+COUNTIF('Buyer Groups'!EJ37:EN37,0)&gt;0,0,1)</f>
        <v>1</v>
      </c>
      <c r="PN37" t="b">
        <f>IF($EY$37="",FALSE,SUMPRODUCT(('Final Calculation Sheet'!$AC$4:$AC$40=$EY$37)*($PM$6:$PM$42=1))&gt;0)</f>
        <v>1</v>
      </c>
      <c r="PO37">
        <f>$PO$36+--($PN37)</f>
        <v>34</v>
      </c>
      <c r="PP37">
        <f t="shared" si="135"/>
        <v>1347900</v>
      </c>
      <c r="PQ37">
        <f>IF(COUNTIF('Buyer Groups'!DG37:EI37,0)+COUNTIF('Buyer Groups'!EK37:EN37,0)&gt;0,0,1)</f>
        <v>1</v>
      </c>
      <c r="PR37" t="b">
        <f>IF($FD$37="",FALSE,SUMPRODUCT(('Final Calculation Sheet'!$AD$4:$AD$40=$FD$37)*($PQ$6:$PQ$42=1))&gt;0)</f>
        <v>0</v>
      </c>
      <c r="PS37">
        <f>$PS$36+--($PR37)</f>
        <v>11</v>
      </c>
      <c r="PT37" t="str">
        <f t="shared" si="136"/>
        <v/>
      </c>
      <c r="PU37">
        <f>IF(COUNTIF('Buyer Groups'!DG37:EJ37,0)+COUNTIF('Buyer Groups'!EL37:EN37,0)&gt;0,0,1)</f>
        <v>1</v>
      </c>
      <c r="PV37" t="b">
        <f>IF($FX$37="",FALSE,SUMPRODUCT((IF('Final Calculation Sheet'!$AD$4:$AD$40&lt;=5,"SETTLED","OUTSTANDING")=$FX$37)*($PU$6:$PU$42=1))&gt;0)</f>
        <v>0</v>
      </c>
      <c r="PW37">
        <f>$PW$36+--($PV37)</f>
        <v>1</v>
      </c>
      <c r="PX37" t="str">
        <f t="shared" si="137"/>
        <v/>
      </c>
      <c r="PY37">
        <f>IF(COUNTIF('Buyer Groups'!DG37:EK37,0)+COUNTIF('Buyer Groups'!EM37:EN37,0)&gt;0,0,1)</f>
        <v>1</v>
      </c>
      <c r="PZ37" t="e">
        <f>IF($FI$37="",FALSE,SUMPRODUCT(('Final Calculation Sheet'!$AF$4:$AF$40=$FI$37)*($PY$6:$PY$42=1))&gt;0)</f>
        <v>#N/A</v>
      </c>
      <c r="QA37" t="e">
        <f>$QA$36+--($PZ37)</f>
        <v>#N/A</v>
      </c>
      <c r="QB37" t="e">
        <f t="shared" si="138"/>
        <v>#N/A</v>
      </c>
      <c r="QC37">
        <f>IF(COUNTIF('Buyer Groups'!DG37:EL37,0)+COUNTIF('Buyer Groups'!EN37:EN37,0)&gt;0,0,1)</f>
        <v>1</v>
      </c>
      <c r="QD37" t="e">
        <f>IF($FN$37="",FALSE,SUMPRODUCT(('Final Calculation Sheet'!$AG$4:$AG$40=$FN$37)*($QC$6:$QC$42=1))&gt;0)</f>
        <v>#N/A</v>
      </c>
      <c r="QE37" t="e">
        <f>$QE$36+--($QD37)</f>
        <v>#N/A</v>
      </c>
      <c r="QF37" t="e">
        <f t="shared" si="139"/>
        <v>#N/A</v>
      </c>
      <c r="QG37">
        <f>IF(COUNTIF('Buyer Groups'!DG37:EM37,0)&gt;0,0,1)</f>
        <v>1</v>
      </c>
      <c r="QH37" t="e">
        <f>IF($FS$37="",FALSE,SUMPRODUCT(('Final Calculation Sheet'!$AH$4:$AH$40=$FS$37)*($QG$6:$QG$42=1))&gt;0)</f>
        <v>#N/A</v>
      </c>
      <c r="QI37" t="e">
        <f>$QI$36+--($QH37)</f>
        <v>#N/A</v>
      </c>
      <c r="QJ37" t="e">
        <f t="shared" si="140"/>
        <v>#N/A</v>
      </c>
      <c r="QK37" t="str">
        <f>IF('Final Calculation Sheet'!$AH$37="","",'Final Calculation Sheet'!$AH$37)</f>
        <v>27.08.2026</v>
      </c>
      <c r="QL37">
        <f>IF(QK37="","",COUNTIFS(QK$4:QK$40,"&lt;"&amp;QK37,QK$4:QK$40,"&lt;&gt;"&amp;"")+COUNTIF(QK$4:QK37,QK37))</f>
        <v>37</v>
      </c>
      <c r="QM37" t="str">
        <f t="shared" si="141"/>
        <v>27.08.2026</v>
      </c>
      <c r="QN37" t="e">
        <f ca="1">QN36+F(AND(QM37&lt;&gt;"",COUNTIF(QM$4:QM37,QM37)=1),1,0)</f>
        <v>#N/A</v>
      </c>
      <c r="QO37" t="e">
        <f t="shared" si="142"/>
        <v>#N/A</v>
      </c>
      <c r="QP37">
        <f>IF(COUNTIF('Final Calculation Sheet'!$AM37:$BS37,0)&gt;0,0,1)</f>
        <v>1</v>
      </c>
      <c r="QQ37" t="b">
        <f>IF($AI$37="",FALSE,SUMPRODUCT(('Final Calculation Sheet'!$A$4:$A$40=$AI$37)*($QP$4:$QP$40=1))&gt;0)</f>
        <v>0</v>
      </c>
      <c r="QR37">
        <f t="shared" si="177"/>
        <v>22</v>
      </c>
      <c r="QS37" t="str">
        <f t="shared" si="143"/>
        <v/>
      </c>
      <c r="QT37">
        <f>IF(COUNTIF('Final Calculation Sheet'!$AL37:$AL37,0)+COUNTIF('Final Calculation Sheet'!$AN37:$BS37,0)&gt;0,0,1)</f>
        <v>1</v>
      </c>
      <c r="QU37" t="b">
        <f>IF($Y$37="",FALSE,SUMPRODUCT(('Final Calculation Sheet'!$B$4:$B$40=$Y$37)*($QT$4:$QT$40=1))&gt;0)</f>
        <v>0</v>
      </c>
      <c r="QV37">
        <f t="shared" si="178"/>
        <v>25</v>
      </c>
      <c r="QW37" t="str">
        <f t="shared" si="144"/>
        <v/>
      </c>
      <c r="QX37">
        <f>IF(COUNTIF('Final Calculation Sheet'!$AL37:$AM37,0)+COUNTIF('Final Calculation Sheet'!$AO37:$BS37,0)&gt;0,0,1)</f>
        <v>1</v>
      </c>
      <c r="QY37" t="b">
        <f>IF($AS$37="",FALSE,SUMPRODUCT(('Final Calculation Sheet'!$C$4:$C$40=$AS$37)*($QX$4:$QX$40=1))&gt;0)</f>
        <v>1</v>
      </c>
      <c r="QZ37">
        <f t="shared" si="179"/>
        <v>34</v>
      </c>
      <c r="RA37">
        <f t="shared" si="145"/>
        <v>2787314</v>
      </c>
      <c r="RB37">
        <f>IF(COUNTIF('Final Calculation Sheet'!$AL37:$AN37,0)+COUNTIF('Final Calculation Sheet'!$AP37:$BS37,0)&gt;0,0,1)</f>
        <v>1</v>
      </c>
      <c r="RC37" t="b">
        <f>IF($AD$37="",FALSE,SUMPRODUCT(('Final Calculation Sheet'!$D$4:$D$40=$AD$37)*($RB$4:$RB$40=1))&gt;0)</f>
        <v>0</v>
      </c>
      <c r="RD37">
        <f t="shared" si="180"/>
        <v>4</v>
      </c>
      <c r="RE37" t="str">
        <f t="shared" si="146"/>
        <v/>
      </c>
      <c r="RF37">
        <f>IF(COUNTIF('Final Calculation Sheet'!$AL37:$AO37,0)+COUNTIF('Final Calculation Sheet'!$AQ37:$BS37,0)&gt;0,0,1)</f>
        <v>1</v>
      </c>
      <c r="RG37" t="b">
        <f>IF($AN$37="",FALSE,SUMPRODUCT(('Final Calculation Sheet'!$E$4:$E$40=$AN$37)*($RF$4:$RF$40=1))&gt;0)</f>
        <v>0</v>
      </c>
      <c r="RH37">
        <f t="shared" si="181"/>
        <v>3</v>
      </c>
      <c r="RI37" t="str">
        <f t="shared" si="147"/>
        <v/>
      </c>
      <c r="RJ37">
        <f>IF(COUNTIF('Final Calculation Sheet'!$AL37:$AP37,0)+COUNTIF('Final Calculation Sheet'!$AR37:$BS37,0)&gt;0,0,1)</f>
        <v>1</v>
      </c>
      <c r="RK37" t="b">
        <f>IF($O$37="",FALSE,SUMPRODUCT(('Final Calculation Sheet'!$F$4:$F$40=$O$37)*($RJ$4:$RJ$40=1))&gt;0)</f>
        <v>1</v>
      </c>
      <c r="RL37">
        <f t="shared" si="182"/>
        <v>34</v>
      </c>
      <c r="RM37">
        <f t="shared" si="148"/>
        <v>2071</v>
      </c>
      <c r="RN37">
        <f>IF(COUNTIF('Final Calculation Sheet'!$AL37:$AQ37,0)+COUNTIF('Final Calculation Sheet'!$AS37:$BS37,0)&gt;0,0,1)</f>
        <v>1</v>
      </c>
      <c r="RO37" t="b">
        <f>IF($T$37="",FALSE,SUMPRODUCT(('Final Calculation Sheet'!$G$4:$G$40=$T$37)*($RN$4:$RN$40=1))&gt;0)</f>
        <v>0</v>
      </c>
      <c r="RP37">
        <f t="shared" si="183"/>
        <v>13</v>
      </c>
      <c r="RQ37" t="str">
        <f t="shared" si="149"/>
        <v/>
      </c>
      <c r="RR37">
        <f>IF(COUNTIF('Final Calculation Sheet'!$AL37:$AR37,0)+COUNTIF('Final Calculation Sheet'!$AT37:$BS37,0)&gt;0,0,1)</f>
        <v>1</v>
      </c>
      <c r="RS37" t="b">
        <f>IF($AX$37="",FALSE,SUMPRODUCT(('Final Calculation Sheet'!$H$4:$H$40=$AX$37)*($RR$4:$RR$40=1))&gt;0)</f>
        <v>1</v>
      </c>
      <c r="RT37">
        <f t="shared" si="184"/>
        <v>34</v>
      </c>
      <c r="RU37">
        <f t="shared" si="150"/>
        <v>1165500</v>
      </c>
      <c r="RV37">
        <f>IF(COUNTIF('Final Calculation Sheet'!$AL37:$AS37,0)+COUNTIF('Final Calculation Sheet'!$AU37:$BS37,0)&gt;0,0,1)</f>
        <v>1</v>
      </c>
      <c r="RW37" t="b">
        <f>IF($BC$37="",FALSE,SUMPRODUCT(('Final Calculation Sheet'!$I$4:$I$40=$BC$37)*($RV$4:$RV$40=1))&gt;0)</f>
        <v>1</v>
      </c>
      <c r="RX37">
        <f t="shared" si="185"/>
        <v>34</v>
      </c>
      <c r="RY37">
        <f t="shared" si="151"/>
        <v>209790</v>
      </c>
      <c r="RZ37">
        <f>IF(COUNTIF('Final Calculation Sheet'!$AL37:$AT37,0)+COUNTIF('Final Calculation Sheet'!$AV37:$BS37,0)&gt;0,0,1)</f>
        <v>1</v>
      </c>
      <c r="SA37" t="b">
        <f>IF($BH$37="",FALSE,SUMPRODUCT(('Final Calculation Sheet'!$J$4:$J$40=$BH$37)*($RZ$4:$RZ$40=1))&gt;0)</f>
        <v>1</v>
      </c>
      <c r="SB37">
        <f t="shared" si="186"/>
        <v>34</v>
      </c>
      <c r="SC37">
        <f t="shared" si="152"/>
        <v>1375290</v>
      </c>
      <c r="SD37">
        <f>IF(COUNTIF('Final Calculation Sheet'!$AL37:$AU37,0)+COUNTIF('Final Calculation Sheet'!$AW37:$BS37,0)&gt;0,0,1)</f>
        <v>1</v>
      </c>
      <c r="SE37" t="b">
        <f>IF($BM$37="",FALSE,SUMPRODUCT(('Final Calculation Sheet'!$K$4:$K$40=$BM$37)*($SD$4:$SD$40=1))&gt;0)</f>
        <v>1</v>
      </c>
      <c r="SF37">
        <f t="shared" si="187"/>
        <v>34</v>
      </c>
      <c r="SG37">
        <f t="shared" si="153"/>
        <v>38856</v>
      </c>
      <c r="SH37">
        <f>IF(COUNTIF('Final Calculation Sheet'!$AL37:$AV37,0)+COUNTIF('Final Calculation Sheet'!$AX37:$BS37,0)&gt;0,0,1)</f>
        <v>1</v>
      </c>
      <c r="SI37" t="b">
        <f>IF($BR$37="",FALSE,SUMPRODUCT(('Final Calculation Sheet'!$L$4:$L$40=$BR$37)*($SH$4:$SH$40=1))&gt;0)</f>
        <v>1</v>
      </c>
      <c r="SJ37">
        <f t="shared" si="188"/>
        <v>34</v>
      </c>
      <c r="SK37">
        <f t="shared" si="154"/>
        <v>1165.5</v>
      </c>
      <c r="SL37">
        <f>IF(COUNTIF('Final Calculation Sheet'!$AL37:$AW37,0)+COUNTIF('Final Calculation Sheet'!$AY37:$BS37,0)&gt;0,0,1)</f>
        <v>1</v>
      </c>
      <c r="SM37" t="b">
        <f>IF($BW$37="",FALSE,SUMPRODUCT(('Final Calculation Sheet'!$M$4:$M$40=$BW$37)*($SL$4:$SL$40=1))&gt;0)</f>
        <v>1</v>
      </c>
      <c r="SN37">
        <f t="shared" si="189"/>
        <v>34</v>
      </c>
      <c r="SO37">
        <f t="shared" si="155"/>
        <v>30944.024999999998</v>
      </c>
      <c r="SP37">
        <f>IF(COUNTIF('Final Calculation Sheet'!$AL37:$AX37,0)+COUNTIF('Final Calculation Sheet'!$AZ37:$BS37,0)&gt;0,0,1)</f>
        <v>1</v>
      </c>
      <c r="SQ37" t="b">
        <f>IF($CB$37="",FALSE,SUMPRODUCT(('Final Calculation Sheet'!$N$4:$N$40=$CB$37)*($SP$4:$SP$40=1))&gt;0)</f>
        <v>1</v>
      </c>
      <c r="SR37">
        <f t="shared" si="190"/>
        <v>34</v>
      </c>
      <c r="SS37">
        <f t="shared" si="156"/>
        <v>524.47500000000002</v>
      </c>
      <c r="ST37">
        <f>IF(COUNTIF('Final Calculation Sheet'!$AL37:$AY37,0)+COUNTIF('Final Calculation Sheet'!$BA37:$BS37,0)&gt;0,0,1)</f>
        <v>1</v>
      </c>
      <c r="SU37" t="b">
        <f>IF($CG$37="",FALSE,SUMPRODUCT(('Final Calculation Sheet'!$O$4:$O$40=$CG$37)*($ST$4:$ST$40=1))&gt;0)</f>
        <v>1</v>
      </c>
      <c r="SV37">
        <f t="shared" si="191"/>
        <v>34</v>
      </c>
      <c r="SW37">
        <f t="shared" si="157"/>
        <v>30419.55</v>
      </c>
      <c r="SX37">
        <f>IF(COUNTIF('Final Calculation Sheet'!$AL37:$AZ37,0)+COUNTIF('Final Calculation Sheet'!$BB37:$BS37,0)&gt;0,0,1)</f>
        <v>1</v>
      </c>
      <c r="SY37" t="b">
        <f>IF($CL$37="",FALSE,SUMPRODUCT(('Final Calculation Sheet'!$P$4:$P$40=$CL$37)*($SX$4:$SX$40=1))&gt;0)</f>
        <v>1</v>
      </c>
      <c r="SZ37">
        <f t="shared" si="192"/>
        <v>34</v>
      </c>
      <c r="TA37">
        <f t="shared" si="158"/>
        <v>44618</v>
      </c>
      <c r="TB37">
        <f>IF(COUNTIF('Final Calculation Sheet'!$AL37:$BA37,0)+COUNTIF('Final Calculation Sheet'!$BC37:$BS37,0)&gt;0,0,1)</f>
        <v>1</v>
      </c>
      <c r="TC37" t="b">
        <f>IF($CQ$37="",FALSE,SUMPRODUCT(('Final Calculation Sheet'!$Q$4:$Q$40=$CQ$37)*($TB$4:$TB$40=1))&gt;0)</f>
        <v>0</v>
      </c>
      <c r="TD37">
        <f t="shared" si="193"/>
        <v>2</v>
      </c>
      <c r="TE37" t="str">
        <f t="shared" si="159"/>
        <v/>
      </c>
      <c r="TF37">
        <f>IF(COUNTIF('Final Calculation Sheet'!$AL37:$BB37,0)+COUNTIF('Final Calculation Sheet'!$BD37:$BS37,0)&gt;0,0,1)</f>
        <v>1</v>
      </c>
      <c r="TG37" t="b">
        <f>IF($CV$37="",FALSE,SUMPRODUCT(('Final Calculation Sheet'!$R$4:$R$40=$CV$37)*($TF$4:$TF$40=1))&gt;0)</f>
        <v>0</v>
      </c>
      <c r="TH37">
        <f t="shared" si="194"/>
        <v>5</v>
      </c>
      <c r="TI37" t="str">
        <f t="shared" si="160"/>
        <v/>
      </c>
      <c r="TJ37">
        <f>IF(COUNTIF('Final Calculation Sheet'!$AL37:$BC37,0)+COUNTIF('Final Calculation Sheet'!$BE37:$BS37,0)&gt;0,0,1)</f>
        <v>1</v>
      </c>
      <c r="TK37" t="b">
        <f>IF($DA$37="",FALSE,SUMPRODUCT(('Final Calculation Sheet'!$S$4:$S$40=$DA$37)*($TJ$4:$TJ$40=1))&gt;0)</f>
        <v>1</v>
      </c>
      <c r="TL37">
        <f t="shared" si="195"/>
        <v>34</v>
      </c>
      <c r="TM37">
        <f t="shared" si="161"/>
        <v>1347901</v>
      </c>
      <c r="TN37">
        <f>IF(COUNTIF('Final Calculation Sheet'!$AL37:$BD37,0)+COUNTIF('Final Calculation Sheet'!$BF37:$BS37,0)&gt;0,0,1)</f>
        <v>1</v>
      </c>
      <c r="TO37" t="b">
        <f>IF($DF$37="",FALSE,SUMPRODUCT(('Final Calculation Sheet'!$T$4:$T$40=$DF$37)*($TN$4:$TN$40=1))&gt;0)</f>
        <v>1</v>
      </c>
      <c r="TP37">
        <f t="shared" si="196"/>
        <v>34</v>
      </c>
      <c r="TQ37">
        <f t="shared" si="162"/>
        <v>291375</v>
      </c>
      <c r="TR37">
        <f>IF(COUNTIF('Final Calculation Sheet'!$AL37:$BE37,0)+COUNTIF('Final Calculation Sheet'!$BG37:$BS37,0)&gt;0,0,1)</f>
        <v>1</v>
      </c>
      <c r="TS37" t="b">
        <f>IF($DK$37="",FALSE,SUMPRODUCT(('Final Calculation Sheet'!$U$4:$U$40=$DK$37)*($TR$4:$TR$40=1))&gt;0)</f>
        <v>1</v>
      </c>
      <c r="TT37">
        <f t="shared" si="197"/>
        <v>34</v>
      </c>
      <c r="TU37">
        <f t="shared" si="163"/>
        <v>291375</v>
      </c>
      <c r="TV37">
        <f>IF(COUNTIF('Final Calculation Sheet'!$AL37:$BF37,0)+COUNTIF('Final Calculation Sheet'!$BH37:$BS37,0)&gt;0,0,1)</f>
        <v>1</v>
      </c>
      <c r="TW37" t="b">
        <f>IF($DP$37="",FALSE,SUMPRODUCT(('Final Calculation Sheet'!$V$4:$V$40=$DP$37)*($TV$4:$TV$40=1))&gt;0)</f>
        <v>0</v>
      </c>
      <c r="TX37">
        <f t="shared" si="198"/>
        <v>6</v>
      </c>
      <c r="TY37" t="str">
        <f t="shared" si="164"/>
        <v/>
      </c>
      <c r="TZ37">
        <f>IF(COUNTIF('Final Calculation Sheet'!$AL37:$BG37,0)+COUNTIF('Final Calculation Sheet'!$BI37:$BS37,0)&gt;0,0,1)</f>
        <v>1</v>
      </c>
      <c r="UA37" t="b">
        <f>IF($DU$37="",FALSE,SUMPRODUCT(('Final Calculation Sheet'!$W$4:$W$40=$DU$37)*($TZ$4:$TZ$40=1))&gt;0)</f>
        <v>1</v>
      </c>
      <c r="UB37">
        <f t="shared" si="199"/>
        <v>34</v>
      </c>
      <c r="UC37">
        <f t="shared" si="165"/>
        <v>1056526</v>
      </c>
      <c r="UD37">
        <f>IF(COUNTIF('Final Calculation Sheet'!$AL37:$BH37,0)+COUNTIF('Final Calculation Sheet'!$BJ37:$BS37,0)&gt;0,0,1)</f>
        <v>1</v>
      </c>
      <c r="UE37" t="e">
        <f>IF($DZ$37="",FALSE,SUMPRODUCT(('Final Calculation Sheet'!$X$4:$X$40=$DZ$37)*($UD$4:$UD$40=1))&gt;0)</f>
        <v>#N/A</v>
      </c>
      <c r="UF37" t="e">
        <f t="shared" si="200"/>
        <v>#N/A</v>
      </c>
      <c r="UG37" t="e">
        <f t="shared" si="166"/>
        <v>#N/A</v>
      </c>
      <c r="UH37">
        <f>IF(COUNTIF('Final Calculation Sheet'!$AL37:$BI37,0)+COUNTIF('Final Calculation Sheet'!$BK37:$BS37,0)&gt;0,0,1)</f>
        <v>1</v>
      </c>
      <c r="UI37" t="e">
        <f>IF($EE$37="",FALSE,SUMPRODUCT(('Final Calculation Sheet'!$Y$4:$Y$40=$EE$37)*($UH$4:$UH$40=1))&gt;0)</f>
        <v>#N/A</v>
      </c>
      <c r="UJ37" t="e">
        <f t="shared" si="201"/>
        <v>#N/A</v>
      </c>
      <c r="UK37" t="e">
        <f t="shared" si="167"/>
        <v>#N/A</v>
      </c>
      <c r="UL37">
        <f>IF(COUNTIF('Final Calculation Sheet'!$AL37:$BJ37,0)+COUNTIF('Final Calculation Sheet'!$BL37:$BS37,0)&gt;0,0,1)</f>
        <v>1</v>
      </c>
      <c r="UM37" t="b">
        <f ca="1">IF($EJ$37="",FALSE,SUMPRODUCT(('Final Calculation Sheet'!$Z$4:$Z$40=$EJ$37)*($UL$4:$UL$40=1))&gt;0)</f>
        <v>1</v>
      </c>
      <c r="UN37">
        <f t="shared" ca="1" si="202"/>
        <v>34</v>
      </c>
      <c r="UO37">
        <f t="shared" ca="1" si="168"/>
        <v>41258.699999999997</v>
      </c>
      <c r="UP37">
        <f>IF(COUNTIF('Final Calculation Sheet'!$AL37:$BK37,0)+COUNTIF('Final Calculation Sheet'!$BM37:$BS37,0)&gt;0,0,1)</f>
        <v>1</v>
      </c>
      <c r="UQ37" t="e">
        <f>IF($EO$37="",FALSE,SUMPRODUCT(('Final Calculation Sheet'!$AA$4:$AA$40=$EO$37)*($UP$4:$UP$40=1))&gt;0)</f>
        <v>#N/A</v>
      </c>
      <c r="UR37" t="e">
        <f t="shared" si="203"/>
        <v>#N/A</v>
      </c>
      <c r="US37" t="e">
        <f t="shared" si="169"/>
        <v>#N/A</v>
      </c>
      <c r="UT37">
        <f>IF(COUNTIF('Final Calculation Sheet'!$AL37:$BL37,0)+COUNTIF('Final Calculation Sheet'!$BN37:$BS37,0)&gt;0,0,1)</f>
        <v>1</v>
      </c>
      <c r="UU37" t="e">
        <f>IF($ET$37="",FALSE,SUMPRODUCT(('Final Calculation Sheet'!$AB$4:$AB$40=$ET$37)*($UT$4:$UT$40=1))&gt;0)</f>
        <v>#N/A</v>
      </c>
      <c r="UV37" t="e">
        <f t="shared" si="204"/>
        <v>#N/A</v>
      </c>
      <c r="UW37" t="e">
        <f t="shared" si="170"/>
        <v>#N/A</v>
      </c>
      <c r="UX37">
        <f>IF(COUNTIF('Final Calculation Sheet'!$AL37:$BM37,0)+COUNTIF('Final Calculation Sheet'!$BO37:$BS37,0)&gt;0,0,1)</f>
        <v>1</v>
      </c>
      <c r="UY37" t="b">
        <f>IF($EY$37="",FALSE,SUMPRODUCT(('Final Calculation Sheet'!$AC$4:$AC$40=$EY$37)*($UX$4:$UX$40=1))&gt;0)</f>
        <v>1</v>
      </c>
      <c r="UZ37">
        <f t="shared" si="205"/>
        <v>34</v>
      </c>
      <c r="VA37">
        <f t="shared" si="171"/>
        <v>1347900</v>
      </c>
      <c r="VB37">
        <f>IF(COUNTIF('Final Calculation Sheet'!$AL37:$BN37,0)+COUNTIF('Final Calculation Sheet'!$BP37:$BS37,0)&gt;0,0,1)</f>
        <v>1</v>
      </c>
      <c r="VC37" t="b">
        <f>IF($FD$37="",FALSE,SUMPRODUCT(('Final Calculation Sheet'!$AD$4:$AD$40=$FD$37)*($VB$4:$VB$40=1))&gt;0)</f>
        <v>0</v>
      </c>
      <c r="VD37">
        <f t="shared" si="206"/>
        <v>11</v>
      </c>
      <c r="VE37" t="str">
        <f t="shared" si="172"/>
        <v/>
      </c>
      <c r="VF37">
        <f>IF(COUNTIF('Final Calculation Sheet'!$AL37:$BO37,0)+COUNTIF('Final Calculation Sheet'!$BQ37:$BS37,0)&gt;0,0,1)</f>
        <v>1</v>
      </c>
      <c r="VG37" t="e">
        <f>IF($FI$37="",FALSE,SUMPRODUCT(('Final Calculation Sheet'!$AE$4:$AE$40=$FI$37)*($VF$4:$VF$40=1))&gt;0)</f>
        <v>#N/A</v>
      </c>
      <c r="VH37" t="e">
        <f t="shared" si="207"/>
        <v>#N/A</v>
      </c>
      <c r="VI37" t="e">
        <f t="shared" si="173"/>
        <v>#N/A</v>
      </c>
      <c r="VJ37">
        <f>IF(COUNTIF('Final Calculation Sheet'!$AL37:$BP37,0)+COUNTIF('Final Calculation Sheet'!$BR37:$BS37,0)&gt;0,0,1)</f>
        <v>1</v>
      </c>
      <c r="VK37" t="e">
        <f>IF($FN$37="",FALSE,SUMPRODUCT(('Final Calculation Sheet'!$AF$4:$AF$40=$FN$37)*($VJ$4:$VJ$40=1))&gt;0)</f>
        <v>#N/A</v>
      </c>
      <c r="VL37" t="e">
        <f t="shared" si="208"/>
        <v>#N/A</v>
      </c>
      <c r="VM37" t="e">
        <f t="shared" si="174"/>
        <v>#N/A</v>
      </c>
      <c r="VN37">
        <f>IF(COUNTIF('Final Calculation Sheet'!$AL37:$BQ37,0)+COUNTIF('Final Calculation Sheet'!$BS37:$BS37,0)&gt;0,0,1)</f>
        <v>1</v>
      </c>
      <c r="VO37" t="e">
        <f>IF($FS$37="",FALSE,SUMPRODUCT(('Final Calculation Sheet'!$AG$4:$AG$40=$FS$37)*($VN$4:$VN$40=1))&gt;0)</f>
        <v>#N/A</v>
      </c>
      <c r="VP37" t="e">
        <f t="shared" si="209"/>
        <v>#N/A</v>
      </c>
      <c r="VQ37" t="e">
        <f t="shared" si="175"/>
        <v>#N/A</v>
      </c>
      <c r="VR37">
        <f>IF(COUNTIF('Final Calculation Sheet'!$AL37:$BR37,0)&gt;0,0,1)</f>
        <v>1</v>
      </c>
      <c r="VS37" t="e">
        <f>IF($QO$37="",FALSE,SUMPRODUCT(('Final Calculation Sheet'!$AH$4:$AH$40=$QO$37)*($VR$4:$VR$40=1))&gt;0)</f>
        <v>#N/A</v>
      </c>
      <c r="VT37" t="e">
        <f t="shared" si="210"/>
        <v>#N/A</v>
      </c>
      <c r="VU37" t="e">
        <f t="shared" si="176"/>
        <v>#N/A</v>
      </c>
    </row>
    <row r="38" spans="1:593" x14ac:dyDescent="0.3">
      <c r="A38">
        <f>IF('Final Calculation Sheet'!$F$38="","",'Final Calculation Sheet'!$F$38)</f>
        <v>2086</v>
      </c>
      <c r="B38">
        <f>IF(A38="","",COUNTIFS(A$4:A$114,"&lt;"&amp;A38,A$4:A$114,"&lt;&gt;"&amp;"")+COUNTIF(A$4:A38,A38))</f>
        <v>35</v>
      </c>
      <c r="C38">
        <f t="shared" si="211"/>
        <v>2086</v>
      </c>
      <c r="D38">
        <f>D37+IF(AND(C38&lt;&gt;"",COUNTIF(C$4:C38,C38)=1),1,0)</f>
        <v>35</v>
      </c>
      <c r="E38" t="e">
        <f t="shared" si="212"/>
        <v>#N/A</v>
      </c>
      <c r="F38">
        <f t="shared" si="2"/>
        <v>35</v>
      </c>
      <c r="G38">
        <f>IF(F38="","",COUNTIFS(F$4:F$40,"&lt;"&amp;F38,F$4:F$40,"&lt;&gt;"&amp;"")+COUNTIF(F$4:F38,F38))</f>
        <v>35</v>
      </c>
      <c r="H38">
        <f t="shared" si="3"/>
        <v>35</v>
      </c>
      <c r="I38">
        <f>I37+IF(AND(H38&lt;&gt;"",COUNTIF(H$4:H38,H38)=1),1,0)</f>
        <v>35</v>
      </c>
      <c r="J38">
        <f t="shared" si="4"/>
        <v>35</v>
      </c>
      <c r="K38">
        <f>IF('Final Calculation Sheet'!$F$38="","",'Final Calculation Sheet'!$F$38)</f>
        <v>2086</v>
      </c>
      <c r="L38">
        <f>IF(K38="","",COUNTIFS(K$4:K$40,"&lt;"&amp;K38,K$4:K$40,"&lt;&gt;"&amp;"")+COUNTIF(K$4:K38,K38))</f>
        <v>35</v>
      </c>
      <c r="M38">
        <f t="shared" si="5"/>
        <v>2086</v>
      </c>
      <c r="N38">
        <f>N37+IF(AND(M38&lt;&gt;"",COUNTIF(M$4:M38,M38)=1),1,0)</f>
        <v>35</v>
      </c>
      <c r="O38">
        <f t="shared" si="6"/>
        <v>2086</v>
      </c>
      <c r="P38" t="str">
        <f>IF('Final Calculation Sheet'!$G$38="","",'Final Calculation Sheet'!$G$38)</f>
        <v>KASHYAP TRADING CO</v>
      </c>
      <c r="Q38">
        <f>IF(P38="","",COUNTIFS(P$4:P$40,"&lt;"&amp;P38,P$4:P$40,"&lt;&gt;"&amp;"")+COUNTIF(P$4:P38,P38))</f>
        <v>5</v>
      </c>
      <c r="R38" t="str">
        <f t="shared" si="7"/>
        <v>WATAN SCRAP TRADERS</v>
      </c>
      <c r="S38">
        <f>S37+IF(AND(R38&lt;&gt;"",COUNTIF(R$4:R38,R38)=1),1,0)</f>
        <v>13</v>
      </c>
      <c r="T38" t="str">
        <f t="shared" si="8"/>
        <v/>
      </c>
      <c r="U38" t="str">
        <f>IF('Final Calculation Sheet'!$B$38="","",'Final Calculation Sheet'!$B$38)</f>
        <v>Scrap of 132 KV CT</v>
      </c>
      <c r="V38">
        <f>IF(U38="","",COUNTIFS(U$4:U$40,"&lt;"&amp;U38,U$4:U$40,"&lt;&gt;"&amp;"")+COUNTIF(U$4:U38,U38))</f>
        <v>11</v>
      </c>
      <c r="W38" t="str">
        <f t="shared" si="9"/>
        <v>Scrap of MS (extracted from equip cage and empty Sf6 gas cylinder)</v>
      </c>
      <c r="X38">
        <f>X37+IF(AND(W38&lt;&gt;"",COUNTIF(W$4:W38,W38)=1),1,0)</f>
        <v>24</v>
      </c>
      <c r="Y38" t="str">
        <f t="shared" si="10"/>
        <v/>
      </c>
      <c r="Z38">
        <f>IF('Final Calculation Sheet'!$D$38="","",'Final Calculation Sheet'!$D$38)</f>
        <v>21980</v>
      </c>
      <c r="AA38">
        <f>IF(Z38="","",COUNTIFS(Z$4:Z$40,"&lt;"&amp;Z38,Z$4:Z$40,"&lt;&gt;"&amp;"")+COUNTIF(Z$4:Z38,Z38))</f>
        <v>35</v>
      </c>
      <c r="AB38">
        <f t="shared" si="11"/>
        <v>21980</v>
      </c>
      <c r="AC38">
        <f>AC37+IF(AND(AB38&lt;&gt;"",COUNTIF(AB$4:AB38,AB38)=1),1,0)</f>
        <v>4</v>
      </c>
      <c r="AD38" t="str">
        <f t="shared" si="12"/>
        <v/>
      </c>
      <c r="AE38">
        <f>IF('Final Calculation Sheet'!$A$38="","",'Final Calculation Sheet'!$A$38)</f>
        <v>3</v>
      </c>
      <c r="AF38">
        <f>IF(AE38="","",COUNTIFS(AE$4:AE$40,"&lt;"&amp;AE38,AE$4:AE$40,"&lt;&gt;"&amp;"")+COUNTIF(AE$4:AE38,AE38))</f>
        <v>17</v>
      </c>
      <c r="AG38">
        <f t="shared" si="13"/>
        <v>3000</v>
      </c>
      <c r="AH38">
        <f>AH37+IF(AND(AG38&lt;&gt;"",COUNTIF(AG$4:AG38,AG38)=1),1,0)</f>
        <v>20</v>
      </c>
      <c r="AI38" t="str">
        <f t="shared" si="14"/>
        <v/>
      </c>
      <c r="AJ38" t="str">
        <f>IF('Final Calculation Sheet'!$E$38="","",'Final Calculation Sheet'!$E$38)</f>
        <v>NO</v>
      </c>
      <c r="AK38">
        <f>IF(AJ38="","",COUNTIFS(AJ$4:AJ$40,"&lt;"&amp;AJ38,AJ$4:AJ$40,"&lt;&gt;"&amp;"")+COUNTIF(AJ$4:AJ38,AJ38))</f>
        <v>35</v>
      </c>
      <c r="AL38" t="str">
        <f t="shared" si="15"/>
        <v>NO</v>
      </c>
      <c r="AM38">
        <f>AM37+IF(AND(AL38&lt;&gt;"",COUNTIF(AL$4:AL38,AL38)=1),1,0)</f>
        <v>3</v>
      </c>
      <c r="AN38" t="str">
        <f t="shared" si="16"/>
        <v/>
      </c>
      <c r="AO38" s="50">
        <f>IF('Final Calculation Sheet'!$C$38="","",'Final Calculation Sheet'!$C$38)</f>
        <v>70001</v>
      </c>
      <c r="AP38">
        <f>IF(AO38="","",COUNTIFS(AO$4:AO$40,"&lt;"&amp;AO38,AO$4:AO$40,"&lt;&gt;"&amp;"")+COUNTIF(AO$4:AO38,AO38))</f>
        <v>27</v>
      </c>
      <c r="AQ38" s="50">
        <f t="shared" si="17"/>
        <v>220001</v>
      </c>
      <c r="AR38">
        <f>AR37+IF(AND(AQ38&lt;&gt;"",COUNTIF(AQ$4:AQ38,AQ38)=1),1,0)</f>
        <v>33</v>
      </c>
      <c r="AS38" s="50">
        <f t="shared" si="18"/>
        <v>3857116</v>
      </c>
      <c r="AT38" s="50">
        <f>IF('Final Calculation Sheet'!$H$38="","",'Final Calculation Sheet'!$H$38)</f>
        <v>210003</v>
      </c>
      <c r="AU38">
        <f>IF(AT38="","",COUNTIFS(AT$4:AT$40,"&lt;"&amp;AT38,AT$4:AT$40,"&lt;&gt;"&amp;"")+COUNTIF(AT$4:AT38,AT38))</f>
        <v>25</v>
      </c>
      <c r="AV38" s="50">
        <f t="shared" si="19"/>
        <v>1646431</v>
      </c>
      <c r="AW38">
        <f>AW37+IF(AND(AV38&lt;&gt;"",COUNTIF(AV$4:AV38,AV38)=1),1,0)</f>
        <v>35</v>
      </c>
      <c r="AX38" s="50">
        <f t="shared" si="20"/>
        <v>1646431</v>
      </c>
      <c r="AY38" s="50">
        <f>IF('Final Calculation Sheet'!$I$38="","",'Final Calculation Sheet'!$I$38)</f>
        <v>37801</v>
      </c>
      <c r="AZ38">
        <f>IF(AY38="","",COUNTIFS(AY$4:AY$40,"&lt;"&amp;AY38,AY$4:AY$40,"&lt;&gt;"&amp;"")+COUNTIF(AY$4:AY38,AY38))</f>
        <v>25</v>
      </c>
      <c r="BA38" s="50">
        <f t="shared" si="21"/>
        <v>296358</v>
      </c>
      <c r="BB38">
        <f>BB37+IF(AND(BA38&lt;&gt;"",COUNTIF(BA$4:BA38,BA38)=1),1,0)</f>
        <v>35</v>
      </c>
      <c r="BC38" s="50">
        <f t="shared" si="22"/>
        <v>296358</v>
      </c>
      <c r="BD38" s="50">
        <f>IF('Final Calculation Sheet'!$J$38="","",'Final Calculation Sheet'!$J$38)</f>
        <v>247804</v>
      </c>
      <c r="BE38">
        <f>IF(BD38="","",COUNTIFS(BD$4:BD$40,"&lt;"&amp;BD38,BD$4:BD$40,"&lt;&gt;"&amp;"")+COUNTIF(BD$4:BD38,BD38))</f>
        <v>25</v>
      </c>
      <c r="BF38" s="50">
        <f t="shared" si="23"/>
        <v>1942789</v>
      </c>
      <c r="BG38">
        <f>BG37+IF(AND(BF38&lt;&gt;"",COUNTIF(BF$4:BF38,BF38)=1),1,0)</f>
        <v>35</v>
      </c>
      <c r="BH38" s="50">
        <f t="shared" si="24"/>
        <v>1942789</v>
      </c>
      <c r="BI38" s="50">
        <f>IF('Final Calculation Sheet'!$K$38="","",'Final Calculation Sheet'!$K$38)</f>
        <v>4956</v>
      </c>
      <c r="BJ38">
        <f>IF(BI38="","",COUNTIFS(BI$4:BI$40,"&lt;"&amp;BI38,BI$4:BI$40,"&lt;&gt;"&amp;"")+COUNTIF(BI$4:BI38,BI38))</f>
        <v>25</v>
      </c>
      <c r="BK38" s="50">
        <f t="shared" si="25"/>
        <v>38856</v>
      </c>
      <c r="BL38">
        <f>BL37+IF(AND(BK38&lt;&gt;"",COUNTIF(BK$4:BK38,BK38)=1),1,0)</f>
        <v>34</v>
      </c>
      <c r="BM38" s="50">
        <f t="shared" si="26"/>
        <v>65781</v>
      </c>
      <c r="BN38" s="50">
        <f>IF('Final Calculation Sheet'!$L$38="","",'Final Calculation Sheet'!$L$38)</f>
        <v>210.00300000000001</v>
      </c>
      <c r="BO38">
        <f>IF(BN38="","",COUNTIFS(BN$4:BN$40,"&lt;"&amp;BN38,BN$4:BN$40,"&lt;&gt;"&amp;"")+COUNTIF(BN$4:BN38,BN38))</f>
        <v>25</v>
      </c>
      <c r="BP38" s="50">
        <f t="shared" si="27"/>
        <v>1646.431</v>
      </c>
      <c r="BQ38">
        <f>BQ37+IF(AND(BP38&lt;&gt;"",COUNTIF(BP$4:BP38,BP38)=1),1,0)</f>
        <v>35</v>
      </c>
      <c r="BR38" s="50">
        <f t="shared" si="28"/>
        <v>1646.431</v>
      </c>
      <c r="BS38" s="50">
        <f>IF('Final Calculation Sheet'!$M$38="","",'Final Calculation Sheet'!$M$38)</f>
        <v>5575.5796499999997</v>
      </c>
      <c r="BT38">
        <f>IF(BS38="","",COUNTIFS(BS$4:BS$40,"&lt;"&amp;BS38,BS$4:BS$40,"&lt;&gt;"&amp;"")+COUNTIF(BS$4:BS38,BS38))</f>
        <v>25</v>
      </c>
      <c r="BU38" s="50">
        <f t="shared" si="29"/>
        <v>43712.743049999997</v>
      </c>
      <c r="BV38">
        <f>BV37+IF(AND(BU38&lt;&gt;"",COUNTIF(BU$4:BU38,BU38)=1),1,0)</f>
        <v>35</v>
      </c>
      <c r="BW38" s="50">
        <f t="shared" si="30"/>
        <v>43712.743049999997</v>
      </c>
      <c r="BX38" s="126">
        <f>IF('Final Calculation Sheet'!$N$38="","",'Final Calculation Sheet'!$N$38)</f>
        <v>94.501350000000002</v>
      </c>
      <c r="BY38">
        <f>IF(BX38="","",COUNTIFS(BX$4:BX$40,"&lt;"&amp;BX38,BX$4:BX$40,"&lt;&gt;"&amp;"")+COUNTIF(BX$4:BX38,BX38))</f>
        <v>25</v>
      </c>
      <c r="BZ38" s="126">
        <f t="shared" si="31"/>
        <v>740.89395000000002</v>
      </c>
      <c r="CA38">
        <f>CA37+IF(AND(BZ38&lt;&gt;"",COUNTIF(BZ$4:BZ38,BZ38)=1),1,0)</f>
        <v>35</v>
      </c>
      <c r="CB38" s="126">
        <f t="shared" si="32"/>
        <v>740.89395000000002</v>
      </c>
      <c r="CC38" s="50">
        <f>IF('Final Calculation Sheet'!$O$38="","",'Final Calculation Sheet'!$O$38)</f>
        <v>5481.0782999999992</v>
      </c>
      <c r="CD38">
        <f>IF(CC38="","",COUNTIFS(CC$4:CC$40,"&lt;"&amp;CC38,CC$4:CC$40,"&lt;&gt;"&amp;"")+COUNTIF(CC$4:CC38,CC38))</f>
        <v>25</v>
      </c>
      <c r="CE38" s="50">
        <f t="shared" si="33"/>
        <v>42971.849099999999</v>
      </c>
      <c r="CF38">
        <f>CF37+IF(AND(CE38&lt;&gt;"",COUNTIF(CE$4:CE38,CE38)=1),1,0)</f>
        <v>35</v>
      </c>
      <c r="CG38" s="50">
        <f t="shared" si="34"/>
        <v>42971.849099999999</v>
      </c>
      <c r="CH38" s="50">
        <f>IF('Final Calculation Sheet'!$P$38="","",'Final Calculation Sheet'!$P$38)</f>
        <v>5691</v>
      </c>
      <c r="CI38">
        <f>IF(CH38="","",COUNTIFS(CH$4:CH$40,"&lt;"&amp;CH38,CH$4:CH$40,"&lt;&gt;"&amp;"")+COUNTIF(CH$4:CH38,CH38))</f>
        <v>25</v>
      </c>
      <c r="CJ38" s="50">
        <f t="shared" si="35"/>
        <v>44618</v>
      </c>
      <c r="CK38">
        <f>CK37+IF(AND(CJ38&lt;&gt;"",COUNTIF(CJ$4:CJ38,CJ38)=1),1,0)</f>
        <v>34</v>
      </c>
      <c r="CL38" s="50">
        <f t="shared" si="36"/>
        <v>75536</v>
      </c>
      <c r="CM38" s="127">
        <f>IF('Final Calculation Sheet'!$Q$38="","",'Final Calculation Sheet'!$Q$38)</f>
        <v>0</v>
      </c>
      <c r="CN38">
        <f>IF(CM38="","",COUNTIFS(CM$4:CM$40,"&lt;"&amp;CM38,CM$4:CM$40,"&lt;&gt;"&amp;"")+COUNTIF(CM$4:CM38,CM38))</f>
        <v>31</v>
      </c>
      <c r="CO38" s="127">
        <f t="shared" si="37"/>
        <v>0.02</v>
      </c>
      <c r="CP38">
        <f>CP37+IF(AND(CO38&lt;&gt;"",COUNTIF(CO$4:CO38,CO38)=1),1,0)</f>
        <v>2</v>
      </c>
      <c r="CQ38" t="str">
        <f t="shared" si="38"/>
        <v/>
      </c>
      <c r="CR38" s="50">
        <f>IF('Final Calculation Sheet'!$R$38="","",'Final Calculation Sheet'!$R$38)</f>
        <v>0</v>
      </c>
      <c r="CS38">
        <f>IF(CR38="","",COUNTIFS(CR$4:CR$40,"&lt;"&amp;CR38,CR$4:CR$40,"&lt;&gt;"&amp;"")+COUNTIF(CR$4:CR38,CR38))</f>
        <v>31</v>
      </c>
      <c r="CT38" s="50">
        <f t="shared" si="39"/>
        <v>15802</v>
      </c>
      <c r="CU38">
        <f>CU37+IF(AND(CT38&lt;&gt;"",COUNTIF(CT$4:CT38,CT38)=1),1,0)</f>
        <v>3</v>
      </c>
      <c r="CV38" t="str">
        <f t="shared" si="40"/>
        <v/>
      </c>
      <c r="CW38" s="50">
        <f>IF('Final Calculation Sheet'!$S$38="","",'Final Calculation Sheet'!$S$38)</f>
        <v>247069</v>
      </c>
      <c r="CX38">
        <f>IF(CW38="","",COUNTIFS(CW$4:CW$40,"&lt;"&amp;CW38,CW$4:CW$40,"&lt;&gt;"&amp;"")+COUNTIF(CW$4:CW38,CW38))</f>
        <v>25</v>
      </c>
      <c r="CY38" s="50">
        <f t="shared" si="41"/>
        <v>1904097</v>
      </c>
      <c r="CZ38">
        <f>CZ37+IF(AND(CY38&lt;&gt;"",COUNTIF(CY$4:CY38,CY38)=1),1,0)</f>
        <v>35</v>
      </c>
      <c r="DA38" s="50">
        <f t="shared" si="42"/>
        <v>1904097</v>
      </c>
      <c r="DB38" s="50">
        <f>IF('Final Calculation Sheet'!$T$38="","",'Final Calculation Sheet'!$T$38)</f>
        <v>52501</v>
      </c>
      <c r="DC38">
        <f>IF(DB38="","",COUNTIFS(DB$4:DB$40,"&lt;"&amp;DB38,DB$4:DB$40,"&lt;&gt;"&amp;"")+COUNTIF(DB$4:DB38,DB38))</f>
        <v>25</v>
      </c>
      <c r="DD38" s="50">
        <f t="shared" si="43"/>
        <v>411608</v>
      </c>
      <c r="DE38">
        <f>DE37+IF(AND(DD38&lt;&gt;"",COUNTIF(DD$4:DD38,DD38)=1),1,0)</f>
        <v>35</v>
      </c>
      <c r="DF38" s="50">
        <f t="shared" si="44"/>
        <v>411608</v>
      </c>
      <c r="DG38" s="128">
        <f>IF('Final Calculation Sheet'!$U$38="","",'Final Calculation Sheet'!$U$38)</f>
        <v>52501</v>
      </c>
      <c r="DH38">
        <f>IF(DG38="","",COUNTIFS(DG$4:DG$40,"&lt;"&amp;DG38,DG$4:DG$40,"&lt;&gt;"&amp;"")+COUNTIF(DG$4:DG38,DG38))</f>
        <v>25</v>
      </c>
      <c r="DI38" s="128">
        <f t="shared" si="45"/>
        <v>411608</v>
      </c>
      <c r="DJ38">
        <f>DJ37+IF(AND(DI38&lt;&gt;"",COUNTIF(DI$4:DI38,DI38)=1),1,0)</f>
        <v>35</v>
      </c>
      <c r="DK38" s="128">
        <f t="shared" si="46"/>
        <v>411608</v>
      </c>
      <c r="DL38" t="str">
        <f>IF('Final Calculation Sheet'!$V$38="","",'Final Calculation Sheet'!$V$38)</f>
        <v>17.08.2026</v>
      </c>
      <c r="DM38">
        <f>IF(DL38="","",COUNTIFS(DL$4:DL$40,"&lt;"&amp;DL38,DL$4:DL$40,"&lt;&gt;"&amp;"")+COUNTIF(DL$4:DL38,DL38))</f>
        <v>36</v>
      </c>
      <c r="DN38" t="str">
        <f t="shared" si="47"/>
        <v>14.08.2026</v>
      </c>
      <c r="DO38">
        <f>DO37+IF(AND(DN38&lt;&gt;"",COUNTIF(DN$4:DN38,DN38)=1),1,0)</f>
        <v>4</v>
      </c>
      <c r="DP38" t="str">
        <f t="shared" si="48"/>
        <v/>
      </c>
      <c r="DQ38" s="50">
        <f>IF('Final Calculation Sheet'!$W$38="","",'Final Calculation Sheet'!$W$38)</f>
        <v>194568</v>
      </c>
      <c r="DR38">
        <f>IF(DQ38="","",COUNTIFS(DQ$4:DQ$40,"&lt;"&amp;DQ38,DQ$4:DQ$40,"&lt;&gt;"&amp;"")+COUNTIF(DQ$4:DQ38,DQ38))</f>
        <v>25</v>
      </c>
      <c r="DS38" s="50">
        <f t="shared" si="49"/>
        <v>1492489</v>
      </c>
      <c r="DT38">
        <f>DT37+IF(AND(DS38&lt;&gt;"",COUNTIF(DS$4:DS38,DS38)=1),1,0)</f>
        <v>35</v>
      </c>
      <c r="DU38" s="50">
        <f t="shared" si="50"/>
        <v>1492489</v>
      </c>
      <c r="DV38" s="50">
        <f>IF('Final Calculation Sheet'!$X$38="","",'Final Calculation Sheet'!$X$38)</f>
        <v>194568</v>
      </c>
      <c r="DW38">
        <f>IF(DV38="","",COUNTIFS(DV$4:DV$40,"&lt;"&amp;DV38,DV$4:DV$40,"&lt;&gt;"&amp;"")+COUNTIF(DV$4:DV38,DV38))</f>
        <v>24</v>
      </c>
      <c r="DX38" t="e">
        <f t="shared" si="51"/>
        <v>#N/A</v>
      </c>
      <c r="DY38" t="e">
        <f>DY37+IF(AND(DX38&lt;&gt;"",COUNTIF(DX$4:DX38,DX38)=1),1,0)</f>
        <v>#N/A</v>
      </c>
      <c r="DZ38" t="e">
        <f t="shared" si="52"/>
        <v>#N/A</v>
      </c>
      <c r="EA38" t="str">
        <f>IF('Final Calculation Sheet'!$Y$38="","",'Final Calculation Sheet'!$Y$38)</f>
        <v>17.08.2026</v>
      </c>
      <c r="EB38">
        <f>IF(EA38="","",COUNTIFS(EA$4:EA$40,"&lt;"&amp;EA38,EA$4:EA$40,"&lt;&gt;"&amp;"")+COUNTIF(EA$4:EA38,EA38))</f>
        <v>11</v>
      </c>
      <c r="EC38" t="e">
        <f t="shared" si="53"/>
        <v>#N/A</v>
      </c>
      <c r="ED38" t="e">
        <f>ED37+IF(AND(EC38&lt;&gt;"",COUNTIF(EC$4:EC38,EC38)=1),1,0)</f>
        <v>#N/A</v>
      </c>
      <c r="EE38" t="e">
        <f t="shared" si="54"/>
        <v>#N/A</v>
      </c>
      <c r="EF38" s="50">
        <f ca="1">IF('Final Calculation Sheet'!$Z$38="","",'Final Calculation Sheet'!$Z$38)</f>
        <v>7434.1061999999993</v>
      </c>
      <c r="EG38">
        <f ca="1">IF(EF38="","",COUNTIFS(EF$4:EF$40,"&lt;"&amp;EF38,EF$4:EF$40,"&lt;&gt;"&amp;"")+COUNTIF(EF$4:EF38,EF38))</f>
        <v>25</v>
      </c>
      <c r="EH38" s="50">
        <f t="shared" ca="1" si="55"/>
        <v>58283.657399999996</v>
      </c>
      <c r="EI38">
        <f ca="1">EI37+IF(AND(EH38&lt;&gt;"",COUNTIF(EH$4:EH38,EH38)=1),1,0)</f>
        <v>35</v>
      </c>
      <c r="EJ38">
        <f t="shared" ca="1" si="56"/>
        <v>58283.657399999996</v>
      </c>
      <c r="EK38" t="str">
        <f>IF('Final Calculation Sheet'!$AA$38="","",'Final Calculation Sheet'!$AA$38)</f>
        <v/>
      </c>
      <c r="EL38" t="str">
        <f>IF(EK38="","",COUNTIFS(EK$4:EK$40,"&lt;"&amp;EK38,EK$4:EK$40,"&lt;&gt;"&amp;"")+COUNTIF(EK$4:EK38,EK38))</f>
        <v/>
      </c>
      <c r="EM38" t="e">
        <f t="shared" si="57"/>
        <v>#N/A</v>
      </c>
      <c r="EN38" t="e">
        <f>EN37+IF(AND(EM38&lt;&gt;"",COUNTIF(EM$4:EM38,EM38)=1),1,0)</f>
        <v>#N/A</v>
      </c>
      <c r="EO38" t="e">
        <f t="shared" si="58"/>
        <v>#N/A</v>
      </c>
      <c r="EP38" t="str">
        <f>IF('Final Calculation Sheet'!$AB$38="","",'Final Calculation Sheet'!$AB$38)</f>
        <v/>
      </c>
      <c r="EQ38" t="str">
        <f>IF(EP38="","",COUNTIFS(EP$4:EP$40,"&lt;"&amp;EP38,EP$4:EP$40,"&lt;&gt;"&amp;"")+COUNTIF(EP$4:EP38,EP38))</f>
        <v/>
      </c>
      <c r="ER38" t="e">
        <f t="shared" si="59"/>
        <v>#N/A</v>
      </c>
      <c r="ES38" t="e">
        <f>ES37+IF(AND(ER38&lt;&gt;"",COUNTIF(ER$4:ER38,ER38)=1),1,0)</f>
        <v>#N/A</v>
      </c>
      <c r="ET38" t="e">
        <f t="shared" si="60"/>
        <v>#N/A</v>
      </c>
      <c r="EU38" s="50">
        <f>IF('Final Calculation Sheet'!$AC$38="","",'Final Calculation Sheet'!$AC$38)</f>
        <v>247069</v>
      </c>
      <c r="EV38">
        <f>IF(EU38="","",COUNTIFS(EU$4:EU$40,"&lt;"&amp;EU38,EU$4:EU$40,"&lt;&gt;"&amp;"")+COUNTIF(EU$4:EU38,EU38))</f>
        <v>27</v>
      </c>
      <c r="EW38" s="50">
        <f t="shared" si="61"/>
        <v>1904098</v>
      </c>
      <c r="EX38">
        <f>EX37+IF(AND(EW38&lt;&gt;"",COUNTIF(EW$4:EW38,EW38)=1),1,0)</f>
        <v>35</v>
      </c>
      <c r="EY38" s="50">
        <f t="shared" si="62"/>
        <v>1904098</v>
      </c>
      <c r="EZ38" s="50">
        <f>IF('Final Calculation Sheet'!$AD$38="","",'Final Calculation Sheet'!$AD$38)</f>
        <v>0</v>
      </c>
      <c r="FA38">
        <f>IF(EZ38="","",COUNTIFS(EZ$4:EZ$40,"&lt;"&amp;EZ38,EZ$4:EZ$40,"&lt;&gt;"&amp;"")+COUNTIF(EZ$4:EZ38,EZ38))</f>
        <v>28</v>
      </c>
      <c r="FB38" s="50">
        <f t="shared" si="63"/>
        <v>50031</v>
      </c>
      <c r="FC38">
        <f>FC37+IF(AND(FB38&lt;&gt;"",COUNTIF(FB$4:FB38,FB38)=1),1,0)</f>
        <v>9</v>
      </c>
      <c r="FD38" t="str">
        <f t="shared" si="64"/>
        <v/>
      </c>
      <c r="FE38" t="str">
        <f>IF('Final Calculation Sheet'!$AF$38="","",'Final Calculation Sheet'!$AF$38)</f>
        <v>DR2640100025</v>
      </c>
      <c r="FF38">
        <f>IF(FE38="","",COUNTIFS(FE$4:FE$40,"&lt;"&amp;FE38,FE$4:FE$40,"&lt;&gt;"&amp;"")+COUNTIF(FE$4:FE38,FE38))</f>
        <v>14</v>
      </c>
      <c r="FG38" t="str">
        <f t="shared" si="65"/>
        <v>DR2640100046</v>
      </c>
      <c r="FH38" t="e">
        <f>FH37+IF(AND(FG38&lt;&gt;"",COUNTIF(FG$4:FG38,FG38)=1),1,0)</f>
        <v>#N/A</v>
      </c>
      <c r="FI38" t="e">
        <f t="shared" si="66"/>
        <v>#N/A</v>
      </c>
      <c r="FJ38" s="129">
        <f>IF('Final Calculation Sheet'!$AG$38="","",'Final Calculation Sheet'!$AG$38)</f>
        <v>1800003226</v>
      </c>
      <c r="FK38">
        <f>IF(FJ38="","",COUNTIFS(FJ$4:FJ$40,"&lt;"&amp;FJ38,FJ$4:FJ$40,"&lt;&gt;"&amp;"")+COUNTIF(FJ$4:FJ38,FJ38))</f>
        <v>9</v>
      </c>
      <c r="FL38" t="e">
        <f t="shared" si="67"/>
        <v>#N/A</v>
      </c>
      <c r="FM38" t="e">
        <f>FM37+IF(AND(FL38&lt;&gt;"",COUNTIF(FL$4:FL38,FL38)=1),1,0)</f>
        <v>#N/A</v>
      </c>
      <c r="FN38" t="e">
        <f t="shared" si="68"/>
        <v>#N/A</v>
      </c>
      <c r="FO38" t="str">
        <f>IF('Final Calculation Sheet'!$AH$38="","",'Final Calculation Sheet'!$AH$38)</f>
        <v>19.08.2026</v>
      </c>
      <c r="FP38">
        <f>IF(FO38="","",COUNTIFS(FO$4:FO$40,"&lt;"&amp;FO38,FO$4:FO$40,"&lt;&gt;"&amp;"")+COUNTIF(FO$4:FO38,FO38))</f>
        <v>14</v>
      </c>
      <c r="FQ38" t="str">
        <f t="shared" si="69"/>
        <v>27.08.2026</v>
      </c>
      <c r="FR38" t="e">
        <f>FR37+IF(AND(FQ38&lt;&gt;"",COUNTIF(FQ$4:FQ38,FQ38)=1),1,0)</f>
        <v>#N/A</v>
      </c>
      <c r="FS38" t="e">
        <f t="shared" si="70"/>
        <v>#N/A</v>
      </c>
      <c r="FU38" t="str">
        <f>IF(FT38="","",COUNTIFS(FT$4:FT$40,"&lt;"&amp;FT38,FT$4:FT$40,"&lt;&gt;"&amp;"")+COUNTIF(FT$4:FT38,FT38))</f>
        <v/>
      </c>
      <c r="FV38" t="str">
        <f t="shared" si="71"/>
        <v/>
      </c>
      <c r="FW38">
        <f>FW37+IF(AND(FV38&lt;&gt;"",COUNTIF(FV$4:FV38,FV38)=1),1,0)</f>
        <v>2</v>
      </c>
      <c r="FX38" t="str">
        <f t="shared" si="72"/>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8" t="b">
        <f>IF($Y$38="",FALSE,SUMPRODUCT(('Final Calculation Sheet'!$B$4:$B$40=$Y$38)*($FY$6:$FY$42=1))&gt;0)</f>
        <v>0</v>
      </c>
      <c r="GA38">
        <f>$GA$37+--($FZ$38)</f>
        <v>25</v>
      </c>
      <c r="GB38" t="str">
        <f t="shared" si="73"/>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D38" t="b">
        <f>IF($O$38="",FALSE,SUMPRODUCT(('Final Calculation Sheet'!$F$4:$F$40=$O$38)*($GC$6:$GC$42=1))&gt;0)</f>
        <v>1</v>
      </c>
      <c r="GE38">
        <f>$GE$37+--($GD38)</f>
        <v>35</v>
      </c>
      <c r="GF38">
        <f t="shared" si="74"/>
        <v>2086</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H38" t="b">
        <f>IF($T$38="",FALSE,SUMPRODUCT(('Final Calculation Sheet'!$G$4:$G$40=$T$38)*($GG$6:$GG$42=1))&gt;0)</f>
        <v>0</v>
      </c>
      <c r="GI38">
        <f>$GI$37+--($GH38)</f>
        <v>13</v>
      </c>
      <c r="GJ38" t="str">
        <f t="shared" si="75"/>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L38" t="b">
        <f>IF($AD$38="",FALSE,SUMPRODUCT(('Final Calculation Sheet'!$D$4:$D$40=$AD$38)*($GK$6:$GK$42=1))&gt;0)</f>
        <v>0</v>
      </c>
      <c r="GM38">
        <f>$GM$37+--($GL38)</f>
        <v>4</v>
      </c>
      <c r="GN38" t="str">
        <f t="shared" si="76"/>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P38" t="b">
        <f>IF($AI$38="",FALSE,SUMPRODUCT(('Final Calculation Sheet'!$A$4:$A$40=$AI$38)*($GO$6:$GO$42=1))&gt;0)</f>
        <v>0</v>
      </c>
      <c r="GQ38">
        <f>$GQ$37+--($GP38)</f>
        <v>22</v>
      </c>
      <c r="GR38" t="str">
        <f t="shared" si="77"/>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T38" t="b">
        <f>IF($AN$38="",FALSE,SUMPRODUCT(('Final Calculation Sheet'!$E$4:$E$40=$AN$38)*($GS$6:$GS$42=1))&gt;0)</f>
        <v>0</v>
      </c>
      <c r="GU38">
        <f>$GU$37+--($GT38)</f>
        <v>3</v>
      </c>
      <c r="GV38" t="str">
        <f t="shared" si="78"/>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GX38" t="b">
        <f>IF($AS$38="",FALSE,SUMPRODUCT(('Final Calculation Sheet'!$C$4:$C$40=$AS$38)*($GW$6:$GW$42=1))&gt;0)</f>
        <v>1</v>
      </c>
      <c r="GY38">
        <f>$GY$37+--($GX38)</f>
        <v>35</v>
      </c>
      <c r="GZ38">
        <f t="shared" si="79"/>
        <v>3857116</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B38" t="b">
        <f>IF($AX$38="",FALSE,SUMPRODUCT(('Final Calculation Sheet'!$H$4:$H$40=$AX$38)*($HA$6:$HA$42=1))&gt;0)</f>
        <v>1</v>
      </c>
      <c r="HC38">
        <f>$HC$37+--($HB38)</f>
        <v>35</v>
      </c>
      <c r="HD38">
        <f t="shared" si="80"/>
        <v>1646431</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F38" t="b">
        <f>IF($BC$38="",FALSE,SUMPRODUCT(('Final Calculation Sheet'!$I$4:$I$40=$BC$38)*($HE$6:$HE$42=1))&gt;0)</f>
        <v>1</v>
      </c>
      <c r="HG38">
        <f>$HG$37+--($HF38)</f>
        <v>35</v>
      </c>
      <c r="HH38">
        <f t="shared" si="81"/>
        <v>296358</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J38" t="b">
        <f>IF($BH$38="",FALSE,SUMPRODUCT(('Final Calculation Sheet'!$J$4:$J$40=$BH$38)*($HI$6:$HI$42=1))&gt;0)</f>
        <v>1</v>
      </c>
      <c r="HK38">
        <f>$HK$37+--($HJ38)</f>
        <v>35</v>
      </c>
      <c r="HL38">
        <f t="shared" si="82"/>
        <v>1942789</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N38" t="b">
        <f>IF($BM$38="",FALSE,SUMPRODUCT(('Final Calculation Sheet'!$K$4:$K$40=$BM$38)*($HM$6:$HM$42=1))&gt;0)</f>
        <v>1</v>
      </c>
      <c r="HO38">
        <f>$HO$37+--($HN38)</f>
        <v>35</v>
      </c>
      <c r="HP38">
        <f t="shared" si="83"/>
        <v>65781</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R38" t="b">
        <f>IF($BR$38="",FALSE,SUMPRODUCT(('Final Calculation Sheet'!$L$4:$L$40=$BR$38)*($HQ$6:$HQ$42=1))&gt;0)</f>
        <v>1</v>
      </c>
      <c r="HS38">
        <f>$HS$37+--($HR38)</f>
        <v>35</v>
      </c>
      <c r="HT38">
        <f t="shared" si="84"/>
        <v>1646.431</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V38" t="b">
        <f>IF($BW$38="",FALSE,SUMPRODUCT(('Final Calculation Sheet'!$M$4:$M$40=$BW$38)*($HU$6:$HU$42=1))&gt;0)</f>
        <v>1</v>
      </c>
      <c r="HW38">
        <f>$HW$37+--($HV38)</f>
        <v>35</v>
      </c>
      <c r="HX38">
        <f t="shared" si="85"/>
        <v>43712.743049999997</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HZ38" t="b">
        <f>IF($CB$38="",FALSE,SUMPRODUCT(('Final Calculation Sheet'!$N$4:$N$40=$CB$38)*($HY$6:$HY$42=1))&gt;0)</f>
        <v>1</v>
      </c>
      <c r="IA38">
        <f>$IA$37+--($HZ38)</f>
        <v>35</v>
      </c>
      <c r="IB38">
        <f t="shared" si="86"/>
        <v>740.89395000000002</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D38" t="b">
        <f>IF($CG$38="",FALSE,SUMPRODUCT(('Final Calculation Sheet'!$O$4:$O$40=$CG$38)*($IC$6:$IC$42=1))&gt;0)</f>
        <v>1</v>
      </c>
      <c r="IE38">
        <f>$IE$37+--($ID38)</f>
        <v>35</v>
      </c>
      <c r="IF38">
        <f t="shared" si="87"/>
        <v>42971.849099999999</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H38" t="b">
        <f>IF($CL$38="",FALSE,SUMPRODUCT(('Final Calculation Sheet'!$P$4:$P$40=$CL$38)*($IG$6:$IG$42=1))&gt;0)</f>
        <v>1</v>
      </c>
      <c r="II38">
        <f>$II$37+--($IH38)</f>
        <v>35</v>
      </c>
      <c r="IJ38">
        <f t="shared" si="88"/>
        <v>75536</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L38" t="b">
        <f>IF($CQ$38="",FALSE,SUMPRODUCT(('Final Calculation Sheet'!$Q$4:$Q$40=$CQ$38)*($IK$6:$IK$42=1))&gt;0)</f>
        <v>0</v>
      </c>
      <c r="IM38">
        <f>$IM$37+--($IL38)</f>
        <v>2</v>
      </c>
      <c r="IN38" t="str">
        <f t="shared" si="89"/>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P38" t="b">
        <f>IF($CV$38="",FALSE,SUMPRODUCT(('Final Calculation Sheet'!$R$4:$R$40=$CV$38)*($IO$6:$IO$42=1))&gt;0)</f>
        <v>0</v>
      </c>
      <c r="IQ38">
        <f>$IQ$37+--($IP38)</f>
        <v>5</v>
      </c>
      <c r="IR38" t="str">
        <f t="shared" si="90"/>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T38" t="b">
        <f>IF($DA$38="",FALSE,SUMPRODUCT(('Final Calculation Sheet'!$S$4:$S$40=$DA$38)*($IS$6:$IS$42=1))&gt;0)</f>
        <v>1</v>
      </c>
      <c r="IU38">
        <f>$IU$37+--($IT38)</f>
        <v>35</v>
      </c>
      <c r="IV38">
        <f t="shared" si="91"/>
        <v>1904097</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IX38" t="b">
        <f>IF($DF$38="",FALSE,SUMPRODUCT(('Final Calculation Sheet'!$T$4:$T$40=$DF$38)*($IW$6:$IW$42=1))&gt;0)</f>
        <v>1</v>
      </c>
      <c r="IY38">
        <f>$IY$37+--($IX38)</f>
        <v>35</v>
      </c>
      <c r="IZ38">
        <f t="shared" si="92"/>
        <v>411608</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B38" t="b">
        <f>IF($DK$38="",FALSE,SUMPRODUCT(('Final Calculation Sheet'!$U$4:$U$40=$DK$38)*($JA$6:$JA$42=1))&gt;0)</f>
        <v>1</v>
      </c>
      <c r="JC38">
        <f>$JC$37+--($JB38)</f>
        <v>35</v>
      </c>
      <c r="JD38">
        <f t="shared" si="93"/>
        <v>411608</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F38" t="b">
        <f>IF($DP$38="",FALSE,SUMPRODUCT(('Final Calculation Sheet'!$V$4:$V$40=$DP$38)*($JE$6:$JE$42=1))&gt;0)</f>
        <v>0</v>
      </c>
      <c r="JG38">
        <f>$JG$37+--($JF38)</f>
        <v>6</v>
      </c>
      <c r="JH38" t="str">
        <f t="shared" si="94"/>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J38" t="b">
        <f>IF($DU$38="",FALSE,SUMPRODUCT(('Final Calculation Sheet'!$W$4:$W$40=$DU$38)*($JI$6:$JI$42=1))&gt;0)</f>
        <v>1</v>
      </c>
      <c r="JK38">
        <f>$JK$37+--($JJ38)</f>
        <v>35</v>
      </c>
      <c r="JL38">
        <f t="shared" si="95"/>
        <v>1492489</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N38" t="e">
        <f>IF($DZ$38="",FALSE,SUMPRODUCT(('Final Calculation Sheet'!$X$4:$X$40=$DZ$38)*($JM$6:$JM$42=1))&gt;0)</f>
        <v>#N/A</v>
      </c>
      <c r="JO38" t="e">
        <f>$JO$37+--($JN38)</f>
        <v>#N/A</v>
      </c>
      <c r="JP38" t="e">
        <f t="shared" si="96"/>
        <v>#N/A</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R38" t="e">
        <f>IF($EE$38="",FALSE,SUMPRODUCT(('Final Calculation Sheet'!$Y$4:$Y$40=$EE$38)*($JQ$6:$JQ$42=1))&gt;0)</f>
        <v>#N/A</v>
      </c>
      <c r="JS38" t="e">
        <f>$JS$37+--($JR38)</f>
        <v>#N/A</v>
      </c>
      <c r="JT38" t="e">
        <f t="shared" si="97"/>
        <v>#N/A</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V38" t="b">
        <f ca="1">IF($EJ$38="",FALSE,SUMPRODUCT(('Final Calculation Sheet'!$Z$4:$Z$40=$EJ$38)*($JU$6:$JU$42=1))&gt;0)</f>
        <v>1</v>
      </c>
      <c r="JW38">
        <f ca="1">$JW$37+--($JV38)</f>
        <v>35</v>
      </c>
      <c r="JX38">
        <f t="shared" ca="1" si="98"/>
        <v>58283.657399999996</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JZ38" t="e">
        <f>IF($EO$38="",FALSE,SUMPRODUCT(('Final Calculation Sheet'!$AA$4:$AA$40=$EO$38)*($JY$6:$JY$42=1))&gt;0)</f>
        <v>#N/A</v>
      </c>
      <c r="KA38" t="e">
        <f>$KA$37+--($JZ38)</f>
        <v>#N/A</v>
      </c>
      <c r="KB38" t="e">
        <f t="shared" si="99"/>
        <v>#N/A</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D38" t="e">
        <f>IF($ET$38="",FALSE,SUMPRODUCT(('Final Calculation Sheet'!$AB$4:$AB$40=$ET$38)*($KC$6:$KC$42=1))&gt;0)</f>
        <v>#N/A</v>
      </c>
      <c r="KE38" t="e">
        <f>$KE$37+--($KD38)</f>
        <v>#N/A</v>
      </c>
      <c r="KF38" t="e">
        <f t="shared" si="100"/>
        <v>#N/A</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H38" t="b">
        <f>IF($EY$38="",FALSE,SUMPRODUCT(('Final Calculation Sheet'!$AC$4:$AC$40=$EY$38)*($KG$6:$KG$42=1))&gt;0)</f>
        <v>1</v>
      </c>
      <c r="KI38">
        <f>$KI$37+--($KH38)</f>
        <v>35</v>
      </c>
      <c r="KJ38">
        <f t="shared" si="101"/>
        <v>1904098</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L38" t="b">
        <f>IF($FD$38="",FALSE,SUMPRODUCT(('Final Calculation Sheet'!$AD$4:$AD$40=$FD$38)*($KK$6:$KK$42=1))&gt;0)</f>
        <v>0</v>
      </c>
      <c r="KM38">
        <f>$KM$37+--($KL38)</f>
        <v>11</v>
      </c>
      <c r="KN38" t="str">
        <f t="shared" si="102"/>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P38" t="b">
        <f>IF($FX$38="",FALSE,SUMPRODUCT((IF('Final Calculation Sheet'!$AD$4:$AD$40&lt;=5,"SETTLED","OUTSTANDING")=$FX$38)*($KO$6:$KO$42=1))&gt;0)</f>
        <v>0</v>
      </c>
      <c r="KQ38">
        <f>$KQ$37+--($KP38)</f>
        <v>1</v>
      </c>
      <c r="KR38" t="str">
        <f t="shared" si="103"/>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T38" t="e">
        <f>IF($FI$38="",FALSE,SUMPRODUCT(('Final Calculation Sheet'!$AF$4:$AF$40=$FI$38)*($KS$6:$KS$42=1))&gt;0)</f>
        <v>#N/A</v>
      </c>
      <c r="KU38" t="e">
        <f>$KU$37+--($KT38)</f>
        <v>#N/A</v>
      </c>
      <c r="KV38" t="e">
        <f t="shared" si="104"/>
        <v>#N/A</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KX38" t="e">
        <f>IF($FN$38="",FALSE,SUMPRODUCT(('Final Calculation Sheet'!$AG$4:$AG$40=$FN$38)*($KW$6:$KW$42=1))&gt;0)</f>
        <v>#N/A</v>
      </c>
      <c r="KY38" t="e">
        <f>$KY$37+--($KX38)</f>
        <v>#N/A</v>
      </c>
      <c r="KZ38" t="e">
        <f t="shared" si="105"/>
        <v>#N/A</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LB38" t="e">
        <f>IF($FS$38="",FALSE,SUMPRODUCT(('Final Calculation Sheet'!$AH$4:$AH$40=$FS$38)*($LA$6:$LA$42=1))&gt;0)</f>
        <v>#N/A</v>
      </c>
      <c r="LC38" t="e">
        <f>$LC$37+--($LB38)</f>
        <v>#N/A</v>
      </c>
      <c r="LD38" t="e">
        <f t="shared" si="106"/>
        <v>#N/A</v>
      </c>
      <c r="LE38">
        <f>IF(COUNTIF('Buyer Groups'!DH38:EN38,0)&gt;0,0,1)</f>
        <v>1</v>
      </c>
      <c r="LF38" t="b">
        <f>IF($O$38="",FALSE,SUMPRODUCT(('Final Calculation Sheet'!$F$4:$F$40=$O$38)*($LE$6:$LE$42=1))&gt;0)</f>
        <v>1</v>
      </c>
      <c r="LG38">
        <f>$LG$37+--($LF38)</f>
        <v>35</v>
      </c>
      <c r="LH38">
        <f t="shared" si="107"/>
        <v>2086</v>
      </c>
      <c r="LI38">
        <f>IF(COUNTIF('Buyer Groups'!DG38:DG38,0)+COUNTIF('Buyer Groups'!DI38:EN38,0)&gt;0,0,1)</f>
        <v>1</v>
      </c>
      <c r="LJ38" t="b">
        <f>IF($T$38="",FALSE,SUMPRODUCT(('Final Calculation Sheet'!$G$4:$G$40=$T$38)*($LI$6:$LI$42=1))&gt;0)</f>
        <v>0</v>
      </c>
      <c r="LK38">
        <f>$LK$37+--($LJ38)</f>
        <v>13</v>
      </c>
      <c r="LL38" t="str">
        <f t="shared" si="108"/>
        <v/>
      </c>
      <c r="LM38">
        <f>IF(COUNTIF('Buyer Groups'!DG38:DH38,0)+COUNTIF('Buyer Groups'!DJ38:EN38,0)&gt;0,0,1)</f>
        <v>1</v>
      </c>
      <c r="LN38" t="b">
        <f>IF($Y$38="",FALSE,SUMPRODUCT(('Final Calculation Sheet'!$B$4:$B$40=$Y$38)*($LM$6:$LM$42=1))&gt;0)</f>
        <v>0</v>
      </c>
      <c r="LO38">
        <f>$LO$37+--($LN38)</f>
        <v>25</v>
      </c>
      <c r="LP38" t="str">
        <f t="shared" si="109"/>
        <v/>
      </c>
      <c r="LQ38">
        <f>IF(COUNTIF('Buyer Groups'!DG38:DI38,0)+COUNTIF('Buyer Groups'!DK38:EN38,0)&gt;0,0,1)</f>
        <v>1</v>
      </c>
      <c r="LR38" t="b">
        <f>IF($AD$38="",FALSE,SUMPRODUCT(('Final Calculation Sheet'!$D$4:$D$40=$AD$38)*($LQ$6:$LQ$42=1))&gt;0)</f>
        <v>0</v>
      </c>
      <c r="LS38">
        <f>$LS$37+--($LR38)</f>
        <v>4</v>
      </c>
      <c r="LT38" t="str">
        <f t="shared" si="110"/>
        <v/>
      </c>
      <c r="LU38">
        <f>IF(COUNTIF('Buyer Groups'!DG38:DJ38,0)+COUNTIF('Buyer Groups'!DL38:EN38,0)&gt;0,0,1)</f>
        <v>1</v>
      </c>
      <c r="LV38" t="b">
        <f>IF($AI$38="",FALSE,SUMPRODUCT(('Final Calculation Sheet'!$A$4:$A$40=$AI$38)*($LU$6:$LU$42=1))&gt;0)</f>
        <v>0</v>
      </c>
      <c r="LW38">
        <f>$LW$37+--($LV38)</f>
        <v>22</v>
      </c>
      <c r="LX38" t="str">
        <f t="shared" si="111"/>
        <v/>
      </c>
      <c r="LY38">
        <f>IF(COUNTIF('Buyer Groups'!DG38:DK38,0)+COUNTIF('Buyer Groups'!DM38:EN38,0)&gt;0,0,1)</f>
        <v>1</v>
      </c>
      <c r="LZ38" t="b">
        <f>IF($AN$38="",FALSE,SUMPRODUCT(('Final Calculation Sheet'!$E$4:$E$40=$AN$38)*($LY$6:$LY$42=1))&gt;0)</f>
        <v>0</v>
      </c>
      <c r="MA38">
        <f>$MA$37+--($LZ38)</f>
        <v>3</v>
      </c>
      <c r="MB38" t="str">
        <f t="shared" si="112"/>
        <v/>
      </c>
      <c r="MC38">
        <f>IF(COUNTIF('Buyer Groups'!DG38:DL38,0)+COUNTIF('Buyer Groups'!DN38:EN38,0)&gt;0,0,1)</f>
        <v>1</v>
      </c>
      <c r="MD38" t="b">
        <f>IF($AS$38="",FALSE,SUMPRODUCT(('Final Calculation Sheet'!$C$4:$C$40=$AS$38)*($MC$6:$MC$42=1))&gt;0)</f>
        <v>1</v>
      </c>
      <c r="ME38">
        <f>$ME$37+--($MD38)</f>
        <v>35</v>
      </c>
      <c r="MF38">
        <f t="shared" si="113"/>
        <v>3857116</v>
      </c>
      <c r="MG38">
        <f>IF(COUNTIF('Buyer Groups'!DG38:DM38,0)+COUNTIF('Buyer Groups'!DO38:EN38,0)&gt;0,0,1)</f>
        <v>1</v>
      </c>
      <c r="MH38" t="b">
        <f>IF($AX$38="",FALSE,SUMPRODUCT(('Final Calculation Sheet'!$H$4:$H$40=$AX$38)*($MG$6:$MG$42=1))&gt;0)</f>
        <v>1</v>
      </c>
      <c r="MI38">
        <f>$MI$37+--($MH38)</f>
        <v>35</v>
      </c>
      <c r="MJ38">
        <f t="shared" si="114"/>
        <v>1646431</v>
      </c>
      <c r="MK38">
        <f>IF(COUNTIF('Buyer Groups'!DG38:DN38,0)+COUNTIF('Buyer Groups'!DP38:EN38,0)&gt;0,0,1)</f>
        <v>1</v>
      </c>
      <c r="ML38" t="b">
        <f>IF($BC$38="",FALSE,SUMPRODUCT(('Final Calculation Sheet'!$I$4:$I$40=$BC$38)*($MK$6:$MK$42=1))&gt;0)</f>
        <v>1</v>
      </c>
      <c r="MM38">
        <f>$MM$37+--($ML38)</f>
        <v>35</v>
      </c>
      <c r="MN38">
        <f t="shared" si="115"/>
        <v>296358</v>
      </c>
      <c r="MO38">
        <f>IF(COUNTIF('Buyer Groups'!DG38:DO38,0)+COUNTIF('Buyer Groups'!DQ38:EN38,0)&gt;0,0,1)</f>
        <v>1</v>
      </c>
      <c r="MP38" t="b">
        <f>IF($BH$38="",FALSE,SUMPRODUCT(('Final Calculation Sheet'!$J$4:$J$40=$BH$38)*($MO$6:$MO$42=1))&gt;0)</f>
        <v>1</v>
      </c>
      <c r="MQ38">
        <f>$MQ$37+--($MP38)</f>
        <v>35</v>
      </c>
      <c r="MR38">
        <f t="shared" si="116"/>
        <v>1942789</v>
      </c>
      <c r="MS38">
        <f>IF(COUNTIF('Buyer Groups'!DG38:DP38,0)+COUNTIF('Buyer Groups'!DR38:EN38,0)&gt;0,0,1)</f>
        <v>1</v>
      </c>
      <c r="MT38" t="b">
        <f>IF($BM$38="",FALSE,SUMPRODUCT(('Final Calculation Sheet'!$K$4:$K$40=$BM$38)*($MS$6:$MS$42=1))&gt;0)</f>
        <v>1</v>
      </c>
      <c r="MU38">
        <f>$MU$37+--($MT38)</f>
        <v>35</v>
      </c>
      <c r="MV38">
        <f t="shared" si="117"/>
        <v>65781</v>
      </c>
      <c r="MW38">
        <f>IF(COUNTIF('Buyer Groups'!DG38:DQ38,0)+COUNTIF('Buyer Groups'!DS38:EN38,0)&gt;0,0,1)</f>
        <v>1</v>
      </c>
      <c r="MX38" t="b">
        <f>IF($BR$38="",FALSE,SUMPRODUCT(('Final Calculation Sheet'!$L$4:$L$40=$BR$38)*($MW$6:$MW$42=1))&gt;0)</f>
        <v>1</v>
      </c>
      <c r="MY38">
        <f>$MY$37+--($MX38)</f>
        <v>35</v>
      </c>
      <c r="MZ38">
        <f t="shared" si="118"/>
        <v>1646.431</v>
      </c>
      <c r="NA38">
        <f>IF(COUNTIF('Buyer Groups'!DG38:DR38,0)+COUNTIF('Buyer Groups'!DT38:EN38,0)&gt;0,0,1)</f>
        <v>1</v>
      </c>
      <c r="NB38" t="b">
        <f>IF($BW$38="",FALSE,SUMPRODUCT(('Final Calculation Sheet'!$M$4:$M$40=$BW$38)*($NA$6:$NA$42=1))&gt;0)</f>
        <v>1</v>
      </c>
      <c r="NC38">
        <f>$NC$37+--($NB38)</f>
        <v>35</v>
      </c>
      <c r="ND38">
        <f t="shared" si="119"/>
        <v>43712.743049999997</v>
      </c>
      <c r="NE38">
        <f>IF(COUNTIF('Buyer Groups'!DG38:DS38,0)+COUNTIF('Buyer Groups'!DU38:EN38,0)&gt;0,0,1)</f>
        <v>1</v>
      </c>
      <c r="NF38" t="b">
        <f>IF($CB$38="",FALSE,SUMPRODUCT(('Final Calculation Sheet'!$N$4:$N$40=$CB$38)*($NE$6:$NE$42=1))&gt;0)</f>
        <v>1</v>
      </c>
      <c r="NG38">
        <f>$NG$37+--($NF38)</f>
        <v>35</v>
      </c>
      <c r="NH38">
        <f t="shared" si="120"/>
        <v>740.89395000000002</v>
      </c>
      <c r="NI38">
        <f>IF(COUNTIF('Buyer Groups'!DG38:DT38,0)+COUNTIF('Buyer Groups'!DV38:EN38,0)&gt;0,0,1)</f>
        <v>1</v>
      </c>
      <c r="NJ38" t="b">
        <f>IF($CG$38="",FALSE,SUMPRODUCT(('Final Calculation Sheet'!$O$4:$O$40=$CG$38)*($NI$6:$NI$42=1))&gt;0)</f>
        <v>1</v>
      </c>
      <c r="NK38">
        <f>$NK$37+--($NJ38)</f>
        <v>35</v>
      </c>
      <c r="NL38">
        <f t="shared" si="121"/>
        <v>42971.849099999999</v>
      </c>
      <c r="NM38">
        <f>IF(COUNTIF('Buyer Groups'!DG38:DU38,0)+COUNTIF('Buyer Groups'!DW38:EN38,0)&gt;0,0,1)</f>
        <v>1</v>
      </c>
      <c r="NN38" t="b">
        <f>IF($CL$38="",FALSE,SUMPRODUCT(('Final Calculation Sheet'!$P$4:$P$40=$CL$38)*($NM$6:$NM$42=1))&gt;0)</f>
        <v>1</v>
      </c>
      <c r="NO38">
        <f>$NO$37+--($NN38)</f>
        <v>35</v>
      </c>
      <c r="NP38">
        <f t="shared" si="122"/>
        <v>75536</v>
      </c>
      <c r="NQ38">
        <f>IF(COUNTIF('Buyer Groups'!DG38:DV38,0)+COUNTIF('Buyer Groups'!DX38:EN38,0)&gt;0,0,1)</f>
        <v>1</v>
      </c>
      <c r="NR38" t="b">
        <f>IF($CQ$38="",FALSE,SUMPRODUCT(('Final Calculation Sheet'!$Q$4:$Q$40=$CQ$38)*($NQ$6:$NQ$42=1))&gt;0)</f>
        <v>0</v>
      </c>
      <c r="NS38">
        <f>$NS$37+--($NR38)</f>
        <v>2</v>
      </c>
      <c r="NT38" t="str">
        <f t="shared" si="123"/>
        <v/>
      </c>
      <c r="NU38">
        <f>IF(COUNTIF('Buyer Groups'!DG38:DW38,0)+COUNTIF('Buyer Groups'!DY38:EN38,0)&gt;0,0,1)</f>
        <v>1</v>
      </c>
      <c r="NV38" t="b">
        <f>IF($CV$38="",FALSE,SUMPRODUCT(('Final Calculation Sheet'!$R$4:$R$40=$CV$38)*($NU$6:$NU$42=1))&gt;0)</f>
        <v>0</v>
      </c>
      <c r="NW38">
        <f>$NW$37+--($NV38)</f>
        <v>5</v>
      </c>
      <c r="NX38" t="str">
        <f t="shared" si="124"/>
        <v/>
      </c>
      <c r="NY38">
        <f>IF(COUNTIF('Buyer Groups'!DG38:DX38,0)+COUNTIF('Buyer Groups'!DZ38:EN38,0)&gt;0,0,1)</f>
        <v>1</v>
      </c>
      <c r="NZ38" t="b">
        <f>IF($DA$38="",FALSE,SUMPRODUCT(('Final Calculation Sheet'!$S$4:$S$40=$DA$38)*($NY$6:$NY$42=1))&gt;0)</f>
        <v>1</v>
      </c>
      <c r="OA38">
        <f>$OA$37+--($NZ38)</f>
        <v>35</v>
      </c>
      <c r="OB38">
        <f t="shared" si="125"/>
        <v>1904097</v>
      </c>
      <c r="OC38">
        <f>IF(COUNTIF('Buyer Groups'!DG38:DY38,0)+COUNTIF('Buyer Groups'!EA38:EN38,0)&gt;0,0,1)</f>
        <v>1</v>
      </c>
      <c r="OD38" t="b">
        <f>IF($DF$38="",FALSE,SUMPRODUCT(('Final Calculation Sheet'!$T$4:$T$40=$DF$38)*($OC$6:$OC$42=1))&gt;0)</f>
        <v>1</v>
      </c>
      <c r="OE38">
        <f>$OE$37+--($OD38)</f>
        <v>35</v>
      </c>
      <c r="OF38">
        <f t="shared" si="126"/>
        <v>411608</v>
      </c>
      <c r="OG38">
        <f>IF(COUNTIF('Buyer Groups'!DG38:DZ38,0)+COUNTIF('Buyer Groups'!EB38:EN38,0)&gt;0,0,1)</f>
        <v>1</v>
      </c>
      <c r="OH38" t="b">
        <f>IF($DK$38="",FALSE,SUMPRODUCT(('Final Calculation Sheet'!$U$4:$U$40=$DK$38)*($OG$6:$OG$42=1))&gt;0)</f>
        <v>1</v>
      </c>
      <c r="OI38">
        <f>$OI$37+--($OH38)</f>
        <v>35</v>
      </c>
      <c r="OJ38">
        <f t="shared" si="127"/>
        <v>411608</v>
      </c>
      <c r="OK38">
        <f>IF(COUNTIF('Buyer Groups'!DG38:EA38,0)+COUNTIF('Buyer Groups'!EC38:EN38,0)&gt;0,0,1)</f>
        <v>1</v>
      </c>
      <c r="OL38" t="b">
        <f>IF($DP$38="",FALSE,SUMPRODUCT(('Final Calculation Sheet'!$V$4:$V$40=$DP$38)*($OK$6:$OK$42=1))&gt;0)</f>
        <v>0</v>
      </c>
      <c r="OM38">
        <f>$OM$37+--($OL38)</f>
        <v>6</v>
      </c>
      <c r="ON38" t="str">
        <f t="shared" si="128"/>
        <v/>
      </c>
      <c r="OO38">
        <f>IF(COUNTIF('Buyer Groups'!DG38:EB38,0)+COUNTIF('Buyer Groups'!ED38:EN38,0)&gt;0,0,1)</f>
        <v>1</v>
      </c>
      <c r="OP38" t="b">
        <f>IF($DU$38="",FALSE,SUMPRODUCT(('Final Calculation Sheet'!$W$4:$W$40=$DU$38)*($OO$6:$OO$42=1))&gt;0)</f>
        <v>1</v>
      </c>
      <c r="OQ38">
        <f>$OQ$37+--($OP38)</f>
        <v>35</v>
      </c>
      <c r="OR38">
        <f t="shared" si="129"/>
        <v>1492489</v>
      </c>
      <c r="OS38">
        <f>IF(COUNTIF('Buyer Groups'!DG38:EC38,0)+COUNTIF('Buyer Groups'!EE38:EN38,0)&gt;0,0,1)</f>
        <v>1</v>
      </c>
      <c r="OT38" t="e">
        <f>IF($DZ$38="",FALSE,SUMPRODUCT(('Final Calculation Sheet'!$X$4:$X$40=$DZ$38)*($OS$6:$OS$42=1))&gt;0)</f>
        <v>#N/A</v>
      </c>
      <c r="OU38" t="e">
        <f>$OU$37+--($OT38)</f>
        <v>#N/A</v>
      </c>
      <c r="OV38" t="e">
        <f t="shared" si="130"/>
        <v>#N/A</v>
      </c>
      <c r="OW38">
        <f>IF(COUNTIF('Buyer Groups'!DG38:ED38,0)+COUNTIF('Buyer Groups'!EF38:EN38,0)&gt;0,0,1)</f>
        <v>1</v>
      </c>
      <c r="OX38" t="e">
        <f>IF($EE$38="",FALSE,SUMPRODUCT(('Final Calculation Sheet'!$Y$4:$Y$40=$EE$38)*($OW$6:$OW$42=1))&gt;0)</f>
        <v>#N/A</v>
      </c>
      <c r="OY38" t="e">
        <f>$OY$37+--($OX38)</f>
        <v>#N/A</v>
      </c>
      <c r="OZ38" t="e">
        <f t="shared" si="131"/>
        <v>#N/A</v>
      </c>
      <c r="PA38">
        <f>IF(COUNTIF('Buyer Groups'!DG38:EE38,0)+COUNTIF('Buyer Groups'!EG38:EN38,0)&gt;0,0,1)</f>
        <v>1</v>
      </c>
      <c r="PB38" t="b">
        <f ca="1">IF($EJ$38="",FALSE,SUMPRODUCT(('Final Calculation Sheet'!$Z$4:$Z$40=$EJ$38)*($PA$6:$PA$42=1))&gt;0)</f>
        <v>1</v>
      </c>
      <c r="PC38">
        <f ca="1">$PC$37+--($PB38)</f>
        <v>35</v>
      </c>
      <c r="PD38">
        <f t="shared" ca="1" si="132"/>
        <v>58283.657399999996</v>
      </c>
      <c r="PE38">
        <f>IF(COUNTIF('Buyer Groups'!DG38:EF38,0)+COUNTIF('Buyer Groups'!EH38:EN38,0)&gt;0,0,1)</f>
        <v>1</v>
      </c>
      <c r="PF38" t="e">
        <f>IF($EO$38="",FALSE,SUMPRODUCT(('Final Calculation Sheet'!$AA$4:$AA$40=$EO$38)*($PE$6:$PE$42=1))&gt;0)</f>
        <v>#N/A</v>
      </c>
      <c r="PG38" t="e">
        <f>$PG$37+--($PF38)</f>
        <v>#N/A</v>
      </c>
      <c r="PH38" t="e">
        <f t="shared" si="133"/>
        <v>#N/A</v>
      </c>
      <c r="PI38">
        <f>IF(COUNTIF('Buyer Groups'!DG38:EG38,0)+COUNTIF('Buyer Groups'!EI38:EN38,0)&gt;0,0,1)</f>
        <v>1</v>
      </c>
      <c r="PJ38" t="e">
        <f>IF($ET$38="",FALSE,SUMPRODUCT(('Final Calculation Sheet'!$AB$4:$AB$40=$ET$38)*($PI$6:$PI$42=1))&gt;0)</f>
        <v>#N/A</v>
      </c>
      <c r="PK38" t="e">
        <f>$PK$37+--($PJ38)</f>
        <v>#N/A</v>
      </c>
      <c r="PL38" t="e">
        <f t="shared" si="134"/>
        <v>#N/A</v>
      </c>
      <c r="PM38">
        <f>IF(COUNTIF('Buyer Groups'!DG38:EH38,0)+COUNTIF('Buyer Groups'!EJ38:EN38,0)&gt;0,0,1)</f>
        <v>1</v>
      </c>
      <c r="PN38" t="b">
        <f>IF($EY$38="",FALSE,SUMPRODUCT(('Final Calculation Sheet'!$AC$4:$AC$40=$EY$38)*($PM$6:$PM$42=1))&gt;0)</f>
        <v>1</v>
      </c>
      <c r="PO38">
        <f>$PO$37+--($PN38)</f>
        <v>35</v>
      </c>
      <c r="PP38">
        <f t="shared" si="135"/>
        <v>1904098</v>
      </c>
      <c r="PQ38">
        <f>IF(COUNTIF('Buyer Groups'!DG38:EI38,0)+COUNTIF('Buyer Groups'!EK38:EN38,0)&gt;0,0,1)</f>
        <v>1</v>
      </c>
      <c r="PR38" t="b">
        <f>IF($FD$38="",FALSE,SUMPRODUCT(('Final Calculation Sheet'!$AD$4:$AD$40=$FD$38)*($PQ$6:$PQ$42=1))&gt;0)</f>
        <v>0</v>
      </c>
      <c r="PS38">
        <f>$PS$37+--($PR38)</f>
        <v>11</v>
      </c>
      <c r="PT38" t="str">
        <f t="shared" si="136"/>
        <v/>
      </c>
      <c r="PU38">
        <f>IF(COUNTIF('Buyer Groups'!DG38:EJ38,0)+COUNTIF('Buyer Groups'!EL38:EN38,0)&gt;0,0,1)</f>
        <v>1</v>
      </c>
      <c r="PV38" t="b">
        <f>IF($FX$38="",FALSE,SUMPRODUCT((IF('Final Calculation Sheet'!$AD$4:$AD$40&lt;=5,"SETTLED","OUTSTANDING")=$FX$38)*($PU$6:$PU$42=1))&gt;0)</f>
        <v>0</v>
      </c>
      <c r="PW38">
        <f>$PW$37+--($PV38)</f>
        <v>1</v>
      </c>
      <c r="PX38" t="str">
        <f t="shared" si="137"/>
        <v/>
      </c>
      <c r="PY38">
        <f>IF(COUNTIF('Buyer Groups'!DG38:EK38,0)+COUNTIF('Buyer Groups'!EM38:EN38,0)&gt;0,0,1)</f>
        <v>1</v>
      </c>
      <c r="PZ38" t="e">
        <f>IF($FI$38="",FALSE,SUMPRODUCT(('Final Calculation Sheet'!$AF$4:$AF$40=$FI$38)*($PY$6:$PY$42=1))&gt;0)</f>
        <v>#N/A</v>
      </c>
      <c r="QA38" t="e">
        <f>$QA$37+--($PZ38)</f>
        <v>#N/A</v>
      </c>
      <c r="QB38" t="e">
        <f t="shared" si="138"/>
        <v>#N/A</v>
      </c>
      <c r="QC38">
        <f>IF(COUNTIF('Buyer Groups'!DG38:EL38,0)+COUNTIF('Buyer Groups'!EN38:EN38,0)&gt;0,0,1)</f>
        <v>1</v>
      </c>
      <c r="QD38" t="e">
        <f>IF($FN$38="",FALSE,SUMPRODUCT(('Final Calculation Sheet'!$AG$4:$AG$40=$FN$38)*($QC$6:$QC$42=1))&gt;0)</f>
        <v>#N/A</v>
      </c>
      <c r="QE38" t="e">
        <f>$QE$37+--($QD38)</f>
        <v>#N/A</v>
      </c>
      <c r="QF38" t="e">
        <f t="shared" si="139"/>
        <v>#N/A</v>
      </c>
      <c r="QG38">
        <f>IF(COUNTIF('Buyer Groups'!DG38:EM38,0)&gt;0,0,1)</f>
        <v>1</v>
      </c>
      <c r="QH38" t="e">
        <f>IF($FS$38="",FALSE,SUMPRODUCT(('Final Calculation Sheet'!$AH$4:$AH$40=$FS$38)*($QG$6:$QG$42=1))&gt;0)</f>
        <v>#N/A</v>
      </c>
      <c r="QI38" t="e">
        <f>$QI$37+--($QH38)</f>
        <v>#N/A</v>
      </c>
      <c r="QJ38" t="e">
        <f t="shared" si="140"/>
        <v>#N/A</v>
      </c>
      <c r="QK38" t="str">
        <f>IF('Final Calculation Sheet'!$AH$38="","",'Final Calculation Sheet'!$AH$38)</f>
        <v>19.08.2026</v>
      </c>
      <c r="QL38">
        <f>IF(QK38="","",COUNTIFS(QK$4:QK$40,"&lt;"&amp;QK38,QK$4:QK$40,"&lt;&gt;"&amp;"")+COUNTIF(QK$4:QK38,QK38))</f>
        <v>14</v>
      </c>
      <c r="QM38" t="str">
        <f t="shared" si="141"/>
        <v>27.08.2026</v>
      </c>
      <c r="QN38" t="e">
        <f ca="1">QN37+F(AND(QM38&lt;&gt;"",COUNTIF(QM$4:QM38,QM38)=1),1,0)</f>
        <v>#N/A</v>
      </c>
      <c r="QO38" t="e">
        <f t="shared" si="142"/>
        <v>#N/A</v>
      </c>
      <c r="QP38">
        <f>IF(COUNTIF('Final Calculation Sheet'!$AM38:$BS38,0)&gt;0,0,1)</f>
        <v>1</v>
      </c>
      <c r="QQ38" t="b">
        <f>IF($AI$38="",FALSE,SUMPRODUCT(('Final Calculation Sheet'!$A$4:$A$40=$AI$38)*($QP$4:$QP$40=1))&gt;0)</f>
        <v>0</v>
      </c>
      <c r="QR38">
        <f t="shared" si="177"/>
        <v>22</v>
      </c>
      <c r="QS38" t="str">
        <f t="shared" si="143"/>
        <v/>
      </c>
      <c r="QT38">
        <f>IF(COUNTIF('Final Calculation Sheet'!$AL38:$AL38,0)+COUNTIF('Final Calculation Sheet'!$AN38:$BS38,0)&gt;0,0,1)</f>
        <v>1</v>
      </c>
      <c r="QU38" t="b">
        <f>IF($Y$38="",FALSE,SUMPRODUCT(('Final Calculation Sheet'!$B$4:$B$40=$Y$38)*($QT$4:$QT$40=1))&gt;0)</f>
        <v>0</v>
      </c>
      <c r="QV38">
        <f t="shared" si="178"/>
        <v>25</v>
      </c>
      <c r="QW38" t="str">
        <f t="shared" si="144"/>
        <v/>
      </c>
      <c r="QX38">
        <f>IF(COUNTIF('Final Calculation Sheet'!$AL38:$AM38,0)+COUNTIF('Final Calculation Sheet'!$AO38:$BS38,0)&gt;0,0,1)</f>
        <v>1</v>
      </c>
      <c r="QY38" t="b">
        <f>IF($AS$38="",FALSE,SUMPRODUCT(('Final Calculation Sheet'!$C$4:$C$40=$AS$38)*($QX$4:$QX$40=1))&gt;0)</f>
        <v>1</v>
      </c>
      <c r="QZ38">
        <f t="shared" si="179"/>
        <v>35</v>
      </c>
      <c r="RA38">
        <f t="shared" si="145"/>
        <v>3857116</v>
      </c>
      <c r="RB38">
        <f>IF(COUNTIF('Final Calculation Sheet'!$AL38:$AN38,0)+COUNTIF('Final Calculation Sheet'!$AP38:$BS38,0)&gt;0,0,1)</f>
        <v>1</v>
      </c>
      <c r="RC38" t="b">
        <f>IF($AD$38="",FALSE,SUMPRODUCT(('Final Calculation Sheet'!$D$4:$D$40=$AD$38)*($RB$4:$RB$40=1))&gt;0)</f>
        <v>0</v>
      </c>
      <c r="RD38">
        <f t="shared" si="180"/>
        <v>4</v>
      </c>
      <c r="RE38" t="str">
        <f t="shared" si="146"/>
        <v/>
      </c>
      <c r="RF38">
        <f>IF(COUNTIF('Final Calculation Sheet'!$AL38:$AO38,0)+COUNTIF('Final Calculation Sheet'!$AQ38:$BS38,0)&gt;0,0,1)</f>
        <v>1</v>
      </c>
      <c r="RG38" t="b">
        <f>IF($AN$38="",FALSE,SUMPRODUCT(('Final Calculation Sheet'!$E$4:$E$40=$AN$38)*($RF$4:$RF$40=1))&gt;0)</f>
        <v>0</v>
      </c>
      <c r="RH38">
        <f t="shared" si="181"/>
        <v>3</v>
      </c>
      <c r="RI38" t="str">
        <f t="shared" si="147"/>
        <v/>
      </c>
      <c r="RJ38">
        <f>IF(COUNTIF('Final Calculation Sheet'!$AL38:$AP38,0)+COUNTIF('Final Calculation Sheet'!$AR38:$BS38,0)&gt;0,0,1)</f>
        <v>1</v>
      </c>
      <c r="RK38" t="b">
        <f>IF($O$38="",FALSE,SUMPRODUCT(('Final Calculation Sheet'!$F$4:$F$40=$O$38)*($RJ$4:$RJ$40=1))&gt;0)</f>
        <v>1</v>
      </c>
      <c r="RL38">
        <f t="shared" si="182"/>
        <v>35</v>
      </c>
      <c r="RM38">
        <f t="shared" si="148"/>
        <v>2086</v>
      </c>
      <c r="RN38">
        <f>IF(COUNTIF('Final Calculation Sheet'!$AL38:$AQ38,0)+COUNTIF('Final Calculation Sheet'!$AS38:$BS38,0)&gt;0,0,1)</f>
        <v>1</v>
      </c>
      <c r="RO38" t="b">
        <f>IF($T$38="",FALSE,SUMPRODUCT(('Final Calculation Sheet'!$G$4:$G$40=$T$38)*($RN$4:$RN$40=1))&gt;0)</f>
        <v>0</v>
      </c>
      <c r="RP38">
        <f t="shared" si="183"/>
        <v>13</v>
      </c>
      <c r="RQ38" t="str">
        <f t="shared" si="149"/>
        <v/>
      </c>
      <c r="RR38">
        <f>IF(COUNTIF('Final Calculation Sheet'!$AL38:$AR38,0)+COUNTIF('Final Calculation Sheet'!$AT38:$BS38,0)&gt;0,0,1)</f>
        <v>1</v>
      </c>
      <c r="RS38" t="b">
        <f>IF($AX$38="",FALSE,SUMPRODUCT(('Final Calculation Sheet'!$H$4:$H$40=$AX$38)*($RR$4:$RR$40=1))&gt;0)</f>
        <v>1</v>
      </c>
      <c r="RT38">
        <f t="shared" si="184"/>
        <v>35</v>
      </c>
      <c r="RU38">
        <f t="shared" si="150"/>
        <v>1646431</v>
      </c>
      <c r="RV38">
        <f>IF(COUNTIF('Final Calculation Sheet'!$AL38:$AS38,0)+COUNTIF('Final Calculation Sheet'!$AU38:$BS38,0)&gt;0,0,1)</f>
        <v>1</v>
      </c>
      <c r="RW38" t="b">
        <f>IF($BC$38="",FALSE,SUMPRODUCT(('Final Calculation Sheet'!$I$4:$I$40=$BC$38)*($RV$4:$RV$40=1))&gt;0)</f>
        <v>1</v>
      </c>
      <c r="RX38">
        <f t="shared" si="185"/>
        <v>35</v>
      </c>
      <c r="RY38">
        <f t="shared" si="151"/>
        <v>296358</v>
      </c>
      <c r="RZ38">
        <f>IF(COUNTIF('Final Calculation Sheet'!$AL38:$AT38,0)+COUNTIF('Final Calculation Sheet'!$AV38:$BS38,0)&gt;0,0,1)</f>
        <v>1</v>
      </c>
      <c r="SA38" t="b">
        <f>IF($BH$38="",FALSE,SUMPRODUCT(('Final Calculation Sheet'!$J$4:$J$40=$BH$38)*($RZ$4:$RZ$40=1))&gt;0)</f>
        <v>1</v>
      </c>
      <c r="SB38">
        <f t="shared" si="186"/>
        <v>35</v>
      </c>
      <c r="SC38">
        <f t="shared" si="152"/>
        <v>1942789</v>
      </c>
      <c r="SD38">
        <f>IF(COUNTIF('Final Calculation Sheet'!$AL38:$AU38,0)+COUNTIF('Final Calculation Sheet'!$AW38:$BS38,0)&gt;0,0,1)</f>
        <v>1</v>
      </c>
      <c r="SE38" t="b">
        <f>IF($BM$38="",FALSE,SUMPRODUCT(('Final Calculation Sheet'!$K$4:$K$40=$BM$38)*($SD$4:$SD$40=1))&gt;0)</f>
        <v>1</v>
      </c>
      <c r="SF38">
        <f t="shared" si="187"/>
        <v>35</v>
      </c>
      <c r="SG38">
        <f t="shared" si="153"/>
        <v>65781</v>
      </c>
      <c r="SH38">
        <f>IF(COUNTIF('Final Calculation Sheet'!$AL38:$AV38,0)+COUNTIF('Final Calculation Sheet'!$AX38:$BS38,0)&gt;0,0,1)</f>
        <v>1</v>
      </c>
      <c r="SI38" t="b">
        <f>IF($BR$38="",FALSE,SUMPRODUCT(('Final Calculation Sheet'!$L$4:$L$40=$BR$38)*($SH$4:$SH$40=1))&gt;0)</f>
        <v>1</v>
      </c>
      <c r="SJ38">
        <f t="shared" si="188"/>
        <v>35</v>
      </c>
      <c r="SK38">
        <f t="shared" si="154"/>
        <v>1646.431</v>
      </c>
      <c r="SL38">
        <f>IF(COUNTIF('Final Calculation Sheet'!$AL38:$AW38,0)+COUNTIF('Final Calculation Sheet'!$AY38:$BS38,0)&gt;0,0,1)</f>
        <v>1</v>
      </c>
      <c r="SM38" t="b">
        <f>IF($BW$38="",FALSE,SUMPRODUCT(('Final Calculation Sheet'!$M$4:$M$40=$BW$38)*($SL$4:$SL$40=1))&gt;0)</f>
        <v>1</v>
      </c>
      <c r="SN38">
        <f t="shared" si="189"/>
        <v>35</v>
      </c>
      <c r="SO38">
        <f t="shared" si="155"/>
        <v>43712.743049999997</v>
      </c>
      <c r="SP38">
        <f>IF(COUNTIF('Final Calculation Sheet'!$AL38:$AX38,0)+COUNTIF('Final Calculation Sheet'!$AZ38:$BS38,0)&gt;0,0,1)</f>
        <v>1</v>
      </c>
      <c r="SQ38" t="b">
        <f>IF($CB$38="",FALSE,SUMPRODUCT(('Final Calculation Sheet'!$N$4:$N$40=$CB$38)*($SP$4:$SP$40=1))&gt;0)</f>
        <v>1</v>
      </c>
      <c r="SR38">
        <f t="shared" si="190"/>
        <v>35</v>
      </c>
      <c r="SS38">
        <f t="shared" si="156"/>
        <v>740.89395000000002</v>
      </c>
      <c r="ST38">
        <f>IF(COUNTIF('Final Calculation Sheet'!$AL38:$AY38,0)+COUNTIF('Final Calculation Sheet'!$BA38:$BS38,0)&gt;0,0,1)</f>
        <v>1</v>
      </c>
      <c r="SU38" t="b">
        <f>IF($CG$38="",FALSE,SUMPRODUCT(('Final Calculation Sheet'!$O$4:$O$40=$CG$38)*($ST$4:$ST$40=1))&gt;0)</f>
        <v>1</v>
      </c>
      <c r="SV38">
        <f t="shared" si="191"/>
        <v>35</v>
      </c>
      <c r="SW38">
        <f t="shared" si="157"/>
        <v>42971.849099999999</v>
      </c>
      <c r="SX38">
        <f>IF(COUNTIF('Final Calculation Sheet'!$AL38:$AZ38,0)+COUNTIF('Final Calculation Sheet'!$BB38:$BS38,0)&gt;0,0,1)</f>
        <v>1</v>
      </c>
      <c r="SY38" t="b">
        <f>IF($CL$38="",FALSE,SUMPRODUCT(('Final Calculation Sheet'!$P$4:$P$40=$CL$38)*($SX$4:$SX$40=1))&gt;0)</f>
        <v>1</v>
      </c>
      <c r="SZ38">
        <f t="shared" si="192"/>
        <v>35</v>
      </c>
      <c r="TA38">
        <f t="shared" si="158"/>
        <v>75536</v>
      </c>
      <c r="TB38">
        <f>IF(COUNTIF('Final Calculation Sheet'!$AL38:$BA38,0)+COUNTIF('Final Calculation Sheet'!$BC38:$BS38,0)&gt;0,0,1)</f>
        <v>1</v>
      </c>
      <c r="TC38" t="b">
        <f>IF($CQ$38="",FALSE,SUMPRODUCT(('Final Calculation Sheet'!$Q$4:$Q$40=$CQ$38)*($TB$4:$TB$40=1))&gt;0)</f>
        <v>0</v>
      </c>
      <c r="TD38">
        <f t="shared" si="193"/>
        <v>2</v>
      </c>
      <c r="TE38" t="str">
        <f t="shared" si="159"/>
        <v/>
      </c>
      <c r="TF38">
        <f>IF(COUNTIF('Final Calculation Sheet'!$AL38:$BB38,0)+COUNTIF('Final Calculation Sheet'!$BD38:$BS38,0)&gt;0,0,1)</f>
        <v>1</v>
      </c>
      <c r="TG38" t="b">
        <f>IF($CV$38="",FALSE,SUMPRODUCT(('Final Calculation Sheet'!$R$4:$R$40=$CV$38)*($TF$4:$TF$40=1))&gt;0)</f>
        <v>0</v>
      </c>
      <c r="TH38">
        <f t="shared" si="194"/>
        <v>5</v>
      </c>
      <c r="TI38" t="str">
        <f t="shared" si="160"/>
        <v/>
      </c>
      <c r="TJ38">
        <f>IF(COUNTIF('Final Calculation Sheet'!$AL38:$BC38,0)+COUNTIF('Final Calculation Sheet'!$BE38:$BS38,0)&gt;0,0,1)</f>
        <v>1</v>
      </c>
      <c r="TK38" t="b">
        <f>IF($DA$38="",FALSE,SUMPRODUCT(('Final Calculation Sheet'!$S$4:$S$40=$DA$38)*($TJ$4:$TJ$40=1))&gt;0)</f>
        <v>1</v>
      </c>
      <c r="TL38">
        <f t="shared" si="195"/>
        <v>35</v>
      </c>
      <c r="TM38">
        <f t="shared" si="161"/>
        <v>1904097</v>
      </c>
      <c r="TN38">
        <f>IF(COUNTIF('Final Calculation Sheet'!$AL38:$BD38,0)+COUNTIF('Final Calculation Sheet'!$BF38:$BS38,0)&gt;0,0,1)</f>
        <v>1</v>
      </c>
      <c r="TO38" t="b">
        <f>IF($DF$38="",FALSE,SUMPRODUCT(('Final Calculation Sheet'!$T$4:$T$40=$DF$38)*($TN$4:$TN$40=1))&gt;0)</f>
        <v>1</v>
      </c>
      <c r="TP38">
        <f t="shared" si="196"/>
        <v>35</v>
      </c>
      <c r="TQ38">
        <f t="shared" si="162"/>
        <v>411608</v>
      </c>
      <c r="TR38">
        <f>IF(COUNTIF('Final Calculation Sheet'!$AL38:$BE38,0)+COUNTIF('Final Calculation Sheet'!$BG38:$BS38,0)&gt;0,0,1)</f>
        <v>1</v>
      </c>
      <c r="TS38" t="b">
        <f>IF($DK$38="",FALSE,SUMPRODUCT(('Final Calculation Sheet'!$U$4:$U$40=$DK$38)*($TR$4:$TR$40=1))&gt;0)</f>
        <v>1</v>
      </c>
      <c r="TT38">
        <f t="shared" si="197"/>
        <v>35</v>
      </c>
      <c r="TU38">
        <f t="shared" si="163"/>
        <v>411608</v>
      </c>
      <c r="TV38">
        <f>IF(COUNTIF('Final Calculation Sheet'!$AL38:$BF38,0)+COUNTIF('Final Calculation Sheet'!$BH38:$BS38,0)&gt;0,0,1)</f>
        <v>1</v>
      </c>
      <c r="TW38" t="b">
        <f>IF($DP$38="",FALSE,SUMPRODUCT(('Final Calculation Sheet'!$V$4:$V$40=$DP$38)*($TV$4:$TV$40=1))&gt;0)</f>
        <v>0</v>
      </c>
      <c r="TX38">
        <f t="shared" si="198"/>
        <v>6</v>
      </c>
      <c r="TY38" t="str">
        <f t="shared" si="164"/>
        <v/>
      </c>
      <c r="TZ38">
        <f>IF(COUNTIF('Final Calculation Sheet'!$AL38:$BG38,0)+COUNTIF('Final Calculation Sheet'!$BI38:$BS38,0)&gt;0,0,1)</f>
        <v>1</v>
      </c>
      <c r="UA38" t="b">
        <f>IF($DU$38="",FALSE,SUMPRODUCT(('Final Calculation Sheet'!$W$4:$W$40=$DU$38)*($TZ$4:$TZ$40=1))&gt;0)</f>
        <v>1</v>
      </c>
      <c r="UB38">
        <f t="shared" si="199"/>
        <v>35</v>
      </c>
      <c r="UC38">
        <f t="shared" si="165"/>
        <v>1492489</v>
      </c>
      <c r="UD38">
        <f>IF(COUNTIF('Final Calculation Sheet'!$AL38:$BH38,0)+COUNTIF('Final Calculation Sheet'!$BJ38:$BS38,0)&gt;0,0,1)</f>
        <v>1</v>
      </c>
      <c r="UE38" t="e">
        <f>IF($DZ$38="",FALSE,SUMPRODUCT(('Final Calculation Sheet'!$X$4:$X$40=$DZ$38)*($UD$4:$UD$40=1))&gt;0)</f>
        <v>#N/A</v>
      </c>
      <c r="UF38" t="e">
        <f t="shared" si="200"/>
        <v>#N/A</v>
      </c>
      <c r="UG38" t="e">
        <f t="shared" si="166"/>
        <v>#N/A</v>
      </c>
      <c r="UH38">
        <f>IF(COUNTIF('Final Calculation Sheet'!$AL38:$BI38,0)+COUNTIF('Final Calculation Sheet'!$BK38:$BS38,0)&gt;0,0,1)</f>
        <v>1</v>
      </c>
      <c r="UI38" t="e">
        <f>IF($EE$38="",FALSE,SUMPRODUCT(('Final Calculation Sheet'!$Y$4:$Y$40=$EE$38)*($UH$4:$UH$40=1))&gt;0)</f>
        <v>#N/A</v>
      </c>
      <c r="UJ38" t="e">
        <f t="shared" si="201"/>
        <v>#N/A</v>
      </c>
      <c r="UK38" t="e">
        <f t="shared" si="167"/>
        <v>#N/A</v>
      </c>
      <c r="UL38">
        <f>IF(COUNTIF('Final Calculation Sheet'!$AL38:$BJ38,0)+COUNTIF('Final Calculation Sheet'!$BL38:$BS38,0)&gt;0,0,1)</f>
        <v>1</v>
      </c>
      <c r="UM38" t="b">
        <f ca="1">IF($EJ$38="",FALSE,SUMPRODUCT(('Final Calculation Sheet'!$Z$4:$Z$40=$EJ$38)*($UL$4:$UL$40=1))&gt;0)</f>
        <v>1</v>
      </c>
      <c r="UN38">
        <f t="shared" ca="1" si="202"/>
        <v>35</v>
      </c>
      <c r="UO38">
        <f t="shared" ca="1" si="168"/>
        <v>58283.657399999996</v>
      </c>
      <c r="UP38">
        <f>IF(COUNTIF('Final Calculation Sheet'!$AL38:$BK38,0)+COUNTIF('Final Calculation Sheet'!$BM38:$BS38,0)&gt;0,0,1)</f>
        <v>1</v>
      </c>
      <c r="UQ38" t="e">
        <f>IF($EO$38="",FALSE,SUMPRODUCT(('Final Calculation Sheet'!$AA$4:$AA$40=$EO$38)*($UP$4:$UP$40=1))&gt;0)</f>
        <v>#N/A</v>
      </c>
      <c r="UR38" t="e">
        <f t="shared" si="203"/>
        <v>#N/A</v>
      </c>
      <c r="US38" t="e">
        <f t="shared" si="169"/>
        <v>#N/A</v>
      </c>
      <c r="UT38">
        <f>IF(COUNTIF('Final Calculation Sheet'!$AL38:$BL38,0)+COUNTIF('Final Calculation Sheet'!$BN38:$BS38,0)&gt;0,0,1)</f>
        <v>1</v>
      </c>
      <c r="UU38" t="e">
        <f>IF($ET$38="",FALSE,SUMPRODUCT(('Final Calculation Sheet'!$AB$4:$AB$40=$ET$38)*($UT$4:$UT$40=1))&gt;0)</f>
        <v>#N/A</v>
      </c>
      <c r="UV38" t="e">
        <f t="shared" si="204"/>
        <v>#N/A</v>
      </c>
      <c r="UW38" t="e">
        <f t="shared" si="170"/>
        <v>#N/A</v>
      </c>
      <c r="UX38">
        <f>IF(COUNTIF('Final Calculation Sheet'!$AL38:$BM38,0)+COUNTIF('Final Calculation Sheet'!$BO38:$BS38,0)&gt;0,0,1)</f>
        <v>1</v>
      </c>
      <c r="UY38" t="b">
        <f>IF($EY$38="",FALSE,SUMPRODUCT(('Final Calculation Sheet'!$AC$4:$AC$40=$EY$38)*($UX$4:$UX$40=1))&gt;0)</f>
        <v>1</v>
      </c>
      <c r="UZ38">
        <f t="shared" si="205"/>
        <v>35</v>
      </c>
      <c r="VA38">
        <f t="shared" si="171"/>
        <v>1904098</v>
      </c>
      <c r="VB38">
        <f>IF(COUNTIF('Final Calculation Sheet'!$AL38:$BN38,0)+COUNTIF('Final Calculation Sheet'!$BP38:$BS38,0)&gt;0,0,1)</f>
        <v>1</v>
      </c>
      <c r="VC38" t="b">
        <f>IF($FD$38="",FALSE,SUMPRODUCT(('Final Calculation Sheet'!$AD$4:$AD$40=$FD$38)*($VB$4:$VB$40=1))&gt;0)</f>
        <v>0</v>
      </c>
      <c r="VD38">
        <f t="shared" si="206"/>
        <v>11</v>
      </c>
      <c r="VE38" t="str">
        <f t="shared" si="172"/>
        <v/>
      </c>
      <c r="VF38">
        <f>IF(COUNTIF('Final Calculation Sheet'!$AL38:$BO38,0)+COUNTIF('Final Calculation Sheet'!$BQ38:$BS38,0)&gt;0,0,1)</f>
        <v>1</v>
      </c>
      <c r="VG38" t="e">
        <f>IF($FI$38="",FALSE,SUMPRODUCT(('Final Calculation Sheet'!$AE$4:$AE$40=$FI$38)*($VF$4:$VF$40=1))&gt;0)</f>
        <v>#N/A</v>
      </c>
      <c r="VH38" t="e">
        <f t="shared" si="207"/>
        <v>#N/A</v>
      </c>
      <c r="VI38" t="e">
        <f t="shared" si="173"/>
        <v>#N/A</v>
      </c>
      <c r="VJ38">
        <f>IF(COUNTIF('Final Calculation Sheet'!$AL38:$BP38,0)+COUNTIF('Final Calculation Sheet'!$BR38:$BS38,0)&gt;0,0,1)</f>
        <v>1</v>
      </c>
      <c r="VK38" t="e">
        <f>IF($FN$38="",FALSE,SUMPRODUCT(('Final Calculation Sheet'!$AF$4:$AF$40=$FN$38)*($VJ$4:$VJ$40=1))&gt;0)</f>
        <v>#N/A</v>
      </c>
      <c r="VL38" t="e">
        <f t="shared" si="208"/>
        <v>#N/A</v>
      </c>
      <c r="VM38" t="e">
        <f t="shared" si="174"/>
        <v>#N/A</v>
      </c>
      <c r="VN38">
        <f>IF(COUNTIF('Final Calculation Sheet'!$AL38:$BQ38,0)+COUNTIF('Final Calculation Sheet'!$BS38:$BS38,0)&gt;0,0,1)</f>
        <v>1</v>
      </c>
      <c r="VO38" t="e">
        <f>IF($FS$38="",FALSE,SUMPRODUCT(('Final Calculation Sheet'!$AG$4:$AG$40=$FS$38)*($VN$4:$VN$40=1))&gt;0)</f>
        <v>#N/A</v>
      </c>
      <c r="VP38" t="e">
        <f t="shared" si="209"/>
        <v>#N/A</v>
      </c>
      <c r="VQ38" t="e">
        <f t="shared" si="175"/>
        <v>#N/A</v>
      </c>
      <c r="VR38">
        <f>IF(COUNTIF('Final Calculation Sheet'!$AL38:$BR38,0)&gt;0,0,1)</f>
        <v>1</v>
      </c>
      <c r="VS38" t="e">
        <f>IF($QO$38="",FALSE,SUMPRODUCT(('Final Calculation Sheet'!$AH$4:$AH$40=$QO$38)*($VR$4:$VR$40=1))&gt;0)</f>
        <v>#N/A</v>
      </c>
      <c r="VT38" t="e">
        <f t="shared" si="210"/>
        <v>#N/A</v>
      </c>
      <c r="VU38" t="e">
        <f t="shared" si="176"/>
        <v>#N/A</v>
      </c>
    </row>
    <row r="39" spans="1:593" x14ac:dyDescent="0.3">
      <c r="A39">
        <f>IF('Final Calculation Sheet'!$F$39="","",'Final Calculation Sheet'!$F$39)</f>
        <v>2089</v>
      </c>
      <c r="B39">
        <f>IF(A39="","",COUNTIFS(A$4:A$114,"&lt;"&amp;A39,A$4:A$114,"&lt;&gt;"&amp;"")+COUNTIF(A$4:A39,A39))</f>
        <v>36</v>
      </c>
      <c r="C39">
        <f t="shared" si="211"/>
        <v>2089</v>
      </c>
      <c r="D39">
        <f>D38+IF(AND(C39&lt;&gt;"",COUNTIF(C$4:C39,C39)=1),1,0)</f>
        <v>36</v>
      </c>
      <c r="E39" t="e">
        <f t="shared" si="212"/>
        <v>#N/A</v>
      </c>
      <c r="F39">
        <f t="shared" si="2"/>
        <v>36</v>
      </c>
      <c r="G39">
        <f>IF(F39="","",COUNTIFS(F$4:F$40,"&lt;"&amp;F39,F$4:F$40,"&lt;&gt;"&amp;"")+COUNTIF(F$4:F39,F39))</f>
        <v>36</v>
      </c>
      <c r="H39">
        <f t="shared" si="3"/>
        <v>36</v>
      </c>
      <c r="I39">
        <f>I38+IF(AND(H39&lt;&gt;"",COUNTIF(H$4:H39,H39)=1),1,0)</f>
        <v>36</v>
      </c>
      <c r="J39">
        <f t="shared" si="4"/>
        <v>36</v>
      </c>
      <c r="K39">
        <f>IF('Final Calculation Sheet'!$F$39="","",'Final Calculation Sheet'!$F$39)</f>
        <v>2089</v>
      </c>
      <c r="L39">
        <f>IF(K39="","",COUNTIFS(K$4:K$40,"&lt;"&amp;K39,K$4:K$40,"&lt;&gt;"&amp;"")+COUNTIF(K$4:K39,K39))</f>
        <v>36</v>
      </c>
      <c r="M39">
        <f t="shared" si="5"/>
        <v>2089</v>
      </c>
      <c r="N39">
        <f>N38+IF(AND(M39&lt;&gt;"",COUNTIF(M$4:M39,M39)=1),1,0)</f>
        <v>36</v>
      </c>
      <c r="O39">
        <f t="shared" si="6"/>
        <v>2089</v>
      </c>
      <c r="P39" t="str">
        <f>IF('Final Calculation Sheet'!$G$39="","",'Final Calculation Sheet'!$G$39)</f>
        <v>S M ENTERPRISES</v>
      </c>
      <c r="Q39">
        <f>IF(P39="","",COUNTIFS(P$4:P$40,"&lt;"&amp;P39,P$4:P$40,"&lt;&gt;"&amp;"")+COUNTIF(P$4:P39,P39))</f>
        <v>23</v>
      </c>
      <c r="R39" t="str">
        <f t="shared" si="7"/>
        <v>WATAN SCRAP TRADERS</v>
      </c>
      <c r="S39">
        <f>S38+IF(AND(R39&lt;&gt;"",COUNTIF(R$4:R39,R39)=1),1,0)</f>
        <v>13</v>
      </c>
      <c r="T39" t="str">
        <f t="shared" si="8"/>
        <v/>
      </c>
      <c r="U39" t="str">
        <f>IF('Final Calculation Sheet'!$B$39="","",'Final Calculation Sheet'!$B$39)</f>
        <v>Scrap of 66 kv TBC C &amp; R Panel</v>
      </c>
      <c r="V39">
        <f>IF(U39="","",COUNTIFS(U$4:U$40,"&lt;"&amp;U39,U$4:U$40,"&lt;&gt;"&amp;"")+COUNTIF(U$4:U39,U39))</f>
        <v>23</v>
      </c>
      <c r="W39" t="str">
        <f t="shared" si="9"/>
        <v>Scrap Power Transformer</v>
      </c>
      <c r="X39">
        <f>X38+IF(AND(W39&lt;&gt;"",COUNTIF(W$4:W39,W39)=1),1,0)</f>
        <v>25</v>
      </c>
      <c r="Y39" t="str">
        <f t="shared" si="10"/>
        <v/>
      </c>
      <c r="Z39">
        <f>IF('Final Calculation Sheet'!$D$39="","",'Final Calculation Sheet'!$D$39)</f>
        <v>21980</v>
      </c>
      <c r="AA39">
        <f>IF(Z39="","",COUNTIFS(Z$4:Z$40,"&lt;"&amp;Z39,Z$4:Z$40,"&lt;&gt;"&amp;"")+COUNTIF(Z$4:Z39,Z39))</f>
        <v>36</v>
      </c>
      <c r="AB39">
        <f t="shared" si="11"/>
        <v>21980</v>
      </c>
      <c r="AC39">
        <f>AC38+IF(AND(AB39&lt;&gt;"",COUNTIF(AB$4:AB39,AB39)=1),1,0)</f>
        <v>4</v>
      </c>
      <c r="AD39" t="str">
        <f t="shared" si="12"/>
        <v/>
      </c>
      <c r="AE39">
        <f>IF('Final Calculation Sheet'!$A$39="","",'Final Calculation Sheet'!$A$39)</f>
        <v>2</v>
      </c>
      <c r="AF39">
        <f>IF(AE39="","",COUNTIFS(AE$4:AE$40,"&lt;"&amp;AE39,AE$4:AE$40,"&lt;&gt;"&amp;"")+COUNTIF(AE$4:AE39,AE39))</f>
        <v>12</v>
      </c>
      <c r="AG39">
        <f t="shared" si="13"/>
        <v>3500</v>
      </c>
      <c r="AH39">
        <f>AH38+IF(AND(AG39&lt;&gt;"",COUNTIF(AG$4:AG39,AG39)=1),1,0)</f>
        <v>21</v>
      </c>
      <c r="AI39" t="str">
        <f t="shared" si="14"/>
        <v/>
      </c>
      <c r="AJ39" t="str">
        <f>IF('Final Calculation Sheet'!$E$39="","",'Final Calculation Sheet'!$E$39)</f>
        <v>NO</v>
      </c>
      <c r="AK39">
        <f>IF(AJ39="","",COUNTIFS(AJ$4:AJ$40,"&lt;"&amp;AJ39,AJ$4:AJ$40,"&lt;&gt;"&amp;"")+COUNTIF(AJ$4:AJ39,AJ39))</f>
        <v>36</v>
      </c>
      <c r="AL39" t="str">
        <f t="shared" si="15"/>
        <v>NO</v>
      </c>
      <c r="AM39">
        <f>AM38+IF(AND(AL39&lt;&gt;"",COUNTIF(AL$4:AL39,AL39)=1),1,0)</f>
        <v>3</v>
      </c>
      <c r="AN39" t="str">
        <f t="shared" si="16"/>
        <v/>
      </c>
      <c r="AO39" s="50">
        <f>IF('Final Calculation Sheet'!$C$39="","",'Final Calculation Sheet'!$C$39)</f>
        <v>15006</v>
      </c>
      <c r="AP39">
        <f>IF(AO39="","",COUNTIFS(AO$4:AO$40,"&lt;"&amp;AO39,AO$4:AO$40,"&lt;&gt;"&amp;"")+COUNTIF(AO$4:AO39,AO39))</f>
        <v>18</v>
      </c>
      <c r="AQ39" s="50">
        <f t="shared" si="17"/>
        <v>2787314</v>
      </c>
      <c r="AR39">
        <f>AR38+IF(AND(AQ39&lt;&gt;"",COUNTIF(AQ$4:AQ39,AQ39)=1),1,0)</f>
        <v>34</v>
      </c>
      <c r="AS39" t="str">
        <f t="shared" si="18"/>
        <v/>
      </c>
      <c r="AT39" s="50">
        <f>IF('Final Calculation Sheet'!$H$39="","",'Final Calculation Sheet'!$H$39)</f>
        <v>30012</v>
      </c>
      <c r="AU39">
        <f>IF(AT39="","",COUNTIFS(AT$4:AT$40,"&lt;"&amp;AT39,AT$4:AT$40,"&lt;&gt;"&amp;"")+COUNTIF(AT$4:AT39,AT39))</f>
        <v>7</v>
      </c>
      <c r="AV39" s="50">
        <f t="shared" si="19"/>
        <v>2787314</v>
      </c>
      <c r="AW39">
        <f>AW38+IF(AND(AV39&lt;&gt;"",COUNTIF(AV$4:AV39,AV39)=1),1,0)</f>
        <v>36</v>
      </c>
      <c r="AX39" s="50">
        <f t="shared" si="20"/>
        <v>2787314</v>
      </c>
      <c r="AY39" s="50">
        <f>IF('Final Calculation Sheet'!$I$39="","",'Final Calculation Sheet'!$I$39)</f>
        <v>5402</v>
      </c>
      <c r="AZ39">
        <f>IF(AY39="","",COUNTIFS(AY$4:AY$40,"&lt;"&amp;AY39,AY$4:AY$40,"&lt;&gt;"&amp;"")+COUNTIF(AY$4:AY39,AY39))</f>
        <v>7</v>
      </c>
      <c r="BA39" s="50">
        <f t="shared" si="21"/>
        <v>501717</v>
      </c>
      <c r="BB39">
        <f>BB38+IF(AND(BA39&lt;&gt;"",COUNTIF(BA$4:BA39,BA39)=1),1,0)</f>
        <v>36</v>
      </c>
      <c r="BC39" s="50">
        <f t="shared" si="22"/>
        <v>501717</v>
      </c>
      <c r="BD39" s="50">
        <f>IF('Final Calculation Sheet'!$J$39="","",'Final Calculation Sheet'!$J$39)</f>
        <v>35414</v>
      </c>
      <c r="BE39">
        <f>IF(BD39="","",COUNTIFS(BD$4:BD$40,"&lt;"&amp;BD39,BD$4:BD$40,"&lt;&gt;"&amp;"")+COUNTIF(BD$4:BD39,BD39))</f>
        <v>7</v>
      </c>
      <c r="BF39" s="50">
        <f t="shared" si="23"/>
        <v>3289031</v>
      </c>
      <c r="BG39">
        <f>BG38+IF(AND(BF39&lt;&gt;"",COUNTIF(BF$4:BF39,BF39)=1),1,0)</f>
        <v>36</v>
      </c>
      <c r="BH39" s="50">
        <f t="shared" si="24"/>
        <v>3289031</v>
      </c>
      <c r="BI39" s="50">
        <f>IF('Final Calculation Sheet'!$K$39="","",'Final Calculation Sheet'!$K$39)</f>
        <v>708</v>
      </c>
      <c r="BJ39">
        <f>IF(BI39="","",COUNTIFS(BI$4:BI$40,"&lt;"&amp;BI39,BI$4:BI$40,"&lt;&gt;"&amp;"")+COUNTIF(BI$4:BI39,BI39))</f>
        <v>7</v>
      </c>
      <c r="BK39" s="50">
        <f t="shared" si="25"/>
        <v>65781</v>
      </c>
      <c r="BL39">
        <f>BL38+IF(AND(BK39&lt;&gt;"",COUNTIF(BK$4:BK39,BK39)=1),1,0)</f>
        <v>35</v>
      </c>
      <c r="BM39" s="50">
        <f t="shared" si="26"/>
        <v>91028</v>
      </c>
      <c r="BN39" s="50">
        <f>IF('Final Calculation Sheet'!$L$39="","",'Final Calculation Sheet'!$L$39)</f>
        <v>30.012</v>
      </c>
      <c r="BO39">
        <f>IF(BN39="","",COUNTIFS(BN$4:BN$40,"&lt;"&amp;BN39,BN$4:BN$40,"&lt;&gt;"&amp;"")+COUNTIF(BN$4:BN39,BN39))</f>
        <v>7</v>
      </c>
      <c r="BP39" s="50">
        <f t="shared" si="27"/>
        <v>2787.3139999999999</v>
      </c>
      <c r="BQ39">
        <f>BQ38+IF(AND(BP39&lt;&gt;"",COUNTIF(BP$4:BP39,BP39)=1),1,0)</f>
        <v>36</v>
      </c>
      <c r="BR39" s="50">
        <f t="shared" si="28"/>
        <v>2787.3139999999999</v>
      </c>
      <c r="BS39" s="50">
        <f>IF('Final Calculation Sheet'!$M$39="","",'Final Calculation Sheet'!$M$39)</f>
        <v>796.81859999999995</v>
      </c>
      <c r="BT39">
        <f>IF(BS39="","",COUNTIFS(BS$4:BS$40,"&lt;"&amp;BS39,BS$4:BS$40,"&lt;&gt;"&amp;"")+COUNTIF(BS$4:BS39,BS39))</f>
        <v>7</v>
      </c>
      <c r="BU39" s="50">
        <f t="shared" si="29"/>
        <v>74003.186699999991</v>
      </c>
      <c r="BV39">
        <f>BV38+IF(AND(BU39&lt;&gt;"",COUNTIF(BU$4:BU39,BU39)=1),1,0)</f>
        <v>36</v>
      </c>
      <c r="BW39" s="50">
        <f t="shared" si="30"/>
        <v>74003.186699999991</v>
      </c>
      <c r="BX39" s="126">
        <f>IF('Final Calculation Sheet'!$N$39="","",'Final Calculation Sheet'!$N$39)</f>
        <v>13.5054</v>
      </c>
      <c r="BY39">
        <f>IF(BX39="","",COUNTIFS(BX$4:BX$40,"&lt;"&amp;BX39,BX$4:BX$40,"&lt;&gt;"&amp;"")+COUNTIF(BX$4:BX39,BX39))</f>
        <v>7</v>
      </c>
      <c r="BZ39" s="126">
        <f t="shared" si="31"/>
        <v>1254.2912999999999</v>
      </c>
      <c r="CA39">
        <f>CA38+IF(AND(BZ39&lt;&gt;"",COUNTIF(BZ$4:BZ39,BZ39)=1),1,0)</f>
        <v>36</v>
      </c>
      <c r="CB39" s="126">
        <f t="shared" si="32"/>
        <v>1254.2912999999999</v>
      </c>
      <c r="CC39" s="50">
        <f>IF('Final Calculation Sheet'!$O$39="","",'Final Calculation Sheet'!$O$39)</f>
        <v>783.31319999999994</v>
      </c>
      <c r="CD39">
        <f>IF(CC39="","",COUNTIFS(CC$4:CC$40,"&lt;"&amp;CC39,CC$4:CC$40,"&lt;&gt;"&amp;"")+COUNTIF(CC$4:CC39,CC39))</f>
        <v>7</v>
      </c>
      <c r="CE39" s="50">
        <f t="shared" si="33"/>
        <v>72748.895399999994</v>
      </c>
      <c r="CF39">
        <f>CF38+IF(AND(CE39&lt;&gt;"",COUNTIF(CE$4:CE39,CE39)=1),1,0)</f>
        <v>36</v>
      </c>
      <c r="CG39" s="50">
        <f t="shared" si="34"/>
        <v>72748.895399999994</v>
      </c>
      <c r="CH39" s="50">
        <f>IF('Final Calculation Sheet'!$P$39="","",'Final Calculation Sheet'!$P$39)</f>
        <v>813</v>
      </c>
      <c r="CI39">
        <f>IF(CH39="","",COUNTIFS(CH$4:CH$40,"&lt;"&amp;CH39,CH$4:CH$40,"&lt;&gt;"&amp;"")+COUNTIF(CH$4:CH39,CH39))</f>
        <v>7</v>
      </c>
      <c r="CJ39" s="50">
        <f t="shared" si="35"/>
        <v>75536</v>
      </c>
      <c r="CK39">
        <f>CK38+IF(AND(CJ39&lt;&gt;"",COUNTIF(CJ$4:CJ39,CJ39)=1),1,0)</f>
        <v>35</v>
      </c>
      <c r="CL39" s="50">
        <f t="shared" si="36"/>
        <v>104528</v>
      </c>
      <c r="CM39" s="127">
        <f>IF('Final Calculation Sheet'!$Q$39="","",'Final Calculation Sheet'!$Q$39)</f>
        <v>0</v>
      </c>
      <c r="CN39">
        <f>IF(CM39="","",COUNTIFS(CM$4:CM$40,"&lt;"&amp;CM39,CM$4:CM$40,"&lt;&gt;"&amp;"")+COUNTIF(CM$4:CM39,CM39))</f>
        <v>32</v>
      </c>
      <c r="CO39" s="127">
        <f t="shared" si="37"/>
        <v>0.02</v>
      </c>
      <c r="CP39">
        <f>CP38+IF(AND(CO39&lt;&gt;"",COUNTIF(CO$4:CO39,CO39)=1),1,0)</f>
        <v>2</v>
      </c>
      <c r="CQ39" t="str">
        <f t="shared" si="38"/>
        <v/>
      </c>
      <c r="CR39" s="50">
        <f>IF('Final Calculation Sheet'!$R$39="","",'Final Calculation Sheet'!$R$39)</f>
        <v>0</v>
      </c>
      <c r="CS39">
        <f>IF(CR39="","",COUNTIFS(CR$4:CR$40,"&lt;"&amp;CR39,CR$4:CR$40,"&lt;&gt;"&amp;"")+COUNTIF(CR$4:CR39,CR39))</f>
        <v>32</v>
      </c>
      <c r="CT39" s="50">
        <f t="shared" si="39"/>
        <v>23310</v>
      </c>
      <c r="CU39">
        <f>CU38+IF(AND(CT39&lt;&gt;"",COUNTIF(CT$4:CT39,CT39)=1),1,0)</f>
        <v>4</v>
      </c>
      <c r="CV39" t="str">
        <f t="shared" si="40"/>
        <v/>
      </c>
      <c r="CW39" s="50">
        <f>IF('Final Calculation Sheet'!$S$39="","",'Final Calculation Sheet'!$S$39)</f>
        <v>35309</v>
      </c>
      <c r="CX39">
        <f>IF(CW39="","",COUNTIFS(CW$4:CW$40,"&lt;"&amp;CW39,CW$4:CW$40,"&lt;&gt;"&amp;"")+COUNTIF(CW$4:CW39,CW39))</f>
        <v>7</v>
      </c>
      <c r="CY39" s="50">
        <f t="shared" si="41"/>
        <v>3279275</v>
      </c>
      <c r="CZ39">
        <f>CZ38+IF(AND(CY39&lt;&gt;"",COUNTIF(CY$4:CY39,CY39)=1),1,0)</f>
        <v>36</v>
      </c>
      <c r="DA39" s="50">
        <f t="shared" si="42"/>
        <v>3279275</v>
      </c>
      <c r="DB39" s="50">
        <f>IF('Final Calculation Sheet'!$T$39="","",'Final Calculation Sheet'!$T$39)</f>
        <v>7503</v>
      </c>
      <c r="DC39">
        <f>IF(DB39="","",COUNTIFS(DB$4:DB$40,"&lt;"&amp;DB39,DB$4:DB$40,"&lt;&gt;"&amp;"")+COUNTIF(DB$4:DB39,DB39))</f>
        <v>7</v>
      </c>
      <c r="DD39" s="50">
        <f t="shared" si="43"/>
        <v>696829</v>
      </c>
      <c r="DE39">
        <f>DE38+IF(AND(DD39&lt;&gt;"",COUNTIF(DD$4:DD39,DD39)=1),1,0)</f>
        <v>36</v>
      </c>
      <c r="DF39" s="50">
        <f t="shared" si="44"/>
        <v>696829</v>
      </c>
      <c r="DG39" s="128">
        <f>IF('Final Calculation Sheet'!$U$39="","",'Final Calculation Sheet'!$U$39)</f>
        <v>7503</v>
      </c>
      <c r="DH39">
        <f>IF(DG39="","",COUNTIFS(DG$4:DG$40,"&lt;"&amp;DG39,DG$4:DG$40,"&lt;&gt;"&amp;"")+COUNTIF(DG$4:DG39,DG39))</f>
        <v>7</v>
      </c>
      <c r="DI39" s="128">
        <f t="shared" si="45"/>
        <v>696829</v>
      </c>
      <c r="DJ39">
        <f>DJ38+IF(AND(DI39&lt;&gt;"",COUNTIF(DI$4:DI39,DI39)=1),1,0)</f>
        <v>36</v>
      </c>
      <c r="DK39" s="128">
        <f t="shared" si="46"/>
        <v>696829</v>
      </c>
      <c r="DL39" t="str">
        <f>IF('Final Calculation Sheet'!$V$39="","",'Final Calculation Sheet'!$V$39)</f>
        <v>14.08.2026</v>
      </c>
      <c r="DM39">
        <f>IF(DL39="","",COUNTIFS(DL$4:DL$40,"&lt;"&amp;DL39,DL$4:DL$40,"&lt;&gt;"&amp;"")+COUNTIF(DL$4:DL39,DL39))</f>
        <v>34</v>
      </c>
      <c r="DN39" t="str">
        <f t="shared" si="47"/>
        <v>17.08.2026</v>
      </c>
      <c r="DO39">
        <f>DO38+IF(AND(DN39&lt;&gt;"",COUNTIF(DN$4:DN39,DN39)=1),1,0)</f>
        <v>5</v>
      </c>
      <c r="DP39" t="str">
        <f t="shared" si="48"/>
        <v/>
      </c>
      <c r="DQ39" s="50">
        <f>IF('Final Calculation Sheet'!$W$39="","",'Final Calculation Sheet'!$W$39)</f>
        <v>27806</v>
      </c>
      <c r="DR39">
        <f>IF(DQ39="","",COUNTIFS(DQ$4:DQ$40,"&lt;"&amp;DQ39,DQ$4:DQ$40,"&lt;&gt;"&amp;"")+COUNTIF(DQ$4:DQ39,DQ39))</f>
        <v>7</v>
      </c>
      <c r="DS39" s="50">
        <f t="shared" si="49"/>
        <v>2582446</v>
      </c>
      <c r="DT39">
        <f>DT38+IF(AND(DS39&lt;&gt;"",COUNTIF(DS$4:DS39,DS39)=1),1,0)</f>
        <v>36</v>
      </c>
      <c r="DU39" s="50">
        <f t="shared" si="50"/>
        <v>2582446</v>
      </c>
      <c r="DV39" s="50">
        <f>IF('Final Calculation Sheet'!$X$39="","",'Final Calculation Sheet'!$X$39)</f>
        <v>27806</v>
      </c>
      <c r="DW39">
        <f>IF(DV39="","",COUNTIFS(DV$4:DV$40,"&lt;"&amp;DV39,DV$4:DV$40,"&lt;&gt;"&amp;"")+COUNTIF(DV$4:DV39,DV39))</f>
        <v>7</v>
      </c>
      <c r="DX39" t="e">
        <f t="shared" si="51"/>
        <v>#N/A</v>
      </c>
      <c r="DY39" t="e">
        <f>DY38+IF(AND(DX39&lt;&gt;"",COUNTIF(DX$4:DX39,DX39)=1),1,0)</f>
        <v>#N/A</v>
      </c>
      <c r="DZ39" t="e">
        <f t="shared" si="52"/>
        <v>#N/A</v>
      </c>
      <c r="EA39" t="str">
        <f>IF('Final Calculation Sheet'!$Y$39="","",'Final Calculation Sheet'!$Y$39)</f>
        <v>01.09.2026</v>
      </c>
      <c r="EB39">
        <f>IF(EA39="","",COUNTIFS(EA$4:EA$40,"&lt;"&amp;EA39,EA$4:EA$40,"&lt;&gt;"&amp;"")+COUNTIF(EA$4:EA39,EA39))</f>
        <v>1</v>
      </c>
      <c r="EC39" t="e">
        <f t="shared" si="53"/>
        <v>#N/A</v>
      </c>
      <c r="ED39" t="e">
        <f>ED38+IF(AND(EC39&lt;&gt;"",COUNTIF(EC$4:EC39,EC39)=1),1,0)</f>
        <v>#N/A</v>
      </c>
      <c r="EE39" t="e">
        <f t="shared" si="54"/>
        <v>#N/A</v>
      </c>
      <c r="EF39" s="50">
        <f ca="1">IF('Final Calculation Sheet'!$Z$39="","",'Final Calculation Sheet'!$Z$39)</f>
        <v>708.28319999999997</v>
      </c>
      <c r="EG39">
        <f ca="1">IF(EF39="","",COUNTIFS(EF$4:EF$40,"&lt;"&amp;EF39,EF$4:EF$40,"&lt;&gt;"&amp;"")+COUNTIF(EF$4:EF39,EF39))</f>
        <v>3</v>
      </c>
      <c r="EH39" s="50">
        <f t="shared" ca="1" si="55"/>
        <v>98670.915600000008</v>
      </c>
      <c r="EI39">
        <f ca="1">EI38+IF(AND(EH39&lt;&gt;"",COUNTIF(EH$4:EH39,EH39)=1),1,0)</f>
        <v>36</v>
      </c>
      <c r="EJ39">
        <f t="shared" ca="1" si="56"/>
        <v>98670.915600000008</v>
      </c>
      <c r="EK39" s="50">
        <f>IF('Final Calculation Sheet'!$AA$39="","",'Final Calculation Sheet'!$AA$39)</f>
        <v>708</v>
      </c>
      <c r="EL39">
        <f>IF(EK39="","",COUNTIFS(EK$4:EK$40,"&lt;"&amp;EK39,EK$4:EK$40,"&lt;&gt;"&amp;"")+COUNTIF(EK$4:EK39,EK39))</f>
        <v>1</v>
      </c>
      <c r="EM39" t="e">
        <f t="shared" si="57"/>
        <v>#N/A</v>
      </c>
      <c r="EN39" t="e">
        <f>EN38+IF(AND(EM39&lt;&gt;"",COUNTIF(EM$4:EM39,EM39)=1),1,0)</f>
        <v>#N/A</v>
      </c>
      <c r="EO39" t="e">
        <f t="shared" si="58"/>
        <v>#N/A</v>
      </c>
      <c r="EP39" t="str">
        <f>IF('Final Calculation Sheet'!$AB$39="","",'Final Calculation Sheet'!$AB$39)</f>
        <v>01.09.2026</v>
      </c>
      <c r="EQ39">
        <f>IF(EP39="","",COUNTIFS(EP$4:EP$40,"&lt;"&amp;EP39,EP$4:EP$40,"&lt;&gt;"&amp;"")+COUNTIF(EP$4:EP39,EP39))</f>
        <v>36</v>
      </c>
      <c r="ER39" t="str">
        <f t="shared" si="59"/>
        <v>01.09.2026</v>
      </c>
      <c r="ES39" t="e">
        <f>ES38+IF(AND(ER39&lt;&gt;"",COUNTIF(ER$4:ER39,ER39)=1),1,0)</f>
        <v>#N/A</v>
      </c>
      <c r="ET39" t="e">
        <f t="shared" si="60"/>
        <v>#N/A</v>
      </c>
      <c r="EU39" s="50">
        <f>IF('Final Calculation Sheet'!$AC$39="","",'Final Calculation Sheet'!$AC$39)</f>
        <v>36017</v>
      </c>
      <c r="EV39">
        <f>IF(EU39="","",COUNTIFS(EU$4:EU$40,"&lt;"&amp;EU39,EU$4:EU$40,"&lt;&gt;"&amp;"")+COUNTIF(EU$4:EU39,EU39))</f>
        <v>8</v>
      </c>
      <c r="EW39" s="50">
        <f t="shared" si="61"/>
        <v>3279276.0942916102</v>
      </c>
      <c r="EX39">
        <f>EX38+IF(AND(EW39&lt;&gt;"",COUNTIF(EW$4:EW39,EW39)=1),1,0)</f>
        <v>36</v>
      </c>
      <c r="EY39" s="50">
        <f t="shared" si="62"/>
        <v>3279276.0942916102</v>
      </c>
      <c r="EZ39" s="50">
        <f>IF('Final Calculation Sheet'!$AD$39="","",'Final Calculation Sheet'!$AD$39)</f>
        <v>-708</v>
      </c>
      <c r="FA39">
        <f>IF(EZ39="","",COUNTIFS(EZ$4:EZ$40,"&lt;"&amp;EZ39,EZ$4:EZ$40,"&lt;&gt;"&amp;"")+COUNTIF(EZ$4:EZ39,EZ39))</f>
        <v>2</v>
      </c>
      <c r="FB39" s="50">
        <f t="shared" si="63"/>
        <v>250160</v>
      </c>
      <c r="FC39">
        <f>FC38+IF(AND(FB39&lt;&gt;"",COUNTIF(FB$4:FB39,FB39)=1),1,0)</f>
        <v>10</v>
      </c>
      <c r="FD39" t="str">
        <f t="shared" si="64"/>
        <v/>
      </c>
      <c r="FE39" t="str">
        <f>IF('Final Calculation Sheet'!$AF$39="","",'Final Calculation Sheet'!$AF$39)</f>
        <v/>
      </c>
      <c r="FF39" t="str">
        <f>IF(FE39="","",COUNTIFS(FE$4:FE$40,"&lt;"&amp;FE39,FE$4:FE$40,"&lt;&gt;"&amp;"")+COUNTIF(FE$4:FE39,FE39))</f>
        <v/>
      </c>
      <c r="FG39" t="str">
        <f t="shared" si="65"/>
        <v>DR2640100047</v>
      </c>
      <c r="FH39" t="e">
        <f>FH38+IF(AND(FG39&lt;&gt;"",COUNTIF(FG$4:FG39,FG39)=1),1,0)</f>
        <v>#N/A</v>
      </c>
      <c r="FI39" t="e">
        <f t="shared" si="66"/>
        <v>#N/A</v>
      </c>
      <c r="FJ39" t="str">
        <f>IF('Final Calculation Sheet'!$AG$39="","",'Final Calculation Sheet'!$AG$39)</f>
        <v/>
      </c>
      <c r="FK39" t="str">
        <f>IF(FJ39="","",COUNTIFS(FJ$4:FJ$40,"&lt;"&amp;FJ39,FJ$4:FJ$40,"&lt;&gt;"&amp;"")+COUNTIF(FJ$4:FJ39,FJ39))</f>
        <v/>
      </c>
      <c r="FL39" t="e">
        <f t="shared" si="67"/>
        <v>#N/A</v>
      </c>
      <c r="FM39" t="e">
        <f>FM38+IF(AND(FL39&lt;&gt;"",COUNTIF(FL$4:FL39,FL39)=1),1,0)</f>
        <v>#N/A</v>
      </c>
      <c r="FN39" t="e">
        <f t="shared" si="68"/>
        <v>#N/A</v>
      </c>
      <c r="FO39" t="str">
        <f>IF('Final Calculation Sheet'!$AH$39="","",'Final Calculation Sheet'!$AH$39)</f>
        <v/>
      </c>
      <c r="FP39" t="str">
        <f>IF(FO39="","",COUNTIFS(FO$4:FO$40,"&lt;"&amp;FO39,FO$4:FO$40,"&lt;&gt;"&amp;"")+COUNTIF(FO$4:FO39,FO39))</f>
        <v/>
      </c>
      <c r="FQ39" t="str">
        <f t="shared" si="69"/>
        <v>27.08.2026</v>
      </c>
      <c r="FR39" t="e">
        <f>FR38+IF(AND(FQ39&lt;&gt;"",COUNTIF(FQ$4:FQ39,FQ39)=1),1,0)</f>
        <v>#N/A</v>
      </c>
      <c r="FS39" t="e">
        <f t="shared" si="70"/>
        <v>#N/A</v>
      </c>
      <c r="FU39" t="str">
        <f>IF(FT39="","",COUNTIFS(FT$4:FT$40,"&lt;"&amp;FT39,FT$4:FT$40,"&lt;&gt;"&amp;"")+COUNTIF(FT$4:FT39,FT39))</f>
        <v/>
      </c>
      <c r="FV39" t="str">
        <f t="shared" si="71"/>
        <v/>
      </c>
      <c r="FW39">
        <f>FW38+IF(AND(FV39&lt;&gt;"",COUNTIF(FV$4:FV39,FV39)=1),1,0)</f>
        <v>2</v>
      </c>
      <c r="FX39" t="str">
        <f t="shared" si="72"/>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39" t="b">
        <f>IF($Y$39="",FALSE,SUMPRODUCT(('Final Calculation Sheet'!$B$4:$B$40=$Y$39)*($FY$6:$FY$42=1))&gt;0)</f>
        <v>0</v>
      </c>
      <c r="GA39">
        <f>$GA$38+--($FZ$39)</f>
        <v>25</v>
      </c>
      <c r="GB39" t="str">
        <f t="shared" si="73"/>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D39" t="b">
        <f>IF($O$39="",FALSE,SUMPRODUCT(('Final Calculation Sheet'!$F$4:$F$40=$O$39)*($GC$6:$GC$42=1))&gt;0)</f>
        <v>1</v>
      </c>
      <c r="GE39">
        <f>$GE$38+--($GD39)</f>
        <v>36</v>
      </c>
      <c r="GF39">
        <f t="shared" si="74"/>
        <v>2089</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H39" t="b">
        <f>IF($T$39="",FALSE,SUMPRODUCT(('Final Calculation Sheet'!$G$4:$G$40=$T$39)*($GG$6:$GG$42=1))&gt;0)</f>
        <v>0</v>
      </c>
      <c r="GI39">
        <f>$GI$38+--($GH39)</f>
        <v>13</v>
      </c>
      <c r="GJ39" t="str">
        <f t="shared" si="75"/>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L39" t="b">
        <f>IF($AD$39="",FALSE,SUMPRODUCT(('Final Calculation Sheet'!$D$4:$D$40=$AD$39)*($GK$6:$GK$42=1))&gt;0)</f>
        <v>0</v>
      </c>
      <c r="GM39">
        <f>$GM$38+--($GL39)</f>
        <v>4</v>
      </c>
      <c r="GN39" t="str">
        <f t="shared" si="76"/>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P39" t="b">
        <f>IF($AI$39="",FALSE,SUMPRODUCT(('Final Calculation Sheet'!$A$4:$A$40=$AI$39)*($GO$6:$GO$42=1))&gt;0)</f>
        <v>0</v>
      </c>
      <c r="GQ39">
        <f>$GQ$38+--($GP39)</f>
        <v>22</v>
      </c>
      <c r="GR39" t="str">
        <f t="shared" si="77"/>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T39" t="b">
        <f>IF($AN$39="",FALSE,SUMPRODUCT(('Final Calculation Sheet'!$E$4:$E$40=$AN$39)*($GS$6:$GS$42=1))&gt;0)</f>
        <v>0</v>
      </c>
      <c r="GU39">
        <f>$GU$38+--($GT39)</f>
        <v>3</v>
      </c>
      <c r="GV39" t="str">
        <f t="shared" si="78"/>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GX39" t="b">
        <f>IF($AS$39="",FALSE,SUMPRODUCT(('Final Calculation Sheet'!$C$4:$C$40=$AS$39)*($GW$6:$GW$42=1))&gt;0)</f>
        <v>0</v>
      </c>
      <c r="GY39">
        <f>$GY$38+--($GX39)</f>
        <v>35</v>
      </c>
      <c r="GZ39" t="str">
        <f t="shared" si="79"/>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B39" t="b">
        <f>IF($AX$39="",FALSE,SUMPRODUCT(('Final Calculation Sheet'!$H$4:$H$40=$AX$39)*($HA$6:$HA$42=1))&gt;0)</f>
        <v>1</v>
      </c>
      <c r="HC39">
        <f>$HC$38+--($HB39)</f>
        <v>36</v>
      </c>
      <c r="HD39">
        <f t="shared" si="80"/>
        <v>2787314</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F39" t="b">
        <f>IF($BC$39="",FALSE,SUMPRODUCT(('Final Calculation Sheet'!$I$4:$I$40=$BC$39)*($HE$6:$HE$42=1))&gt;0)</f>
        <v>1</v>
      </c>
      <c r="HG39">
        <f>$HG$38+--($HF39)</f>
        <v>36</v>
      </c>
      <c r="HH39">
        <f t="shared" si="81"/>
        <v>501717</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J39" t="b">
        <f>IF($BH$39="",FALSE,SUMPRODUCT(('Final Calculation Sheet'!$J$4:$J$40=$BH$39)*($HI$6:$HI$42=1))&gt;0)</f>
        <v>1</v>
      </c>
      <c r="HK39">
        <f>$HK$38+--($HJ39)</f>
        <v>36</v>
      </c>
      <c r="HL39">
        <f t="shared" si="82"/>
        <v>3289031</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N39" t="b">
        <f>IF($BM$39="",FALSE,SUMPRODUCT(('Final Calculation Sheet'!$K$4:$K$40=$BM$39)*($HM$6:$HM$42=1))&gt;0)</f>
        <v>1</v>
      </c>
      <c r="HO39">
        <f>$HO$38+--($HN39)</f>
        <v>36</v>
      </c>
      <c r="HP39">
        <f t="shared" si="83"/>
        <v>91028</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R39" t="b">
        <f>IF($BR$39="",FALSE,SUMPRODUCT(('Final Calculation Sheet'!$L$4:$L$40=$BR$39)*($HQ$6:$HQ$42=1))&gt;0)</f>
        <v>1</v>
      </c>
      <c r="HS39">
        <f>$HS$38+--($HR39)</f>
        <v>36</v>
      </c>
      <c r="HT39">
        <f t="shared" si="84"/>
        <v>2787.3139999999999</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V39" t="b">
        <f>IF($BW$39="",FALSE,SUMPRODUCT(('Final Calculation Sheet'!$M$4:$M$40=$BW$39)*($HU$6:$HU$42=1))&gt;0)</f>
        <v>1</v>
      </c>
      <c r="HW39">
        <f>$HW$38+--($HV39)</f>
        <v>36</v>
      </c>
      <c r="HX39">
        <f t="shared" si="85"/>
        <v>74003.186699999991</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HZ39" t="b">
        <f>IF($CB$39="",FALSE,SUMPRODUCT(('Final Calculation Sheet'!$N$4:$N$40=$CB$39)*($HY$6:$HY$42=1))&gt;0)</f>
        <v>1</v>
      </c>
      <c r="IA39">
        <f>$IA$38+--($HZ39)</f>
        <v>36</v>
      </c>
      <c r="IB39">
        <f t="shared" si="86"/>
        <v>1254.2912999999999</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D39" t="b">
        <f>IF($CG$39="",FALSE,SUMPRODUCT(('Final Calculation Sheet'!$O$4:$O$40=$CG$39)*($IC$6:$IC$42=1))&gt;0)</f>
        <v>1</v>
      </c>
      <c r="IE39">
        <f>$IE$38+--($ID39)</f>
        <v>36</v>
      </c>
      <c r="IF39">
        <f t="shared" si="87"/>
        <v>72748.895399999994</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H39" t="b">
        <f>IF($CL$39="",FALSE,SUMPRODUCT(('Final Calculation Sheet'!$P$4:$P$40=$CL$39)*($IG$6:$IG$42=1))&gt;0)</f>
        <v>1</v>
      </c>
      <c r="II39">
        <f>$II$38+--($IH39)</f>
        <v>36</v>
      </c>
      <c r="IJ39">
        <f t="shared" si="88"/>
        <v>104528</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L39" t="b">
        <f>IF($CQ$39="",FALSE,SUMPRODUCT(('Final Calculation Sheet'!$Q$4:$Q$40=$CQ$39)*($IK$6:$IK$42=1))&gt;0)</f>
        <v>0</v>
      </c>
      <c r="IM39">
        <f>$IM$38+--($IL39)</f>
        <v>2</v>
      </c>
      <c r="IN39" t="str">
        <f t="shared" si="89"/>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P39" t="b">
        <f>IF($CV$39="",FALSE,SUMPRODUCT(('Final Calculation Sheet'!$R$4:$R$40=$CV$39)*($IO$6:$IO$42=1))&gt;0)</f>
        <v>0</v>
      </c>
      <c r="IQ39">
        <f>$IQ$38+--($IP39)</f>
        <v>5</v>
      </c>
      <c r="IR39" t="str">
        <f t="shared" si="90"/>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T39" t="b">
        <f>IF($DA$39="",FALSE,SUMPRODUCT(('Final Calculation Sheet'!$S$4:$S$40=$DA$39)*($IS$6:$IS$42=1))&gt;0)</f>
        <v>1</v>
      </c>
      <c r="IU39">
        <f>$IU$38+--($IT39)</f>
        <v>36</v>
      </c>
      <c r="IV39">
        <f t="shared" si="91"/>
        <v>3279275</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IX39" t="b">
        <f>IF($DF$39="",FALSE,SUMPRODUCT(('Final Calculation Sheet'!$T$4:$T$40=$DF$39)*($IW$6:$IW$42=1))&gt;0)</f>
        <v>1</v>
      </c>
      <c r="IY39">
        <f>$IY$38+--($IX39)</f>
        <v>36</v>
      </c>
      <c r="IZ39">
        <f t="shared" si="92"/>
        <v>696829</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B39" t="b">
        <f>IF($DK$39="",FALSE,SUMPRODUCT(('Final Calculation Sheet'!$U$4:$U$40=$DK$39)*($JA$6:$JA$42=1))&gt;0)</f>
        <v>1</v>
      </c>
      <c r="JC39">
        <f>$JC$38+--($JB39)</f>
        <v>36</v>
      </c>
      <c r="JD39">
        <f t="shared" si="93"/>
        <v>696829</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F39" t="b">
        <f>IF($DP$39="",FALSE,SUMPRODUCT(('Final Calculation Sheet'!$V$4:$V$40=$DP$39)*($JE$6:$JE$42=1))&gt;0)</f>
        <v>0</v>
      </c>
      <c r="JG39">
        <f>$JG$38+--($JF39)</f>
        <v>6</v>
      </c>
      <c r="JH39" t="str">
        <f t="shared" si="94"/>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J39" t="b">
        <f>IF($DU$39="",FALSE,SUMPRODUCT(('Final Calculation Sheet'!$W$4:$W$40=$DU$39)*($JI$6:$JI$42=1))&gt;0)</f>
        <v>1</v>
      </c>
      <c r="JK39">
        <f>$JK$38+--($JJ39)</f>
        <v>36</v>
      </c>
      <c r="JL39">
        <f t="shared" si="95"/>
        <v>2582446</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N39" t="e">
        <f>IF($DZ$39="",FALSE,SUMPRODUCT(('Final Calculation Sheet'!$X$4:$X$40=$DZ$39)*($JM$6:$JM$42=1))&gt;0)</f>
        <v>#N/A</v>
      </c>
      <c r="JO39" t="e">
        <f>$JO$38+--($JN39)</f>
        <v>#N/A</v>
      </c>
      <c r="JP39" t="e">
        <f t="shared" si="96"/>
        <v>#N/A</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R39" t="e">
        <f>IF($EE$39="",FALSE,SUMPRODUCT(('Final Calculation Sheet'!$Y$4:$Y$40=$EE$39)*($JQ$6:$JQ$42=1))&gt;0)</f>
        <v>#N/A</v>
      </c>
      <c r="JS39" t="e">
        <f>$JS$38+--($JR39)</f>
        <v>#N/A</v>
      </c>
      <c r="JT39" t="e">
        <f t="shared" si="97"/>
        <v>#N/A</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V39" t="b">
        <f ca="1">IF($EJ$39="",FALSE,SUMPRODUCT(('Final Calculation Sheet'!$Z$4:$Z$40=$EJ$39)*($JU$6:$JU$42=1))&gt;0)</f>
        <v>1</v>
      </c>
      <c r="JW39">
        <f ca="1">$JW$38+--($JV39)</f>
        <v>36</v>
      </c>
      <c r="JX39">
        <f t="shared" ca="1" si="98"/>
        <v>98670.915600000008</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JZ39" t="e">
        <f>IF($EO$39="",FALSE,SUMPRODUCT(('Final Calculation Sheet'!$AA$4:$AA$40=$EO$39)*($JY$6:$JY$42=1))&gt;0)</f>
        <v>#N/A</v>
      </c>
      <c r="KA39" t="e">
        <f>$KA$38+--($JZ39)</f>
        <v>#N/A</v>
      </c>
      <c r="KB39" t="e">
        <f t="shared" si="99"/>
        <v>#N/A</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D39" t="e">
        <f>IF($ET$39="",FALSE,SUMPRODUCT(('Final Calculation Sheet'!$AB$4:$AB$40=$ET$39)*($KC$6:$KC$42=1))&gt;0)</f>
        <v>#N/A</v>
      </c>
      <c r="KE39" t="e">
        <f>$KE$38+--($KD39)</f>
        <v>#N/A</v>
      </c>
      <c r="KF39" t="e">
        <f t="shared" si="100"/>
        <v>#N/A</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H39" t="b">
        <f>IF($EY$39="",FALSE,SUMPRODUCT(('Final Calculation Sheet'!$AC$4:$AC$40=$EY$39)*($KG$6:$KG$42=1))&gt;0)</f>
        <v>1</v>
      </c>
      <c r="KI39">
        <f>$KI$38+--($KH39)</f>
        <v>36</v>
      </c>
      <c r="KJ39">
        <f t="shared" si="101"/>
        <v>3279276.0942916102</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L39" t="b">
        <f>IF($FD$39="",FALSE,SUMPRODUCT(('Final Calculation Sheet'!$AD$4:$AD$40=$FD$39)*($KK$6:$KK$42=1))&gt;0)</f>
        <v>0</v>
      </c>
      <c r="KM39">
        <f>$KM$38+--($KL39)</f>
        <v>11</v>
      </c>
      <c r="KN39" t="str">
        <f t="shared" si="102"/>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P39" t="b">
        <f>IF($FX$39="",FALSE,SUMPRODUCT((IF('Final Calculation Sheet'!$AD$4:$AD$40&lt;=5,"SETTLED","OUTSTANDING")=$FX$39)*($KO$6:$KO$42=1))&gt;0)</f>
        <v>0</v>
      </c>
      <c r="KQ39">
        <f>$KQ$38+--($KP39)</f>
        <v>1</v>
      </c>
      <c r="KR39" t="str">
        <f t="shared" si="103"/>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T39" t="e">
        <f>IF($FI$39="",FALSE,SUMPRODUCT(('Final Calculation Sheet'!$AF$4:$AF$40=$FI$39)*($KS$6:$KS$42=1))&gt;0)</f>
        <v>#N/A</v>
      </c>
      <c r="KU39" t="e">
        <f>$KU$38+--($KT39)</f>
        <v>#N/A</v>
      </c>
      <c r="KV39" t="e">
        <f t="shared" si="104"/>
        <v>#N/A</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KX39" t="e">
        <f>IF($FN$39="",FALSE,SUMPRODUCT(('Final Calculation Sheet'!$AG$4:$AG$40=$FN$39)*($KW$6:$KW$42=1))&gt;0)</f>
        <v>#N/A</v>
      </c>
      <c r="KY39" t="e">
        <f>$KY$38+--($KX39)</f>
        <v>#N/A</v>
      </c>
      <c r="KZ39" t="e">
        <f t="shared" si="105"/>
        <v>#N/A</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LB39" t="e">
        <f>IF($FS$39="",FALSE,SUMPRODUCT(('Final Calculation Sheet'!$AH$4:$AH$40=$FS$39)*($LA$6:$LA$42=1))&gt;0)</f>
        <v>#N/A</v>
      </c>
      <c r="LC39" t="e">
        <f>$LC$38+--($LB39)</f>
        <v>#N/A</v>
      </c>
      <c r="LD39" t="e">
        <f t="shared" si="106"/>
        <v>#N/A</v>
      </c>
      <c r="LE39">
        <f>IF(COUNTIF('Buyer Groups'!DH39:EN39,0)&gt;0,0,1)</f>
        <v>1</v>
      </c>
      <c r="LF39" t="b">
        <f>IF($O$39="",FALSE,SUMPRODUCT(('Final Calculation Sheet'!$F$4:$F$40=$O$39)*($LE$6:$LE$42=1))&gt;0)</f>
        <v>1</v>
      </c>
      <c r="LG39">
        <f>$LG$38+--($LF39)</f>
        <v>36</v>
      </c>
      <c r="LH39">
        <f t="shared" si="107"/>
        <v>2089</v>
      </c>
      <c r="LI39">
        <f>IF(COUNTIF('Buyer Groups'!DG39:DG39,0)+COUNTIF('Buyer Groups'!DI39:EN39,0)&gt;0,0,1)</f>
        <v>1</v>
      </c>
      <c r="LJ39" t="b">
        <f>IF($T$39="",FALSE,SUMPRODUCT(('Final Calculation Sheet'!$G$4:$G$40=$T$39)*($LI$6:$LI$42=1))&gt;0)</f>
        <v>0</v>
      </c>
      <c r="LK39">
        <f>$LK$38+--($LJ39)</f>
        <v>13</v>
      </c>
      <c r="LL39" t="str">
        <f t="shared" si="108"/>
        <v/>
      </c>
      <c r="LM39">
        <f>IF(COUNTIF('Buyer Groups'!DG39:DH39,0)+COUNTIF('Buyer Groups'!DJ39:EN39,0)&gt;0,0,1)</f>
        <v>1</v>
      </c>
      <c r="LN39" t="b">
        <f>IF($Y$39="",FALSE,SUMPRODUCT(('Final Calculation Sheet'!$B$4:$B$40=$Y$39)*($LM$6:$LM$42=1))&gt;0)</f>
        <v>0</v>
      </c>
      <c r="LO39">
        <f>$LO$38+--($LN39)</f>
        <v>25</v>
      </c>
      <c r="LP39" t="str">
        <f t="shared" si="109"/>
        <v/>
      </c>
      <c r="LQ39">
        <f>IF(COUNTIF('Buyer Groups'!DG39:DI39,0)+COUNTIF('Buyer Groups'!DK39:EN39,0)&gt;0,0,1)</f>
        <v>1</v>
      </c>
      <c r="LR39" t="b">
        <f>IF($AD$39="",FALSE,SUMPRODUCT(('Final Calculation Sheet'!$D$4:$D$40=$AD$39)*($LQ$6:$LQ$42=1))&gt;0)</f>
        <v>0</v>
      </c>
      <c r="LS39">
        <f>$LS$38+--($LR39)</f>
        <v>4</v>
      </c>
      <c r="LT39" t="str">
        <f t="shared" si="110"/>
        <v/>
      </c>
      <c r="LU39">
        <f>IF(COUNTIF('Buyer Groups'!DG39:DJ39,0)+COUNTIF('Buyer Groups'!DL39:EN39,0)&gt;0,0,1)</f>
        <v>1</v>
      </c>
      <c r="LV39" t="b">
        <f>IF($AI$39="",FALSE,SUMPRODUCT(('Final Calculation Sheet'!$A$4:$A$40=$AI$39)*($LU$6:$LU$42=1))&gt;0)</f>
        <v>0</v>
      </c>
      <c r="LW39">
        <f>$LW$38+--($LV39)</f>
        <v>22</v>
      </c>
      <c r="LX39" t="str">
        <f t="shared" si="111"/>
        <v/>
      </c>
      <c r="LY39">
        <f>IF(COUNTIF('Buyer Groups'!DG39:DK39,0)+COUNTIF('Buyer Groups'!DM39:EN39,0)&gt;0,0,1)</f>
        <v>1</v>
      </c>
      <c r="LZ39" t="b">
        <f>IF($AN$39="",FALSE,SUMPRODUCT(('Final Calculation Sheet'!$E$4:$E$40=$AN$39)*($LY$6:$LY$42=1))&gt;0)</f>
        <v>0</v>
      </c>
      <c r="MA39">
        <f>$MA$38+--($LZ39)</f>
        <v>3</v>
      </c>
      <c r="MB39" t="str">
        <f t="shared" si="112"/>
        <v/>
      </c>
      <c r="MC39">
        <f>IF(COUNTIF('Buyer Groups'!DG39:DL39,0)+COUNTIF('Buyer Groups'!DN39:EN39,0)&gt;0,0,1)</f>
        <v>1</v>
      </c>
      <c r="MD39" t="b">
        <f>IF($AS$39="",FALSE,SUMPRODUCT(('Final Calculation Sheet'!$C$4:$C$40=$AS$39)*($MC$6:$MC$42=1))&gt;0)</f>
        <v>0</v>
      </c>
      <c r="ME39">
        <f>$ME$38+--($MD39)</f>
        <v>35</v>
      </c>
      <c r="MF39" t="str">
        <f t="shared" si="113"/>
        <v/>
      </c>
      <c r="MG39">
        <f>IF(COUNTIF('Buyer Groups'!DG39:DM39,0)+COUNTIF('Buyer Groups'!DO39:EN39,0)&gt;0,0,1)</f>
        <v>1</v>
      </c>
      <c r="MH39" t="b">
        <f>IF($AX$39="",FALSE,SUMPRODUCT(('Final Calculation Sheet'!$H$4:$H$40=$AX$39)*($MG$6:$MG$42=1))&gt;0)</f>
        <v>1</v>
      </c>
      <c r="MI39">
        <f>$MI$38+--($MH39)</f>
        <v>36</v>
      </c>
      <c r="MJ39">
        <f t="shared" si="114"/>
        <v>2787314</v>
      </c>
      <c r="MK39">
        <f>IF(COUNTIF('Buyer Groups'!DG39:DN39,0)+COUNTIF('Buyer Groups'!DP39:EN39,0)&gt;0,0,1)</f>
        <v>1</v>
      </c>
      <c r="ML39" t="b">
        <f>IF($BC$39="",FALSE,SUMPRODUCT(('Final Calculation Sheet'!$I$4:$I$40=$BC$39)*($MK$6:$MK$42=1))&gt;0)</f>
        <v>1</v>
      </c>
      <c r="MM39">
        <f>$MM$38+--($ML39)</f>
        <v>36</v>
      </c>
      <c r="MN39">
        <f t="shared" si="115"/>
        <v>501717</v>
      </c>
      <c r="MO39">
        <f>IF(COUNTIF('Buyer Groups'!DG39:DO39,0)+COUNTIF('Buyer Groups'!DQ39:EN39,0)&gt;0,0,1)</f>
        <v>1</v>
      </c>
      <c r="MP39" t="b">
        <f>IF($BH$39="",FALSE,SUMPRODUCT(('Final Calculation Sheet'!$J$4:$J$40=$BH$39)*($MO$6:$MO$42=1))&gt;0)</f>
        <v>1</v>
      </c>
      <c r="MQ39">
        <f>$MQ$38+--($MP39)</f>
        <v>36</v>
      </c>
      <c r="MR39">
        <f t="shared" si="116"/>
        <v>3289031</v>
      </c>
      <c r="MS39">
        <f>IF(COUNTIF('Buyer Groups'!DG39:DP39,0)+COUNTIF('Buyer Groups'!DR39:EN39,0)&gt;0,0,1)</f>
        <v>1</v>
      </c>
      <c r="MT39" t="b">
        <f>IF($BM$39="",FALSE,SUMPRODUCT(('Final Calculation Sheet'!$K$4:$K$40=$BM$39)*($MS$6:$MS$42=1))&gt;0)</f>
        <v>1</v>
      </c>
      <c r="MU39">
        <f>$MU$38+--($MT39)</f>
        <v>36</v>
      </c>
      <c r="MV39">
        <f t="shared" si="117"/>
        <v>91028</v>
      </c>
      <c r="MW39">
        <f>IF(COUNTIF('Buyer Groups'!DG39:DQ39,0)+COUNTIF('Buyer Groups'!DS39:EN39,0)&gt;0,0,1)</f>
        <v>1</v>
      </c>
      <c r="MX39" t="b">
        <f>IF($BR$39="",FALSE,SUMPRODUCT(('Final Calculation Sheet'!$L$4:$L$40=$BR$39)*($MW$6:$MW$42=1))&gt;0)</f>
        <v>1</v>
      </c>
      <c r="MY39">
        <f>$MY$38+--($MX39)</f>
        <v>36</v>
      </c>
      <c r="MZ39">
        <f t="shared" si="118"/>
        <v>2787.3139999999999</v>
      </c>
      <c r="NA39">
        <f>IF(COUNTIF('Buyer Groups'!DG39:DR39,0)+COUNTIF('Buyer Groups'!DT39:EN39,0)&gt;0,0,1)</f>
        <v>1</v>
      </c>
      <c r="NB39" t="b">
        <f>IF($BW$39="",FALSE,SUMPRODUCT(('Final Calculation Sheet'!$M$4:$M$40=$BW$39)*($NA$6:$NA$42=1))&gt;0)</f>
        <v>1</v>
      </c>
      <c r="NC39">
        <f>$NC$38+--($NB39)</f>
        <v>36</v>
      </c>
      <c r="ND39">
        <f t="shared" si="119"/>
        <v>74003.186699999991</v>
      </c>
      <c r="NE39">
        <f>IF(COUNTIF('Buyer Groups'!DG39:DS39,0)+COUNTIF('Buyer Groups'!DU39:EN39,0)&gt;0,0,1)</f>
        <v>1</v>
      </c>
      <c r="NF39" t="b">
        <f>IF($CB$39="",FALSE,SUMPRODUCT(('Final Calculation Sheet'!$N$4:$N$40=$CB$39)*($NE$6:$NE$42=1))&gt;0)</f>
        <v>1</v>
      </c>
      <c r="NG39">
        <f>$NG$38+--($NF39)</f>
        <v>36</v>
      </c>
      <c r="NH39">
        <f t="shared" si="120"/>
        <v>1254.2912999999999</v>
      </c>
      <c r="NI39">
        <f>IF(COUNTIF('Buyer Groups'!DG39:DT39,0)+COUNTIF('Buyer Groups'!DV39:EN39,0)&gt;0,0,1)</f>
        <v>1</v>
      </c>
      <c r="NJ39" t="b">
        <f>IF($CG$39="",FALSE,SUMPRODUCT(('Final Calculation Sheet'!$O$4:$O$40=$CG$39)*($NI$6:$NI$42=1))&gt;0)</f>
        <v>1</v>
      </c>
      <c r="NK39">
        <f>$NK$38+--($NJ39)</f>
        <v>36</v>
      </c>
      <c r="NL39">
        <f t="shared" si="121"/>
        <v>72748.895399999994</v>
      </c>
      <c r="NM39">
        <f>IF(COUNTIF('Buyer Groups'!DG39:DU39,0)+COUNTIF('Buyer Groups'!DW39:EN39,0)&gt;0,0,1)</f>
        <v>1</v>
      </c>
      <c r="NN39" t="b">
        <f>IF($CL$39="",FALSE,SUMPRODUCT(('Final Calculation Sheet'!$P$4:$P$40=$CL$39)*($NM$6:$NM$42=1))&gt;0)</f>
        <v>1</v>
      </c>
      <c r="NO39">
        <f>$NO$38+--($NN39)</f>
        <v>36</v>
      </c>
      <c r="NP39">
        <f t="shared" si="122"/>
        <v>104528</v>
      </c>
      <c r="NQ39">
        <f>IF(COUNTIF('Buyer Groups'!DG39:DV39,0)+COUNTIF('Buyer Groups'!DX39:EN39,0)&gt;0,0,1)</f>
        <v>1</v>
      </c>
      <c r="NR39" t="b">
        <f>IF($CQ$39="",FALSE,SUMPRODUCT(('Final Calculation Sheet'!$Q$4:$Q$40=$CQ$39)*($NQ$6:$NQ$42=1))&gt;0)</f>
        <v>0</v>
      </c>
      <c r="NS39">
        <f>$NS$38+--($NR39)</f>
        <v>2</v>
      </c>
      <c r="NT39" t="str">
        <f t="shared" si="123"/>
        <v/>
      </c>
      <c r="NU39">
        <f>IF(COUNTIF('Buyer Groups'!DG39:DW39,0)+COUNTIF('Buyer Groups'!DY39:EN39,0)&gt;0,0,1)</f>
        <v>1</v>
      </c>
      <c r="NV39" t="b">
        <f>IF($CV$39="",FALSE,SUMPRODUCT(('Final Calculation Sheet'!$R$4:$R$40=$CV$39)*($NU$6:$NU$42=1))&gt;0)</f>
        <v>0</v>
      </c>
      <c r="NW39">
        <f>$NW$38+--($NV39)</f>
        <v>5</v>
      </c>
      <c r="NX39" t="str">
        <f t="shared" si="124"/>
        <v/>
      </c>
      <c r="NY39">
        <f>IF(COUNTIF('Buyer Groups'!DG39:DX39,0)+COUNTIF('Buyer Groups'!DZ39:EN39,0)&gt;0,0,1)</f>
        <v>1</v>
      </c>
      <c r="NZ39" t="b">
        <f>IF($DA$39="",FALSE,SUMPRODUCT(('Final Calculation Sheet'!$S$4:$S$40=$DA$39)*($NY$6:$NY$42=1))&gt;0)</f>
        <v>1</v>
      </c>
      <c r="OA39">
        <f>$OA$38+--($NZ39)</f>
        <v>36</v>
      </c>
      <c r="OB39">
        <f t="shared" si="125"/>
        <v>3279275</v>
      </c>
      <c r="OC39">
        <f>IF(COUNTIF('Buyer Groups'!DG39:DY39,0)+COUNTIF('Buyer Groups'!EA39:EN39,0)&gt;0,0,1)</f>
        <v>1</v>
      </c>
      <c r="OD39" t="b">
        <f>IF($DF$39="",FALSE,SUMPRODUCT(('Final Calculation Sheet'!$T$4:$T$40=$DF$39)*($OC$6:$OC$42=1))&gt;0)</f>
        <v>1</v>
      </c>
      <c r="OE39">
        <f>$OE$38+--($OD39)</f>
        <v>36</v>
      </c>
      <c r="OF39">
        <f t="shared" si="126"/>
        <v>696829</v>
      </c>
      <c r="OG39">
        <f>IF(COUNTIF('Buyer Groups'!DG39:DZ39,0)+COUNTIF('Buyer Groups'!EB39:EN39,0)&gt;0,0,1)</f>
        <v>1</v>
      </c>
      <c r="OH39" t="b">
        <f>IF($DK$39="",FALSE,SUMPRODUCT(('Final Calculation Sheet'!$U$4:$U$40=$DK$39)*($OG$6:$OG$42=1))&gt;0)</f>
        <v>1</v>
      </c>
      <c r="OI39">
        <f>$OI$38+--($OH39)</f>
        <v>36</v>
      </c>
      <c r="OJ39">
        <f t="shared" si="127"/>
        <v>696829</v>
      </c>
      <c r="OK39">
        <f>IF(COUNTIF('Buyer Groups'!DG39:EA39,0)+COUNTIF('Buyer Groups'!EC39:EN39,0)&gt;0,0,1)</f>
        <v>1</v>
      </c>
      <c r="OL39" t="b">
        <f>IF($DP$39="",FALSE,SUMPRODUCT(('Final Calculation Sheet'!$V$4:$V$40=$DP$39)*($OK$6:$OK$42=1))&gt;0)</f>
        <v>0</v>
      </c>
      <c r="OM39">
        <f>$OM$38+--($OL39)</f>
        <v>6</v>
      </c>
      <c r="ON39" t="str">
        <f t="shared" si="128"/>
        <v/>
      </c>
      <c r="OO39">
        <f>IF(COUNTIF('Buyer Groups'!DG39:EB39,0)+COUNTIF('Buyer Groups'!ED39:EN39,0)&gt;0,0,1)</f>
        <v>1</v>
      </c>
      <c r="OP39" t="b">
        <f>IF($DU$39="",FALSE,SUMPRODUCT(('Final Calculation Sheet'!$W$4:$W$40=$DU$39)*($OO$6:$OO$42=1))&gt;0)</f>
        <v>1</v>
      </c>
      <c r="OQ39">
        <f>$OQ$38+--($OP39)</f>
        <v>36</v>
      </c>
      <c r="OR39">
        <f t="shared" si="129"/>
        <v>2582446</v>
      </c>
      <c r="OS39">
        <f>IF(COUNTIF('Buyer Groups'!DG39:EC39,0)+COUNTIF('Buyer Groups'!EE39:EN39,0)&gt;0,0,1)</f>
        <v>1</v>
      </c>
      <c r="OT39" t="e">
        <f>IF($DZ$39="",FALSE,SUMPRODUCT(('Final Calculation Sheet'!$X$4:$X$40=$DZ$39)*($OS$6:$OS$42=1))&gt;0)</f>
        <v>#N/A</v>
      </c>
      <c r="OU39" t="e">
        <f>$OU$38+--($OT39)</f>
        <v>#N/A</v>
      </c>
      <c r="OV39" t="e">
        <f t="shared" si="130"/>
        <v>#N/A</v>
      </c>
      <c r="OW39">
        <f>IF(COUNTIF('Buyer Groups'!DG39:ED39,0)+COUNTIF('Buyer Groups'!EF39:EN39,0)&gt;0,0,1)</f>
        <v>1</v>
      </c>
      <c r="OX39" t="e">
        <f>IF($EE$39="",FALSE,SUMPRODUCT(('Final Calculation Sheet'!$Y$4:$Y$40=$EE$39)*($OW$6:$OW$42=1))&gt;0)</f>
        <v>#N/A</v>
      </c>
      <c r="OY39" t="e">
        <f>$OY$38+--($OX39)</f>
        <v>#N/A</v>
      </c>
      <c r="OZ39" t="e">
        <f t="shared" si="131"/>
        <v>#N/A</v>
      </c>
      <c r="PA39">
        <f>IF(COUNTIF('Buyer Groups'!DG39:EE39,0)+COUNTIF('Buyer Groups'!EG39:EN39,0)&gt;0,0,1)</f>
        <v>1</v>
      </c>
      <c r="PB39" t="b">
        <f ca="1">IF($EJ$39="",FALSE,SUMPRODUCT(('Final Calculation Sheet'!$Z$4:$Z$40=$EJ$39)*($PA$6:$PA$42=1))&gt;0)</f>
        <v>1</v>
      </c>
      <c r="PC39">
        <f ca="1">$PC$38+--($PB39)</f>
        <v>36</v>
      </c>
      <c r="PD39">
        <f t="shared" ca="1" si="132"/>
        <v>98670.915600000008</v>
      </c>
      <c r="PE39">
        <f>IF(COUNTIF('Buyer Groups'!DG39:EF39,0)+COUNTIF('Buyer Groups'!EH39:EN39,0)&gt;0,0,1)</f>
        <v>1</v>
      </c>
      <c r="PF39" t="e">
        <f>IF($EO$39="",FALSE,SUMPRODUCT(('Final Calculation Sheet'!$AA$4:$AA$40=$EO$39)*($PE$6:$PE$42=1))&gt;0)</f>
        <v>#N/A</v>
      </c>
      <c r="PG39" t="e">
        <f>$PG$38+--($PF39)</f>
        <v>#N/A</v>
      </c>
      <c r="PH39" t="e">
        <f t="shared" si="133"/>
        <v>#N/A</v>
      </c>
      <c r="PI39">
        <f>IF(COUNTIF('Buyer Groups'!DG39:EG39,0)+COUNTIF('Buyer Groups'!EI39:EN39,0)&gt;0,0,1)</f>
        <v>1</v>
      </c>
      <c r="PJ39" t="e">
        <f>IF($ET$39="",FALSE,SUMPRODUCT(('Final Calculation Sheet'!$AB$4:$AB$40=$ET$39)*($PI$6:$PI$42=1))&gt;0)</f>
        <v>#N/A</v>
      </c>
      <c r="PK39" t="e">
        <f>$PK$38+--($PJ39)</f>
        <v>#N/A</v>
      </c>
      <c r="PL39" t="e">
        <f t="shared" si="134"/>
        <v>#N/A</v>
      </c>
      <c r="PM39">
        <f>IF(COUNTIF('Buyer Groups'!DG39:EH39,0)+COUNTIF('Buyer Groups'!EJ39:EN39,0)&gt;0,0,1)</f>
        <v>1</v>
      </c>
      <c r="PN39" t="b">
        <f>IF($EY$39="",FALSE,SUMPRODUCT(('Final Calculation Sheet'!$AC$4:$AC$40=$EY$39)*($PM$6:$PM$42=1))&gt;0)</f>
        <v>1</v>
      </c>
      <c r="PO39">
        <f>$PO$38+--($PN39)</f>
        <v>36</v>
      </c>
      <c r="PP39">
        <f t="shared" si="135"/>
        <v>3279276.0942916102</v>
      </c>
      <c r="PQ39">
        <f>IF(COUNTIF('Buyer Groups'!DG39:EI39,0)+COUNTIF('Buyer Groups'!EK39:EN39,0)&gt;0,0,1)</f>
        <v>1</v>
      </c>
      <c r="PR39" t="b">
        <f>IF($FD$39="",FALSE,SUMPRODUCT(('Final Calculation Sheet'!$AD$4:$AD$40=$FD$39)*($PQ$6:$PQ$42=1))&gt;0)</f>
        <v>0</v>
      </c>
      <c r="PS39">
        <f>$PS$38+--($PR39)</f>
        <v>11</v>
      </c>
      <c r="PT39" t="str">
        <f t="shared" si="136"/>
        <v/>
      </c>
      <c r="PU39">
        <f>IF(COUNTIF('Buyer Groups'!DG39:EJ39,0)+COUNTIF('Buyer Groups'!EL39:EN39,0)&gt;0,0,1)</f>
        <v>1</v>
      </c>
      <c r="PV39" t="b">
        <f>IF($FX$39="",FALSE,SUMPRODUCT((IF('Final Calculation Sheet'!$AD$4:$AD$40&lt;=5,"SETTLED","OUTSTANDING")=$FX$39)*($PU$6:$PU$42=1))&gt;0)</f>
        <v>0</v>
      </c>
      <c r="PW39">
        <f>$PW$38+--($PV39)</f>
        <v>1</v>
      </c>
      <c r="PX39" t="str">
        <f t="shared" si="137"/>
        <v/>
      </c>
      <c r="PY39">
        <f>IF(COUNTIF('Buyer Groups'!DG39:EK39,0)+COUNTIF('Buyer Groups'!EM39:EN39,0)&gt;0,0,1)</f>
        <v>1</v>
      </c>
      <c r="PZ39" t="e">
        <f>IF($FI$39="",FALSE,SUMPRODUCT(('Final Calculation Sheet'!$AF$4:$AF$40=$FI$39)*($PY$6:$PY$42=1))&gt;0)</f>
        <v>#N/A</v>
      </c>
      <c r="QA39" t="e">
        <f>$QA$38+--($PZ39)</f>
        <v>#N/A</v>
      </c>
      <c r="QB39" t="e">
        <f t="shared" si="138"/>
        <v>#N/A</v>
      </c>
      <c r="QC39">
        <f>IF(COUNTIF('Buyer Groups'!DG39:EL39,0)+COUNTIF('Buyer Groups'!EN39:EN39,0)&gt;0,0,1)</f>
        <v>1</v>
      </c>
      <c r="QD39" t="e">
        <f>IF($FN$39="",FALSE,SUMPRODUCT(('Final Calculation Sheet'!$AG$4:$AG$40=$FN$39)*($QC$6:$QC$42=1))&gt;0)</f>
        <v>#N/A</v>
      </c>
      <c r="QE39" t="e">
        <f>$QE$38+--($QD39)</f>
        <v>#N/A</v>
      </c>
      <c r="QF39" t="e">
        <f t="shared" si="139"/>
        <v>#N/A</v>
      </c>
      <c r="QG39">
        <f>IF(COUNTIF('Buyer Groups'!DG39:EM39,0)&gt;0,0,1)</f>
        <v>1</v>
      </c>
      <c r="QH39" t="e">
        <f>IF($FS$39="",FALSE,SUMPRODUCT(('Final Calculation Sheet'!$AH$4:$AH$40=$FS$39)*($QG$6:$QG$42=1))&gt;0)</f>
        <v>#N/A</v>
      </c>
      <c r="QI39" t="e">
        <f>$QI$38+--($QH39)</f>
        <v>#N/A</v>
      </c>
      <c r="QJ39" t="e">
        <f t="shared" si="140"/>
        <v>#N/A</v>
      </c>
      <c r="QK39" t="str">
        <f>IF('Final Calculation Sheet'!$AH$39="","",'Final Calculation Sheet'!$AH$39)</f>
        <v/>
      </c>
      <c r="QL39" t="str">
        <f>IF(QK39="","",COUNTIFS(QK$4:QK$40,"&lt;"&amp;QK39,QK$4:QK$40,"&lt;&gt;"&amp;"")+COUNTIF(QK$4:QK39,QK39))</f>
        <v/>
      </c>
      <c r="QM39" t="str">
        <f t="shared" si="141"/>
        <v>27.08.2026</v>
      </c>
      <c r="QN39" t="e">
        <f ca="1">QN38+F(AND(QM39&lt;&gt;"",COUNTIF(QM$4:QM39,QM39)=1),1,0)</f>
        <v>#N/A</v>
      </c>
      <c r="QO39" t="e">
        <f t="shared" si="142"/>
        <v>#N/A</v>
      </c>
      <c r="QP39">
        <f>IF(COUNTIF('Final Calculation Sheet'!$AM39:$BS39,0)&gt;0,0,1)</f>
        <v>1</v>
      </c>
      <c r="QQ39" t="b">
        <f>IF($AI$39="",FALSE,SUMPRODUCT(('Final Calculation Sheet'!$A$4:$A$40=$AI$39)*($QP$4:$QP$40=1))&gt;0)</f>
        <v>0</v>
      </c>
      <c r="QR39">
        <f t="shared" si="177"/>
        <v>22</v>
      </c>
      <c r="QS39" t="str">
        <f t="shared" si="143"/>
        <v/>
      </c>
      <c r="QT39">
        <f>IF(COUNTIF('Final Calculation Sheet'!$AL39:$AL39,0)+COUNTIF('Final Calculation Sheet'!$AN39:$BS39,0)&gt;0,0,1)</f>
        <v>1</v>
      </c>
      <c r="QU39" t="b">
        <f>IF($Y$39="",FALSE,SUMPRODUCT(('Final Calculation Sheet'!$B$4:$B$40=$Y$39)*($QT$4:$QT$40=1))&gt;0)</f>
        <v>0</v>
      </c>
      <c r="QV39">
        <f t="shared" si="178"/>
        <v>25</v>
      </c>
      <c r="QW39" t="str">
        <f t="shared" si="144"/>
        <v/>
      </c>
      <c r="QX39">
        <f>IF(COUNTIF('Final Calculation Sheet'!$AL39:$AM39,0)+COUNTIF('Final Calculation Sheet'!$AO39:$BS39,0)&gt;0,0,1)</f>
        <v>1</v>
      </c>
      <c r="QY39" t="b">
        <f>IF($AS$39="",FALSE,SUMPRODUCT(('Final Calculation Sheet'!$C$4:$C$40=$AS$39)*($QX$4:$QX$40=1))&gt;0)</f>
        <v>0</v>
      </c>
      <c r="QZ39">
        <f t="shared" si="179"/>
        <v>35</v>
      </c>
      <c r="RA39" t="str">
        <f t="shared" si="145"/>
        <v/>
      </c>
      <c r="RB39">
        <f>IF(COUNTIF('Final Calculation Sheet'!$AL39:$AN39,0)+COUNTIF('Final Calculation Sheet'!$AP39:$BS39,0)&gt;0,0,1)</f>
        <v>1</v>
      </c>
      <c r="RC39" t="b">
        <f>IF($AD$39="",FALSE,SUMPRODUCT(('Final Calculation Sheet'!$D$4:$D$40=$AD$39)*($RB$4:$RB$40=1))&gt;0)</f>
        <v>0</v>
      </c>
      <c r="RD39">
        <f t="shared" si="180"/>
        <v>4</v>
      </c>
      <c r="RE39" t="str">
        <f t="shared" si="146"/>
        <v/>
      </c>
      <c r="RF39">
        <f>IF(COUNTIF('Final Calculation Sheet'!$AL39:$AO39,0)+COUNTIF('Final Calculation Sheet'!$AQ39:$BS39,0)&gt;0,0,1)</f>
        <v>1</v>
      </c>
      <c r="RG39" t="b">
        <f>IF($AN$39="",FALSE,SUMPRODUCT(('Final Calculation Sheet'!$E$4:$E$40=$AN$39)*($RF$4:$RF$40=1))&gt;0)</f>
        <v>0</v>
      </c>
      <c r="RH39">
        <f t="shared" si="181"/>
        <v>3</v>
      </c>
      <c r="RI39" t="str">
        <f t="shared" si="147"/>
        <v/>
      </c>
      <c r="RJ39">
        <f>IF(COUNTIF('Final Calculation Sheet'!$AL39:$AP39,0)+COUNTIF('Final Calculation Sheet'!$AR39:$BS39,0)&gt;0,0,1)</f>
        <v>1</v>
      </c>
      <c r="RK39" t="b">
        <f>IF($O$39="",FALSE,SUMPRODUCT(('Final Calculation Sheet'!$F$4:$F$40=$O$39)*($RJ$4:$RJ$40=1))&gt;0)</f>
        <v>1</v>
      </c>
      <c r="RL39">
        <f t="shared" si="182"/>
        <v>36</v>
      </c>
      <c r="RM39">
        <f t="shared" si="148"/>
        <v>2089</v>
      </c>
      <c r="RN39">
        <f>IF(COUNTIF('Final Calculation Sheet'!$AL39:$AQ39,0)+COUNTIF('Final Calculation Sheet'!$AS39:$BS39,0)&gt;0,0,1)</f>
        <v>1</v>
      </c>
      <c r="RO39" t="b">
        <f>IF($T$39="",FALSE,SUMPRODUCT(('Final Calculation Sheet'!$G$4:$G$40=$T$39)*($RN$4:$RN$40=1))&gt;0)</f>
        <v>0</v>
      </c>
      <c r="RP39">
        <f t="shared" si="183"/>
        <v>13</v>
      </c>
      <c r="RQ39" t="str">
        <f t="shared" si="149"/>
        <v/>
      </c>
      <c r="RR39">
        <f>IF(COUNTIF('Final Calculation Sheet'!$AL39:$AR39,0)+COUNTIF('Final Calculation Sheet'!$AT39:$BS39,0)&gt;0,0,1)</f>
        <v>1</v>
      </c>
      <c r="RS39" t="b">
        <f>IF($AX$39="",FALSE,SUMPRODUCT(('Final Calculation Sheet'!$H$4:$H$40=$AX$39)*($RR$4:$RR$40=1))&gt;0)</f>
        <v>1</v>
      </c>
      <c r="RT39">
        <f t="shared" si="184"/>
        <v>36</v>
      </c>
      <c r="RU39">
        <f t="shared" si="150"/>
        <v>2787314</v>
      </c>
      <c r="RV39">
        <f>IF(COUNTIF('Final Calculation Sheet'!$AL39:$AS39,0)+COUNTIF('Final Calculation Sheet'!$AU39:$BS39,0)&gt;0,0,1)</f>
        <v>1</v>
      </c>
      <c r="RW39" t="b">
        <f>IF($BC$39="",FALSE,SUMPRODUCT(('Final Calculation Sheet'!$I$4:$I$40=$BC$39)*($RV$4:$RV$40=1))&gt;0)</f>
        <v>1</v>
      </c>
      <c r="RX39">
        <f t="shared" si="185"/>
        <v>36</v>
      </c>
      <c r="RY39">
        <f t="shared" si="151"/>
        <v>501717</v>
      </c>
      <c r="RZ39">
        <f>IF(COUNTIF('Final Calculation Sheet'!$AL39:$AT39,0)+COUNTIF('Final Calculation Sheet'!$AV39:$BS39,0)&gt;0,0,1)</f>
        <v>1</v>
      </c>
      <c r="SA39" t="b">
        <f>IF($BH$39="",FALSE,SUMPRODUCT(('Final Calculation Sheet'!$J$4:$J$40=$BH$39)*($RZ$4:$RZ$40=1))&gt;0)</f>
        <v>1</v>
      </c>
      <c r="SB39">
        <f t="shared" si="186"/>
        <v>36</v>
      </c>
      <c r="SC39">
        <f t="shared" si="152"/>
        <v>3289031</v>
      </c>
      <c r="SD39">
        <f>IF(COUNTIF('Final Calculation Sheet'!$AL39:$AU39,0)+COUNTIF('Final Calculation Sheet'!$AW39:$BS39,0)&gt;0,0,1)</f>
        <v>1</v>
      </c>
      <c r="SE39" t="b">
        <f>IF($BM$39="",FALSE,SUMPRODUCT(('Final Calculation Sheet'!$K$4:$K$40=$BM$39)*($SD$4:$SD$40=1))&gt;0)</f>
        <v>1</v>
      </c>
      <c r="SF39">
        <f t="shared" si="187"/>
        <v>36</v>
      </c>
      <c r="SG39">
        <f t="shared" si="153"/>
        <v>91028</v>
      </c>
      <c r="SH39">
        <f>IF(COUNTIF('Final Calculation Sheet'!$AL39:$AV39,0)+COUNTIF('Final Calculation Sheet'!$AX39:$BS39,0)&gt;0,0,1)</f>
        <v>1</v>
      </c>
      <c r="SI39" t="b">
        <f>IF($BR$39="",FALSE,SUMPRODUCT(('Final Calculation Sheet'!$L$4:$L$40=$BR$39)*($SH$4:$SH$40=1))&gt;0)</f>
        <v>1</v>
      </c>
      <c r="SJ39">
        <f t="shared" si="188"/>
        <v>36</v>
      </c>
      <c r="SK39">
        <f t="shared" si="154"/>
        <v>2787.3139999999999</v>
      </c>
      <c r="SL39">
        <f>IF(COUNTIF('Final Calculation Sheet'!$AL39:$AW39,0)+COUNTIF('Final Calculation Sheet'!$AY39:$BS39,0)&gt;0,0,1)</f>
        <v>1</v>
      </c>
      <c r="SM39" t="b">
        <f>IF($BW$39="",FALSE,SUMPRODUCT(('Final Calculation Sheet'!$M$4:$M$40=$BW$39)*($SL$4:$SL$40=1))&gt;0)</f>
        <v>1</v>
      </c>
      <c r="SN39">
        <f t="shared" si="189"/>
        <v>36</v>
      </c>
      <c r="SO39">
        <f t="shared" si="155"/>
        <v>74003.186699999991</v>
      </c>
      <c r="SP39">
        <f>IF(COUNTIF('Final Calculation Sheet'!$AL39:$AX39,0)+COUNTIF('Final Calculation Sheet'!$AZ39:$BS39,0)&gt;0,0,1)</f>
        <v>1</v>
      </c>
      <c r="SQ39" t="b">
        <f>IF($CB$39="",FALSE,SUMPRODUCT(('Final Calculation Sheet'!$N$4:$N$40=$CB$39)*($SP$4:$SP$40=1))&gt;0)</f>
        <v>1</v>
      </c>
      <c r="SR39">
        <f t="shared" si="190"/>
        <v>36</v>
      </c>
      <c r="SS39">
        <f t="shared" si="156"/>
        <v>1254.2912999999999</v>
      </c>
      <c r="ST39">
        <f>IF(COUNTIF('Final Calculation Sheet'!$AL39:$AY39,0)+COUNTIF('Final Calculation Sheet'!$BA39:$BS39,0)&gt;0,0,1)</f>
        <v>1</v>
      </c>
      <c r="SU39" t="b">
        <f>IF($CG$39="",FALSE,SUMPRODUCT(('Final Calculation Sheet'!$O$4:$O$40=$CG$39)*($ST$4:$ST$40=1))&gt;0)</f>
        <v>1</v>
      </c>
      <c r="SV39">
        <f t="shared" si="191"/>
        <v>36</v>
      </c>
      <c r="SW39">
        <f t="shared" si="157"/>
        <v>72748.895399999994</v>
      </c>
      <c r="SX39">
        <f>IF(COUNTIF('Final Calculation Sheet'!$AL39:$AZ39,0)+COUNTIF('Final Calculation Sheet'!$BB39:$BS39,0)&gt;0,0,1)</f>
        <v>1</v>
      </c>
      <c r="SY39" t="b">
        <f>IF($CL$39="",FALSE,SUMPRODUCT(('Final Calculation Sheet'!$P$4:$P$40=$CL$39)*($SX$4:$SX$40=1))&gt;0)</f>
        <v>1</v>
      </c>
      <c r="SZ39">
        <f t="shared" si="192"/>
        <v>36</v>
      </c>
      <c r="TA39">
        <f t="shared" si="158"/>
        <v>104528</v>
      </c>
      <c r="TB39">
        <f>IF(COUNTIF('Final Calculation Sheet'!$AL39:$BA39,0)+COUNTIF('Final Calculation Sheet'!$BC39:$BS39,0)&gt;0,0,1)</f>
        <v>1</v>
      </c>
      <c r="TC39" t="b">
        <f>IF($CQ$39="",FALSE,SUMPRODUCT(('Final Calculation Sheet'!$Q$4:$Q$40=$CQ$39)*($TB$4:$TB$40=1))&gt;0)</f>
        <v>0</v>
      </c>
      <c r="TD39">
        <f t="shared" si="193"/>
        <v>2</v>
      </c>
      <c r="TE39" t="str">
        <f t="shared" si="159"/>
        <v/>
      </c>
      <c r="TF39">
        <f>IF(COUNTIF('Final Calculation Sheet'!$AL39:$BB39,0)+COUNTIF('Final Calculation Sheet'!$BD39:$BS39,0)&gt;0,0,1)</f>
        <v>1</v>
      </c>
      <c r="TG39" t="b">
        <f>IF($CV$39="",FALSE,SUMPRODUCT(('Final Calculation Sheet'!$R$4:$R$40=$CV$39)*($TF$4:$TF$40=1))&gt;0)</f>
        <v>0</v>
      </c>
      <c r="TH39">
        <f t="shared" si="194"/>
        <v>5</v>
      </c>
      <c r="TI39" t="str">
        <f t="shared" si="160"/>
        <v/>
      </c>
      <c r="TJ39">
        <f>IF(COUNTIF('Final Calculation Sheet'!$AL39:$BC39,0)+COUNTIF('Final Calculation Sheet'!$BE39:$BS39,0)&gt;0,0,1)</f>
        <v>1</v>
      </c>
      <c r="TK39" t="b">
        <f>IF($DA$39="",FALSE,SUMPRODUCT(('Final Calculation Sheet'!$S$4:$S$40=$DA$39)*($TJ$4:$TJ$40=1))&gt;0)</f>
        <v>1</v>
      </c>
      <c r="TL39">
        <f t="shared" si="195"/>
        <v>36</v>
      </c>
      <c r="TM39">
        <f t="shared" si="161"/>
        <v>3279275</v>
      </c>
      <c r="TN39">
        <f>IF(COUNTIF('Final Calculation Sheet'!$AL39:$BD39,0)+COUNTIF('Final Calculation Sheet'!$BF39:$BS39,0)&gt;0,0,1)</f>
        <v>1</v>
      </c>
      <c r="TO39" t="b">
        <f>IF($DF$39="",FALSE,SUMPRODUCT(('Final Calculation Sheet'!$T$4:$T$40=$DF$39)*($TN$4:$TN$40=1))&gt;0)</f>
        <v>1</v>
      </c>
      <c r="TP39">
        <f t="shared" si="196"/>
        <v>36</v>
      </c>
      <c r="TQ39">
        <f t="shared" si="162"/>
        <v>696829</v>
      </c>
      <c r="TR39">
        <f>IF(COUNTIF('Final Calculation Sheet'!$AL39:$BE39,0)+COUNTIF('Final Calculation Sheet'!$BG39:$BS39,0)&gt;0,0,1)</f>
        <v>1</v>
      </c>
      <c r="TS39" t="b">
        <f>IF($DK$39="",FALSE,SUMPRODUCT(('Final Calculation Sheet'!$U$4:$U$40=$DK$39)*($TR$4:$TR$40=1))&gt;0)</f>
        <v>1</v>
      </c>
      <c r="TT39">
        <f t="shared" si="197"/>
        <v>36</v>
      </c>
      <c r="TU39">
        <f t="shared" si="163"/>
        <v>696829</v>
      </c>
      <c r="TV39">
        <f>IF(COUNTIF('Final Calculation Sheet'!$AL39:$BF39,0)+COUNTIF('Final Calculation Sheet'!$BH39:$BS39,0)&gt;0,0,1)</f>
        <v>1</v>
      </c>
      <c r="TW39" t="b">
        <f>IF($DP$39="",FALSE,SUMPRODUCT(('Final Calculation Sheet'!$V$4:$V$40=$DP$39)*($TV$4:$TV$40=1))&gt;0)</f>
        <v>0</v>
      </c>
      <c r="TX39">
        <f t="shared" si="198"/>
        <v>6</v>
      </c>
      <c r="TY39" t="str">
        <f t="shared" si="164"/>
        <v/>
      </c>
      <c r="TZ39">
        <f>IF(COUNTIF('Final Calculation Sheet'!$AL39:$BG39,0)+COUNTIF('Final Calculation Sheet'!$BI39:$BS39,0)&gt;0,0,1)</f>
        <v>1</v>
      </c>
      <c r="UA39" t="b">
        <f>IF($DU$39="",FALSE,SUMPRODUCT(('Final Calculation Sheet'!$W$4:$W$40=$DU$39)*($TZ$4:$TZ$40=1))&gt;0)</f>
        <v>1</v>
      </c>
      <c r="UB39">
        <f t="shared" si="199"/>
        <v>36</v>
      </c>
      <c r="UC39">
        <f t="shared" si="165"/>
        <v>2582446</v>
      </c>
      <c r="UD39">
        <f>IF(COUNTIF('Final Calculation Sheet'!$AL39:$BH39,0)+COUNTIF('Final Calculation Sheet'!$BJ39:$BS39,0)&gt;0,0,1)</f>
        <v>1</v>
      </c>
      <c r="UE39" t="e">
        <f>IF($DZ$39="",FALSE,SUMPRODUCT(('Final Calculation Sheet'!$X$4:$X$40=$DZ$39)*($UD$4:$UD$40=1))&gt;0)</f>
        <v>#N/A</v>
      </c>
      <c r="UF39" t="e">
        <f t="shared" si="200"/>
        <v>#N/A</v>
      </c>
      <c r="UG39" t="e">
        <f t="shared" si="166"/>
        <v>#N/A</v>
      </c>
      <c r="UH39">
        <f>IF(COUNTIF('Final Calculation Sheet'!$AL39:$BI39,0)+COUNTIF('Final Calculation Sheet'!$BK39:$BS39,0)&gt;0,0,1)</f>
        <v>1</v>
      </c>
      <c r="UI39" t="e">
        <f>IF($EE$39="",FALSE,SUMPRODUCT(('Final Calculation Sheet'!$Y$4:$Y$40=$EE$39)*($UH$4:$UH$40=1))&gt;0)</f>
        <v>#N/A</v>
      </c>
      <c r="UJ39" t="e">
        <f t="shared" si="201"/>
        <v>#N/A</v>
      </c>
      <c r="UK39" t="e">
        <f t="shared" si="167"/>
        <v>#N/A</v>
      </c>
      <c r="UL39">
        <f>IF(COUNTIF('Final Calculation Sheet'!$AL39:$BJ39,0)+COUNTIF('Final Calculation Sheet'!$BL39:$BS39,0)&gt;0,0,1)</f>
        <v>1</v>
      </c>
      <c r="UM39" t="b">
        <f ca="1">IF($EJ$39="",FALSE,SUMPRODUCT(('Final Calculation Sheet'!$Z$4:$Z$40=$EJ$39)*($UL$4:$UL$40=1))&gt;0)</f>
        <v>1</v>
      </c>
      <c r="UN39">
        <f t="shared" ca="1" si="202"/>
        <v>36</v>
      </c>
      <c r="UO39">
        <f t="shared" ca="1" si="168"/>
        <v>98670.915600000008</v>
      </c>
      <c r="UP39">
        <f>IF(COUNTIF('Final Calculation Sheet'!$AL39:$BK39,0)+COUNTIF('Final Calculation Sheet'!$BM39:$BS39,0)&gt;0,0,1)</f>
        <v>1</v>
      </c>
      <c r="UQ39" t="e">
        <f>IF($EO$39="",FALSE,SUMPRODUCT(('Final Calculation Sheet'!$AA$4:$AA$40=$EO$39)*($UP$4:$UP$40=1))&gt;0)</f>
        <v>#N/A</v>
      </c>
      <c r="UR39" t="e">
        <f t="shared" si="203"/>
        <v>#N/A</v>
      </c>
      <c r="US39" t="e">
        <f t="shared" si="169"/>
        <v>#N/A</v>
      </c>
      <c r="UT39">
        <f>IF(COUNTIF('Final Calculation Sheet'!$AL39:$BL39,0)+COUNTIF('Final Calculation Sheet'!$BN39:$BS39,0)&gt;0,0,1)</f>
        <v>1</v>
      </c>
      <c r="UU39" t="e">
        <f>IF($ET$39="",FALSE,SUMPRODUCT(('Final Calculation Sheet'!$AB$4:$AB$40=$ET$39)*($UT$4:$UT$40=1))&gt;0)</f>
        <v>#N/A</v>
      </c>
      <c r="UV39" t="e">
        <f t="shared" si="204"/>
        <v>#N/A</v>
      </c>
      <c r="UW39" t="e">
        <f t="shared" si="170"/>
        <v>#N/A</v>
      </c>
      <c r="UX39">
        <f>IF(COUNTIF('Final Calculation Sheet'!$AL39:$BM39,0)+COUNTIF('Final Calculation Sheet'!$BO39:$BS39,0)&gt;0,0,1)</f>
        <v>1</v>
      </c>
      <c r="UY39" t="b">
        <f>IF($EY$39="",FALSE,SUMPRODUCT(('Final Calculation Sheet'!$AC$4:$AC$40=$EY$39)*($UX$4:$UX$40=1))&gt;0)</f>
        <v>1</v>
      </c>
      <c r="UZ39">
        <f t="shared" si="205"/>
        <v>36</v>
      </c>
      <c r="VA39">
        <f t="shared" si="171"/>
        <v>3279276.0942916102</v>
      </c>
      <c r="VB39">
        <f>IF(COUNTIF('Final Calculation Sheet'!$AL39:$BN39,0)+COUNTIF('Final Calculation Sheet'!$BP39:$BS39,0)&gt;0,0,1)</f>
        <v>1</v>
      </c>
      <c r="VC39" t="b">
        <f>IF($FD$39="",FALSE,SUMPRODUCT(('Final Calculation Sheet'!$AD$4:$AD$40=$FD$39)*($VB$4:$VB$40=1))&gt;0)</f>
        <v>0</v>
      </c>
      <c r="VD39">
        <f t="shared" si="206"/>
        <v>11</v>
      </c>
      <c r="VE39" t="str">
        <f t="shared" si="172"/>
        <v/>
      </c>
      <c r="VF39">
        <f>IF(COUNTIF('Final Calculation Sheet'!$AL39:$BO39,0)+COUNTIF('Final Calculation Sheet'!$BQ39:$BS39,0)&gt;0,0,1)</f>
        <v>1</v>
      </c>
      <c r="VG39" t="e">
        <f>IF($FI$39="",FALSE,SUMPRODUCT(('Final Calculation Sheet'!$AE$4:$AE$40=$FI$39)*($VF$4:$VF$40=1))&gt;0)</f>
        <v>#N/A</v>
      </c>
      <c r="VH39" t="e">
        <f t="shared" si="207"/>
        <v>#N/A</v>
      </c>
      <c r="VI39" t="e">
        <f t="shared" si="173"/>
        <v>#N/A</v>
      </c>
      <c r="VJ39">
        <f>IF(COUNTIF('Final Calculation Sheet'!$AL39:$BP39,0)+COUNTIF('Final Calculation Sheet'!$BR39:$BS39,0)&gt;0,0,1)</f>
        <v>1</v>
      </c>
      <c r="VK39" t="e">
        <f>IF($FN$39="",FALSE,SUMPRODUCT(('Final Calculation Sheet'!$AF$4:$AF$40=$FN$39)*($VJ$4:$VJ$40=1))&gt;0)</f>
        <v>#N/A</v>
      </c>
      <c r="VL39" t="e">
        <f t="shared" si="208"/>
        <v>#N/A</v>
      </c>
      <c r="VM39" t="e">
        <f t="shared" si="174"/>
        <v>#N/A</v>
      </c>
      <c r="VN39">
        <f>IF(COUNTIF('Final Calculation Sheet'!$AL39:$BQ39,0)+COUNTIF('Final Calculation Sheet'!$BS39:$BS39,0)&gt;0,0,1)</f>
        <v>1</v>
      </c>
      <c r="VO39" t="e">
        <f>IF($FS$39="",FALSE,SUMPRODUCT(('Final Calculation Sheet'!$AG$4:$AG$40=$FS$39)*($VN$4:$VN$40=1))&gt;0)</f>
        <v>#N/A</v>
      </c>
      <c r="VP39" t="e">
        <f t="shared" si="209"/>
        <v>#N/A</v>
      </c>
      <c r="VQ39" t="e">
        <f t="shared" si="175"/>
        <v>#N/A</v>
      </c>
      <c r="VR39">
        <f>IF(COUNTIF('Final Calculation Sheet'!$AL39:$BR39,0)&gt;0,0,1)</f>
        <v>1</v>
      </c>
      <c r="VS39" t="e">
        <f>IF($QO$39="",FALSE,SUMPRODUCT(('Final Calculation Sheet'!$AH$4:$AH$40=$QO$39)*($VR$4:$VR$40=1))&gt;0)</f>
        <v>#N/A</v>
      </c>
      <c r="VT39" t="e">
        <f t="shared" si="210"/>
        <v>#N/A</v>
      </c>
      <c r="VU39" t="e">
        <f t="shared" si="176"/>
        <v>#N/A</v>
      </c>
    </row>
    <row r="40" spans="1:593" x14ac:dyDescent="0.3">
      <c r="A40">
        <f>IF('Final Calculation Sheet'!$F$40="","",'Final Calculation Sheet'!$F$40)</f>
        <v>2091</v>
      </c>
      <c r="B40">
        <f>IF(A40="","",COUNTIFS(A$4:A$114,"&lt;"&amp;A40,A$4:A$114,"&lt;&gt;"&amp;"")+COUNTIF(A$4:A40,A40))</f>
        <v>37</v>
      </c>
      <c r="C40">
        <f t="shared" si="211"/>
        <v>2091</v>
      </c>
      <c r="D40">
        <f>D39+IF(AND(C40&lt;&gt;"",COUNTIF(C$4:C40,C40)=1),1,0)</f>
        <v>37</v>
      </c>
      <c r="E40" t="e">
        <f t="shared" si="212"/>
        <v>#N/A</v>
      </c>
      <c r="F40">
        <f t="shared" si="2"/>
        <v>37</v>
      </c>
      <c r="G40">
        <f>IF(F40="","",COUNTIFS(F$4:F$40,"&lt;"&amp;F40,F$4:F$40,"&lt;&gt;"&amp;"")+COUNTIF(F$4:F40,F40))</f>
        <v>37</v>
      </c>
      <c r="H40">
        <f t="shared" si="3"/>
        <v>37</v>
      </c>
      <c r="I40">
        <f>I39+IF(AND(H40&lt;&gt;"",COUNTIF(H$4:H40,H40)=1),1,0)</f>
        <v>37</v>
      </c>
      <c r="J40">
        <f t="shared" si="4"/>
        <v>37</v>
      </c>
      <c r="K40">
        <f>IF('Final Calculation Sheet'!$F$40="","",'Final Calculation Sheet'!$F$40)</f>
        <v>2091</v>
      </c>
      <c r="L40">
        <f>IF(K40="","",COUNTIFS(K$4:K$40,"&lt;"&amp;K40,K$4:K$40,"&lt;&gt;"&amp;"")+COUNTIF(K$4:K40,K40))</f>
        <v>37</v>
      </c>
      <c r="M40">
        <f t="shared" si="5"/>
        <v>2091</v>
      </c>
      <c r="N40">
        <f>N39+IF(AND(M40&lt;&gt;"",COUNTIF(M$4:M40,M40)=1),1,0)</f>
        <v>37</v>
      </c>
      <c r="O40">
        <f t="shared" si="6"/>
        <v>2091</v>
      </c>
      <c r="P40" t="str">
        <f>IF('Final Calculation Sheet'!$G$40="","",'Final Calculation Sheet'!$G$40)</f>
        <v>S M ENTERPRISES</v>
      </c>
      <c r="Q40">
        <f>IF(P40="","",COUNTIFS(P$4:P$40,"&lt;"&amp;P40,P$4:P$40,"&lt;&gt;"&amp;"")+COUNTIF(P$4:P40,P40))</f>
        <v>24</v>
      </c>
      <c r="R40" t="str">
        <f t="shared" si="7"/>
        <v>WATAN SCRAP TRADERS</v>
      </c>
      <c r="S40">
        <f>S39+IF(AND(R40&lt;&gt;"",COUNTIF(R$4:R40,R40)=1),1,0)</f>
        <v>13</v>
      </c>
      <c r="T40" t="str">
        <f t="shared" si="8"/>
        <v/>
      </c>
      <c r="U40" t="str">
        <f>IF('Final Calculation Sheet'!$B$40="","",'Final Calculation Sheet'!$B$40)</f>
        <v>Scrap of 132 KV CT</v>
      </c>
      <c r="V40">
        <f>IF(U40="","",COUNTIFS(U$4:U$40,"&lt;"&amp;U40,U$4:U$40,"&lt;&gt;"&amp;"")+COUNTIF(U$4:U40,U40))</f>
        <v>12</v>
      </c>
      <c r="W40" t="str">
        <f t="shared" si="9"/>
        <v>SCRAP POWER TRANSFORMER</v>
      </c>
      <c r="X40">
        <f>X39+IF(AND(W40&lt;&gt;"",COUNTIF(W$4:W40,W40)=1),1,0)</f>
        <v>25</v>
      </c>
      <c r="Y40" t="str">
        <f t="shared" si="10"/>
        <v/>
      </c>
      <c r="Z40">
        <f>IF('Final Calculation Sheet'!$D$40="","",'Final Calculation Sheet'!$D$40)</f>
        <v>21980</v>
      </c>
      <c r="AA40">
        <f>IF(Z40="","",COUNTIFS(Z$4:Z$40,"&lt;"&amp;Z40,Z$4:Z$40,"&lt;&gt;"&amp;"")+COUNTIF(Z$4:Z40,Z40))</f>
        <v>37</v>
      </c>
      <c r="AB40">
        <f t="shared" si="11"/>
        <v>21980</v>
      </c>
      <c r="AC40">
        <f>AC39+IF(AND(AB40&lt;&gt;"",COUNTIF(AB$4:AB40,AB40)=1),1,0)</f>
        <v>4</v>
      </c>
      <c r="AD40" t="str">
        <f t="shared" si="12"/>
        <v/>
      </c>
      <c r="AE40">
        <f>IF('Final Calculation Sheet'!$A$40="","",'Final Calculation Sheet'!$A$40)</f>
        <v>3</v>
      </c>
      <c r="AF40">
        <f>IF(AE40="","",COUNTIFS(AE$4:AE$40,"&lt;"&amp;AE40,AE$4:AE$40,"&lt;&gt;"&amp;"")+COUNTIF(AE$4:AE40,AE40))</f>
        <v>18</v>
      </c>
      <c r="AG40">
        <f t="shared" si="13"/>
        <v>7253</v>
      </c>
      <c r="AH40">
        <f>AH39+IF(AND(AG40&lt;&gt;"",COUNTIF(AG$4:AG40,AG40)=1),1,0)</f>
        <v>22</v>
      </c>
      <c r="AI40" t="str">
        <f t="shared" si="14"/>
        <v/>
      </c>
      <c r="AJ40" t="str">
        <f>IF('Final Calculation Sheet'!$E$40="","",'Final Calculation Sheet'!$E$40)</f>
        <v>NO</v>
      </c>
      <c r="AK40">
        <f>IF(AJ40="","",COUNTIFS(AJ$4:AJ$40,"&lt;"&amp;AJ40,AJ$4:AJ$40,"&lt;&gt;"&amp;"")+COUNTIF(AJ$4:AJ40,AJ40))</f>
        <v>37</v>
      </c>
      <c r="AL40" t="str">
        <f t="shared" si="15"/>
        <v>NO</v>
      </c>
      <c r="AM40">
        <f>AM39+IF(AND(AL40&lt;&gt;"",COUNTIF(AL$4:AL40,AL40)=1),1,0)</f>
        <v>3</v>
      </c>
      <c r="AN40" t="str">
        <f t="shared" si="16"/>
        <v/>
      </c>
      <c r="AO40" s="50">
        <f>IF('Final Calculation Sheet'!$C$40="","",'Final Calculation Sheet'!$C$40)</f>
        <v>40003</v>
      </c>
      <c r="AP40">
        <f>IF(AO40="","",COUNTIFS(AO$4:AO$40,"&lt;"&amp;AO40,AO$4:AO$40,"&lt;&gt;"&amp;"")+COUNTIF(AO$4:AO40,AO40))</f>
        <v>21</v>
      </c>
      <c r="AQ40" s="50">
        <f t="shared" si="17"/>
        <v>3857116</v>
      </c>
      <c r="AR40">
        <f>AR39+IF(AND(AQ40&lt;&gt;"",COUNTIF(AQ$4:AQ40,AQ40)=1),1,0)</f>
        <v>35</v>
      </c>
      <c r="AS40" t="str">
        <f t="shared" si="18"/>
        <v/>
      </c>
      <c r="AT40" s="50">
        <f>IF('Final Calculation Sheet'!$H$40="","",'Final Calculation Sheet'!$H$40)</f>
        <v>120009</v>
      </c>
      <c r="AU40">
        <f>IF(AT40="","",COUNTIFS(AT$4:AT$40,"&lt;"&amp;AT40,AT$4:AT$40,"&lt;&gt;"&amp;"")+COUNTIF(AT$4:AT40,AT40))</f>
        <v>17</v>
      </c>
      <c r="AV40" s="50">
        <f t="shared" si="19"/>
        <v>3857116</v>
      </c>
      <c r="AW40">
        <f>AW39+IF(AND(AV40&lt;&gt;"",COUNTIF(AV$4:AV40,AV40)=1),1,0)</f>
        <v>37</v>
      </c>
      <c r="AX40" s="50">
        <f t="shared" si="20"/>
        <v>3857116</v>
      </c>
      <c r="AY40" s="50">
        <f>IF('Final Calculation Sheet'!$I$40="","",'Final Calculation Sheet'!$I$40)</f>
        <v>21602</v>
      </c>
      <c r="AZ40">
        <f>IF(AY40="","",COUNTIFS(AY$4:AY$40,"&lt;"&amp;AY40,AY$4:AY$40,"&lt;&gt;"&amp;"")+COUNTIF(AY$4:AY40,AY40))</f>
        <v>17</v>
      </c>
      <c r="BA40" s="50">
        <f t="shared" si="21"/>
        <v>694281</v>
      </c>
      <c r="BB40">
        <f>BB39+IF(AND(BA40&lt;&gt;"",COUNTIF(BA$4:BA40,BA40)=1),1,0)</f>
        <v>37</v>
      </c>
      <c r="BC40" s="50">
        <f t="shared" si="22"/>
        <v>694281</v>
      </c>
      <c r="BD40" s="50">
        <f>IF('Final Calculation Sheet'!$J$40="","",'Final Calculation Sheet'!$J$40)</f>
        <v>141611</v>
      </c>
      <c r="BE40">
        <f>IF(BD40="","",COUNTIFS(BD$4:BD$40,"&lt;"&amp;BD40,BD$4:BD$40,"&lt;&gt;"&amp;"")+COUNTIF(BD$4:BD40,BD40))</f>
        <v>17</v>
      </c>
      <c r="BF40" s="50">
        <f t="shared" si="23"/>
        <v>4551397</v>
      </c>
      <c r="BG40">
        <f>BG39+IF(AND(BF40&lt;&gt;"",COUNTIF(BF$4:BF40,BF40)=1),1,0)</f>
        <v>37</v>
      </c>
      <c r="BH40" s="50">
        <f t="shared" si="24"/>
        <v>4551397</v>
      </c>
      <c r="BI40" s="50">
        <f>IF('Final Calculation Sheet'!$K$40="","",'Final Calculation Sheet'!$K$40)</f>
        <v>2832</v>
      </c>
      <c r="BJ40">
        <f>IF(BI40="","",COUNTIFS(BI$4:BI$40,"&lt;"&amp;BI40,BI$4:BI$40,"&lt;&gt;"&amp;"")+COUNTIF(BI$4:BI40,BI40))</f>
        <v>17</v>
      </c>
      <c r="BK40" s="50">
        <f t="shared" si="25"/>
        <v>91028</v>
      </c>
      <c r="BL40">
        <f>BL39+IF(AND(BK40&lt;&gt;"",COUNTIF(BK$4:BK40,BK40)=1),1,0)</f>
        <v>36</v>
      </c>
      <c r="BM40" t="str">
        <f t="shared" si="26"/>
        <v/>
      </c>
      <c r="BN40" s="50">
        <f>IF('Final Calculation Sheet'!$L$40="","",'Final Calculation Sheet'!$L$40)</f>
        <v>120.009</v>
      </c>
      <c r="BO40">
        <f>IF(BN40="","",COUNTIFS(BN$4:BN$40,"&lt;"&amp;BN40,BN$4:BN$40,"&lt;&gt;"&amp;"")+COUNTIF(BN$4:BN40,BN40))</f>
        <v>17</v>
      </c>
      <c r="BP40" s="50">
        <f t="shared" si="27"/>
        <v>3857.116</v>
      </c>
      <c r="BQ40">
        <f>BQ39+IF(AND(BP40&lt;&gt;"",COUNTIF(BP$4:BP40,BP40)=1),1,0)</f>
        <v>37</v>
      </c>
      <c r="BR40" s="50">
        <f t="shared" si="28"/>
        <v>3857.116</v>
      </c>
      <c r="BS40" s="50">
        <f>IF('Final Calculation Sheet'!$M$40="","",'Final Calculation Sheet'!$M$40)</f>
        <v>3186.2389499999995</v>
      </c>
      <c r="BT40">
        <f>IF(BS40="","",COUNTIFS(BS$4:BS$40,"&lt;"&amp;BS40,BS$4:BS$40,"&lt;&gt;"&amp;"")+COUNTIF(BS$4:BS40,BS40))</f>
        <v>17</v>
      </c>
      <c r="BU40" s="50">
        <f t="shared" si="29"/>
        <v>102406.4298</v>
      </c>
      <c r="BV40">
        <f>BV39+IF(AND(BU40&lt;&gt;"",COUNTIF(BU$4:BU40,BU40)=1),1,0)</f>
        <v>37</v>
      </c>
      <c r="BW40" s="50">
        <f t="shared" si="30"/>
        <v>102406.4298</v>
      </c>
      <c r="BX40" s="126">
        <f>IF('Final Calculation Sheet'!$N$40="","",'Final Calculation Sheet'!$N$40)</f>
        <v>54.004049999999999</v>
      </c>
      <c r="BY40">
        <f>IF(BX40="","",COUNTIFS(BX$4:BX$40,"&lt;"&amp;BX40,BX$4:BX$40,"&lt;&gt;"&amp;"")+COUNTIF(BX$4:BX40,BX40))</f>
        <v>17</v>
      </c>
      <c r="BZ40" s="126">
        <f t="shared" si="31"/>
        <v>1735.7021999999999</v>
      </c>
      <c r="CA40">
        <f>CA39+IF(AND(BZ40&lt;&gt;"",COUNTIF(BZ$4:BZ40,BZ40)=1),1,0)</f>
        <v>37</v>
      </c>
      <c r="CB40" s="126">
        <f t="shared" si="32"/>
        <v>1735.7021999999999</v>
      </c>
      <c r="CC40" s="50">
        <f>IF('Final Calculation Sheet'!$O$40="","",'Final Calculation Sheet'!$O$40)</f>
        <v>3132.2348999999995</v>
      </c>
      <c r="CD40">
        <f>IF(CC40="","",COUNTIFS(CC$4:CC$40,"&lt;"&amp;CC40,CC$4:CC$40,"&lt;&gt;"&amp;"")+COUNTIF(CC$4:CC40,CC40))</f>
        <v>17</v>
      </c>
      <c r="CE40" s="50">
        <f t="shared" si="33"/>
        <v>100670.7276</v>
      </c>
      <c r="CF40">
        <f>CF39+IF(AND(CE40&lt;&gt;"",COUNTIF(CE$4:CE40,CE40)=1),1,0)</f>
        <v>37</v>
      </c>
      <c r="CG40" s="50">
        <f t="shared" si="34"/>
        <v>100670.7276</v>
      </c>
      <c r="CH40" s="50">
        <f>IF('Final Calculation Sheet'!$P$40="","",'Final Calculation Sheet'!$P$40)</f>
        <v>3252</v>
      </c>
      <c r="CI40">
        <f>IF(CH40="","",COUNTIFS(CH$4:CH$40,"&lt;"&amp;CH40,CH$4:CH$40,"&lt;&gt;"&amp;"")+COUNTIF(CH$4:CH40,CH40))</f>
        <v>17</v>
      </c>
      <c r="CJ40" s="50">
        <f t="shared" si="35"/>
        <v>104528</v>
      </c>
      <c r="CK40">
        <f>CK39+IF(AND(CJ40&lt;&gt;"",COUNTIF(CJ$4:CJ40,CJ40)=1),1,0)</f>
        <v>36</v>
      </c>
      <c r="CL40" t="str">
        <f t="shared" si="36"/>
        <v/>
      </c>
      <c r="CM40" s="127">
        <f>IF('Final Calculation Sheet'!$Q$40="","",'Final Calculation Sheet'!$Q$40)</f>
        <v>0</v>
      </c>
      <c r="CN40">
        <f>IF(CM40="","",COUNTIFS(CM$4:CM$40,"&lt;"&amp;CM40,CM$4:CM$40,"&lt;&gt;"&amp;"")+COUNTIF(CM$4:CM40,CM40))</f>
        <v>33</v>
      </c>
      <c r="CO40" s="127">
        <f t="shared" si="37"/>
        <v>0.02</v>
      </c>
      <c r="CP40">
        <f>CP39+IF(AND(CO40&lt;&gt;"",COUNTIF(CO$4:CO40,CO40)=1),1,0)</f>
        <v>2</v>
      </c>
      <c r="CQ40" t="str">
        <f t="shared" si="38"/>
        <v/>
      </c>
      <c r="CR40" s="50">
        <f>IF('Final Calculation Sheet'!$R$40="","",'Final Calculation Sheet'!$R$40)</f>
        <v>0</v>
      </c>
      <c r="CS40">
        <f>IF(CR40="","",COUNTIFS(CR$4:CR$40,"&lt;"&amp;CR40,CR$4:CR$40,"&lt;&gt;"&amp;"")+COUNTIF(CR$4:CR40,CR40))</f>
        <v>33</v>
      </c>
      <c r="CT40" s="50">
        <f t="shared" si="39"/>
        <v>32929</v>
      </c>
      <c r="CU40">
        <f>CU39+IF(AND(CT40&lt;&gt;"",COUNTIF(CT$4:CT40,CT40)=1),1,0)</f>
        <v>5</v>
      </c>
      <c r="CV40" t="str">
        <f t="shared" si="40"/>
        <v/>
      </c>
      <c r="CW40" s="50">
        <f>IF('Final Calculation Sheet'!$S$40="","",'Final Calculation Sheet'!$S$40)</f>
        <v>141191</v>
      </c>
      <c r="CX40">
        <f>IF(CW40="","",COUNTIFS(CW$4:CW$40,"&lt;"&amp;CW40,CW$4:CW$40,"&lt;&gt;"&amp;"")+COUNTIF(CW$4:CW40,CW40))</f>
        <v>17</v>
      </c>
      <c r="CY40" s="50">
        <f t="shared" si="41"/>
        <v>4537897</v>
      </c>
      <c r="CZ40">
        <f>CZ39+IF(AND(CY40&lt;&gt;"",COUNTIF(CY$4:CY40,CY40)=1),1,0)</f>
        <v>37</v>
      </c>
      <c r="DA40" s="50">
        <f t="shared" si="42"/>
        <v>4537897</v>
      </c>
      <c r="DB40" s="50">
        <f>IF('Final Calculation Sheet'!$T$40="","",'Final Calculation Sheet'!$T$40)</f>
        <v>30002</v>
      </c>
      <c r="DC40">
        <f>IF(DB40="","",COUNTIFS(DB$4:DB$40,"&lt;"&amp;DB40,DB$4:DB$40,"&lt;&gt;"&amp;"")+COUNTIF(DB$4:DB40,DB40))</f>
        <v>17</v>
      </c>
      <c r="DD40" s="50">
        <f t="shared" si="43"/>
        <v>964279</v>
      </c>
      <c r="DE40">
        <f>DE39+IF(AND(DD40&lt;&gt;"",COUNTIF(DD$4:DD40,DD40)=1),1,0)</f>
        <v>37</v>
      </c>
      <c r="DF40" s="50">
        <f t="shared" si="44"/>
        <v>964279</v>
      </c>
      <c r="DG40" s="128">
        <f>IF('Final Calculation Sheet'!$U$40="","",'Final Calculation Sheet'!$U$40)</f>
        <v>30002</v>
      </c>
      <c r="DH40">
        <f>IF(DG40="","",COUNTIFS(DG$4:DG$40,"&lt;"&amp;DG40,DG$4:DG$40,"&lt;&gt;"&amp;"")+COUNTIF(DG$4:DG40,DG40))</f>
        <v>17</v>
      </c>
      <c r="DI40" s="128">
        <f t="shared" si="45"/>
        <v>964279</v>
      </c>
      <c r="DJ40">
        <f>DJ39+IF(AND(DI40&lt;&gt;"",COUNTIF(DI$4:DI40,DI40)=1),1,0)</f>
        <v>37</v>
      </c>
      <c r="DK40" s="128">
        <f t="shared" si="46"/>
        <v>964279</v>
      </c>
      <c r="DL40" t="str">
        <f>IF('Final Calculation Sheet'!$V$40="","",'Final Calculation Sheet'!$V$40)</f>
        <v>14.08.2026</v>
      </c>
      <c r="DM40">
        <f>IF(DL40="","",COUNTIFS(DL$4:DL$40,"&lt;"&amp;DL40,DL$4:DL$40,"&lt;&gt;"&amp;"")+COUNTIF(DL$4:DL40,DL40))</f>
        <v>35</v>
      </c>
      <c r="DN40" t="str">
        <f t="shared" si="47"/>
        <v>24.08.2026</v>
      </c>
      <c r="DO40">
        <f>DO39+IF(AND(DN40&lt;&gt;"",COUNTIF(DN$4:DN40,DN40)=1),1,0)</f>
        <v>6</v>
      </c>
      <c r="DP40" t="str">
        <f t="shared" si="48"/>
        <v/>
      </c>
      <c r="DQ40" s="50">
        <f>IF('Final Calculation Sheet'!$W$40="","",'Final Calculation Sheet'!$W$40)</f>
        <v>111188</v>
      </c>
      <c r="DR40">
        <f>IF(DQ40="","",COUNTIFS(DQ$4:DQ$40,"&lt;"&amp;DQ40,DQ$4:DQ$40,"&lt;&gt;"&amp;"")+COUNTIF(DQ$4:DQ40,DQ40))</f>
        <v>17</v>
      </c>
      <c r="DS40" s="50">
        <f t="shared" si="49"/>
        <v>3573618</v>
      </c>
      <c r="DT40">
        <f>DT39+IF(AND(DS40&lt;&gt;"",COUNTIF(DS$4:DS40,DS40)=1),1,0)</f>
        <v>37</v>
      </c>
      <c r="DU40" s="50">
        <f t="shared" si="50"/>
        <v>3573618</v>
      </c>
      <c r="DV40" s="50">
        <f>IF('Final Calculation Sheet'!$X$40="","",'Final Calculation Sheet'!$X$40)</f>
        <v>111189</v>
      </c>
      <c r="DW40">
        <f>IF(DV40="","",COUNTIFS(DV$4:DV$40,"&lt;"&amp;DV40,DV$4:DV$40,"&lt;&gt;"&amp;"")+COUNTIF(DV$4:DV40,DV40))</f>
        <v>16</v>
      </c>
      <c r="DX40" t="e">
        <f t="shared" si="51"/>
        <v>#N/A</v>
      </c>
      <c r="DY40" t="e">
        <f>DY39+IF(AND(DX40&lt;&gt;"",COUNTIF(DX$4:DX40,DX40)=1),1,0)</f>
        <v>#N/A</v>
      </c>
      <c r="DZ40" t="e">
        <f t="shared" si="52"/>
        <v>#N/A</v>
      </c>
      <c r="EA40" t="str">
        <f>IF('Final Calculation Sheet'!$Y$40="","",'Final Calculation Sheet'!$Y$40)</f>
        <v>01.09.2026</v>
      </c>
      <c r="EB40">
        <f>IF(EA40="","",COUNTIFS(EA$4:EA$40,"&lt;"&amp;EA40,EA$4:EA$40,"&lt;&gt;"&amp;"")+COUNTIF(EA$4:EA40,EA40))</f>
        <v>2</v>
      </c>
      <c r="EC40" t="e">
        <f t="shared" si="53"/>
        <v>#N/A</v>
      </c>
      <c r="ED40" t="e">
        <f>ED39+IF(AND(EC40&lt;&gt;"",COUNTIF(EC$4:EC40,EC40)=1),1,0)</f>
        <v>#N/A</v>
      </c>
      <c r="EE40" t="e">
        <f t="shared" si="54"/>
        <v>#N/A</v>
      </c>
      <c r="EF40" s="50">
        <f ca="1">IF('Final Calculation Sheet'!$Z$40="","",'Final Calculation Sheet'!$Z$40)</f>
        <v>2832.2123999999999</v>
      </c>
      <c r="EG40">
        <f ca="1">IF(EF40="","",COUNTIFS(EF$4:EF$40,"&lt;"&amp;EF40,EF$4:EF$40,"&lt;&gt;"&amp;"")+COUNTIF(EF$4:EF40,EF40))</f>
        <v>16</v>
      </c>
      <c r="EH40" s="50">
        <f t="shared" ca="1" si="55"/>
        <v>136541.90640000001</v>
      </c>
      <c r="EI40">
        <f ca="1">EI39+IF(AND(EH40&lt;&gt;"",COUNTIF(EH$4:EH40,EH40)=1),1,0)</f>
        <v>37</v>
      </c>
      <c r="EJ40">
        <f t="shared" ca="1" si="56"/>
        <v>136541.90640000001</v>
      </c>
      <c r="EK40" s="50">
        <f>IF('Final Calculation Sheet'!$AA$40="","",'Final Calculation Sheet'!$AA$40)</f>
        <v>2832</v>
      </c>
      <c r="EL40">
        <f>IF(EK40="","",COUNTIFS(EK$4:EK$40,"&lt;"&amp;EK40,EK$4:EK$40,"&lt;&gt;"&amp;"")+COUNTIF(EK$4:EK40,EK40))</f>
        <v>2</v>
      </c>
      <c r="EM40" t="e">
        <f t="shared" si="57"/>
        <v>#N/A</v>
      </c>
      <c r="EN40" t="e">
        <f>EN39+IF(AND(EM40&lt;&gt;"",COUNTIF(EM$4:EM40,EM40)=1),1,0)</f>
        <v>#N/A</v>
      </c>
      <c r="EO40" t="e">
        <f t="shared" si="58"/>
        <v>#N/A</v>
      </c>
      <c r="EP40" t="str">
        <f>IF('Final Calculation Sheet'!$AB$40="","",'Final Calculation Sheet'!$AB$40)</f>
        <v>01.09.2026</v>
      </c>
      <c r="EQ40">
        <f>IF(EP40="","",COUNTIFS(EP$4:EP$40,"&lt;"&amp;EP40,EP$4:EP$40,"&lt;&gt;"&amp;"")+COUNTIF(EP$4:EP40,EP40))</f>
        <v>37</v>
      </c>
      <c r="ER40" t="str">
        <f t="shared" si="59"/>
        <v>01.09.2026</v>
      </c>
      <c r="ES40" t="e">
        <f>ES39+IF(AND(ER40&lt;&gt;"",COUNTIF(ER$4:ER40,ER40)=1),1,0)</f>
        <v>#N/A</v>
      </c>
      <c r="ET40" t="e">
        <f t="shared" si="60"/>
        <v>#N/A</v>
      </c>
      <c r="EU40" s="50">
        <f>IF('Final Calculation Sheet'!$AC$40="","",'Final Calculation Sheet'!$AC$40)</f>
        <v>144023</v>
      </c>
      <c r="EV40">
        <f>IF(EU40="","",COUNTIFS(EU$4:EU$40,"&lt;"&amp;EU40,EU$4:EU$40,"&lt;&gt;"&amp;"")+COUNTIF(EU$4:EU40,EU40))</f>
        <v>19</v>
      </c>
      <c r="EW40" s="50">
        <f t="shared" si="61"/>
        <v>4537897.9057083894</v>
      </c>
      <c r="EX40">
        <f>EX39+IF(AND(EW40&lt;&gt;"",COUNTIF(EW$4:EW40,EW40)=1),1,0)</f>
        <v>37</v>
      </c>
      <c r="EY40" s="50">
        <f t="shared" si="62"/>
        <v>4537897.9057083894</v>
      </c>
      <c r="EZ40" s="50">
        <f>IF('Final Calculation Sheet'!$AD$40="","",'Final Calculation Sheet'!$AD$40)</f>
        <v>-2832</v>
      </c>
      <c r="FA40">
        <f>IF(EZ40="","",COUNTIFS(EZ$4:EZ$40,"&lt;"&amp;EZ40,EZ$4:EZ$40,"&lt;&gt;"&amp;"")+COUNTIF(EZ$4:EZ40,EZ40))</f>
        <v>1</v>
      </c>
      <c r="FB40" s="50">
        <f t="shared" si="63"/>
        <v>498031</v>
      </c>
      <c r="FC40">
        <f>FC39+IF(AND(FB40&lt;&gt;"",COUNTIF(FB$4:FB40,FB40)=1),1,0)</f>
        <v>11</v>
      </c>
      <c r="FD40" t="str">
        <f t="shared" si="64"/>
        <v/>
      </c>
      <c r="FE40" t="str">
        <f>IF('Final Calculation Sheet'!$AF$40="","",'Final Calculation Sheet'!$AF$40)</f>
        <v/>
      </c>
      <c r="FF40" t="str">
        <f>IF(FE40="","",COUNTIFS(FE$4:FE$40,"&lt;"&amp;FE40,FE$4:FE$40,"&lt;&gt;"&amp;"")+COUNTIF(FE$4:FE40,FE40))</f>
        <v/>
      </c>
      <c r="FG40" t="str">
        <f t="shared" si="65"/>
        <v>DR2640100048</v>
      </c>
      <c r="FH40" t="e">
        <f>FH39+IF(AND(FG40&lt;&gt;"",COUNTIF(FG$4:FG40,FG40)=1),1,0)</f>
        <v>#N/A</v>
      </c>
      <c r="FI40" t="e">
        <f t="shared" si="66"/>
        <v>#N/A</v>
      </c>
      <c r="FJ40" t="str">
        <f>IF('Final Calculation Sheet'!$AG$40="","",'Final Calculation Sheet'!$AG$40)</f>
        <v/>
      </c>
      <c r="FK40" t="str">
        <f>IF(FJ40="","",COUNTIFS(FJ$4:FJ$40,"&lt;"&amp;FJ40,FJ$4:FJ$40,"&lt;&gt;"&amp;"")+COUNTIF(FJ$4:FJ40,FJ40))</f>
        <v/>
      </c>
      <c r="FL40" t="e">
        <f t="shared" si="67"/>
        <v>#N/A</v>
      </c>
      <c r="FM40" t="e">
        <f>FM39+IF(AND(FL40&lt;&gt;"",COUNTIF(FL$4:FL40,FL40)=1),1,0)</f>
        <v>#N/A</v>
      </c>
      <c r="FN40" t="e">
        <f t="shared" si="68"/>
        <v>#N/A</v>
      </c>
      <c r="FO40" t="str">
        <f>IF('Final Calculation Sheet'!$AH$40="","",'Final Calculation Sheet'!$AH$40)</f>
        <v/>
      </c>
      <c r="FP40" t="str">
        <f>IF(FO40="","",COUNTIFS(FO$4:FO$40,"&lt;"&amp;FO40,FO$4:FO$40,"&lt;&gt;"&amp;"")+COUNTIF(FO$4:FO40,FO40))</f>
        <v/>
      </c>
      <c r="FQ40" t="str">
        <f t="shared" si="69"/>
        <v>27.08.2026</v>
      </c>
      <c r="FR40" t="e">
        <f>FR39+IF(AND(FQ40&lt;&gt;"",COUNTIF(FQ$4:FQ40,FQ40)=1),1,0)</f>
        <v>#N/A</v>
      </c>
      <c r="FS40" t="e">
        <f t="shared" si="70"/>
        <v>#N/A</v>
      </c>
      <c r="FU40" t="str">
        <f>IF(FT40="","",COUNTIFS(FT$4:FT$40,"&lt;"&amp;FT40,FT$4:FT$40,"&lt;&gt;"&amp;"")+COUNTIF(FT$4:FT40,FT40))</f>
        <v/>
      </c>
      <c r="FV40" t="str">
        <f t="shared" si="71"/>
        <v/>
      </c>
      <c r="FW40">
        <f>FW39+IF(AND(FV40&lt;&gt;"",COUNTIF(FV$4:FV40,FV40)=1),1,0)</f>
        <v>2</v>
      </c>
      <c r="FX40" t="str">
        <f t="shared" si="72"/>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FZ40" t="b">
        <f>IF($Y$40="",FALSE,SUMPRODUCT(('Final Calculation Sheet'!$B$4:$B$40=$Y$40)*($FY$6:$FY$42=1))&gt;0)</f>
        <v>0</v>
      </c>
      <c r="GA40">
        <f>$GA$39+--($FZ$40)</f>
        <v>25</v>
      </c>
      <c r="GB40" t="str">
        <f t="shared" si="73"/>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D40" t="b">
        <f>IF($O$40="",FALSE,SUMPRODUCT(('Final Calculation Sheet'!$F$4:$F$40=$O$40)*($GC$6:$GC$42=1))&gt;0)</f>
        <v>1</v>
      </c>
      <c r="GE40">
        <f>$GE$39+--($GD40)</f>
        <v>37</v>
      </c>
      <c r="GF40">
        <f t="shared" si="74"/>
        <v>2091</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H40" t="b">
        <f>IF($T$40="",FALSE,SUMPRODUCT(('Final Calculation Sheet'!$G$4:$G$40=$T$40)*($GG$6:$GG$42=1))&gt;0)</f>
        <v>0</v>
      </c>
      <c r="GI40">
        <f>$GI$39+--($GH40)</f>
        <v>13</v>
      </c>
      <c r="GJ40" t="str">
        <f t="shared" si="75"/>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L40" t="b">
        <f>IF($AD$40="",FALSE,SUMPRODUCT(('Final Calculation Sheet'!$D$4:$D$40=$AD$40)*($GK$6:$GK$42=1))&gt;0)</f>
        <v>0</v>
      </c>
      <c r="GM40">
        <f>$GM$39+--($GL40)</f>
        <v>4</v>
      </c>
      <c r="GN40" t="str">
        <f t="shared" si="76"/>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P40" t="b">
        <f>IF($AI$40="",FALSE,SUMPRODUCT(('Final Calculation Sheet'!$A$4:$A$40=$AI$40)*($GO$6:$GO$42=1))&gt;0)</f>
        <v>0</v>
      </c>
      <c r="GQ40">
        <f>$GQ$39+--($GP40)</f>
        <v>22</v>
      </c>
      <c r="GR40" t="str">
        <f t="shared" si="77"/>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T40" t="b">
        <f>IF($AN$40="",FALSE,SUMPRODUCT(('Final Calculation Sheet'!$E$4:$E$40=$AN$40)*($GS$6:$GS$42=1))&gt;0)</f>
        <v>0</v>
      </c>
      <c r="GU40">
        <f>$GU$39+--($GT40)</f>
        <v>3</v>
      </c>
      <c r="GV40" t="str">
        <f t="shared" si="78"/>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GX40" t="b">
        <f>IF($AS$40="",FALSE,SUMPRODUCT(('Final Calculation Sheet'!$C$4:$C$40=$AS$40)*($GW$6:$GW$42=1))&gt;0)</f>
        <v>0</v>
      </c>
      <c r="GY40">
        <f>$GY$39+--($GX40)</f>
        <v>35</v>
      </c>
      <c r="GZ40" t="str">
        <f t="shared" si="79"/>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B40" t="b">
        <f>IF($AX$40="",FALSE,SUMPRODUCT(('Final Calculation Sheet'!$H$4:$H$40=$AX$40)*($HA$6:$HA$42=1))&gt;0)</f>
        <v>1</v>
      </c>
      <c r="HC40">
        <f>$HC$39+--($HB40)</f>
        <v>37</v>
      </c>
      <c r="HD40">
        <f t="shared" si="80"/>
        <v>3857116</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F40" t="b">
        <f>IF($BC$40="",FALSE,SUMPRODUCT(('Final Calculation Sheet'!$I$4:$I$40=$BC$40)*($HE$6:$HE$42=1))&gt;0)</f>
        <v>1</v>
      </c>
      <c r="HG40">
        <f>$HG$39+--($HF40)</f>
        <v>37</v>
      </c>
      <c r="HH40">
        <f t="shared" si="81"/>
        <v>694281</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J40" t="b">
        <f>IF($BH$40="",FALSE,SUMPRODUCT(('Final Calculation Sheet'!$J$4:$J$40=$BH$40)*($HI$6:$HI$42=1))&gt;0)</f>
        <v>1</v>
      </c>
      <c r="HK40">
        <f>$HK$39+--($HJ40)</f>
        <v>37</v>
      </c>
      <c r="HL40">
        <f t="shared" si="82"/>
        <v>4551397</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N40" t="b">
        <f>IF($BM$40="",FALSE,SUMPRODUCT(('Final Calculation Sheet'!$K$4:$K$40=$BM$40)*($HM$6:$HM$42=1))&gt;0)</f>
        <v>0</v>
      </c>
      <c r="HO40">
        <f>$HO$39+--($HN40)</f>
        <v>36</v>
      </c>
      <c r="HP40" t="str">
        <f t="shared" si="83"/>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R40" t="b">
        <f>IF($BR$40="",FALSE,SUMPRODUCT(('Final Calculation Sheet'!$L$4:$L$40=$BR$40)*($HQ$6:$HQ$42=1))&gt;0)</f>
        <v>1</v>
      </c>
      <c r="HS40">
        <f>$HS$39+--($HR40)</f>
        <v>37</v>
      </c>
      <c r="HT40">
        <f t="shared" si="84"/>
        <v>3857.116</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V40" t="b">
        <f>IF($BW$40="",FALSE,SUMPRODUCT(('Final Calculation Sheet'!$M$4:$M$40=$BW$40)*($HU$6:$HU$42=1))&gt;0)</f>
        <v>1</v>
      </c>
      <c r="HW40">
        <f>$HW$39+--($HV40)</f>
        <v>37</v>
      </c>
      <c r="HX40">
        <f t="shared" si="85"/>
        <v>102406.4298</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HZ40" t="b">
        <f>IF($CB$40="",FALSE,SUMPRODUCT(('Final Calculation Sheet'!$N$4:$N$40=$CB$40)*($HY$6:$HY$42=1))&gt;0)</f>
        <v>1</v>
      </c>
      <c r="IA40">
        <f>$IA$39+--($HZ40)</f>
        <v>37</v>
      </c>
      <c r="IB40">
        <f t="shared" si="86"/>
        <v>1735.7021999999999</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D40" t="b">
        <f>IF($CG$40="",FALSE,SUMPRODUCT(('Final Calculation Sheet'!$O$4:$O$40=$CG$40)*($IC$6:$IC$42=1))&gt;0)</f>
        <v>1</v>
      </c>
      <c r="IE40">
        <f>$IE$39+--($ID40)</f>
        <v>37</v>
      </c>
      <c r="IF40">
        <f t="shared" si="87"/>
        <v>100670.7276</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H40" t="b">
        <f>IF($CL$40="",FALSE,SUMPRODUCT(('Final Calculation Sheet'!$P$4:$P$40=$CL$40)*($IG$6:$IG$42=1))&gt;0)</f>
        <v>0</v>
      </c>
      <c r="II40">
        <f>$II$39+--($IH40)</f>
        <v>36</v>
      </c>
      <c r="IJ40" t="str">
        <f t="shared" si="88"/>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L40" t="b">
        <f>IF($CQ$40="",FALSE,SUMPRODUCT(('Final Calculation Sheet'!$Q$4:$Q$40=$CQ$40)*($IK$6:$IK$42=1))&gt;0)</f>
        <v>0</v>
      </c>
      <c r="IM40">
        <f>$IM$39+--($IL40)</f>
        <v>2</v>
      </c>
      <c r="IN40" t="str">
        <f t="shared" si="89"/>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P40" t="b">
        <f>IF($CV$40="",FALSE,SUMPRODUCT(('Final Calculation Sheet'!$R$4:$R$40=$CV$40)*($IO$6:$IO$42=1))&gt;0)</f>
        <v>0</v>
      </c>
      <c r="IQ40">
        <f>$IQ$39+--($IP40)</f>
        <v>5</v>
      </c>
      <c r="IR40" t="str">
        <f t="shared" si="90"/>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T40" t="b">
        <f>IF($DA$40="",FALSE,SUMPRODUCT(('Final Calculation Sheet'!$S$4:$S$40=$DA$40)*($IS$6:$IS$42=1))&gt;0)</f>
        <v>1</v>
      </c>
      <c r="IU40">
        <f>$IU$39+--($IT40)</f>
        <v>37</v>
      </c>
      <c r="IV40">
        <f t="shared" si="91"/>
        <v>4537897</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IX40" t="b">
        <f>IF($DF$40="",FALSE,SUMPRODUCT(('Final Calculation Sheet'!$T$4:$T$40=$DF$40)*($IW$6:$IW$42=1))&gt;0)</f>
        <v>1</v>
      </c>
      <c r="IY40">
        <f>$IY$39+--($IX40)</f>
        <v>37</v>
      </c>
      <c r="IZ40">
        <f t="shared" si="92"/>
        <v>964279</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B40" t="b">
        <f>IF($DK$40="",FALSE,SUMPRODUCT(('Final Calculation Sheet'!$U$4:$U$40=$DK$40)*($JA$6:$JA$42=1))&gt;0)</f>
        <v>1</v>
      </c>
      <c r="JC40">
        <f>$JC$39+--($JB40)</f>
        <v>37</v>
      </c>
      <c r="JD40">
        <f t="shared" si="93"/>
        <v>964279</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F40" t="b">
        <f>IF($DP$40="",FALSE,SUMPRODUCT(('Final Calculation Sheet'!$V$4:$V$40=$DP$40)*($JE$6:$JE$42=1))&gt;0)</f>
        <v>0</v>
      </c>
      <c r="JG40">
        <f>$JG$39+--($JF40)</f>
        <v>6</v>
      </c>
      <c r="JH40" t="str">
        <f t="shared" si="94"/>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J40" t="b">
        <f>IF($DU$40="",FALSE,SUMPRODUCT(('Final Calculation Sheet'!$W$4:$W$40=$DU$40)*($JI$6:$JI$42=1))&gt;0)</f>
        <v>1</v>
      </c>
      <c r="JK40">
        <f>$JK$39+--($JJ40)</f>
        <v>37</v>
      </c>
      <c r="JL40">
        <f t="shared" si="95"/>
        <v>3573618</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N40" t="e">
        <f>IF($DZ$40="",FALSE,SUMPRODUCT(('Final Calculation Sheet'!$X$4:$X$40=$DZ$40)*($JM$6:$JM$42=1))&gt;0)</f>
        <v>#N/A</v>
      </c>
      <c r="JO40" t="e">
        <f>$JO$39+--($JN40)</f>
        <v>#N/A</v>
      </c>
      <c r="JP40" t="e">
        <f t="shared" si="96"/>
        <v>#N/A</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R40" t="e">
        <f>IF($EE$40="",FALSE,SUMPRODUCT(('Final Calculation Sheet'!$Y$4:$Y$40=$EE$40)*($JQ$6:$JQ$42=1))&gt;0)</f>
        <v>#N/A</v>
      </c>
      <c r="JS40" t="e">
        <f>$JS$39+--($JR40)</f>
        <v>#N/A</v>
      </c>
      <c r="JT40" t="e">
        <f t="shared" si="97"/>
        <v>#N/A</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V40" t="b">
        <f ca="1">IF($EJ$40="",FALSE,SUMPRODUCT(('Final Calculation Sheet'!$Z$4:$Z$40=$EJ$40)*($JU$6:$JU$42=1))&gt;0)</f>
        <v>1</v>
      </c>
      <c r="JW40">
        <f ca="1">$JW$39+--($JV40)</f>
        <v>37</v>
      </c>
      <c r="JX40">
        <f t="shared" ca="1" si="98"/>
        <v>136541.90640000001</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JZ40" t="e">
        <f>IF($EO$40="",FALSE,SUMPRODUCT(('Final Calculation Sheet'!$AA$4:$AA$40=$EO$40)*($JY$6:$JY$42=1))&gt;0)</f>
        <v>#N/A</v>
      </c>
      <c r="KA40" t="e">
        <f>$KA$39+--($JZ40)</f>
        <v>#N/A</v>
      </c>
      <c r="KB40" t="e">
        <f t="shared" si="99"/>
        <v>#N/A</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D40" t="e">
        <f>IF($ET$40="",FALSE,SUMPRODUCT(('Final Calculation Sheet'!$AB$4:$AB$40=$ET$40)*($KC$6:$KC$42=1))&gt;0)</f>
        <v>#N/A</v>
      </c>
      <c r="KE40" t="e">
        <f>$KE$39+--($KD40)</f>
        <v>#N/A</v>
      </c>
      <c r="KF40" t="e">
        <f t="shared" si="100"/>
        <v>#N/A</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H40" t="b">
        <f>IF($EY$40="",FALSE,SUMPRODUCT(('Final Calculation Sheet'!$AC$4:$AC$40=$EY$40)*($KG$6:$KG$42=1))&gt;0)</f>
        <v>1</v>
      </c>
      <c r="KI40">
        <f>$KI$39+--($KH40)</f>
        <v>37</v>
      </c>
      <c r="KJ40">
        <f t="shared" si="101"/>
        <v>4537897.9057083894</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L40" t="b">
        <f>IF($FD$40="",FALSE,SUMPRODUCT(('Final Calculation Sheet'!$AD$4:$AD$40=$FD$40)*($KK$6:$KK$42=1))&gt;0)</f>
        <v>0</v>
      </c>
      <c r="KM40">
        <f>$KM$39+--($KL40)</f>
        <v>11</v>
      </c>
      <c r="KN40" t="str">
        <f t="shared" si="102"/>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P40" t="b">
        <f>IF($FX$40="",FALSE,SUMPRODUCT((IF('Final Calculation Sheet'!$AD$4:$AD$40&lt;=5,"SETTLED","OUTSTANDING")=$FX$40)*($KO$6:$KO$42=1))&gt;0)</f>
        <v>0</v>
      </c>
      <c r="KQ40">
        <f>$KQ$39+--($KP40)</f>
        <v>1</v>
      </c>
      <c r="KR40" t="str">
        <f t="shared" si="103"/>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T40" t="e">
        <f>IF($FI$40="",FALSE,SUMPRODUCT(('Final Calculation Sheet'!$AF$4:$AF$40=$FI$40)*($KS$6:$KS$42=1))&gt;0)</f>
        <v>#N/A</v>
      </c>
      <c r="KU40" t="e">
        <f>$KU$39+--($KT40)</f>
        <v>#N/A</v>
      </c>
      <c r="KV40" t="e">
        <f t="shared" si="104"/>
        <v>#N/A</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KX40" t="e">
        <f>IF($FN$40="",FALSE,SUMPRODUCT(('Final Calculation Sheet'!$AG$4:$AG$40=$FN$40)*($KW$6:$KW$42=1))&gt;0)</f>
        <v>#N/A</v>
      </c>
      <c r="KY40" t="e">
        <f>$KY$39+--($KX40)</f>
        <v>#N/A</v>
      </c>
      <c r="KZ40" t="e">
        <f t="shared" si="105"/>
        <v>#N/A</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LB40" t="e">
        <f>IF($FS$40="",FALSE,SUMPRODUCT(('Final Calculation Sheet'!$AH$4:$AH$40=$FS$40)*($LA$6:$LA$42=1))&gt;0)</f>
        <v>#N/A</v>
      </c>
      <c r="LC40" t="e">
        <f>$LC$39+--($LB40)</f>
        <v>#N/A</v>
      </c>
      <c r="LD40" t="e">
        <f t="shared" si="106"/>
        <v>#N/A</v>
      </c>
      <c r="LE40">
        <f>IF(COUNTIF('Buyer Groups'!DH40:EN40,0)&gt;0,0,1)</f>
        <v>1</v>
      </c>
      <c r="LF40" t="b">
        <f>IF($O$40="",FALSE,SUMPRODUCT(('Final Calculation Sheet'!$F$4:$F$40=$O$40)*($LE$6:$LE$42=1))&gt;0)</f>
        <v>1</v>
      </c>
      <c r="LG40">
        <f>$LG$39+--($LF40)</f>
        <v>37</v>
      </c>
      <c r="LH40">
        <f t="shared" si="107"/>
        <v>2091</v>
      </c>
      <c r="LI40">
        <f>IF(COUNTIF('Buyer Groups'!DG40:DG40,0)+COUNTIF('Buyer Groups'!DI40:EN40,0)&gt;0,0,1)</f>
        <v>1</v>
      </c>
      <c r="LJ40" t="b">
        <f>IF($T$40="",FALSE,SUMPRODUCT(('Final Calculation Sheet'!$G$4:$G$40=$T$40)*($LI$6:$LI$42=1))&gt;0)</f>
        <v>0</v>
      </c>
      <c r="LK40">
        <f>$LK$39+--($LJ40)</f>
        <v>13</v>
      </c>
      <c r="LL40" t="str">
        <f t="shared" si="108"/>
        <v/>
      </c>
      <c r="LM40">
        <f>IF(COUNTIF('Buyer Groups'!DG40:DH40,0)+COUNTIF('Buyer Groups'!DJ40:EN40,0)&gt;0,0,1)</f>
        <v>1</v>
      </c>
      <c r="LN40" t="b">
        <f>IF($Y$40="",FALSE,SUMPRODUCT(('Final Calculation Sheet'!$B$4:$B$40=$Y$40)*($LM$6:$LM$42=1))&gt;0)</f>
        <v>0</v>
      </c>
      <c r="LO40">
        <f>$LO$39+--($LN40)</f>
        <v>25</v>
      </c>
      <c r="LP40" t="str">
        <f t="shared" si="109"/>
        <v/>
      </c>
      <c r="LQ40">
        <f>IF(COUNTIF('Buyer Groups'!DG40:DI40,0)+COUNTIF('Buyer Groups'!DK40:EN40,0)&gt;0,0,1)</f>
        <v>1</v>
      </c>
      <c r="LR40" t="b">
        <f>IF($AD$40="",FALSE,SUMPRODUCT(('Final Calculation Sheet'!$D$4:$D$40=$AD$40)*($LQ$6:$LQ$42=1))&gt;0)</f>
        <v>0</v>
      </c>
      <c r="LS40">
        <f>$LS$39+--($LR40)</f>
        <v>4</v>
      </c>
      <c r="LT40" t="str">
        <f t="shared" si="110"/>
        <v/>
      </c>
      <c r="LU40">
        <f>IF(COUNTIF('Buyer Groups'!DG40:DJ40,0)+COUNTIF('Buyer Groups'!DL40:EN40,0)&gt;0,0,1)</f>
        <v>1</v>
      </c>
      <c r="LV40" t="b">
        <f>IF($AI$40="",FALSE,SUMPRODUCT(('Final Calculation Sheet'!$A$4:$A$40=$AI$40)*($LU$6:$LU$42=1))&gt;0)</f>
        <v>0</v>
      </c>
      <c r="LW40">
        <f>$LW$39+--($LV40)</f>
        <v>22</v>
      </c>
      <c r="LX40" t="str">
        <f t="shared" si="111"/>
        <v/>
      </c>
      <c r="LY40">
        <f>IF(COUNTIF('Buyer Groups'!DG40:DK40,0)+COUNTIF('Buyer Groups'!DM40:EN40,0)&gt;0,0,1)</f>
        <v>1</v>
      </c>
      <c r="LZ40" t="b">
        <f>IF($AN$40="",FALSE,SUMPRODUCT(('Final Calculation Sheet'!$E$4:$E$40=$AN$40)*($LY$6:$LY$42=1))&gt;0)</f>
        <v>0</v>
      </c>
      <c r="MA40">
        <f>$MA$39+--($LZ40)</f>
        <v>3</v>
      </c>
      <c r="MB40" t="str">
        <f t="shared" si="112"/>
        <v/>
      </c>
      <c r="MC40">
        <f>IF(COUNTIF('Buyer Groups'!DG40:DL40,0)+COUNTIF('Buyer Groups'!DN40:EN40,0)&gt;0,0,1)</f>
        <v>1</v>
      </c>
      <c r="MD40" t="b">
        <f>IF($AS$40="",FALSE,SUMPRODUCT(('Final Calculation Sheet'!$C$4:$C$40=$AS$40)*($MC$6:$MC$42=1))&gt;0)</f>
        <v>0</v>
      </c>
      <c r="ME40">
        <f>$ME$39+--($MD40)</f>
        <v>35</v>
      </c>
      <c r="MF40" t="str">
        <f t="shared" si="113"/>
        <v/>
      </c>
      <c r="MG40">
        <f>IF(COUNTIF('Buyer Groups'!DG40:DM40,0)+COUNTIF('Buyer Groups'!DO40:EN40,0)&gt;0,0,1)</f>
        <v>1</v>
      </c>
      <c r="MH40" t="b">
        <f>IF($AX$40="",FALSE,SUMPRODUCT(('Final Calculation Sheet'!$H$4:$H$40=$AX$40)*($MG$6:$MG$42=1))&gt;0)</f>
        <v>1</v>
      </c>
      <c r="MI40">
        <f>$MI$39+--($MH40)</f>
        <v>37</v>
      </c>
      <c r="MJ40">
        <f t="shared" si="114"/>
        <v>3857116</v>
      </c>
      <c r="MK40">
        <f>IF(COUNTIF('Buyer Groups'!DG40:DN40,0)+COUNTIF('Buyer Groups'!DP40:EN40,0)&gt;0,0,1)</f>
        <v>1</v>
      </c>
      <c r="ML40" t="b">
        <f>IF($BC$40="",FALSE,SUMPRODUCT(('Final Calculation Sheet'!$I$4:$I$40=$BC$40)*($MK$6:$MK$42=1))&gt;0)</f>
        <v>1</v>
      </c>
      <c r="MM40">
        <f>$MM$39+--($ML40)</f>
        <v>37</v>
      </c>
      <c r="MN40">
        <f t="shared" si="115"/>
        <v>694281</v>
      </c>
      <c r="MO40">
        <f>IF(COUNTIF('Buyer Groups'!DG40:DO40,0)+COUNTIF('Buyer Groups'!DQ40:EN40,0)&gt;0,0,1)</f>
        <v>1</v>
      </c>
      <c r="MP40" t="b">
        <f>IF($BH$40="",FALSE,SUMPRODUCT(('Final Calculation Sheet'!$J$4:$J$40=$BH$40)*($MO$6:$MO$42=1))&gt;0)</f>
        <v>1</v>
      </c>
      <c r="MQ40">
        <f>$MQ$39+--($MP40)</f>
        <v>37</v>
      </c>
      <c r="MR40">
        <f t="shared" si="116"/>
        <v>4551397</v>
      </c>
      <c r="MS40">
        <f>IF(COUNTIF('Buyer Groups'!DG40:DP40,0)+COUNTIF('Buyer Groups'!DR40:EN40,0)&gt;0,0,1)</f>
        <v>1</v>
      </c>
      <c r="MT40" t="b">
        <f>IF($BM$40="",FALSE,SUMPRODUCT(('Final Calculation Sheet'!$K$4:$K$40=$BM$40)*($MS$6:$MS$42=1))&gt;0)</f>
        <v>0</v>
      </c>
      <c r="MU40">
        <f>$MU$39+--($MT40)</f>
        <v>36</v>
      </c>
      <c r="MV40" t="str">
        <f t="shared" si="117"/>
        <v/>
      </c>
      <c r="MW40">
        <f>IF(COUNTIF('Buyer Groups'!DG40:DQ40,0)+COUNTIF('Buyer Groups'!DS40:EN40,0)&gt;0,0,1)</f>
        <v>1</v>
      </c>
      <c r="MX40" t="b">
        <f>IF($BR$40="",FALSE,SUMPRODUCT(('Final Calculation Sheet'!$L$4:$L$40=$BR$40)*($MW$6:$MW$42=1))&gt;0)</f>
        <v>1</v>
      </c>
      <c r="MY40">
        <f>$MY$39+--($MX40)</f>
        <v>37</v>
      </c>
      <c r="MZ40">
        <f t="shared" si="118"/>
        <v>3857.116</v>
      </c>
      <c r="NA40">
        <f>IF(COUNTIF('Buyer Groups'!DG40:DR40,0)+COUNTIF('Buyer Groups'!DT40:EN40,0)&gt;0,0,1)</f>
        <v>1</v>
      </c>
      <c r="NB40" t="b">
        <f>IF($BW$40="",FALSE,SUMPRODUCT(('Final Calculation Sheet'!$M$4:$M$40=$BW$40)*($NA$6:$NA$42=1))&gt;0)</f>
        <v>1</v>
      </c>
      <c r="NC40">
        <f>$NC$39+--($NB40)</f>
        <v>37</v>
      </c>
      <c r="ND40">
        <f t="shared" si="119"/>
        <v>102406.4298</v>
      </c>
      <c r="NE40">
        <f>IF(COUNTIF('Buyer Groups'!DG40:DS40,0)+COUNTIF('Buyer Groups'!DU40:EN40,0)&gt;0,0,1)</f>
        <v>1</v>
      </c>
      <c r="NF40" t="b">
        <f>IF($CB$40="",FALSE,SUMPRODUCT(('Final Calculation Sheet'!$N$4:$N$40=$CB$40)*($NE$6:$NE$42=1))&gt;0)</f>
        <v>1</v>
      </c>
      <c r="NG40">
        <f>$NG$39+--($NF40)</f>
        <v>37</v>
      </c>
      <c r="NH40">
        <f t="shared" si="120"/>
        <v>1735.7021999999999</v>
      </c>
      <c r="NI40">
        <f>IF(COUNTIF('Buyer Groups'!DG40:DT40,0)+COUNTIF('Buyer Groups'!DV40:EN40,0)&gt;0,0,1)</f>
        <v>1</v>
      </c>
      <c r="NJ40" t="b">
        <f>IF($CG$40="",FALSE,SUMPRODUCT(('Final Calculation Sheet'!$O$4:$O$40=$CG$40)*($NI$6:$NI$42=1))&gt;0)</f>
        <v>1</v>
      </c>
      <c r="NK40">
        <f>$NK$39+--($NJ40)</f>
        <v>37</v>
      </c>
      <c r="NL40">
        <f t="shared" si="121"/>
        <v>100670.7276</v>
      </c>
      <c r="NM40">
        <f>IF(COUNTIF('Buyer Groups'!DG40:DU40,0)+COUNTIF('Buyer Groups'!DW40:EN40,0)&gt;0,0,1)</f>
        <v>1</v>
      </c>
      <c r="NN40" t="b">
        <f>IF($CL$40="",FALSE,SUMPRODUCT(('Final Calculation Sheet'!$P$4:$P$40=$CL$40)*($NM$6:$NM$42=1))&gt;0)</f>
        <v>0</v>
      </c>
      <c r="NO40">
        <f>$NO$39+--($NN40)</f>
        <v>36</v>
      </c>
      <c r="NP40" t="str">
        <f t="shared" si="122"/>
        <v/>
      </c>
      <c r="NQ40">
        <f>IF(COUNTIF('Buyer Groups'!DG40:DV40,0)+COUNTIF('Buyer Groups'!DX40:EN40,0)&gt;0,0,1)</f>
        <v>1</v>
      </c>
      <c r="NR40" t="b">
        <f>IF($CQ$40="",FALSE,SUMPRODUCT(('Final Calculation Sheet'!$Q$4:$Q$40=$CQ$40)*($NQ$6:$NQ$42=1))&gt;0)</f>
        <v>0</v>
      </c>
      <c r="NS40">
        <f>$NS$39+--($NR40)</f>
        <v>2</v>
      </c>
      <c r="NT40" t="str">
        <f t="shared" si="123"/>
        <v/>
      </c>
      <c r="NU40">
        <f>IF(COUNTIF('Buyer Groups'!DG40:DW40,0)+COUNTIF('Buyer Groups'!DY40:EN40,0)&gt;0,0,1)</f>
        <v>1</v>
      </c>
      <c r="NV40" t="b">
        <f>IF($CV$40="",FALSE,SUMPRODUCT(('Final Calculation Sheet'!$R$4:$R$40=$CV$40)*($NU$6:$NU$42=1))&gt;0)</f>
        <v>0</v>
      </c>
      <c r="NW40">
        <f>$NW$39+--($NV40)</f>
        <v>5</v>
      </c>
      <c r="NX40" t="str">
        <f t="shared" si="124"/>
        <v/>
      </c>
      <c r="NY40">
        <f>IF(COUNTIF('Buyer Groups'!DG40:DX40,0)+COUNTIF('Buyer Groups'!DZ40:EN40,0)&gt;0,0,1)</f>
        <v>1</v>
      </c>
      <c r="NZ40" t="b">
        <f>IF($DA$40="",FALSE,SUMPRODUCT(('Final Calculation Sheet'!$S$4:$S$40=$DA$40)*($NY$6:$NY$42=1))&gt;0)</f>
        <v>1</v>
      </c>
      <c r="OA40">
        <f>$OA$39+--($NZ40)</f>
        <v>37</v>
      </c>
      <c r="OB40">
        <f t="shared" si="125"/>
        <v>4537897</v>
      </c>
      <c r="OC40">
        <f>IF(COUNTIF('Buyer Groups'!DG40:DY40,0)+COUNTIF('Buyer Groups'!EA40:EN40,0)&gt;0,0,1)</f>
        <v>1</v>
      </c>
      <c r="OD40" t="b">
        <f>IF($DF$40="",FALSE,SUMPRODUCT(('Final Calculation Sheet'!$T$4:$T$40=$DF$40)*($OC$6:$OC$42=1))&gt;0)</f>
        <v>1</v>
      </c>
      <c r="OE40">
        <f>$OE$39+--($OD40)</f>
        <v>37</v>
      </c>
      <c r="OF40">
        <f t="shared" si="126"/>
        <v>964279</v>
      </c>
      <c r="OG40">
        <f>IF(COUNTIF('Buyer Groups'!DG40:DZ40,0)+COUNTIF('Buyer Groups'!EB40:EN40,0)&gt;0,0,1)</f>
        <v>1</v>
      </c>
      <c r="OH40" t="b">
        <f>IF($DK$40="",FALSE,SUMPRODUCT(('Final Calculation Sheet'!$U$4:$U$40=$DK$40)*($OG$6:$OG$42=1))&gt;0)</f>
        <v>1</v>
      </c>
      <c r="OI40">
        <f>$OI$39+--($OH40)</f>
        <v>37</v>
      </c>
      <c r="OJ40">
        <f t="shared" si="127"/>
        <v>964279</v>
      </c>
      <c r="OK40">
        <f>IF(COUNTIF('Buyer Groups'!DG40:EA40,0)+COUNTIF('Buyer Groups'!EC40:EN40,0)&gt;0,0,1)</f>
        <v>1</v>
      </c>
      <c r="OL40" t="b">
        <f>IF($DP$40="",FALSE,SUMPRODUCT(('Final Calculation Sheet'!$V$4:$V$40=$DP$40)*($OK$6:$OK$42=1))&gt;0)</f>
        <v>0</v>
      </c>
      <c r="OM40">
        <f>$OM$39+--($OL40)</f>
        <v>6</v>
      </c>
      <c r="ON40" t="str">
        <f t="shared" si="128"/>
        <v/>
      </c>
      <c r="OO40">
        <f>IF(COUNTIF('Buyer Groups'!DG40:EB40,0)+COUNTIF('Buyer Groups'!ED40:EN40,0)&gt;0,0,1)</f>
        <v>1</v>
      </c>
      <c r="OP40" t="b">
        <f>IF($DU$40="",FALSE,SUMPRODUCT(('Final Calculation Sheet'!$W$4:$W$40=$DU$40)*($OO$6:$OO$42=1))&gt;0)</f>
        <v>1</v>
      </c>
      <c r="OQ40">
        <f>$OQ$39+--($OP40)</f>
        <v>37</v>
      </c>
      <c r="OR40">
        <f t="shared" si="129"/>
        <v>3573618</v>
      </c>
      <c r="OS40">
        <f>IF(COUNTIF('Buyer Groups'!DG40:EC40,0)+COUNTIF('Buyer Groups'!EE40:EN40,0)&gt;0,0,1)</f>
        <v>1</v>
      </c>
      <c r="OT40" t="e">
        <f>IF($DZ$40="",FALSE,SUMPRODUCT(('Final Calculation Sheet'!$X$4:$X$40=$DZ$40)*($OS$6:$OS$42=1))&gt;0)</f>
        <v>#N/A</v>
      </c>
      <c r="OU40" t="e">
        <f>$OU$39+--($OT40)</f>
        <v>#N/A</v>
      </c>
      <c r="OV40" t="e">
        <f t="shared" si="130"/>
        <v>#N/A</v>
      </c>
      <c r="OW40">
        <f>IF(COUNTIF('Buyer Groups'!DG40:ED40,0)+COUNTIF('Buyer Groups'!EF40:EN40,0)&gt;0,0,1)</f>
        <v>1</v>
      </c>
      <c r="OX40" t="e">
        <f>IF($EE$40="",FALSE,SUMPRODUCT(('Final Calculation Sheet'!$Y$4:$Y$40=$EE$40)*($OW$6:$OW$42=1))&gt;0)</f>
        <v>#N/A</v>
      </c>
      <c r="OY40" t="e">
        <f>$OY$39+--($OX40)</f>
        <v>#N/A</v>
      </c>
      <c r="OZ40" t="e">
        <f t="shared" si="131"/>
        <v>#N/A</v>
      </c>
      <c r="PA40">
        <f>IF(COUNTIF('Buyer Groups'!DG40:EE40,0)+COUNTIF('Buyer Groups'!EG40:EN40,0)&gt;0,0,1)</f>
        <v>1</v>
      </c>
      <c r="PB40" t="b">
        <f ca="1">IF($EJ$40="",FALSE,SUMPRODUCT(('Final Calculation Sheet'!$Z$4:$Z$40=$EJ$40)*($PA$6:$PA$42=1))&gt;0)</f>
        <v>1</v>
      </c>
      <c r="PC40">
        <f ca="1">$PC$39+--($PB40)</f>
        <v>37</v>
      </c>
      <c r="PD40">
        <f t="shared" ca="1" si="132"/>
        <v>136541.90640000001</v>
      </c>
      <c r="PE40">
        <f>IF(COUNTIF('Buyer Groups'!DG40:EF40,0)+COUNTIF('Buyer Groups'!EH40:EN40,0)&gt;0,0,1)</f>
        <v>1</v>
      </c>
      <c r="PF40" t="e">
        <f>IF($EO$40="",FALSE,SUMPRODUCT(('Final Calculation Sheet'!$AA$4:$AA$40=$EO$40)*($PE$6:$PE$42=1))&gt;0)</f>
        <v>#N/A</v>
      </c>
      <c r="PG40" t="e">
        <f>$PG$39+--($PF40)</f>
        <v>#N/A</v>
      </c>
      <c r="PH40" t="e">
        <f t="shared" si="133"/>
        <v>#N/A</v>
      </c>
      <c r="PI40">
        <f>IF(COUNTIF('Buyer Groups'!DG40:EG40,0)+COUNTIF('Buyer Groups'!EI40:EN40,0)&gt;0,0,1)</f>
        <v>1</v>
      </c>
      <c r="PJ40" t="e">
        <f>IF($ET$40="",FALSE,SUMPRODUCT(('Final Calculation Sheet'!$AB$4:$AB$40=$ET$40)*($PI$6:$PI$42=1))&gt;0)</f>
        <v>#N/A</v>
      </c>
      <c r="PK40" t="e">
        <f>$PK$39+--($PJ40)</f>
        <v>#N/A</v>
      </c>
      <c r="PL40" t="e">
        <f t="shared" si="134"/>
        <v>#N/A</v>
      </c>
      <c r="PM40">
        <f>IF(COUNTIF('Buyer Groups'!DG40:EH40,0)+COUNTIF('Buyer Groups'!EJ40:EN40,0)&gt;0,0,1)</f>
        <v>1</v>
      </c>
      <c r="PN40" t="b">
        <f>IF($EY$40="",FALSE,SUMPRODUCT(('Final Calculation Sheet'!$AC$4:$AC$40=$EY$40)*($PM$6:$PM$42=1))&gt;0)</f>
        <v>1</v>
      </c>
      <c r="PO40">
        <f>$PO$39+--($PN40)</f>
        <v>37</v>
      </c>
      <c r="PP40">
        <f t="shared" si="135"/>
        <v>4537897.9057083894</v>
      </c>
      <c r="PQ40">
        <f>IF(COUNTIF('Buyer Groups'!DG40:EI40,0)+COUNTIF('Buyer Groups'!EK40:EN40,0)&gt;0,0,1)</f>
        <v>1</v>
      </c>
      <c r="PR40" t="b">
        <f>IF($FD$40="",FALSE,SUMPRODUCT(('Final Calculation Sheet'!$AD$4:$AD$40=$FD$40)*($PQ$6:$PQ$42=1))&gt;0)</f>
        <v>0</v>
      </c>
      <c r="PS40">
        <f>$PS$39+--($PR40)</f>
        <v>11</v>
      </c>
      <c r="PT40" t="str">
        <f t="shared" si="136"/>
        <v/>
      </c>
      <c r="PU40">
        <f>IF(COUNTIF('Buyer Groups'!DG40:EJ40,0)+COUNTIF('Buyer Groups'!EL40:EN40,0)&gt;0,0,1)</f>
        <v>1</v>
      </c>
      <c r="PV40" t="b">
        <f>IF($FX$40="",FALSE,SUMPRODUCT((IF('Final Calculation Sheet'!$AD$4:$AD$40&lt;=5,"SETTLED","OUTSTANDING")=$FX$40)*($PU$6:$PU$42=1))&gt;0)</f>
        <v>0</v>
      </c>
      <c r="PW40">
        <f>$PW$39+--($PV40)</f>
        <v>1</v>
      </c>
      <c r="PX40" t="str">
        <f t="shared" si="137"/>
        <v/>
      </c>
      <c r="PY40">
        <f>IF(COUNTIF('Buyer Groups'!DG40:EK40,0)+COUNTIF('Buyer Groups'!EM40:EN40,0)&gt;0,0,1)</f>
        <v>1</v>
      </c>
      <c r="PZ40" t="e">
        <f>IF($FI$40="",FALSE,SUMPRODUCT(('Final Calculation Sheet'!$AF$4:$AF$40=$FI$40)*($PY$6:$PY$42=1))&gt;0)</f>
        <v>#N/A</v>
      </c>
      <c r="QA40" t="e">
        <f>$QA$39+--($PZ40)</f>
        <v>#N/A</v>
      </c>
      <c r="QB40" t="e">
        <f t="shared" si="138"/>
        <v>#N/A</v>
      </c>
      <c r="QC40">
        <f>IF(COUNTIF('Buyer Groups'!DG40:EL40,0)+COUNTIF('Buyer Groups'!EN40:EN40,0)&gt;0,0,1)</f>
        <v>1</v>
      </c>
      <c r="QD40" t="e">
        <f>IF($FN$40="",FALSE,SUMPRODUCT(('Final Calculation Sheet'!$AG$4:$AG$40=$FN$40)*($QC$6:$QC$42=1))&gt;0)</f>
        <v>#N/A</v>
      </c>
      <c r="QE40" t="e">
        <f>$QE$39+--($QD40)</f>
        <v>#N/A</v>
      </c>
      <c r="QF40" t="e">
        <f t="shared" si="139"/>
        <v>#N/A</v>
      </c>
      <c r="QG40">
        <f>IF(COUNTIF('Buyer Groups'!DG40:EM40,0)&gt;0,0,1)</f>
        <v>1</v>
      </c>
      <c r="QH40" t="e">
        <f>IF($FS$40="",FALSE,SUMPRODUCT(('Final Calculation Sheet'!$AH$4:$AH$40=$FS$40)*($QG$6:$QG$42=1))&gt;0)</f>
        <v>#N/A</v>
      </c>
      <c r="QI40" t="e">
        <f>$QI$39+--($QH40)</f>
        <v>#N/A</v>
      </c>
      <c r="QJ40" t="e">
        <f t="shared" si="140"/>
        <v>#N/A</v>
      </c>
      <c r="QK40" t="str">
        <f>IF('Final Calculation Sheet'!$AH$40="","",'Final Calculation Sheet'!$AH$40)</f>
        <v/>
      </c>
      <c r="QL40" t="str">
        <f>IF(QK40="","",COUNTIFS(QK$4:QK$40,"&lt;"&amp;QK40,QK$4:QK$40,"&lt;&gt;"&amp;"")+COUNTIF(QK$4:QK40,QK40))</f>
        <v/>
      </c>
      <c r="QM40" t="str">
        <f t="shared" si="141"/>
        <v>27.08.2026</v>
      </c>
      <c r="QN40" t="e">
        <f ca="1">QN39+F(AND(QM40&lt;&gt;"",COUNTIF(QM$4:QM40,QM40)=1),1,0)</f>
        <v>#N/A</v>
      </c>
      <c r="QO40" t="e">
        <f t="shared" si="142"/>
        <v>#N/A</v>
      </c>
      <c r="QP40">
        <f>IF(COUNTIF('Final Calculation Sheet'!$AM40:$BS40,0)&gt;0,0,1)</f>
        <v>1</v>
      </c>
      <c r="QQ40" t="b">
        <f>IF($AI$40="",FALSE,SUMPRODUCT(('Final Calculation Sheet'!$A$4:$A$40=$AI$40)*($QP$4:$QP$40=1))&gt;0)</f>
        <v>0</v>
      </c>
      <c r="QR40">
        <f t="shared" si="177"/>
        <v>22</v>
      </c>
      <c r="QS40" t="str">
        <f t="shared" si="143"/>
        <v/>
      </c>
      <c r="QT40">
        <f>IF(COUNTIF('Final Calculation Sheet'!$AL40:$AL40,0)+COUNTIF('Final Calculation Sheet'!$AN40:$BS40,0)&gt;0,0,1)</f>
        <v>1</v>
      </c>
      <c r="QU40" t="b">
        <f>IF($Y$40="",FALSE,SUMPRODUCT(('Final Calculation Sheet'!$B$4:$B$40=$Y$40)*($QT$4:$QT$40=1))&gt;0)</f>
        <v>0</v>
      </c>
      <c r="QV40">
        <f t="shared" si="178"/>
        <v>25</v>
      </c>
      <c r="QW40" t="str">
        <f t="shared" si="144"/>
        <v/>
      </c>
      <c r="QX40">
        <f>IF(COUNTIF('Final Calculation Sheet'!$AL40:$AM40,0)+COUNTIF('Final Calculation Sheet'!$AO40:$BS40,0)&gt;0,0,1)</f>
        <v>1</v>
      </c>
      <c r="QY40" t="b">
        <f>IF($AS$40="",FALSE,SUMPRODUCT(('Final Calculation Sheet'!$C$4:$C$40=$AS$40)*($QX$4:$QX$40=1))&gt;0)</f>
        <v>0</v>
      </c>
      <c r="QZ40">
        <f t="shared" si="179"/>
        <v>35</v>
      </c>
      <c r="RA40" t="str">
        <f t="shared" si="145"/>
        <v/>
      </c>
      <c r="RB40">
        <f>IF(COUNTIF('Final Calculation Sheet'!$AL40:$AN40,0)+COUNTIF('Final Calculation Sheet'!$AP40:$BS40,0)&gt;0,0,1)</f>
        <v>1</v>
      </c>
      <c r="RC40" t="b">
        <f>IF($AD$40="",FALSE,SUMPRODUCT(('Final Calculation Sheet'!$D$4:$D$40=$AD$40)*($RB$4:$RB$40=1))&gt;0)</f>
        <v>0</v>
      </c>
      <c r="RD40">
        <f t="shared" si="180"/>
        <v>4</v>
      </c>
      <c r="RE40" t="str">
        <f t="shared" si="146"/>
        <v/>
      </c>
      <c r="RF40">
        <f>IF(COUNTIF('Final Calculation Sheet'!$AL40:$AO40,0)+COUNTIF('Final Calculation Sheet'!$AQ40:$BS40,0)&gt;0,0,1)</f>
        <v>1</v>
      </c>
      <c r="RG40" t="b">
        <f>IF($AN$40="",FALSE,SUMPRODUCT(('Final Calculation Sheet'!$E$4:$E$40=$AN$40)*($RF$4:$RF$40=1))&gt;0)</f>
        <v>0</v>
      </c>
      <c r="RH40">
        <f t="shared" si="181"/>
        <v>3</v>
      </c>
      <c r="RI40" t="str">
        <f t="shared" si="147"/>
        <v/>
      </c>
      <c r="RJ40">
        <f>IF(COUNTIF('Final Calculation Sheet'!$AL40:$AP40,0)+COUNTIF('Final Calculation Sheet'!$AR40:$BS40,0)&gt;0,0,1)</f>
        <v>1</v>
      </c>
      <c r="RK40" t="b">
        <f>IF($O$40="",FALSE,SUMPRODUCT(('Final Calculation Sheet'!$F$4:$F$40=$O$40)*($RJ$4:$RJ$40=1))&gt;0)</f>
        <v>1</v>
      </c>
      <c r="RL40">
        <f t="shared" si="182"/>
        <v>37</v>
      </c>
      <c r="RM40">
        <f t="shared" si="148"/>
        <v>2091</v>
      </c>
      <c r="RN40">
        <f>IF(COUNTIF('Final Calculation Sheet'!$AL40:$AQ40,0)+COUNTIF('Final Calculation Sheet'!$AS40:$BS40,0)&gt;0,0,1)</f>
        <v>1</v>
      </c>
      <c r="RO40" t="b">
        <f>IF($T$40="",FALSE,SUMPRODUCT(('Final Calculation Sheet'!$G$4:$G$40=$T$40)*($RN$4:$RN$40=1))&gt;0)</f>
        <v>0</v>
      </c>
      <c r="RP40">
        <f t="shared" si="183"/>
        <v>13</v>
      </c>
      <c r="RQ40" t="str">
        <f t="shared" si="149"/>
        <v/>
      </c>
      <c r="RR40">
        <f>IF(COUNTIF('Final Calculation Sheet'!$AL40:$AR40,0)+COUNTIF('Final Calculation Sheet'!$AT40:$BS40,0)&gt;0,0,1)</f>
        <v>1</v>
      </c>
      <c r="RS40" t="b">
        <f>IF($AX$40="",FALSE,SUMPRODUCT(('Final Calculation Sheet'!$H$4:$H$40=$AX$40)*($RR$4:$RR$40=1))&gt;0)</f>
        <v>1</v>
      </c>
      <c r="RT40">
        <f t="shared" si="184"/>
        <v>37</v>
      </c>
      <c r="RU40">
        <f t="shared" si="150"/>
        <v>3857116</v>
      </c>
      <c r="RV40">
        <f>IF(COUNTIF('Final Calculation Sheet'!$AL40:$AS40,0)+COUNTIF('Final Calculation Sheet'!$AU40:$BS40,0)&gt;0,0,1)</f>
        <v>1</v>
      </c>
      <c r="RW40" t="b">
        <f>IF($BC$40="",FALSE,SUMPRODUCT(('Final Calculation Sheet'!$I$4:$I$40=$BC$40)*($RV$4:$RV$40=1))&gt;0)</f>
        <v>1</v>
      </c>
      <c r="RX40">
        <f t="shared" si="185"/>
        <v>37</v>
      </c>
      <c r="RY40">
        <f t="shared" si="151"/>
        <v>694281</v>
      </c>
      <c r="RZ40">
        <f>IF(COUNTIF('Final Calculation Sheet'!$AL40:$AT40,0)+COUNTIF('Final Calculation Sheet'!$AV40:$BS40,0)&gt;0,0,1)</f>
        <v>1</v>
      </c>
      <c r="SA40" t="b">
        <f>IF($BH$40="",FALSE,SUMPRODUCT(('Final Calculation Sheet'!$J$4:$J$40=$BH$40)*($RZ$4:$RZ$40=1))&gt;0)</f>
        <v>1</v>
      </c>
      <c r="SB40">
        <f t="shared" si="186"/>
        <v>37</v>
      </c>
      <c r="SC40">
        <f t="shared" si="152"/>
        <v>4551397</v>
      </c>
      <c r="SD40">
        <f>IF(COUNTIF('Final Calculation Sheet'!$AL40:$AU40,0)+COUNTIF('Final Calculation Sheet'!$AW40:$BS40,0)&gt;0,0,1)</f>
        <v>1</v>
      </c>
      <c r="SE40" t="b">
        <f>IF($BM$40="",FALSE,SUMPRODUCT(('Final Calculation Sheet'!$K$4:$K$40=$BM$40)*($SD$4:$SD$40=1))&gt;0)</f>
        <v>0</v>
      </c>
      <c r="SF40">
        <f t="shared" si="187"/>
        <v>36</v>
      </c>
      <c r="SG40" t="str">
        <f t="shared" si="153"/>
        <v/>
      </c>
      <c r="SH40">
        <f>IF(COUNTIF('Final Calculation Sheet'!$AL40:$AV40,0)+COUNTIF('Final Calculation Sheet'!$AX40:$BS40,0)&gt;0,0,1)</f>
        <v>1</v>
      </c>
      <c r="SI40" t="b">
        <f>IF($BR$40="",FALSE,SUMPRODUCT(('Final Calculation Sheet'!$L$4:$L$40=$BR$40)*($SH$4:$SH$40=1))&gt;0)</f>
        <v>1</v>
      </c>
      <c r="SJ40">
        <f t="shared" si="188"/>
        <v>37</v>
      </c>
      <c r="SK40">
        <f t="shared" si="154"/>
        <v>3857.116</v>
      </c>
      <c r="SL40">
        <f>IF(COUNTIF('Final Calculation Sheet'!$AL40:$AW40,0)+COUNTIF('Final Calculation Sheet'!$AY40:$BS40,0)&gt;0,0,1)</f>
        <v>1</v>
      </c>
      <c r="SM40" t="b">
        <f>IF($BW$40="",FALSE,SUMPRODUCT(('Final Calculation Sheet'!$M$4:$M$40=$BW$40)*($SL$4:$SL$40=1))&gt;0)</f>
        <v>1</v>
      </c>
      <c r="SN40">
        <f t="shared" si="189"/>
        <v>37</v>
      </c>
      <c r="SO40">
        <f t="shared" si="155"/>
        <v>102406.4298</v>
      </c>
      <c r="SP40">
        <f>IF(COUNTIF('Final Calculation Sheet'!$AL40:$AX40,0)+COUNTIF('Final Calculation Sheet'!$AZ40:$BS40,0)&gt;0,0,1)</f>
        <v>1</v>
      </c>
      <c r="SQ40" t="b">
        <f>IF($CB$40="",FALSE,SUMPRODUCT(('Final Calculation Sheet'!$N$4:$N$40=$CB$40)*($SP$4:$SP$40=1))&gt;0)</f>
        <v>1</v>
      </c>
      <c r="SR40">
        <f t="shared" si="190"/>
        <v>37</v>
      </c>
      <c r="SS40">
        <f t="shared" si="156"/>
        <v>1735.7021999999999</v>
      </c>
      <c r="ST40">
        <f>IF(COUNTIF('Final Calculation Sheet'!$AL40:$AY40,0)+COUNTIF('Final Calculation Sheet'!$BA40:$BS40,0)&gt;0,0,1)</f>
        <v>1</v>
      </c>
      <c r="SU40" t="b">
        <f>IF($CG$40="",FALSE,SUMPRODUCT(('Final Calculation Sheet'!$O$4:$O$40=$CG$40)*($ST$4:$ST$40=1))&gt;0)</f>
        <v>1</v>
      </c>
      <c r="SV40">
        <f t="shared" si="191"/>
        <v>37</v>
      </c>
      <c r="SW40">
        <f t="shared" si="157"/>
        <v>100670.7276</v>
      </c>
      <c r="SX40">
        <f>IF(COUNTIF('Final Calculation Sheet'!$AL40:$AZ40,0)+COUNTIF('Final Calculation Sheet'!$BB40:$BS40,0)&gt;0,0,1)</f>
        <v>1</v>
      </c>
      <c r="SY40" t="b">
        <f>IF($CL$40="",FALSE,SUMPRODUCT(('Final Calculation Sheet'!$P$4:$P$40=$CL$40)*($SX$4:$SX$40=1))&gt;0)</f>
        <v>0</v>
      </c>
      <c r="SZ40">
        <f t="shared" si="192"/>
        <v>36</v>
      </c>
      <c r="TA40" t="str">
        <f t="shared" si="158"/>
        <v/>
      </c>
      <c r="TB40">
        <f>IF(COUNTIF('Final Calculation Sheet'!$AL40:$BA40,0)+COUNTIF('Final Calculation Sheet'!$BC40:$BS40,0)&gt;0,0,1)</f>
        <v>1</v>
      </c>
      <c r="TC40" t="b">
        <f>IF($CQ$40="",FALSE,SUMPRODUCT(('Final Calculation Sheet'!$Q$4:$Q$40=$CQ$40)*($TB$4:$TB$40=1))&gt;0)</f>
        <v>0</v>
      </c>
      <c r="TD40">
        <f t="shared" si="193"/>
        <v>2</v>
      </c>
      <c r="TE40" t="str">
        <f t="shared" si="159"/>
        <v/>
      </c>
      <c r="TF40">
        <f>IF(COUNTIF('Final Calculation Sheet'!$AL40:$BB40,0)+COUNTIF('Final Calculation Sheet'!$BD40:$BS40,0)&gt;0,0,1)</f>
        <v>1</v>
      </c>
      <c r="TG40" t="b">
        <f>IF($CV$40="",FALSE,SUMPRODUCT(('Final Calculation Sheet'!$R$4:$R$40=$CV$40)*($TF$4:$TF$40=1))&gt;0)</f>
        <v>0</v>
      </c>
      <c r="TH40">
        <f t="shared" si="194"/>
        <v>5</v>
      </c>
      <c r="TI40" t="str">
        <f t="shared" si="160"/>
        <v/>
      </c>
      <c r="TJ40">
        <f>IF(COUNTIF('Final Calculation Sheet'!$AL40:$BC40,0)+COUNTIF('Final Calculation Sheet'!$BE40:$BS40,0)&gt;0,0,1)</f>
        <v>1</v>
      </c>
      <c r="TK40" t="b">
        <f>IF($DA$40="",FALSE,SUMPRODUCT(('Final Calculation Sheet'!$S$4:$S$40=$DA$40)*($TJ$4:$TJ$40=1))&gt;0)</f>
        <v>1</v>
      </c>
      <c r="TL40">
        <f t="shared" si="195"/>
        <v>37</v>
      </c>
      <c r="TM40">
        <f t="shared" si="161"/>
        <v>4537897</v>
      </c>
      <c r="TN40">
        <f>IF(COUNTIF('Final Calculation Sheet'!$AL40:$BD40,0)+COUNTIF('Final Calculation Sheet'!$BF40:$BS40,0)&gt;0,0,1)</f>
        <v>1</v>
      </c>
      <c r="TO40" t="b">
        <f>IF($DF$40="",FALSE,SUMPRODUCT(('Final Calculation Sheet'!$T$4:$T$40=$DF$40)*($TN$4:$TN$40=1))&gt;0)</f>
        <v>1</v>
      </c>
      <c r="TP40">
        <f t="shared" si="196"/>
        <v>37</v>
      </c>
      <c r="TQ40">
        <f t="shared" si="162"/>
        <v>964279</v>
      </c>
      <c r="TR40">
        <f>IF(COUNTIF('Final Calculation Sheet'!$AL40:$BE40,0)+COUNTIF('Final Calculation Sheet'!$BG40:$BS40,0)&gt;0,0,1)</f>
        <v>1</v>
      </c>
      <c r="TS40" t="b">
        <f>IF($DK$40="",FALSE,SUMPRODUCT(('Final Calculation Sheet'!$U$4:$U$40=$DK$40)*($TR$4:$TR$40=1))&gt;0)</f>
        <v>1</v>
      </c>
      <c r="TT40">
        <f t="shared" si="197"/>
        <v>37</v>
      </c>
      <c r="TU40">
        <f t="shared" si="163"/>
        <v>964279</v>
      </c>
      <c r="TV40">
        <f>IF(COUNTIF('Final Calculation Sheet'!$AL40:$BF40,0)+COUNTIF('Final Calculation Sheet'!$BH40:$BS40,0)&gt;0,0,1)</f>
        <v>1</v>
      </c>
      <c r="TW40" t="b">
        <f>IF($DP$40="",FALSE,SUMPRODUCT(('Final Calculation Sheet'!$V$4:$V$40=$DP$40)*($TV$4:$TV$40=1))&gt;0)</f>
        <v>0</v>
      </c>
      <c r="TX40">
        <f t="shared" si="198"/>
        <v>6</v>
      </c>
      <c r="TY40" t="str">
        <f t="shared" si="164"/>
        <v/>
      </c>
      <c r="TZ40">
        <f>IF(COUNTIF('Final Calculation Sheet'!$AL40:$BG40,0)+COUNTIF('Final Calculation Sheet'!$BI40:$BS40,0)&gt;0,0,1)</f>
        <v>1</v>
      </c>
      <c r="UA40" t="b">
        <f>IF($DU$40="",FALSE,SUMPRODUCT(('Final Calculation Sheet'!$W$4:$W$40=$DU$40)*($TZ$4:$TZ$40=1))&gt;0)</f>
        <v>1</v>
      </c>
      <c r="UB40">
        <f t="shared" si="199"/>
        <v>37</v>
      </c>
      <c r="UC40">
        <f t="shared" si="165"/>
        <v>3573618</v>
      </c>
      <c r="UD40">
        <f>IF(COUNTIF('Final Calculation Sheet'!$AL40:$BH40,0)+COUNTIF('Final Calculation Sheet'!$BJ40:$BS40,0)&gt;0,0,1)</f>
        <v>1</v>
      </c>
      <c r="UE40" t="e">
        <f>IF($DZ$40="",FALSE,SUMPRODUCT(('Final Calculation Sheet'!$X$4:$X$40=$DZ$40)*($UD$4:$UD$40=1))&gt;0)</f>
        <v>#N/A</v>
      </c>
      <c r="UF40" t="e">
        <f t="shared" si="200"/>
        <v>#N/A</v>
      </c>
      <c r="UG40" t="e">
        <f t="shared" si="166"/>
        <v>#N/A</v>
      </c>
      <c r="UH40">
        <f>IF(COUNTIF('Final Calculation Sheet'!$AL40:$BI40,0)+COUNTIF('Final Calculation Sheet'!$BK40:$BS40,0)&gt;0,0,1)</f>
        <v>1</v>
      </c>
      <c r="UI40" t="e">
        <f>IF($EE$40="",FALSE,SUMPRODUCT(('Final Calculation Sheet'!$Y$4:$Y$40=$EE$40)*($UH$4:$UH$40=1))&gt;0)</f>
        <v>#N/A</v>
      </c>
      <c r="UJ40" t="e">
        <f t="shared" si="201"/>
        <v>#N/A</v>
      </c>
      <c r="UK40" t="e">
        <f t="shared" si="167"/>
        <v>#N/A</v>
      </c>
      <c r="UL40">
        <f>IF(COUNTIF('Final Calculation Sheet'!$AL40:$BJ40,0)+COUNTIF('Final Calculation Sheet'!$BL40:$BS40,0)&gt;0,0,1)</f>
        <v>1</v>
      </c>
      <c r="UM40" t="b">
        <f ca="1">IF($EJ$40="",FALSE,SUMPRODUCT(('Final Calculation Sheet'!$Z$4:$Z$40=$EJ$40)*($UL$4:$UL$40=1))&gt;0)</f>
        <v>1</v>
      </c>
      <c r="UN40">
        <f t="shared" ca="1" si="202"/>
        <v>37</v>
      </c>
      <c r="UO40">
        <f t="shared" ca="1" si="168"/>
        <v>136541.90640000001</v>
      </c>
      <c r="UP40">
        <f>IF(COUNTIF('Final Calculation Sheet'!$AL40:$BK40,0)+COUNTIF('Final Calculation Sheet'!$BM40:$BS40,0)&gt;0,0,1)</f>
        <v>1</v>
      </c>
      <c r="UQ40" t="e">
        <f>IF($EO$40="",FALSE,SUMPRODUCT(('Final Calculation Sheet'!$AA$4:$AA$40=$EO$40)*($UP$4:$UP$40=1))&gt;0)</f>
        <v>#N/A</v>
      </c>
      <c r="UR40" t="e">
        <f t="shared" si="203"/>
        <v>#N/A</v>
      </c>
      <c r="US40" t="e">
        <f t="shared" si="169"/>
        <v>#N/A</v>
      </c>
      <c r="UT40">
        <f>IF(COUNTIF('Final Calculation Sheet'!$AL40:$BL40,0)+COUNTIF('Final Calculation Sheet'!$BN40:$BS40,0)&gt;0,0,1)</f>
        <v>1</v>
      </c>
      <c r="UU40" t="e">
        <f>IF($ET$40="",FALSE,SUMPRODUCT(('Final Calculation Sheet'!$AB$4:$AB$40=$ET$40)*($UT$4:$UT$40=1))&gt;0)</f>
        <v>#N/A</v>
      </c>
      <c r="UV40" t="e">
        <f t="shared" si="204"/>
        <v>#N/A</v>
      </c>
      <c r="UW40" t="e">
        <f t="shared" si="170"/>
        <v>#N/A</v>
      </c>
      <c r="UX40">
        <f>IF(COUNTIF('Final Calculation Sheet'!$AL40:$BM40,0)+COUNTIF('Final Calculation Sheet'!$BO40:$BS40,0)&gt;0,0,1)</f>
        <v>1</v>
      </c>
      <c r="UY40" t="b">
        <f>IF($EY$40="",FALSE,SUMPRODUCT(('Final Calculation Sheet'!$AC$4:$AC$40=$EY$40)*($UX$4:$UX$40=1))&gt;0)</f>
        <v>1</v>
      </c>
      <c r="UZ40">
        <f t="shared" si="205"/>
        <v>37</v>
      </c>
      <c r="VA40">
        <f t="shared" si="171"/>
        <v>4537897.9057083894</v>
      </c>
      <c r="VB40">
        <f>IF(COUNTIF('Final Calculation Sheet'!$AL40:$BN40,0)+COUNTIF('Final Calculation Sheet'!$BP40:$BS40,0)&gt;0,0,1)</f>
        <v>1</v>
      </c>
      <c r="VC40" t="b">
        <f>IF($FD$40="",FALSE,SUMPRODUCT(('Final Calculation Sheet'!$AD$4:$AD$40=$FD$40)*($VB$4:$VB$40=1))&gt;0)</f>
        <v>0</v>
      </c>
      <c r="VD40">
        <f t="shared" si="206"/>
        <v>11</v>
      </c>
      <c r="VE40" t="str">
        <f t="shared" si="172"/>
        <v/>
      </c>
      <c r="VF40">
        <f>IF(COUNTIF('Final Calculation Sheet'!$AL40:$BO40,0)+COUNTIF('Final Calculation Sheet'!$BQ40:$BS40,0)&gt;0,0,1)</f>
        <v>1</v>
      </c>
      <c r="VG40" t="e">
        <f>IF($FI$40="",FALSE,SUMPRODUCT(('Final Calculation Sheet'!$AE$4:$AE$40=$FI$40)*($VF$4:$VF$40=1))&gt;0)</f>
        <v>#N/A</v>
      </c>
      <c r="VH40" t="e">
        <f t="shared" si="207"/>
        <v>#N/A</v>
      </c>
      <c r="VI40" t="e">
        <f t="shared" si="173"/>
        <v>#N/A</v>
      </c>
      <c r="VJ40">
        <f>IF(COUNTIF('Final Calculation Sheet'!$AL40:$BP40,0)+COUNTIF('Final Calculation Sheet'!$BR40:$BS40,0)&gt;0,0,1)</f>
        <v>1</v>
      </c>
      <c r="VK40" t="e">
        <f>IF($FN$40="",FALSE,SUMPRODUCT(('Final Calculation Sheet'!$AF$4:$AF$40=$FN$40)*($VJ$4:$VJ$40=1))&gt;0)</f>
        <v>#N/A</v>
      </c>
      <c r="VL40" t="e">
        <f t="shared" si="208"/>
        <v>#N/A</v>
      </c>
      <c r="VM40" t="e">
        <f t="shared" si="174"/>
        <v>#N/A</v>
      </c>
      <c r="VN40">
        <f>IF(COUNTIF('Final Calculation Sheet'!$AL40:$BQ40,0)+COUNTIF('Final Calculation Sheet'!$BS40:$BS40,0)&gt;0,0,1)</f>
        <v>1</v>
      </c>
      <c r="VO40" t="e">
        <f>IF($FS$40="",FALSE,SUMPRODUCT(('Final Calculation Sheet'!$AG$4:$AG$40=$FS$40)*($VN$4:$VN$40=1))&gt;0)</f>
        <v>#N/A</v>
      </c>
      <c r="VP40" t="e">
        <f t="shared" si="209"/>
        <v>#N/A</v>
      </c>
      <c r="VQ40" t="e">
        <f t="shared" si="175"/>
        <v>#N/A</v>
      </c>
      <c r="VR40">
        <f>IF(COUNTIF('Final Calculation Sheet'!$AL40:$BR40,0)&gt;0,0,1)</f>
        <v>1</v>
      </c>
      <c r="VS40" t="e">
        <f>IF($QO$40="",FALSE,SUMPRODUCT(('Final Calculation Sheet'!$AH$4:$AH$40=$QO$40)*($VR$4:$VR$40=1))&gt;0)</f>
        <v>#N/A</v>
      </c>
      <c r="VT40" t="e">
        <f t="shared" si="210"/>
        <v>#N/A</v>
      </c>
      <c r="VU40" t="e">
        <f t="shared" si="176"/>
        <v>#N/A</v>
      </c>
    </row>
    <row r="41" spans="1:593" x14ac:dyDescent="0.3">
      <c r="A41" t="str">
        <f>IF(INDEX('Final Calculation Sheet'!$G$4:$G$40,ROW()-40)="","",INDEX('Final Calculation Sheet'!$G$4:$G$40,ROW()-40))</f>
        <v>AL HAMD TRADE CORPORATION</v>
      </c>
      <c r="B41">
        <f>IF(A41="","",COUNTIFS(A$4:A$114,"&lt;"&amp;A41,A$4:A$114,"&lt;&gt;"&amp;"")+COUNTIF(A$4:A41,A41))</f>
        <v>1</v>
      </c>
      <c r="C41" t="str">
        <f t="shared" si="211"/>
        <v>Scrap of 132 KV Wave Trap</v>
      </c>
      <c r="D41">
        <f>D40+IF(AND(C41&lt;&gt;"",COUNTIF(C$4:C41,C41)=1),1,0)</f>
        <v>38</v>
      </c>
      <c r="E41" t="e">
        <f t="shared" si="212"/>
        <v>#N/A</v>
      </c>
      <c r="O41" t="s">
        <v>643</v>
      </c>
      <c r="T41" t="s">
        <v>643</v>
      </c>
      <c r="Y41" t="s">
        <v>643</v>
      </c>
      <c r="AD41" t="s">
        <v>643</v>
      </c>
      <c r="AI41" t="s">
        <v>643</v>
      </c>
      <c r="AN41" t="s">
        <v>643</v>
      </c>
      <c r="AS41" t="s">
        <v>643</v>
      </c>
      <c r="AX41" t="s">
        <v>643</v>
      </c>
      <c r="BC41" t="s">
        <v>643</v>
      </c>
      <c r="BH41" t="s">
        <v>643</v>
      </c>
      <c r="BM41" t="s">
        <v>643</v>
      </c>
      <c r="BR41" t="s">
        <v>643</v>
      </c>
      <c r="BW41" t="s">
        <v>643</v>
      </c>
      <c r="CB41" t="s">
        <v>643</v>
      </c>
      <c r="CG41" t="s">
        <v>643</v>
      </c>
      <c r="CL41" t="s">
        <v>643</v>
      </c>
      <c r="CQ41" t="s">
        <v>643</v>
      </c>
      <c r="CV41" t="s">
        <v>643</v>
      </c>
      <c r="DA41" t="s">
        <v>643</v>
      </c>
      <c r="DF41" t="s">
        <v>643</v>
      </c>
      <c r="DK41" t="s">
        <v>643</v>
      </c>
      <c r="DP41" t="s">
        <v>643</v>
      </c>
      <c r="DU41" t="s">
        <v>643</v>
      </c>
      <c r="DZ41" t="s">
        <v>643</v>
      </c>
      <c r="EE41" t="s">
        <v>643</v>
      </c>
      <c r="EJ41" t="s">
        <v>643</v>
      </c>
      <c r="EO41" t="s">
        <v>643</v>
      </c>
      <c r="ET41" t="s">
        <v>643</v>
      </c>
      <c r="EY41" t="s">
        <v>643</v>
      </c>
      <c r="FD41" t="s">
        <v>643</v>
      </c>
      <c r="FI41" t="s">
        <v>643</v>
      </c>
      <c r="FN41" t="s">
        <v>643</v>
      </c>
      <c r="FS41" t="s">
        <v>643</v>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B41" t="str">
        <f t="shared" si="73"/>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F41" t="str">
        <f t="shared" si="74"/>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J41" t="str">
        <f t="shared" si="75"/>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N41" t="str">
        <f t="shared" si="76"/>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R41" t="str">
        <f t="shared" si="77"/>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V41" t="str">
        <f t="shared" si="78"/>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GZ41" t="str">
        <f t="shared" si="79"/>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D41" t="str">
        <f t="shared" si="80"/>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H41" t="str">
        <f t="shared" si="81"/>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L41" t="str">
        <f t="shared" si="82"/>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P41" t="str">
        <f t="shared" si="83"/>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T41" t="str">
        <f t="shared" si="84"/>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HX41" t="str">
        <f t="shared" si="85"/>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B41" t="str">
        <f t="shared" si="86"/>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F41" t="str">
        <f t="shared" si="87"/>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J41" t="str">
        <f t="shared" si="88"/>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N41" t="str">
        <f t="shared" si="89"/>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R41" t="str">
        <f t="shared" si="90"/>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V41" t="str">
        <f t="shared" si="91"/>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IZ41" t="str">
        <f t="shared" si="92"/>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D41" t="str">
        <f t="shared" si="93"/>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H41" t="str">
        <f t="shared" si="94"/>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L41" t="str">
        <f t="shared" si="95"/>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P41" t="e">
        <f t="shared" si="96"/>
        <v>#N/A</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T41" t="e">
        <f t="shared" si="97"/>
        <v>#N/A</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JX41" t="str">
        <f t="shared" ca="1" si="98"/>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B41" t="e">
        <f t="shared" si="99"/>
        <v>#N/A</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F41" t="e">
        <f t="shared" si="100"/>
        <v>#N/A</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J41" t="str">
        <f t="shared" si="101"/>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N41" t="str">
        <f t="shared" si="102"/>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R41" t="str">
        <f t="shared" si="103"/>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V41" t="e">
        <f t="shared" si="104"/>
        <v>#N/A</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KZ41" t="e">
        <f t="shared" si="105"/>
        <v>#N/A</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LD41" t="e">
        <f t="shared" si="106"/>
        <v>#N/A</v>
      </c>
      <c r="LE41">
        <f>IF(COUNTIF('Buyer Groups'!DH41:EN41,0)&gt;0,0,1)</f>
        <v>1</v>
      </c>
      <c r="LH41" t="str">
        <f t="shared" si="107"/>
        <v/>
      </c>
      <c r="LI41">
        <f>IF(COUNTIF('Buyer Groups'!DG41:DG41,0)+COUNTIF('Buyer Groups'!DI41:EN41,0)&gt;0,0,1)</f>
        <v>1</v>
      </c>
      <c r="LL41" t="str">
        <f t="shared" si="108"/>
        <v/>
      </c>
      <c r="LM41">
        <f>IF(COUNTIF('Buyer Groups'!DG41:DH41,0)+COUNTIF('Buyer Groups'!DJ41:EN41,0)&gt;0,0,1)</f>
        <v>1</v>
      </c>
      <c r="LP41" t="str">
        <f t="shared" si="109"/>
        <v/>
      </c>
      <c r="LQ41">
        <f>IF(COUNTIF('Buyer Groups'!DG41:DI41,0)+COUNTIF('Buyer Groups'!DK41:EN41,0)&gt;0,0,1)</f>
        <v>1</v>
      </c>
      <c r="LT41" t="str">
        <f t="shared" si="110"/>
        <v/>
      </c>
      <c r="LU41">
        <f>IF(COUNTIF('Buyer Groups'!DG41:DJ41,0)+COUNTIF('Buyer Groups'!DL41:EN41,0)&gt;0,0,1)</f>
        <v>1</v>
      </c>
      <c r="LX41" t="str">
        <f t="shared" si="111"/>
        <v/>
      </c>
      <c r="LY41">
        <f>IF(COUNTIF('Buyer Groups'!DG41:DK41,0)+COUNTIF('Buyer Groups'!DM41:EN41,0)&gt;0,0,1)</f>
        <v>1</v>
      </c>
      <c r="MB41" t="str">
        <f t="shared" si="112"/>
        <v/>
      </c>
      <c r="MC41">
        <f>IF(COUNTIF('Buyer Groups'!DG41:DL41,0)+COUNTIF('Buyer Groups'!DN41:EN41,0)&gt;0,0,1)</f>
        <v>1</v>
      </c>
      <c r="MF41" t="str">
        <f t="shared" si="113"/>
        <v/>
      </c>
      <c r="MG41">
        <f>IF(COUNTIF('Buyer Groups'!DG41:DM41,0)+COUNTIF('Buyer Groups'!DO41:EN41,0)&gt;0,0,1)</f>
        <v>1</v>
      </c>
      <c r="MJ41" t="str">
        <f t="shared" si="114"/>
        <v/>
      </c>
      <c r="MK41">
        <f>IF(COUNTIF('Buyer Groups'!DG41:DN41,0)+COUNTIF('Buyer Groups'!DP41:EN41,0)&gt;0,0,1)</f>
        <v>1</v>
      </c>
      <c r="MN41" t="str">
        <f t="shared" si="115"/>
        <v/>
      </c>
      <c r="MO41">
        <f>IF(COUNTIF('Buyer Groups'!DG41:DO41,0)+COUNTIF('Buyer Groups'!DQ41:EN41,0)&gt;0,0,1)</f>
        <v>1</v>
      </c>
      <c r="MR41" t="str">
        <f t="shared" si="116"/>
        <v/>
      </c>
      <c r="MS41">
        <f>IF(COUNTIF('Buyer Groups'!DG41:DP41,0)+COUNTIF('Buyer Groups'!DR41:EN41,0)&gt;0,0,1)</f>
        <v>1</v>
      </c>
      <c r="MV41" t="str">
        <f t="shared" si="117"/>
        <v/>
      </c>
      <c r="MW41">
        <f>IF(COUNTIF('Buyer Groups'!DG41:DQ41,0)+COUNTIF('Buyer Groups'!DS41:EN41,0)&gt;0,0,1)</f>
        <v>1</v>
      </c>
      <c r="MZ41" t="str">
        <f t="shared" si="118"/>
        <v/>
      </c>
      <c r="NA41">
        <f>IF(COUNTIF('Buyer Groups'!DG41:DR41,0)+COUNTIF('Buyer Groups'!DT41:EN41,0)&gt;0,0,1)</f>
        <v>1</v>
      </c>
      <c r="ND41" t="str">
        <f t="shared" si="119"/>
        <v/>
      </c>
      <c r="NE41">
        <f>IF(COUNTIF('Buyer Groups'!DG41:DS41,0)+COUNTIF('Buyer Groups'!DU41:EN41,0)&gt;0,0,1)</f>
        <v>1</v>
      </c>
      <c r="NH41" t="str">
        <f t="shared" si="120"/>
        <v/>
      </c>
      <c r="NI41">
        <f>IF(COUNTIF('Buyer Groups'!DG41:DT41,0)+COUNTIF('Buyer Groups'!DV41:EN41,0)&gt;0,0,1)</f>
        <v>1</v>
      </c>
      <c r="NL41" t="str">
        <f t="shared" si="121"/>
        <v/>
      </c>
      <c r="NM41">
        <f>IF(COUNTIF('Buyer Groups'!DG41:DU41,0)+COUNTIF('Buyer Groups'!DW41:EN41,0)&gt;0,0,1)</f>
        <v>1</v>
      </c>
      <c r="NP41" t="str">
        <f t="shared" si="122"/>
        <v/>
      </c>
      <c r="NQ41">
        <f>IF(COUNTIF('Buyer Groups'!DG41:DV41,0)+COUNTIF('Buyer Groups'!DX41:EN41,0)&gt;0,0,1)</f>
        <v>1</v>
      </c>
      <c r="NT41" t="str">
        <f t="shared" si="123"/>
        <v/>
      </c>
      <c r="NU41">
        <f>IF(COUNTIF('Buyer Groups'!DG41:DW41,0)+COUNTIF('Buyer Groups'!DY41:EN41,0)&gt;0,0,1)</f>
        <v>1</v>
      </c>
      <c r="NX41" t="str">
        <f t="shared" si="124"/>
        <v/>
      </c>
      <c r="NY41">
        <f>IF(COUNTIF('Buyer Groups'!DG41:DX41,0)+COUNTIF('Buyer Groups'!DZ41:EN41,0)&gt;0,0,1)</f>
        <v>1</v>
      </c>
      <c r="OB41" t="str">
        <f t="shared" si="125"/>
        <v/>
      </c>
      <c r="OC41">
        <f>IF(COUNTIF('Buyer Groups'!DG41:DY41,0)+COUNTIF('Buyer Groups'!EA41:EN41,0)&gt;0,0,1)</f>
        <v>1</v>
      </c>
      <c r="OF41" t="str">
        <f t="shared" si="126"/>
        <v/>
      </c>
      <c r="OG41">
        <f>IF(COUNTIF('Buyer Groups'!DG41:DZ41,0)+COUNTIF('Buyer Groups'!EB41:EN41,0)&gt;0,0,1)</f>
        <v>1</v>
      </c>
      <c r="OJ41" t="str">
        <f t="shared" si="127"/>
        <v/>
      </c>
      <c r="OK41">
        <f>IF(COUNTIF('Buyer Groups'!DG41:EA41,0)+COUNTIF('Buyer Groups'!EC41:EN41,0)&gt;0,0,1)</f>
        <v>1</v>
      </c>
      <c r="ON41" t="str">
        <f t="shared" si="128"/>
        <v/>
      </c>
      <c r="OO41">
        <f>IF(COUNTIF('Buyer Groups'!DG41:EB41,0)+COUNTIF('Buyer Groups'!ED41:EN41,0)&gt;0,0,1)</f>
        <v>1</v>
      </c>
      <c r="OR41" t="str">
        <f t="shared" si="129"/>
        <v/>
      </c>
      <c r="OS41">
        <f>IF(COUNTIF('Buyer Groups'!DG41:EC41,0)+COUNTIF('Buyer Groups'!EE41:EN41,0)&gt;0,0,1)</f>
        <v>1</v>
      </c>
      <c r="OV41" t="e">
        <f t="shared" si="130"/>
        <v>#N/A</v>
      </c>
      <c r="OW41">
        <f>IF(COUNTIF('Buyer Groups'!DG41:ED41,0)+COUNTIF('Buyer Groups'!EF41:EN41,0)&gt;0,0,1)</f>
        <v>1</v>
      </c>
      <c r="OZ41" t="e">
        <f t="shared" si="131"/>
        <v>#N/A</v>
      </c>
      <c r="PA41">
        <f>IF(COUNTIF('Buyer Groups'!DG41:EE41,0)+COUNTIF('Buyer Groups'!EG41:EN41,0)&gt;0,0,1)</f>
        <v>1</v>
      </c>
      <c r="PD41" t="str">
        <f t="shared" ca="1" si="132"/>
        <v/>
      </c>
      <c r="PE41">
        <f>IF(COUNTIF('Buyer Groups'!DG41:EF41,0)+COUNTIF('Buyer Groups'!EH41:EN41,0)&gt;0,0,1)</f>
        <v>1</v>
      </c>
      <c r="PH41" t="e">
        <f t="shared" si="133"/>
        <v>#N/A</v>
      </c>
      <c r="PI41">
        <f>IF(COUNTIF('Buyer Groups'!DG41:EG41,0)+COUNTIF('Buyer Groups'!EI41:EN41,0)&gt;0,0,1)</f>
        <v>1</v>
      </c>
      <c r="PL41" t="e">
        <f t="shared" si="134"/>
        <v>#N/A</v>
      </c>
      <c r="PM41">
        <f>IF(COUNTIF('Buyer Groups'!DG41:EH41,0)+COUNTIF('Buyer Groups'!EJ41:EN41,0)&gt;0,0,1)</f>
        <v>1</v>
      </c>
      <c r="PP41" t="str">
        <f t="shared" si="135"/>
        <v/>
      </c>
      <c r="PQ41">
        <f>IF(COUNTIF('Buyer Groups'!DG41:EI41,0)+COUNTIF('Buyer Groups'!EK41:EN41,0)&gt;0,0,1)</f>
        <v>1</v>
      </c>
      <c r="PT41" t="str">
        <f t="shared" si="136"/>
        <v/>
      </c>
      <c r="PU41">
        <f>IF(COUNTIF('Buyer Groups'!DG41:EJ41,0)+COUNTIF('Buyer Groups'!EL41:EN41,0)&gt;0,0,1)</f>
        <v>1</v>
      </c>
      <c r="PX41" t="str">
        <f t="shared" si="137"/>
        <v/>
      </c>
      <c r="PY41">
        <f>IF(COUNTIF('Buyer Groups'!DG41:EK41,0)+COUNTIF('Buyer Groups'!EM41:EN41,0)&gt;0,0,1)</f>
        <v>1</v>
      </c>
      <c r="QB41" t="e">
        <f t="shared" si="138"/>
        <v>#N/A</v>
      </c>
      <c r="QC41">
        <f>IF(COUNTIF('Buyer Groups'!DG41:EL41,0)+COUNTIF('Buyer Groups'!EN41:EN41,0)&gt;0,0,1)</f>
        <v>1</v>
      </c>
      <c r="QF41" t="e">
        <f t="shared" si="139"/>
        <v>#N/A</v>
      </c>
      <c r="QG41">
        <f>IF(COUNTIF('Buyer Groups'!DG41:EM41,0)&gt;0,0,1)</f>
        <v>1</v>
      </c>
      <c r="QJ41" t="e">
        <f t="shared" si="140"/>
        <v>#N/A</v>
      </c>
    </row>
    <row r="42" spans="1:593" x14ac:dyDescent="0.3">
      <c r="A42" t="str">
        <f>IF(INDEX('Final Calculation Sheet'!$G$4:$G$40,ROW()-40)="","",INDEX('Final Calculation Sheet'!$G$4:$G$40,ROW()-40))</f>
        <v>NATIONAL ENTERPRISES</v>
      </c>
      <c r="B42">
        <f>IF(A42="","",COUNTIFS(A$4:A$114,"&lt;"&amp;A42,A$4:A$114,"&lt;&gt;"&amp;"")+COUNTIF(A$4:A42,A42))</f>
        <v>8</v>
      </c>
      <c r="C42" t="str">
        <f t="shared" si="211"/>
        <v>Scrap of 145 KV CB</v>
      </c>
      <c r="D42">
        <f>D41+IF(AND(C42&lt;&gt;"",COUNTIF(C$4:C42,C42)=1),1,0)</f>
        <v>39</v>
      </c>
      <c r="E42" t="e">
        <f t="shared" si="212"/>
        <v>#N/A</v>
      </c>
      <c r="O42" t="s">
        <v>644</v>
      </c>
      <c r="T42" t="s">
        <v>644</v>
      </c>
      <c r="Y42" t="s">
        <v>644</v>
      </c>
      <c r="AD42" t="s">
        <v>644</v>
      </c>
      <c r="AI42" t="s">
        <v>644</v>
      </c>
      <c r="AN42" t="s">
        <v>644</v>
      </c>
      <c r="AS42" t="s">
        <v>644</v>
      </c>
      <c r="AX42" t="s">
        <v>644</v>
      </c>
      <c r="BC42" t="s">
        <v>644</v>
      </c>
      <c r="BH42" t="s">
        <v>644</v>
      </c>
      <c r="BM42" t="s">
        <v>644</v>
      </c>
      <c r="BR42" t="s">
        <v>644</v>
      </c>
      <c r="BW42" t="s">
        <v>644</v>
      </c>
      <c r="CB42" t="s">
        <v>644</v>
      </c>
      <c r="CG42" t="s">
        <v>644</v>
      </c>
      <c r="CL42" t="s">
        <v>644</v>
      </c>
      <c r="CQ42" t="s">
        <v>644</v>
      </c>
      <c r="CV42" t="s">
        <v>644</v>
      </c>
      <c r="DA42" t="s">
        <v>644</v>
      </c>
      <c r="DF42" t="s">
        <v>644</v>
      </c>
      <c r="DK42" t="s">
        <v>644</v>
      </c>
      <c r="DP42" t="s">
        <v>644</v>
      </c>
      <c r="DU42" t="s">
        <v>644</v>
      </c>
      <c r="DZ42" t="s">
        <v>644</v>
      </c>
      <c r="EE42" t="s">
        <v>644</v>
      </c>
      <c r="EJ42" t="s">
        <v>644</v>
      </c>
      <c r="EO42" t="s">
        <v>644</v>
      </c>
      <c r="ET42" t="s">
        <v>644</v>
      </c>
      <c r="EY42" t="s">
        <v>644</v>
      </c>
      <c r="FD42" t="s">
        <v>644</v>
      </c>
      <c r="FI42" t="s">
        <v>644</v>
      </c>
      <c r="FN42" t="s">
        <v>644</v>
      </c>
      <c r="FS42" t="s">
        <v>644</v>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GB42" t="str">
        <f t="shared" si="73"/>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F42" t="str">
        <f t="shared" si="74"/>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J42" t="str">
        <f t="shared" si="75"/>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N42" t="str">
        <f t="shared" si="76"/>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R42" t="str">
        <f t="shared" si="77"/>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V42" t="str">
        <f t="shared" si="78"/>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GZ42" t="str">
        <f t="shared" si="79"/>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D42" t="str">
        <f t="shared" si="80"/>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H42" t="str">
        <f t="shared" si="81"/>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L42" t="str">
        <f t="shared" si="82"/>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P42" t="str">
        <f t="shared" si="83"/>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T42" t="str">
        <f t="shared" si="84"/>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HX42" t="str">
        <f t="shared" si="85"/>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B42" t="str">
        <f t="shared" si="86"/>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F42" t="str">
        <f t="shared" si="87"/>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J42" t="str">
        <f t="shared" si="88"/>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N42" t="str">
        <f t="shared" si="89"/>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R42" t="str">
        <f t="shared" si="90"/>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V42" t="str">
        <f t="shared" si="91"/>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IZ42" t="str">
        <f t="shared" si="92"/>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D42" t="str">
        <f t="shared" si="93"/>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H42" t="str">
        <f t="shared" si="94"/>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L42" t="str">
        <f t="shared" si="95"/>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P42" t="e">
        <f t="shared" si="96"/>
        <v>#N/A</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T42" t="e">
        <f t="shared" si="97"/>
        <v>#N/A</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JX42" t="str">
        <f t="shared" ca="1" si="98"/>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B42" t="e">
        <f t="shared" si="99"/>
        <v>#N/A</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F42" t="e">
        <f t="shared" si="100"/>
        <v>#N/A</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J42" t="str">
        <f t="shared" si="101"/>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N42" t="str">
        <f t="shared" si="102"/>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R42" t="str">
        <f t="shared" si="103"/>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V42" t="e">
        <f t="shared" si="104"/>
        <v>#N/A</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KZ42" t="e">
        <f t="shared" si="105"/>
        <v>#N/A</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LD42" t="e">
        <f t="shared" si="106"/>
        <v>#N/A</v>
      </c>
      <c r="LE42">
        <f>IF(COUNTIF('Buyer Groups'!DH42:EN42,0)&gt;0,0,1)</f>
        <v>1</v>
      </c>
      <c r="LH42" t="str">
        <f t="shared" si="107"/>
        <v/>
      </c>
      <c r="LI42">
        <f>IF(COUNTIF('Buyer Groups'!DG42:DG42,0)+COUNTIF('Buyer Groups'!DI42:EN42,0)&gt;0,0,1)</f>
        <v>1</v>
      </c>
      <c r="LL42" t="str">
        <f t="shared" si="108"/>
        <v/>
      </c>
      <c r="LM42">
        <f>IF(COUNTIF('Buyer Groups'!DG42:DH42,0)+COUNTIF('Buyer Groups'!DJ42:EN42,0)&gt;0,0,1)</f>
        <v>1</v>
      </c>
      <c r="LP42" t="str">
        <f t="shared" si="109"/>
        <v/>
      </c>
      <c r="LQ42">
        <f>IF(COUNTIF('Buyer Groups'!DG42:DI42,0)+COUNTIF('Buyer Groups'!DK42:EN42,0)&gt;0,0,1)</f>
        <v>1</v>
      </c>
      <c r="LT42" t="str">
        <f t="shared" si="110"/>
        <v/>
      </c>
      <c r="LU42">
        <f>IF(COUNTIF('Buyer Groups'!DG42:DJ42,0)+COUNTIF('Buyer Groups'!DL42:EN42,0)&gt;0,0,1)</f>
        <v>1</v>
      </c>
      <c r="LX42" t="str">
        <f t="shared" si="111"/>
        <v/>
      </c>
      <c r="LY42">
        <f>IF(COUNTIF('Buyer Groups'!DG42:DK42,0)+COUNTIF('Buyer Groups'!DM42:EN42,0)&gt;0,0,1)</f>
        <v>1</v>
      </c>
      <c r="MB42" t="str">
        <f t="shared" si="112"/>
        <v/>
      </c>
      <c r="MC42">
        <f>IF(COUNTIF('Buyer Groups'!DG42:DL42,0)+COUNTIF('Buyer Groups'!DN42:EN42,0)&gt;0,0,1)</f>
        <v>1</v>
      </c>
      <c r="MF42" t="str">
        <f t="shared" si="113"/>
        <v/>
      </c>
      <c r="MG42">
        <f>IF(COUNTIF('Buyer Groups'!DG42:DM42,0)+COUNTIF('Buyer Groups'!DO42:EN42,0)&gt;0,0,1)</f>
        <v>1</v>
      </c>
      <c r="MJ42" t="str">
        <f t="shared" si="114"/>
        <v/>
      </c>
      <c r="MK42">
        <f>IF(COUNTIF('Buyer Groups'!DG42:DN42,0)+COUNTIF('Buyer Groups'!DP42:EN42,0)&gt;0,0,1)</f>
        <v>1</v>
      </c>
      <c r="MN42" t="str">
        <f t="shared" si="115"/>
        <v/>
      </c>
      <c r="MO42">
        <f>IF(COUNTIF('Buyer Groups'!DG42:DO42,0)+COUNTIF('Buyer Groups'!DQ42:EN42,0)&gt;0,0,1)</f>
        <v>1</v>
      </c>
      <c r="MR42" t="str">
        <f t="shared" si="116"/>
        <v/>
      </c>
      <c r="MS42">
        <f>IF(COUNTIF('Buyer Groups'!DG42:DP42,0)+COUNTIF('Buyer Groups'!DR42:EN42,0)&gt;0,0,1)</f>
        <v>1</v>
      </c>
      <c r="MV42" t="str">
        <f t="shared" si="117"/>
        <v/>
      </c>
      <c r="MW42">
        <f>IF(COUNTIF('Buyer Groups'!DG42:DQ42,0)+COUNTIF('Buyer Groups'!DS42:EN42,0)&gt;0,0,1)</f>
        <v>1</v>
      </c>
      <c r="MZ42" t="str">
        <f t="shared" si="118"/>
        <v/>
      </c>
      <c r="NA42">
        <f>IF(COUNTIF('Buyer Groups'!DG42:DR42,0)+COUNTIF('Buyer Groups'!DT42:EN42,0)&gt;0,0,1)</f>
        <v>1</v>
      </c>
      <c r="ND42" t="str">
        <f t="shared" si="119"/>
        <v/>
      </c>
      <c r="NE42">
        <f>IF(COUNTIF('Buyer Groups'!DG42:DS42,0)+COUNTIF('Buyer Groups'!DU42:EN42,0)&gt;0,0,1)</f>
        <v>1</v>
      </c>
      <c r="NH42" t="str">
        <f t="shared" si="120"/>
        <v/>
      </c>
      <c r="NI42">
        <f>IF(COUNTIF('Buyer Groups'!DG42:DT42,0)+COUNTIF('Buyer Groups'!DV42:EN42,0)&gt;0,0,1)</f>
        <v>1</v>
      </c>
      <c r="NL42" t="str">
        <f t="shared" si="121"/>
        <v/>
      </c>
      <c r="NM42">
        <f>IF(COUNTIF('Buyer Groups'!DG42:DU42,0)+COUNTIF('Buyer Groups'!DW42:EN42,0)&gt;0,0,1)</f>
        <v>1</v>
      </c>
      <c r="NP42" t="str">
        <f t="shared" si="122"/>
        <v/>
      </c>
      <c r="NQ42">
        <f>IF(COUNTIF('Buyer Groups'!DG42:DV42,0)+COUNTIF('Buyer Groups'!DX42:EN42,0)&gt;0,0,1)</f>
        <v>1</v>
      </c>
      <c r="NT42" t="str">
        <f t="shared" si="123"/>
        <v/>
      </c>
      <c r="NU42">
        <f>IF(COUNTIF('Buyer Groups'!DG42:DW42,0)+COUNTIF('Buyer Groups'!DY42:EN42,0)&gt;0,0,1)</f>
        <v>1</v>
      </c>
      <c r="NX42" t="str">
        <f t="shared" si="124"/>
        <v/>
      </c>
      <c r="NY42">
        <f>IF(COUNTIF('Buyer Groups'!DG42:DX42,0)+COUNTIF('Buyer Groups'!DZ42:EN42,0)&gt;0,0,1)</f>
        <v>1</v>
      </c>
      <c r="OB42" t="str">
        <f t="shared" si="125"/>
        <v/>
      </c>
      <c r="OC42">
        <f>IF(COUNTIF('Buyer Groups'!DG42:DY42,0)+COUNTIF('Buyer Groups'!EA42:EN42,0)&gt;0,0,1)</f>
        <v>1</v>
      </c>
      <c r="OF42" t="str">
        <f t="shared" si="126"/>
        <v/>
      </c>
      <c r="OG42">
        <f>IF(COUNTIF('Buyer Groups'!DG42:DZ42,0)+COUNTIF('Buyer Groups'!EB42:EN42,0)&gt;0,0,1)</f>
        <v>1</v>
      </c>
      <c r="OJ42" t="str">
        <f t="shared" si="127"/>
        <v/>
      </c>
      <c r="OK42">
        <f>IF(COUNTIF('Buyer Groups'!DG42:EA42,0)+COUNTIF('Buyer Groups'!EC42:EN42,0)&gt;0,0,1)</f>
        <v>1</v>
      </c>
      <c r="ON42" t="str">
        <f t="shared" si="128"/>
        <v/>
      </c>
      <c r="OO42">
        <f>IF(COUNTIF('Buyer Groups'!DG42:EB42,0)+COUNTIF('Buyer Groups'!ED42:EN42,0)&gt;0,0,1)</f>
        <v>1</v>
      </c>
      <c r="OR42" t="str">
        <f t="shared" si="129"/>
        <v/>
      </c>
      <c r="OS42">
        <f>IF(COUNTIF('Buyer Groups'!DG42:EC42,0)+COUNTIF('Buyer Groups'!EE42:EN42,0)&gt;0,0,1)</f>
        <v>1</v>
      </c>
      <c r="OV42" t="e">
        <f t="shared" si="130"/>
        <v>#N/A</v>
      </c>
      <c r="OW42">
        <f>IF(COUNTIF('Buyer Groups'!DG42:ED42,0)+COUNTIF('Buyer Groups'!EF42:EN42,0)&gt;0,0,1)</f>
        <v>1</v>
      </c>
      <c r="OZ42" t="e">
        <f t="shared" si="131"/>
        <v>#N/A</v>
      </c>
      <c r="PA42">
        <f>IF(COUNTIF('Buyer Groups'!DG42:EE42,0)+COUNTIF('Buyer Groups'!EG42:EN42,0)&gt;0,0,1)</f>
        <v>1</v>
      </c>
      <c r="PD42" t="str">
        <f t="shared" ca="1" si="132"/>
        <v/>
      </c>
      <c r="PE42">
        <f>IF(COUNTIF('Buyer Groups'!DG42:EF42,0)+COUNTIF('Buyer Groups'!EH42:EN42,0)&gt;0,0,1)</f>
        <v>1</v>
      </c>
      <c r="PH42" t="e">
        <f t="shared" si="133"/>
        <v>#N/A</v>
      </c>
      <c r="PI42">
        <f>IF(COUNTIF('Buyer Groups'!DG42:EG42,0)+COUNTIF('Buyer Groups'!EI42:EN42,0)&gt;0,0,1)</f>
        <v>1</v>
      </c>
      <c r="PL42" t="e">
        <f t="shared" si="134"/>
        <v>#N/A</v>
      </c>
      <c r="PM42">
        <f>IF(COUNTIF('Buyer Groups'!DG42:EH42,0)+COUNTIF('Buyer Groups'!EJ42:EN42,0)&gt;0,0,1)</f>
        <v>1</v>
      </c>
      <c r="PP42" t="str">
        <f t="shared" si="135"/>
        <v/>
      </c>
      <c r="PQ42">
        <f>IF(COUNTIF('Buyer Groups'!DG42:EI42,0)+COUNTIF('Buyer Groups'!EK42:EN42,0)&gt;0,0,1)</f>
        <v>1</v>
      </c>
      <c r="PT42" t="str">
        <f t="shared" si="136"/>
        <v/>
      </c>
      <c r="PU42">
        <f>IF(COUNTIF('Buyer Groups'!DG42:EJ42,0)+COUNTIF('Buyer Groups'!EL42:EN42,0)&gt;0,0,1)</f>
        <v>1</v>
      </c>
      <c r="PX42" t="str">
        <f t="shared" si="137"/>
        <v/>
      </c>
      <c r="PY42">
        <f>IF(COUNTIF('Buyer Groups'!DG42:EK42,0)+COUNTIF('Buyer Groups'!EM42:EN42,0)&gt;0,0,1)</f>
        <v>1</v>
      </c>
      <c r="QB42" t="e">
        <f t="shared" si="138"/>
        <v>#N/A</v>
      </c>
      <c r="QC42">
        <f>IF(COUNTIF('Buyer Groups'!DG42:EL42,0)+COUNTIF('Buyer Groups'!EN42:EN42,0)&gt;0,0,1)</f>
        <v>1</v>
      </c>
      <c r="QF42" t="e">
        <f t="shared" si="139"/>
        <v>#N/A</v>
      </c>
      <c r="QG42">
        <f>IF(COUNTIF('Buyer Groups'!DG42:EM42,0)&gt;0,0,1)</f>
        <v>1</v>
      </c>
      <c r="QJ42" t="e">
        <f t="shared" si="140"/>
        <v>#N/A</v>
      </c>
    </row>
    <row r="43" spans="1:593" x14ac:dyDescent="0.3">
      <c r="A43" t="str">
        <f>IF(INDEX('Final Calculation Sheet'!$G$4:$G$40,ROW()-40)="","",INDEX('Final Calculation Sheet'!$G$4:$G$40,ROW()-40))</f>
        <v>F R KHANS ENTERPRISES</v>
      </c>
      <c r="B43">
        <f>IF(A43="","",COUNTIFS(A$4:A$114,"&lt;"&amp;A43,A$4:A$114,"&lt;&gt;"&amp;"")+COUNTIF(A$4:A43,A43))</f>
        <v>2</v>
      </c>
      <c r="C43" t="str">
        <f t="shared" si="211"/>
        <v>Scrap of 220 KV Circuit Breaker</v>
      </c>
      <c r="D43">
        <f>D42+IF(AND(C43&lt;&gt;"",COUNTIF(C$4:C43,C43)=1),1,0)</f>
        <v>40</v>
      </c>
      <c r="E43" t="e">
        <f t="shared" si="212"/>
        <v>#N/A</v>
      </c>
    </row>
    <row r="44" spans="1:593" x14ac:dyDescent="0.3">
      <c r="A44" t="str">
        <f>IF(INDEX('Final Calculation Sheet'!$G$4:$G$40,ROW()-40)="","",INDEX('Final Calculation Sheet'!$G$4:$G$40,ROW()-40))</f>
        <v>F R KHANS ENTERPRISES</v>
      </c>
      <c r="B44">
        <f>IF(A44="","",COUNTIFS(A$4:A$114,"&lt;"&amp;A44,A$4:A$114,"&lt;&gt;"&amp;"")+COUNTIF(A$4:A44,A44))</f>
        <v>3</v>
      </c>
      <c r="C44" t="str">
        <f t="shared" si="211"/>
        <v>Scrap of 220 KV Circuit Breaker</v>
      </c>
      <c r="D44">
        <f>D43+IF(AND(C44&lt;&gt;"",COUNTIF(C$4:C44,C44)=1),1,0)</f>
        <v>40</v>
      </c>
      <c r="E44" t="e">
        <f t="shared" si="212"/>
        <v>#N/A</v>
      </c>
    </row>
    <row r="45" spans="1:593" x14ac:dyDescent="0.3">
      <c r="A45" t="str">
        <f>IF(INDEX('Final Calculation Sheet'!$G$4:$G$40,ROW()-40)="","",INDEX('Final Calculation Sheet'!$G$4:$G$40,ROW()-40))</f>
        <v>OMKAR STEELS</v>
      </c>
      <c r="B45">
        <f>IF(A45="","",COUNTIFS(A$4:A$114,"&lt;"&amp;A45,A$4:A$114,"&lt;&gt;"&amp;"")+COUNTIF(A$4:A45,A45))</f>
        <v>22</v>
      </c>
      <c r="C45" t="str">
        <f t="shared" si="211"/>
        <v>Scrap of 220 KV CT</v>
      </c>
      <c r="D45">
        <f>D44+IF(AND(C45&lt;&gt;"",COUNTIF(C$4:C45,C45)=1),1,0)</f>
        <v>41</v>
      </c>
      <c r="E45" t="e">
        <f t="shared" si="212"/>
        <v>#N/A</v>
      </c>
    </row>
    <row r="46" spans="1:593" x14ac:dyDescent="0.3">
      <c r="A46" t="str">
        <f>IF(INDEX('Final Calculation Sheet'!$G$4:$G$40,ROW()-40)="","",INDEX('Final Calculation Sheet'!$G$4:$G$40,ROW()-40))</f>
        <v>SHAR JAHAN TRADERS</v>
      </c>
      <c r="B46">
        <f>IF(A46="","",COUNTIFS(A$4:A$114,"&lt;"&amp;A46,A$4:A$114,"&lt;&gt;"&amp;"")+COUNTIF(A$4:A46,A46))</f>
        <v>63</v>
      </c>
      <c r="C46" t="str">
        <f t="shared" si="211"/>
        <v>Scrap of 220KV CT</v>
      </c>
      <c r="D46">
        <f>D45+IF(AND(C46&lt;&gt;"",COUNTIF(C$4:C46,C46)=1),1,0)</f>
        <v>42</v>
      </c>
      <c r="E46" t="e">
        <f t="shared" si="212"/>
        <v>#N/A</v>
      </c>
    </row>
    <row r="47" spans="1:593" x14ac:dyDescent="0.3">
      <c r="A47" t="str">
        <f>IF(INDEX('Final Calculation Sheet'!$G$4:$G$40,ROW()-40)="","",INDEX('Final Calculation Sheet'!$G$4:$G$40,ROW()-40))</f>
        <v>NATIONAL ENTERPRISES</v>
      </c>
      <c r="B47">
        <f>IF(A47="","",COUNTIFS(A$4:A$114,"&lt;"&amp;A47,A$4:A$114,"&lt;&gt;"&amp;"")+COUNTIF(A$4:A47,A47))</f>
        <v>9</v>
      </c>
      <c r="C47" t="str">
        <f t="shared" si="211"/>
        <v>Scrap of 33 KV CB</v>
      </c>
      <c r="D47">
        <f>D46+IF(AND(C47&lt;&gt;"",COUNTIF(C$4:C47,C47)=1),1,0)</f>
        <v>43</v>
      </c>
      <c r="E47" t="e">
        <f t="shared" si="212"/>
        <v>#N/A</v>
      </c>
    </row>
    <row r="48" spans="1:593" x14ac:dyDescent="0.3">
      <c r="A48" t="str">
        <f>IF(INDEX('Final Calculation Sheet'!$G$4:$G$40,ROW()-40)="","",INDEX('Final Calculation Sheet'!$G$4:$G$40,ROW()-40))</f>
        <v>NATIONAL ENTERPRISES</v>
      </c>
      <c r="B48">
        <f>IF(A48="","",COUNTIFS(A$4:A$114,"&lt;"&amp;A48,A$4:A$114,"&lt;&gt;"&amp;"")+COUNTIF(A$4:A48,A48))</f>
        <v>10</v>
      </c>
      <c r="C48" t="str">
        <f t="shared" si="211"/>
        <v>Scrap of 33 KV CT</v>
      </c>
      <c r="D48">
        <f>D47+IF(AND(C48&lt;&gt;"",COUNTIF(C$4:C48,C48)=1),1,0)</f>
        <v>44</v>
      </c>
      <c r="E48" t="e">
        <f t="shared" si="212"/>
        <v>#N/A</v>
      </c>
    </row>
    <row r="49" spans="1:5" x14ac:dyDescent="0.3">
      <c r="A49" t="str">
        <f>IF(INDEX('Final Calculation Sheet'!$G$4:$G$40,ROW()-40)="","",INDEX('Final Calculation Sheet'!$G$4:$G$40,ROW()-40))</f>
        <v>NATIONAL ENTERPRISES</v>
      </c>
      <c r="B49">
        <f>IF(A49="","",COUNTIFS(A$4:A$114,"&lt;"&amp;A49,A$4:A$114,"&lt;&gt;"&amp;"")+COUNTIF(A$4:A49,A49))</f>
        <v>11</v>
      </c>
      <c r="C49" t="str">
        <f t="shared" si="211"/>
        <v>Scrap of 33 KV GCB</v>
      </c>
      <c r="D49">
        <f>D48+IF(AND(C49&lt;&gt;"",COUNTIF(C$4:C49,C49)=1),1,0)</f>
        <v>45</v>
      </c>
      <c r="E49" t="e">
        <f t="shared" si="212"/>
        <v>#N/A</v>
      </c>
    </row>
    <row r="50" spans="1:5" x14ac:dyDescent="0.3">
      <c r="A50" t="str">
        <f>IF(INDEX('Final Calculation Sheet'!$G$4:$G$40,ROW()-40)="","",INDEX('Final Calculation Sheet'!$G$4:$G$40,ROW()-40))</f>
        <v>STERLING ENTERPRISES</v>
      </c>
      <c r="B50">
        <f>IF(A50="","",COUNTIFS(A$4:A$114,"&lt;"&amp;A50,A$4:A$114,"&lt;&gt;"&amp;"")+COUNTIF(A$4:A50,A50))</f>
        <v>65</v>
      </c>
      <c r="C50" t="str">
        <f t="shared" si="211"/>
        <v>Scrap of 66 KV Isolater</v>
      </c>
      <c r="D50">
        <f>D49+IF(AND(C50&lt;&gt;"",COUNTIF(C$4:C50,C50)=1),1,0)</f>
        <v>46</v>
      </c>
      <c r="E50" t="e">
        <f t="shared" si="212"/>
        <v>#N/A</v>
      </c>
    </row>
    <row r="51" spans="1:5" x14ac:dyDescent="0.3">
      <c r="A51" t="str">
        <f>IF(INDEX('Final Calculation Sheet'!$G$4:$G$40,ROW()-40)="","",INDEX('Final Calculation Sheet'!$G$4:$G$40,ROW()-40))</f>
        <v>SHAR JAHAN TRADERS</v>
      </c>
      <c r="B51">
        <f>IF(A51="","",COUNTIFS(A$4:A$114,"&lt;"&amp;A51,A$4:A$114,"&lt;&gt;"&amp;"")+COUNTIF(A$4:A51,A51))</f>
        <v>64</v>
      </c>
      <c r="C51" t="str">
        <f t="shared" si="211"/>
        <v>Scrap of 66 kv TBC C &amp; R Panel</v>
      </c>
      <c r="D51">
        <f>D50+IF(AND(C51&lt;&gt;"",COUNTIF(C$4:C51,C51)=1),1,0)</f>
        <v>47</v>
      </c>
      <c r="E51" t="e">
        <f t="shared" si="212"/>
        <v>#N/A</v>
      </c>
    </row>
    <row r="52" spans="1:5" x14ac:dyDescent="0.3">
      <c r="A52" t="str">
        <f>IF(INDEX('Final Calculation Sheet'!$G$4:$G$40,ROW()-40)="","",INDEX('Final Calculation Sheet'!$G$4:$G$40,ROW()-40))</f>
        <v>HIND TRADERS</v>
      </c>
      <c r="B52">
        <f>IF(A52="","",COUNTIFS(A$4:A$114,"&lt;"&amp;A52,A$4:A$114,"&lt;&gt;"&amp;"")+COUNTIF(A$4:A52,A52))</f>
        <v>4</v>
      </c>
      <c r="C52" t="str">
        <f t="shared" si="211"/>
        <v>Scrap of AAAC Earth wire</v>
      </c>
      <c r="D52">
        <f>D51+IF(AND(C52&lt;&gt;"",COUNTIF(C$4:C52,C52)=1),1,0)</f>
        <v>48</v>
      </c>
      <c r="E52" t="e">
        <f t="shared" si="212"/>
        <v>#N/A</v>
      </c>
    </row>
    <row r="53" spans="1:5" x14ac:dyDescent="0.3">
      <c r="A53" t="str">
        <f>IF(INDEX('Final Calculation Sheet'!$G$4:$G$40,ROW()-40)="","",INDEX('Final Calculation Sheet'!$G$4:$G$40,ROW()-40))</f>
        <v>STERLING ENTERPRISES</v>
      </c>
      <c r="B53">
        <f>IF(A53="","",COUNTIFS(A$4:A$114,"&lt;"&amp;A53,A$4:A$114,"&lt;&gt;"&amp;"")+COUNTIF(A$4:A53,A53))</f>
        <v>66</v>
      </c>
      <c r="C53" t="str">
        <f t="shared" si="211"/>
        <v>Scrap of Copper of faulty AC compressor</v>
      </c>
      <c r="D53">
        <f>D52+IF(AND(C53&lt;&gt;"",COUNTIF(C$4:C53,C53)=1),1,0)</f>
        <v>49</v>
      </c>
      <c r="E53" t="e">
        <f t="shared" si="212"/>
        <v>#N/A</v>
      </c>
    </row>
    <row r="54" spans="1:5" x14ac:dyDescent="0.3">
      <c r="A54" t="str">
        <f>IF(INDEX('Final Calculation Sheet'!$G$4:$G$40,ROW()-40)="","",INDEX('Final Calculation Sheet'!$G$4:$G$40,ROW()-40))</f>
        <v>STERLING ENTERPRISES</v>
      </c>
      <c r="B54">
        <f>IF(A54="","",COUNTIFS(A$4:A$114,"&lt;"&amp;A54,A$4:A$114,"&lt;&gt;"&amp;"")+COUNTIF(A$4:A54,A54))</f>
        <v>67</v>
      </c>
      <c r="C54" t="str">
        <f t="shared" si="211"/>
        <v>Scrap of empty oil Barrel</v>
      </c>
      <c r="D54">
        <f>D53+IF(AND(C54&lt;&gt;"",COUNTIF(C$4:C54,C54)=1),1,0)</f>
        <v>50</v>
      </c>
      <c r="E54" t="e">
        <f t="shared" si="212"/>
        <v>#N/A</v>
      </c>
    </row>
    <row r="55" spans="1:5" x14ac:dyDescent="0.3">
      <c r="A55" t="str">
        <f>IF(INDEX('Final Calculation Sheet'!$G$4:$G$40,ROW()-40)="","",INDEX('Final Calculation Sheet'!$G$4:$G$40,ROW()-40))</f>
        <v>NATIONAL ENTERPRISES</v>
      </c>
      <c r="B55">
        <f>IF(A55="","",COUNTIFS(A$4:A$114,"&lt;"&amp;A55,A$4:A$114,"&lt;&gt;"&amp;"")+COUNTIF(A$4:A55,A55))</f>
        <v>12</v>
      </c>
      <c r="C55" t="str">
        <f t="shared" si="211"/>
        <v>Scrap of empty oil Barrels</v>
      </c>
      <c r="D55">
        <f>D54+IF(AND(C55&lt;&gt;"",COUNTIF(C$4:C55,C55)=1),1,0)</f>
        <v>51</v>
      </c>
      <c r="E55" t="e">
        <f t="shared" si="212"/>
        <v>#N/A</v>
      </c>
    </row>
    <row r="56" spans="1:5" x14ac:dyDescent="0.3">
      <c r="A56" t="str">
        <f>IF(INDEX('Final Calculation Sheet'!$G$4:$G$40,ROW()-40)="","",INDEX('Final Calculation Sheet'!$G$4:$G$40,ROW()-40))</f>
        <v>NATIONAL ENTERPRISES</v>
      </c>
      <c r="B56">
        <f>IF(A56="","",COUNTIFS(A$4:A$114,"&lt;"&amp;A56,A$4:A$114,"&lt;&gt;"&amp;"")+COUNTIF(A$4:A56,A56))</f>
        <v>13</v>
      </c>
      <c r="C56" t="str">
        <f t="shared" si="211"/>
        <v>Scrap of empty oil Barrels</v>
      </c>
      <c r="D56">
        <f>D55+IF(AND(C56&lt;&gt;"",COUNTIF(C$4:C56,C56)=1),1,0)</f>
        <v>51</v>
      </c>
      <c r="E56" t="e">
        <f t="shared" si="212"/>
        <v>#N/A</v>
      </c>
    </row>
    <row r="57" spans="1:5" x14ac:dyDescent="0.3">
      <c r="A57" t="str">
        <f>IF(INDEX('Final Calculation Sheet'!$G$4:$G$40,ROW()-40)="","",INDEX('Final Calculation Sheet'!$G$4:$G$40,ROW()-40))</f>
        <v>OMKAR STEELS</v>
      </c>
      <c r="B57">
        <f>IF(A57="","",COUNTIFS(A$4:A$114,"&lt;"&amp;A57,A$4:A$114,"&lt;&gt;"&amp;"")+COUNTIF(A$4:A57,A57))</f>
        <v>23</v>
      </c>
      <c r="C57" t="str">
        <f t="shared" si="211"/>
        <v>Scrap of empty oil Barrels</v>
      </c>
      <c r="D57">
        <f>D56+IF(AND(C57&lt;&gt;"",COUNTIF(C$4:C57,C57)=1),1,0)</f>
        <v>51</v>
      </c>
      <c r="E57" t="e">
        <f t="shared" si="212"/>
        <v>#N/A</v>
      </c>
    </row>
    <row r="58" spans="1:5" x14ac:dyDescent="0.3">
      <c r="A58" t="str">
        <f>IF(INDEX('Final Calculation Sheet'!$G$4:$G$40,ROW()-40)="","",INDEX('Final Calculation Sheet'!$G$4:$G$40,ROW()-40))</f>
        <v>NATIONAL SCRAP AND BUILDING MATERIAL SUPPLIER</v>
      </c>
      <c r="B58">
        <f>IF(A58="","",COUNTIFS(A$4:A$114,"&lt;"&amp;A58,A$4:A$114,"&lt;&gt;"&amp;"")+COUNTIF(A$4:A58,A58))</f>
        <v>21</v>
      </c>
      <c r="C58" t="str">
        <f t="shared" si="211"/>
        <v>Scrap of Empty oil Barrels</v>
      </c>
      <c r="D58">
        <f>D57+IF(AND(C58&lt;&gt;"",COUNTIF(C$4:C58,C58)=1),1,0)</f>
        <v>51</v>
      </c>
      <c r="E58" t="e">
        <f t="shared" si="212"/>
        <v>#N/A</v>
      </c>
    </row>
    <row r="59" spans="1:5" x14ac:dyDescent="0.3">
      <c r="A59" t="str">
        <f>IF(INDEX('Final Calculation Sheet'!$G$4:$G$40,ROW()-40)="","",INDEX('Final Calculation Sheet'!$G$4:$G$40,ROW()-40))</f>
        <v>NATIONAL ENTERPRISES</v>
      </c>
      <c r="B59">
        <f>IF(A59="","",COUNTIFS(A$4:A$114,"&lt;"&amp;A59,A$4:A$114,"&lt;&gt;"&amp;"")+COUNTIF(A$4:A59,A59))</f>
        <v>14</v>
      </c>
      <c r="C59" t="str">
        <f t="shared" si="211"/>
        <v>Scrap of empty oil Druam</v>
      </c>
      <c r="D59">
        <f>D58+IF(AND(C59&lt;&gt;"",COUNTIF(C$4:C59,C59)=1),1,0)</f>
        <v>52</v>
      </c>
      <c r="E59" t="e">
        <f t="shared" si="212"/>
        <v>#N/A</v>
      </c>
    </row>
    <row r="60" spans="1:5" x14ac:dyDescent="0.3">
      <c r="A60" t="str">
        <f>IF(INDEX('Final Calculation Sheet'!$G$4:$G$40,ROW()-40)="","",INDEX('Final Calculation Sheet'!$G$4:$G$40,ROW()-40))</f>
        <v>STERLING ENTERPRISES</v>
      </c>
      <c r="B60">
        <f>IF(A60="","",COUNTIFS(A$4:A$114,"&lt;"&amp;A60,A$4:A$114,"&lt;&gt;"&amp;"")+COUNTIF(A$4:A60,A60))</f>
        <v>68</v>
      </c>
      <c r="C60" t="str">
        <f t="shared" si="211"/>
        <v>Scrap of Empty oil drum</v>
      </c>
      <c r="D60">
        <f>D59+IF(AND(C60&lt;&gt;"",COUNTIF(C$4:C60,C60)=1),1,0)</f>
        <v>53</v>
      </c>
      <c r="E60" t="e">
        <f t="shared" si="212"/>
        <v>#N/A</v>
      </c>
    </row>
    <row r="61" spans="1:5" x14ac:dyDescent="0.3">
      <c r="A61" t="str">
        <f>IF(INDEX('Final Calculation Sheet'!$G$4:$G$40,ROW()-40)="","",INDEX('Final Calculation Sheet'!$G$4:$G$40,ROW()-40))</f>
        <v>NATIONAL ENTERPRISES</v>
      </c>
      <c r="B61">
        <f>IF(A61="","",COUNTIFS(A$4:A$114,"&lt;"&amp;A61,A$4:A$114,"&lt;&gt;"&amp;"")+COUNTIF(A$4:A61,A61))</f>
        <v>15</v>
      </c>
      <c r="C61" t="str">
        <f t="shared" si="211"/>
        <v>Scrap of empty oil drums</v>
      </c>
      <c r="D61">
        <f>D60+IF(AND(C61&lt;&gt;"",COUNTIF(C$4:C61,C61)=1),1,0)</f>
        <v>54</v>
      </c>
      <c r="E61" t="e">
        <f t="shared" si="212"/>
        <v>#N/A</v>
      </c>
    </row>
    <row r="62" spans="1:5" x14ac:dyDescent="0.3">
      <c r="A62" t="str">
        <f>IF(INDEX('Final Calculation Sheet'!$G$4:$G$40,ROW()-40)="","",INDEX('Final Calculation Sheet'!$G$4:$G$40,ROW()-40))</f>
        <v>WATAN SCRAP TRADERS</v>
      </c>
      <c r="B62">
        <f>IF(A62="","",COUNTIFS(A$4:A$114,"&lt;"&amp;A62,A$4:A$114,"&lt;&gt;"&amp;"")+COUNTIF(A$4:A62,A62))</f>
        <v>72</v>
      </c>
      <c r="C62" t="str">
        <f t="shared" si="211"/>
        <v>Scrap of empty oil drums</v>
      </c>
      <c r="D62">
        <f>D61+IF(AND(C62&lt;&gt;"",COUNTIF(C$4:C62,C62)=1),1,0)</f>
        <v>54</v>
      </c>
      <c r="E62" t="e">
        <f t="shared" si="212"/>
        <v>#N/A</v>
      </c>
    </row>
    <row r="63" spans="1:5" x14ac:dyDescent="0.3">
      <c r="A63" t="str">
        <f>IF(INDEX('Final Calculation Sheet'!$G$4:$G$40,ROW()-40)="","",INDEX('Final Calculation Sheet'!$G$4:$G$40,ROW()-40))</f>
        <v>NATIONAL ENTERPRISES</v>
      </c>
      <c r="B63">
        <f>IF(A63="","",COUNTIFS(A$4:A$114,"&lt;"&amp;A63,A$4:A$114,"&lt;&gt;"&amp;"")+COUNTIF(A$4:A63,A63))</f>
        <v>16</v>
      </c>
      <c r="C63" t="str">
        <f t="shared" si="211"/>
        <v>Scrap of MS (extracted from equip cage and empty Sf6 gas cylinder)</v>
      </c>
      <c r="D63">
        <f>D62+IF(AND(C63&lt;&gt;"",COUNTIF(C$4:C63,C63)=1),1,0)</f>
        <v>55</v>
      </c>
      <c r="E63" t="e">
        <f t="shared" si="212"/>
        <v>#N/A</v>
      </c>
    </row>
    <row r="64" spans="1:5" x14ac:dyDescent="0.3">
      <c r="A64" t="str">
        <f>IF(INDEX('Final Calculation Sheet'!$G$4:$G$40,ROW()-40)="","",INDEX('Final Calculation Sheet'!$G$4:$G$40,ROW()-40))</f>
        <v>M I SCRAP TRADERS</v>
      </c>
      <c r="B64">
        <f>IF(A64="","",COUNTIFS(A$4:A$114,"&lt;"&amp;A64,A$4:A$114,"&lt;&gt;"&amp;"")+COUNTIF(A$4:A64,A64))</f>
        <v>6</v>
      </c>
      <c r="C64" t="str">
        <f t="shared" si="211"/>
        <v>Scrap Power Transformer</v>
      </c>
      <c r="D64">
        <f>D63+IF(AND(C64&lt;&gt;"",COUNTIF(C$4:C64,C64)=1),1,0)</f>
        <v>56</v>
      </c>
      <c r="E64" t="e">
        <f t="shared" si="212"/>
        <v>#N/A</v>
      </c>
    </row>
    <row r="65" spans="1:5" x14ac:dyDescent="0.3">
      <c r="A65" t="str">
        <f>IF(INDEX('Final Calculation Sheet'!$G$4:$G$40,ROW()-40)="","",INDEX('Final Calculation Sheet'!$G$4:$G$40,ROW()-40))</f>
        <v>WATAN SCRAP TRADERS</v>
      </c>
      <c r="B65">
        <f>IF(A65="","",COUNTIFS(A$4:A$114,"&lt;"&amp;A65,A$4:A$114,"&lt;&gt;"&amp;"")+COUNTIF(A$4:A65,A65))</f>
        <v>73</v>
      </c>
      <c r="C65" t="str">
        <f t="shared" si="211"/>
        <v>SCRAP POWER TRANSFORMER</v>
      </c>
      <c r="D65">
        <f>D64+IF(AND(C65&lt;&gt;"",COUNTIF(C$4:C65,C65)=1),1,0)</f>
        <v>56</v>
      </c>
      <c r="E65" t="e">
        <f t="shared" si="212"/>
        <v>#N/A</v>
      </c>
    </row>
    <row r="66" spans="1:5" x14ac:dyDescent="0.3">
      <c r="A66" t="str">
        <f>IF(INDEX('Final Calculation Sheet'!$G$4:$G$40,ROW()-40)="","",INDEX('Final Calculation Sheet'!$G$4:$G$40,ROW()-40))</f>
        <v>STERLING ENTERPRISES</v>
      </c>
      <c r="B66">
        <f>IF(A66="","",COUNTIFS(A$4:A$114,"&lt;"&amp;A66,A$4:A$114,"&lt;&gt;"&amp;"")+COUNTIF(A$4:A66,A66))</f>
        <v>69</v>
      </c>
      <c r="C66" t="str">
        <f t="shared" si="211"/>
        <v>SHAR JAHAN TRADERS</v>
      </c>
      <c r="D66">
        <f>D65+IF(AND(C66&lt;&gt;"",COUNTIF(C$4:C66,C66)=1),1,0)</f>
        <v>57</v>
      </c>
      <c r="E66" t="e">
        <f t="shared" si="212"/>
        <v>#N/A</v>
      </c>
    </row>
    <row r="67" spans="1:5" x14ac:dyDescent="0.3">
      <c r="A67" t="str">
        <f>IF(INDEX('Final Calculation Sheet'!$G$4:$G$40,ROW()-40)="","",INDEX('Final Calculation Sheet'!$G$4:$G$40,ROW()-40))</f>
        <v>NATIONAL ENTERPRISES</v>
      </c>
      <c r="B67">
        <f>IF(A67="","",COUNTIFS(A$4:A$114,"&lt;"&amp;A67,A$4:A$114,"&lt;&gt;"&amp;"")+COUNTIF(A$4:A67,A67))</f>
        <v>17</v>
      </c>
      <c r="C67" t="str">
        <f t="shared" si="211"/>
        <v>SHAR JAHAN TRADERS</v>
      </c>
      <c r="D67">
        <f>D66+IF(AND(C67&lt;&gt;"",COUNTIF(C$4:C67,C67)=1),1,0)</f>
        <v>57</v>
      </c>
      <c r="E67" t="e">
        <f t="shared" si="212"/>
        <v>#N/A</v>
      </c>
    </row>
    <row r="68" spans="1:5" x14ac:dyDescent="0.3">
      <c r="A68" t="str">
        <f>IF(INDEX('Final Calculation Sheet'!$G$4:$G$40,ROW()-40)="","",INDEX('Final Calculation Sheet'!$G$4:$G$40,ROW()-40))</f>
        <v>SAHARA ENTERPRISES</v>
      </c>
      <c r="B68">
        <f>IF(A68="","",COUNTIFS(A$4:A$114,"&lt;"&amp;A68,A$4:A$114,"&lt;&gt;"&amp;"")+COUNTIF(A$4:A68,A68))</f>
        <v>26</v>
      </c>
      <c r="C68" t="str">
        <f t="shared" ref="C68:C99" si="213">IF(ROW()-3&gt;COUNTIF(A$4:A$114,"&lt;&gt;"&amp;""),"",INDEX(A$4:A$114,MATCH(ROW()-3,B$4:B$114,0)))</f>
        <v>STERLING ENTERPRISES</v>
      </c>
      <c r="D68">
        <f>D67+IF(AND(C68&lt;&gt;"",COUNTIF(C$4:C68,C68)=1),1,0)</f>
        <v>58</v>
      </c>
      <c r="E68" t="e">
        <f t="shared" ref="E68:E99" si="214">IF(ROW()-3&gt;MAX(D$4:D$114),"",INDEX(C$4:C$114,MATCH(ROW()-3,D$4:D$114,0)))</f>
        <v>#N/A</v>
      </c>
    </row>
    <row r="69" spans="1:5" x14ac:dyDescent="0.3">
      <c r="A69" t="str">
        <f>IF(INDEX('Final Calculation Sheet'!$G$4:$G$40,ROW()-40)="","",INDEX('Final Calculation Sheet'!$G$4:$G$40,ROW()-40))</f>
        <v>NATIONAL ENTERPRISES</v>
      </c>
      <c r="B69">
        <f>IF(A69="","",COUNTIFS(A$4:A$114,"&lt;"&amp;A69,A$4:A$114,"&lt;&gt;"&amp;"")+COUNTIF(A$4:A69,A69))</f>
        <v>18</v>
      </c>
      <c r="C69" t="str">
        <f t="shared" si="213"/>
        <v>STERLING ENTERPRISES</v>
      </c>
      <c r="D69">
        <f>D68+IF(AND(C69&lt;&gt;"",COUNTIF(C$4:C69,C69)=1),1,0)</f>
        <v>58</v>
      </c>
      <c r="E69" t="e">
        <f t="shared" si="214"/>
        <v>#N/A</v>
      </c>
    </row>
    <row r="70" spans="1:5" x14ac:dyDescent="0.3">
      <c r="A70" t="str">
        <f>IF(INDEX('Final Calculation Sheet'!$G$4:$G$40,ROW()-40)="","",INDEX('Final Calculation Sheet'!$G$4:$G$40,ROW()-40))</f>
        <v>NATIONAL ENTERPRISES</v>
      </c>
      <c r="B70">
        <f>IF(A70="","",COUNTIFS(A$4:A$114,"&lt;"&amp;A70,A$4:A$114,"&lt;&gt;"&amp;"")+COUNTIF(A$4:A70,A70))</f>
        <v>19</v>
      </c>
      <c r="C70" t="str">
        <f t="shared" si="213"/>
        <v>STERLING ENTERPRISES</v>
      </c>
      <c r="D70">
        <f>D69+IF(AND(C70&lt;&gt;"",COUNTIF(C$4:C70,C70)=1),1,0)</f>
        <v>58</v>
      </c>
      <c r="E70" t="e">
        <f t="shared" si="214"/>
        <v>#N/A</v>
      </c>
    </row>
    <row r="71" spans="1:5" x14ac:dyDescent="0.3">
      <c r="A71" t="str">
        <f>IF(INDEX('Final Calculation Sheet'!$G$4:$G$40,ROW()-40)="","",INDEX('Final Calculation Sheet'!$G$4:$G$40,ROW()-40))</f>
        <v>STERLING ENTERPRISES</v>
      </c>
      <c r="B71">
        <f>IF(A71="","",COUNTIFS(A$4:A$114,"&lt;"&amp;A71,A$4:A$114,"&lt;&gt;"&amp;"")+COUNTIF(A$4:A71,A71))</f>
        <v>70</v>
      </c>
      <c r="C71" t="str">
        <f t="shared" si="213"/>
        <v>STERLING ENTERPRISES</v>
      </c>
      <c r="D71">
        <f>D70+IF(AND(C71&lt;&gt;"",COUNTIF(C$4:C71,C71)=1),1,0)</f>
        <v>58</v>
      </c>
      <c r="E71" t="e">
        <f t="shared" si="214"/>
        <v>#N/A</v>
      </c>
    </row>
    <row r="72" spans="1:5" x14ac:dyDescent="0.3">
      <c r="A72" t="str">
        <f>IF(INDEX('Final Calculation Sheet'!$G$4:$G$40,ROW()-40)="","",INDEX('Final Calculation Sheet'!$G$4:$G$40,ROW()-40))</f>
        <v>WATAN SCRAP TRADERS</v>
      </c>
      <c r="B72">
        <f>IF(A72="","",COUNTIFS(A$4:A$114,"&lt;"&amp;A72,A$4:A$114,"&lt;&gt;"&amp;"")+COUNTIF(A$4:A72,A72))</f>
        <v>74</v>
      </c>
      <c r="C72" t="str">
        <f t="shared" si="213"/>
        <v>STERLING ENTERPRISES</v>
      </c>
      <c r="D72">
        <f>D71+IF(AND(C72&lt;&gt;"",COUNTIF(C$4:C72,C72)=1),1,0)</f>
        <v>58</v>
      </c>
      <c r="E72" t="e">
        <f t="shared" si="214"/>
        <v>#N/A</v>
      </c>
    </row>
    <row r="73" spans="1:5" x14ac:dyDescent="0.3">
      <c r="A73" t="str">
        <f>IF(INDEX('Final Calculation Sheet'!$G$4:$G$40,ROW()-40)="","",INDEX('Final Calculation Sheet'!$G$4:$G$40,ROW()-40))</f>
        <v>STERLING ENTERPRISES</v>
      </c>
      <c r="B73">
        <f>IF(A73="","",COUNTIFS(A$4:A$114,"&lt;"&amp;A73,A$4:A$114,"&lt;&gt;"&amp;"")+COUNTIF(A$4:A73,A73))</f>
        <v>71</v>
      </c>
      <c r="C73" t="str">
        <f t="shared" si="213"/>
        <v>STERLING ENTERPRISES</v>
      </c>
      <c r="D73">
        <f>D72+IF(AND(C73&lt;&gt;"",COUNTIF(C$4:C73,C73)=1),1,0)</f>
        <v>58</v>
      </c>
      <c r="E73" t="e">
        <f t="shared" si="214"/>
        <v>#N/A</v>
      </c>
    </row>
    <row r="74" spans="1:5" x14ac:dyDescent="0.3">
      <c r="A74" t="str">
        <f>IF(INDEX('Final Calculation Sheet'!$G$4:$G$40,ROW()-40)="","",INDEX('Final Calculation Sheet'!$G$4:$G$40,ROW()-40))</f>
        <v>NATIONAL ENTERPRISES</v>
      </c>
      <c r="B74">
        <f>IF(A74="","",COUNTIFS(A$4:A$114,"&lt;"&amp;A74,A$4:A$114,"&lt;&gt;"&amp;"")+COUNTIF(A$4:A74,A74))</f>
        <v>20</v>
      </c>
      <c r="C74" t="str">
        <f t="shared" si="213"/>
        <v>STERLING ENTERPRISES</v>
      </c>
      <c r="D74">
        <f>D73+IF(AND(C74&lt;&gt;"",COUNTIF(C$4:C74,C74)=1),1,0)</f>
        <v>58</v>
      </c>
      <c r="E74" t="e">
        <f t="shared" si="214"/>
        <v>#N/A</v>
      </c>
    </row>
    <row r="75" spans="1:5" x14ac:dyDescent="0.3">
      <c r="A75" t="str">
        <f>IF(INDEX('Final Calculation Sheet'!$G$4:$G$40,ROW()-40)="","",INDEX('Final Calculation Sheet'!$G$4:$G$40,ROW()-40))</f>
        <v>KASHYAP TRADING CO</v>
      </c>
      <c r="B75">
        <f>IF(A75="","",COUNTIFS(A$4:A$114,"&lt;"&amp;A75,A$4:A$114,"&lt;&gt;"&amp;"")+COUNTIF(A$4:A75,A75))</f>
        <v>5</v>
      </c>
      <c r="C75" t="str">
        <f t="shared" si="213"/>
        <v>WATAN SCRAP TRADERS</v>
      </c>
      <c r="D75">
        <f>D74+IF(AND(C75&lt;&gt;"",COUNTIF(C$4:C75,C75)=1),1,0)</f>
        <v>59</v>
      </c>
      <c r="E75" t="e">
        <f t="shared" si="214"/>
        <v>#N/A</v>
      </c>
    </row>
    <row r="76" spans="1:5" x14ac:dyDescent="0.3">
      <c r="A76" t="str">
        <f>IF(INDEX('Final Calculation Sheet'!$G$4:$G$40,ROW()-40)="","",INDEX('Final Calculation Sheet'!$G$4:$G$40,ROW()-40))</f>
        <v>S M ENTERPRISES</v>
      </c>
      <c r="B76">
        <f>IF(A76="","",COUNTIFS(A$4:A$114,"&lt;"&amp;A76,A$4:A$114,"&lt;&gt;"&amp;"")+COUNTIF(A$4:A76,A76))</f>
        <v>24</v>
      </c>
      <c r="C76" t="str">
        <f t="shared" si="213"/>
        <v>WATAN SCRAP TRADERS</v>
      </c>
      <c r="D76">
        <f>D75+IF(AND(C76&lt;&gt;"",COUNTIF(C$4:C76,C76)=1),1,0)</f>
        <v>59</v>
      </c>
      <c r="E76" t="e">
        <f t="shared" si="214"/>
        <v>#N/A</v>
      </c>
    </row>
    <row r="77" spans="1:5" x14ac:dyDescent="0.3">
      <c r="A77" t="str">
        <f>IF(INDEX('Final Calculation Sheet'!$G$4:$G$40,ROW()-40)="","",INDEX('Final Calculation Sheet'!$G$4:$G$40,ROW()-40))</f>
        <v>S M ENTERPRISES</v>
      </c>
      <c r="B77">
        <f>IF(A77="","",COUNTIFS(A$4:A$114,"&lt;"&amp;A77,A$4:A$114,"&lt;&gt;"&amp;"")+COUNTIF(A$4:A77,A77))</f>
        <v>25</v>
      </c>
      <c r="C77" t="str">
        <f t="shared" si="213"/>
        <v>WATAN SCRAP TRADERS</v>
      </c>
      <c r="D77">
        <f>D76+IF(AND(C77&lt;&gt;"",COUNTIF(C$4:C77,C77)=1),1,0)</f>
        <v>59</v>
      </c>
      <c r="E77" t="e">
        <f t="shared" si="214"/>
        <v>#N/A</v>
      </c>
    </row>
    <row r="78" spans="1:5" x14ac:dyDescent="0.3">
      <c r="A78" t="str">
        <f>IF(INDEX('Final Calculation Sheet'!$B$4:$B$40,ROW()-77)="","",INDEX('Final Calculation Sheet'!$B$4:$B$40,ROW()-77))</f>
        <v>SCRAP COPPER OF T/F WINDING (Oil impregnated paper insulated T/F winding)</v>
      </c>
      <c r="B78">
        <f>IF(A78="","",COUNTIFS(A$4:A$114,"&lt;"&amp;A78,A$4:A$114,"&lt;&gt;"&amp;"")+COUNTIF(A$4:A78,A78))</f>
        <v>29</v>
      </c>
      <c r="C78" t="e">
        <f t="shared" si="213"/>
        <v>#N/A</v>
      </c>
      <c r="D78" t="e">
        <f>D77+IF(AND(C78&lt;&gt;"",COUNTIF(C$4:C78,C78)=1),1,0)</f>
        <v>#N/A</v>
      </c>
      <c r="E78" t="e">
        <f t="shared" si="214"/>
        <v>#N/A</v>
      </c>
    </row>
    <row r="79" spans="1:5" x14ac:dyDescent="0.3">
      <c r="A79" t="str">
        <f>IF(INDEX('Final Calculation Sheet'!$B$4:$B$40,ROW()-77)="","",INDEX('Final Calculation Sheet'!$B$4:$B$40,ROW()-77))</f>
        <v>Scrap of Empty oil drum</v>
      </c>
      <c r="B79">
        <f>IF(A79="","",COUNTIFS(A$4:A$114,"&lt;"&amp;A79,A$4:A$114,"&lt;&gt;"&amp;"")+COUNTIF(A$4:A79,A79))</f>
        <v>57</v>
      </c>
      <c r="C79" t="e">
        <f t="shared" si="213"/>
        <v>#N/A</v>
      </c>
      <c r="D79" t="e">
        <f>D78+IF(AND(C79&lt;&gt;"",COUNTIF(C$4:C79,C79)=1),1,0)</f>
        <v>#N/A</v>
      </c>
      <c r="E79" t="e">
        <f t="shared" si="214"/>
        <v>#N/A</v>
      </c>
    </row>
    <row r="80" spans="1:5" x14ac:dyDescent="0.3">
      <c r="A80" t="str">
        <f>IF(INDEX('Final Calculation Sheet'!$B$4:$B$40,ROW()-77)="","",INDEX('Final Calculation Sheet'!$B$4:$B$40,ROW()-77))</f>
        <v>Scrap of Copper of faulty AC compressor</v>
      </c>
      <c r="B80">
        <f>IF(A80="","",COUNTIFS(A$4:A$114,"&lt;"&amp;A80,A$4:A$114,"&lt;&gt;"&amp;"")+COUNTIF(A$4:A80,A80))</f>
        <v>50</v>
      </c>
      <c r="C80" t="e">
        <f t="shared" si="213"/>
        <v>#N/A</v>
      </c>
      <c r="D80" t="e">
        <f>D79+IF(AND(C80&lt;&gt;"",COUNTIF(C$4:C80,C80)=1),1,0)</f>
        <v>#N/A</v>
      </c>
      <c r="E80" t="e">
        <f t="shared" si="214"/>
        <v>#N/A</v>
      </c>
    </row>
    <row r="81" spans="1:5" x14ac:dyDescent="0.3">
      <c r="A81" t="str">
        <f>IF(INDEX('Final Calculation Sheet'!$B$4:$B$40,ROW()-77)="","",INDEX('Final Calculation Sheet'!$B$4:$B$40,ROW()-77))</f>
        <v>Scrap of MS (extracted from equip cage and empty Sf6 gas cylinder)</v>
      </c>
      <c r="B81">
        <f>IF(A81="","",COUNTIFS(A$4:A$114,"&lt;"&amp;A81,A$4:A$114,"&lt;&gt;"&amp;"")+COUNTIF(A$4:A81,A81))</f>
        <v>60</v>
      </c>
      <c r="C81" t="e">
        <f t="shared" si="213"/>
        <v>#N/A</v>
      </c>
      <c r="D81" t="e">
        <f>D80+IF(AND(C81&lt;&gt;"",COUNTIF(C$4:C81,C81)=1),1,0)</f>
        <v>#N/A</v>
      </c>
      <c r="E81" t="e">
        <f t="shared" si="214"/>
        <v>#N/A</v>
      </c>
    </row>
    <row r="82" spans="1:5" x14ac:dyDescent="0.3">
      <c r="A82" t="str">
        <f>IF(INDEX('Final Calculation Sheet'!$B$4:$B$40,ROW()-77)="","",INDEX('Final Calculation Sheet'!$B$4:$B$40,ROW()-77))</f>
        <v>SCRAP ACSR CONDUCTORS (Conductor Pieces)</v>
      </c>
      <c r="B82">
        <f>IF(A82="","",COUNTIFS(A$4:A$114,"&lt;"&amp;A82,A$4:A$114,"&lt;&gt;"&amp;"")+COUNTIF(A$4:A82,A82))</f>
        <v>28</v>
      </c>
      <c r="C82" t="e">
        <f t="shared" si="213"/>
        <v>#N/A</v>
      </c>
      <c r="D82" t="e">
        <f>D81+IF(AND(C82&lt;&gt;"",COUNTIF(C$4:C82,C82)=1),1,0)</f>
        <v>#N/A</v>
      </c>
      <c r="E82" t="e">
        <f t="shared" si="214"/>
        <v>#N/A</v>
      </c>
    </row>
    <row r="83" spans="1:5" x14ac:dyDescent="0.3">
      <c r="A83" t="str">
        <f>IF(INDEX('Final Calculation Sheet'!$B$4:$B$40,ROW()-77)="","",INDEX('Final Calculation Sheet'!$B$4:$B$40,ROW()-77))</f>
        <v>Scrap Power Transformer</v>
      </c>
      <c r="B83">
        <f>IF(A83="","",COUNTIFS(A$4:A$114,"&lt;"&amp;A83,A$4:A$114,"&lt;&gt;"&amp;"")+COUNTIF(A$4:A83,A83))</f>
        <v>61</v>
      </c>
      <c r="C83" t="e">
        <f t="shared" si="213"/>
        <v>#N/A</v>
      </c>
      <c r="D83" t="e">
        <f>D82+IF(AND(C83&lt;&gt;"",COUNTIF(C$4:C83,C83)=1),1,0)</f>
        <v>#N/A</v>
      </c>
      <c r="E83" t="e">
        <f t="shared" si="214"/>
        <v>#N/A</v>
      </c>
    </row>
    <row r="84" spans="1:5" x14ac:dyDescent="0.3">
      <c r="A84" t="str">
        <f>IF(INDEX('Final Calculation Sheet'!$B$4:$B$40,ROW()-77)="","",INDEX('Final Calculation Sheet'!$B$4:$B$40,ROW()-77))</f>
        <v>Scrap of 132 KV CT</v>
      </c>
      <c r="B84">
        <f>IF(A84="","",COUNTIFS(A$4:A$114,"&lt;"&amp;A84,A$4:A$114,"&lt;&gt;"&amp;"")+COUNTIF(A$4:A84,A84))</f>
        <v>31</v>
      </c>
      <c r="C84" t="e">
        <f t="shared" si="213"/>
        <v>#N/A</v>
      </c>
      <c r="D84" t="e">
        <f>D83+IF(AND(C84&lt;&gt;"",COUNTIF(C$4:C84,C84)=1),1,0)</f>
        <v>#N/A</v>
      </c>
      <c r="E84" t="e">
        <f t="shared" si="214"/>
        <v>#N/A</v>
      </c>
    </row>
    <row r="85" spans="1:5" x14ac:dyDescent="0.3">
      <c r="A85" t="str">
        <f>IF(INDEX('Final Calculation Sheet'!$B$4:$B$40,ROW()-77)="","",INDEX('Final Calculation Sheet'!$B$4:$B$40,ROW()-77))</f>
        <v>Scrap of 145 KV CB</v>
      </c>
      <c r="B85">
        <f>IF(A85="","",COUNTIFS(A$4:A$114,"&lt;"&amp;A85,A$4:A$114,"&lt;&gt;"&amp;"")+COUNTIF(A$4:A85,A85))</f>
        <v>39</v>
      </c>
      <c r="C85" t="e">
        <f t="shared" si="213"/>
        <v>#N/A</v>
      </c>
      <c r="D85" t="e">
        <f>D84+IF(AND(C85&lt;&gt;"",COUNTIF(C$4:C85,C85)=1),1,0)</f>
        <v>#N/A</v>
      </c>
      <c r="E85" t="e">
        <f t="shared" si="214"/>
        <v>#N/A</v>
      </c>
    </row>
    <row r="86" spans="1:5" x14ac:dyDescent="0.3">
      <c r="A86" t="str">
        <f>IF(INDEX('Final Calculation Sheet'!$B$4:$B$40,ROW()-77)="","",INDEX('Final Calculation Sheet'!$B$4:$B$40,ROW()-77))</f>
        <v>Scrap of 220KV CT</v>
      </c>
      <c r="B86">
        <f>IF(A86="","",COUNTIFS(A$4:A$114,"&lt;"&amp;A86,A$4:A$114,"&lt;&gt;"&amp;"")+COUNTIF(A$4:A86,A86))</f>
        <v>43</v>
      </c>
      <c r="C86" t="e">
        <f t="shared" si="213"/>
        <v>#N/A</v>
      </c>
      <c r="D86" t="e">
        <f>D85+IF(AND(C86&lt;&gt;"",COUNTIF(C$4:C86,C86)=1),1,0)</f>
        <v>#N/A</v>
      </c>
      <c r="E86" t="e">
        <f t="shared" si="214"/>
        <v>#N/A</v>
      </c>
    </row>
    <row r="87" spans="1:5" x14ac:dyDescent="0.3">
      <c r="A87" t="str">
        <f>IF(INDEX('Final Calculation Sheet'!$B$4:$B$40,ROW()-77)="","",INDEX('Final Calculation Sheet'!$B$4:$B$40,ROW()-77))</f>
        <v>Scrap of empty oil drums</v>
      </c>
      <c r="B87">
        <f>IF(A87="","",COUNTIFS(A$4:A$114,"&lt;"&amp;A87,A$4:A$114,"&lt;&gt;"&amp;"")+COUNTIF(A$4:A87,A87))</f>
        <v>58</v>
      </c>
      <c r="C87" t="e">
        <f t="shared" si="213"/>
        <v>#N/A</v>
      </c>
      <c r="D87" t="e">
        <f>D86+IF(AND(C87&lt;&gt;"",COUNTIF(C$4:C87,C87)=1),1,0)</f>
        <v>#N/A</v>
      </c>
      <c r="E87" t="e">
        <f t="shared" si="214"/>
        <v>#N/A</v>
      </c>
    </row>
    <row r="88" spans="1:5" x14ac:dyDescent="0.3">
      <c r="A88" t="str">
        <f>IF(INDEX('Final Calculation Sheet'!$B$4:$B$40,ROW()-77)="","",INDEX('Final Calculation Sheet'!$B$4:$B$40,ROW()-77))</f>
        <v>SCRAP POWER TRANSFORMER</v>
      </c>
      <c r="B88">
        <f>IF(A88="","",COUNTIFS(A$4:A$114,"&lt;"&amp;A88,A$4:A$114,"&lt;&gt;"&amp;"")+COUNTIF(A$4:A88,A88))</f>
        <v>62</v>
      </c>
      <c r="C88" t="e">
        <f t="shared" si="213"/>
        <v>#N/A</v>
      </c>
      <c r="D88" t="e">
        <f>D87+IF(AND(C88&lt;&gt;"",COUNTIF(C$4:C88,C88)=1),1,0)</f>
        <v>#N/A</v>
      </c>
      <c r="E88" t="e">
        <f t="shared" si="214"/>
        <v>#N/A</v>
      </c>
    </row>
    <row r="89" spans="1:5" x14ac:dyDescent="0.3">
      <c r="A89" t="str">
        <f>IF(INDEX('Final Calculation Sheet'!$B$4:$B$40,ROW()-77)="","",INDEX('Final Calculation Sheet'!$B$4:$B$40,ROW()-77))</f>
        <v>Scrap of empty oil Druam</v>
      </c>
      <c r="B89">
        <f>IF(A89="","",COUNTIFS(A$4:A$114,"&lt;"&amp;A89,A$4:A$114,"&lt;&gt;"&amp;"")+COUNTIF(A$4:A89,A89))</f>
        <v>56</v>
      </c>
      <c r="C89" t="e">
        <f t="shared" si="213"/>
        <v>#N/A</v>
      </c>
      <c r="D89" t="e">
        <f>D88+IF(AND(C89&lt;&gt;"",COUNTIF(C$4:C89,C89)=1),1,0)</f>
        <v>#N/A</v>
      </c>
      <c r="E89" t="e">
        <f t="shared" si="214"/>
        <v>#N/A</v>
      </c>
    </row>
    <row r="90" spans="1:5" x14ac:dyDescent="0.3">
      <c r="A90" t="str">
        <f>IF(INDEX('Final Calculation Sheet'!$B$4:$B$40,ROW()-77)="","",INDEX('Final Calculation Sheet'!$B$4:$B$40,ROW()-77))</f>
        <v>Scrap of empty oil Barrel</v>
      </c>
      <c r="B90">
        <f>IF(A90="","",COUNTIFS(A$4:A$114,"&lt;"&amp;A90,A$4:A$114,"&lt;&gt;"&amp;"")+COUNTIF(A$4:A90,A90))</f>
        <v>51</v>
      </c>
      <c r="C90" t="e">
        <f t="shared" si="213"/>
        <v>#N/A</v>
      </c>
      <c r="D90" t="e">
        <f>D89+IF(AND(C90&lt;&gt;"",COUNTIF(C$4:C90,C90)=1),1,0)</f>
        <v>#N/A</v>
      </c>
      <c r="E90" t="e">
        <f t="shared" si="214"/>
        <v>#N/A</v>
      </c>
    </row>
    <row r="91" spans="1:5" x14ac:dyDescent="0.3">
      <c r="A91" t="str">
        <f>IF(INDEX('Final Calculation Sheet'!$B$4:$B$40,ROW()-77)="","",INDEX('Final Calculation Sheet'!$B$4:$B$40,ROW()-77))</f>
        <v>Scrap of empty oil Barrels</v>
      </c>
      <c r="B91">
        <f>IF(A91="","",COUNTIFS(A$4:A$114,"&lt;"&amp;A91,A$4:A$114,"&lt;&gt;"&amp;"")+COUNTIF(A$4:A91,A91))</f>
        <v>52</v>
      </c>
      <c r="C91" t="e">
        <f t="shared" si="213"/>
        <v>#N/A</v>
      </c>
      <c r="D91" t="e">
        <f>D90+IF(AND(C91&lt;&gt;"",COUNTIF(C$4:C91,C91)=1),1,0)</f>
        <v>#N/A</v>
      </c>
      <c r="E91" t="e">
        <f t="shared" si="214"/>
        <v>#N/A</v>
      </c>
    </row>
    <row r="92" spans="1:5" x14ac:dyDescent="0.3">
      <c r="A92" t="str">
        <f>IF(INDEX('Final Calculation Sheet'!$B$4:$B$40,ROW()-77)="","",INDEX('Final Calculation Sheet'!$B$4:$B$40,ROW()-77))</f>
        <v>Scrap of 220 KV Circuit Breaker</v>
      </c>
      <c r="B92">
        <f>IF(A92="","",COUNTIFS(A$4:A$114,"&lt;"&amp;A92,A$4:A$114,"&lt;&gt;"&amp;"")+COUNTIF(A$4:A92,A92))</f>
        <v>40</v>
      </c>
      <c r="C92" t="e">
        <f t="shared" si="213"/>
        <v>#N/A</v>
      </c>
      <c r="D92" t="e">
        <f>D91+IF(AND(C92&lt;&gt;"",COUNTIF(C$4:C92,C92)=1),1,0)</f>
        <v>#N/A</v>
      </c>
      <c r="E92" t="e">
        <f t="shared" si="214"/>
        <v>#N/A</v>
      </c>
    </row>
    <row r="93" spans="1:5" x14ac:dyDescent="0.3">
      <c r="A93" t="str">
        <f>IF(INDEX('Final Calculation Sheet'!$B$4:$B$40,ROW()-77)="","",INDEX('Final Calculation Sheet'!$B$4:$B$40,ROW()-77))</f>
        <v>Scrap of 220 KV Circuit Breaker</v>
      </c>
      <c r="B93">
        <f>IF(A93="","",COUNTIFS(A$4:A$114,"&lt;"&amp;A93,A$4:A$114,"&lt;&gt;"&amp;"")+COUNTIF(A$4:A93,A93))</f>
        <v>41</v>
      </c>
      <c r="C93" t="e">
        <f t="shared" si="213"/>
        <v>#N/A</v>
      </c>
      <c r="D93" t="e">
        <f>D92+IF(AND(C93&lt;&gt;"",COUNTIF(C$4:C93,C93)=1),1,0)</f>
        <v>#N/A</v>
      </c>
      <c r="E93" t="e">
        <f t="shared" si="214"/>
        <v>#N/A</v>
      </c>
    </row>
    <row r="94" spans="1:5" x14ac:dyDescent="0.3">
      <c r="A94" t="str">
        <f>IF(INDEX('Final Calculation Sheet'!$B$4:$B$40,ROW()-77)="","",INDEX('Final Calculation Sheet'!$B$4:$B$40,ROW()-77))</f>
        <v>SCRAP 80MM² AAAC EARTHWIRE</v>
      </c>
      <c r="B94">
        <f>IF(A94="","",COUNTIFS(A$4:A$114,"&lt;"&amp;A94,A$4:A$114,"&lt;&gt;"&amp;"")+COUNTIF(A$4:A94,A94))</f>
        <v>27</v>
      </c>
      <c r="C94" t="e">
        <f t="shared" si="213"/>
        <v>#N/A</v>
      </c>
      <c r="D94" t="e">
        <f>D93+IF(AND(C94&lt;&gt;"",COUNTIF(C$4:C94,C94)=1),1,0)</f>
        <v>#N/A</v>
      </c>
      <c r="E94" t="e">
        <f t="shared" si="214"/>
        <v>#N/A</v>
      </c>
    </row>
    <row r="95" spans="1:5" x14ac:dyDescent="0.3">
      <c r="A95" t="str">
        <f>IF(INDEX('Final Calculation Sheet'!$B$4:$B$40,ROW()-77)="","",INDEX('Final Calculation Sheet'!$B$4:$B$40,ROW()-77))</f>
        <v>Scrap of 132 KV CT</v>
      </c>
      <c r="B95">
        <f>IF(A95="","",COUNTIFS(A$4:A$114,"&lt;"&amp;A95,A$4:A$114,"&lt;&gt;"&amp;"")+COUNTIF(A$4:A95,A95))</f>
        <v>32</v>
      </c>
      <c r="C95" t="e">
        <f t="shared" si="213"/>
        <v>#N/A</v>
      </c>
      <c r="D95" t="e">
        <f>D94+IF(AND(C95&lt;&gt;"",COUNTIF(C$4:C95,C95)=1),1,0)</f>
        <v>#N/A</v>
      </c>
      <c r="E95" t="e">
        <f t="shared" si="214"/>
        <v>#N/A</v>
      </c>
    </row>
    <row r="96" spans="1:5" x14ac:dyDescent="0.3">
      <c r="A96" t="str">
        <f>IF(INDEX('Final Calculation Sheet'!$B$4:$B$40,ROW()-77)="","",INDEX('Final Calculation Sheet'!$B$4:$B$40,ROW()-77))</f>
        <v>Scrap of 132 KV CT</v>
      </c>
      <c r="B96">
        <f>IF(A96="","",COUNTIFS(A$4:A$114,"&lt;"&amp;A96,A$4:A$114,"&lt;&gt;"&amp;"")+COUNTIF(A$4:A96,A96))</f>
        <v>33</v>
      </c>
      <c r="C96" t="e">
        <f t="shared" si="213"/>
        <v>#N/A</v>
      </c>
      <c r="D96" t="e">
        <f>D95+IF(AND(C96&lt;&gt;"",COUNTIF(C$4:C96,C96)=1),1,0)</f>
        <v>#N/A</v>
      </c>
      <c r="E96" t="e">
        <f t="shared" si="214"/>
        <v>#N/A</v>
      </c>
    </row>
    <row r="97" spans="1:5" x14ac:dyDescent="0.3">
      <c r="A97" t="str">
        <f>IF(INDEX('Final Calculation Sheet'!$B$4:$B$40,ROW()-77)="","",INDEX('Final Calculation Sheet'!$B$4:$B$40,ROW()-77))</f>
        <v>Scrap of empty oil Barrels</v>
      </c>
      <c r="B97">
        <f>IF(A97="","",COUNTIFS(A$4:A$114,"&lt;"&amp;A97,A$4:A$114,"&lt;&gt;"&amp;"")+COUNTIF(A$4:A97,A97))</f>
        <v>53</v>
      </c>
      <c r="C97" t="e">
        <f t="shared" si="213"/>
        <v>#N/A</v>
      </c>
      <c r="D97" t="e">
        <f>D96+IF(AND(C97&lt;&gt;"",COUNTIF(C$4:C97,C97)=1),1,0)</f>
        <v>#N/A</v>
      </c>
      <c r="E97" t="e">
        <f t="shared" si="214"/>
        <v>#N/A</v>
      </c>
    </row>
    <row r="98" spans="1:5" x14ac:dyDescent="0.3">
      <c r="A98" t="str">
        <f>IF(INDEX('Final Calculation Sheet'!$B$4:$B$40,ROW()-77)="","",INDEX('Final Calculation Sheet'!$B$4:$B$40,ROW()-77))</f>
        <v>Scrap of 132 KV CT</v>
      </c>
      <c r="B98">
        <f>IF(A98="","",COUNTIFS(A$4:A$114,"&lt;"&amp;A98,A$4:A$114,"&lt;&gt;"&amp;"")+COUNTIF(A$4:A98,A98))</f>
        <v>34</v>
      </c>
      <c r="C98" t="e">
        <f t="shared" si="213"/>
        <v>#N/A</v>
      </c>
      <c r="D98" t="e">
        <f>D97+IF(AND(C98&lt;&gt;"",COUNTIF(C$4:C98,C98)=1),1,0)</f>
        <v>#N/A</v>
      </c>
      <c r="E98" t="e">
        <f t="shared" si="214"/>
        <v>#N/A</v>
      </c>
    </row>
    <row r="99" spans="1:5" x14ac:dyDescent="0.3">
      <c r="A99" t="str">
        <f>IF(INDEX('Final Calculation Sheet'!$B$4:$B$40,ROW()-77)="","",INDEX('Final Calculation Sheet'!$B$4:$B$40,ROW()-77))</f>
        <v>Scrap Empty Oil Drum/ Barrel</v>
      </c>
      <c r="B99">
        <f>IF(A99="","",COUNTIFS(A$4:A$114,"&lt;"&amp;A99,A$4:A$114,"&lt;&gt;"&amp;"")+COUNTIF(A$4:A99,A99))</f>
        <v>30</v>
      </c>
      <c r="C99" t="e">
        <f t="shared" si="213"/>
        <v>#N/A</v>
      </c>
      <c r="D99" t="e">
        <f>D98+IF(AND(C99&lt;&gt;"",COUNTIF(C$4:C99,C99)=1),1,0)</f>
        <v>#N/A</v>
      </c>
      <c r="E99" t="e">
        <f t="shared" si="214"/>
        <v>#N/A</v>
      </c>
    </row>
    <row r="100" spans="1:5" x14ac:dyDescent="0.3">
      <c r="A100" t="str">
        <f>IF(INDEX('Final Calculation Sheet'!$B$4:$B$40,ROW()-77)="","",INDEX('Final Calculation Sheet'!$B$4:$B$40,ROW()-77))</f>
        <v>Scrap of 132 KV Wave Trap</v>
      </c>
      <c r="B100">
        <f>IF(A100="","",COUNTIFS(A$4:A$114,"&lt;"&amp;A100,A$4:A$114,"&lt;&gt;"&amp;"")+COUNTIF(A$4:A100,A100))</f>
        <v>38</v>
      </c>
      <c r="C100" t="e">
        <f t="shared" ref="C100:C131" si="215">IF(ROW()-3&gt;COUNTIF(A$4:A$114,"&lt;&gt;"&amp;""),"",INDEX(A$4:A$114,MATCH(ROW()-3,B$4:B$114,0)))</f>
        <v>#N/A</v>
      </c>
      <c r="D100" t="e">
        <f>D99+IF(AND(C100&lt;&gt;"",COUNTIF(C$4:C100,C100)=1),1,0)</f>
        <v>#N/A</v>
      </c>
      <c r="E100" t="e">
        <f t="shared" ref="E100:E131" si="216">IF(ROW()-3&gt;MAX(D$4:D$114),"",INDEX(C$4:C$114,MATCH(ROW()-3,D$4:D$114,0)))</f>
        <v>#N/A</v>
      </c>
    </row>
    <row r="101" spans="1:5" x14ac:dyDescent="0.3">
      <c r="A101" t="str">
        <f>IF(INDEX('Final Calculation Sheet'!$B$4:$B$40,ROW()-77)="","",INDEX('Final Calculation Sheet'!$B$4:$B$40,ROW()-77))</f>
        <v>Mix Scrap (Tower angles &amp; 0.2 ACSR Condutor pieces)</v>
      </c>
      <c r="B101">
        <f>IF(A101="","",COUNTIFS(A$4:A$114,"&lt;"&amp;A101,A$4:A$114,"&lt;&gt;"&amp;"")+COUNTIF(A$4:A101,A101))</f>
        <v>7</v>
      </c>
      <c r="C101" t="e">
        <f t="shared" si="215"/>
        <v>#N/A</v>
      </c>
      <c r="D101" t="e">
        <f>D100+IF(AND(C101&lt;&gt;"",COUNTIF(C$4:C101,C101)=1),1,0)</f>
        <v>#N/A</v>
      </c>
      <c r="E101" t="e">
        <f t="shared" si="216"/>
        <v>#N/A</v>
      </c>
    </row>
    <row r="102" spans="1:5" x14ac:dyDescent="0.3">
      <c r="A102" t="str">
        <f>IF(INDEX('Final Calculation Sheet'!$B$4:$B$40,ROW()-77)="","",INDEX('Final Calculation Sheet'!$B$4:$B$40,ROW()-77))</f>
        <v>Scrap of empty oil Barrels</v>
      </c>
      <c r="B102">
        <f>IF(A102="","",COUNTIFS(A$4:A$114,"&lt;"&amp;A102,A$4:A$114,"&lt;&gt;"&amp;"")+COUNTIF(A$4:A102,A102))</f>
        <v>54</v>
      </c>
      <c r="C102" t="e">
        <f t="shared" si="215"/>
        <v>#N/A</v>
      </c>
      <c r="D102" t="e">
        <f>D101+IF(AND(C102&lt;&gt;"",COUNTIF(C$4:C102,C102)=1),1,0)</f>
        <v>#N/A</v>
      </c>
      <c r="E102" t="e">
        <f t="shared" si="216"/>
        <v>#N/A</v>
      </c>
    </row>
    <row r="103" spans="1:5" x14ac:dyDescent="0.3">
      <c r="A103" t="str">
        <f>IF(INDEX('Final Calculation Sheet'!$B$4:$B$40,ROW()-77)="","",INDEX('Final Calculation Sheet'!$B$4:$B$40,ROW()-77))</f>
        <v>Scrap of 33 KV CT</v>
      </c>
      <c r="B103">
        <f>IF(A103="","",COUNTIFS(A$4:A$114,"&lt;"&amp;A103,A$4:A$114,"&lt;&gt;"&amp;"")+COUNTIF(A$4:A103,A103))</f>
        <v>45</v>
      </c>
      <c r="C103" t="e">
        <f t="shared" si="215"/>
        <v>#N/A</v>
      </c>
      <c r="D103" t="e">
        <f>D102+IF(AND(C103&lt;&gt;"",COUNTIF(C$4:C103,C103)=1),1,0)</f>
        <v>#N/A</v>
      </c>
      <c r="E103" t="e">
        <f t="shared" si="216"/>
        <v>#N/A</v>
      </c>
    </row>
    <row r="104" spans="1:5" x14ac:dyDescent="0.3">
      <c r="A104" t="str">
        <f>IF(INDEX('Final Calculation Sheet'!$B$4:$B$40,ROW()-77)="","",INDEX('Final Calculation Sheet'!$B$4:$B$40,ROW()-77))</f>
        <v>Scrap of 132 KV CT</v>
      </c>
      <c r="B104">
        <f>IF(A104="","",COUNTIFS(A$4:A$114,"&lt;"&amp;A104,A$4:A$114,"&lt;&gt;"&amp;"")+COUNTIF(A$4:A104,A104))</f>
        <v>35</v>
      </c>
      <c r="C104" t="e">
        <f t="shared" si="215"/>
        <v>#N/A</v>
      </c>
      <c r="D104" t="e">
        <f>D103+IF(AND(C104&lt;&gt;"",COUNTIF(C$4:C104,C104)=1),1,0)</f>
        <v>#N/A</v>
      </c>
      <c r="E104" t="e">
        <f t="shared" si="216"/>
        <v>#N/A</v>
      </c>
    </row>
    <row r="105" spans="1:5" x14ac:dyDescent="0.3">
      <c r="A105" t="str">
        <f>IF(INDEX('Final Calculation Sheet'!$B$4:$B$40,ROW()-77)="","",INDEX('Final Calculation Sheet'!$B$4:$B$40,ROW()-77))</f>
        <v>Scrap of AAAC Earth wire</v>
      </c>
      <c r="B105">
        <f>IF(A105="","",COUNTIFS(A$4:A$114,"&lt;"&amp;A105,A$4:A$114,"&lt;&gt;"&amp;"")+COUNTIF(A$4:A105,A105))</f>
        <v>49</v>
      </c>
      <c r="C105" t="e">
        <f t="shared" si="215"/>
        <v>#N/A</v>
      </c>
      <c r="D105" t="e">
        <f>D104+IF(AND(C105&lt;&gt;"",COUNTIF(C$4:C105,C105)=1),1,0)</f>
        <v>#N/A</v>
      </c>
      <c r="E105" t="e">
        <f t="shared" si="216"/>
        <v>#N/A</v>
      </c>
    </row>
    <row r="106" spans="1:5" x14ac:dyDescent="0.3">
      <c r="A106" t="str">
        <f>IF(INDEX('Final Calculation Sheet'!$B$4:$B$40,ROW()-77)="","",INDEX('Final Calculation Sheet'!$B$4:$B$40,ROW()-77))</f>
        <v>Scrap of 220 KV CT</v>
      </c>
      <c r="B106">
        <f>IF(A106="","",COUNTIFS(A$4:A$114,"&lt;"&amp;A106,A$4:A$114,"&lt;&gt;"&amp;"")+COUNTIF(A$4:A106,A106))</f>
        <v>42</v>
      </c>
      <c r="C106" t="e">
        <f t="shared" si="215"/>
        <v>#N/A</v>
      </c>
      <c r="D106" t="e">
        <f>D105+IF(AND(C106&lt;&gt;"",COUNTIF(C$4:C106,C106)=1),1,0)</f>
        <v>#N/A</v>
      </c>
      <c r="E106" t="e">
        <f t="shared" si="216"/>
        <v>#N/A</v>
      </c>
    </row>
    <row r="107" spans="1:5" x14ac:dyDescent="0.3">
      <c r="A107" t="str">
        <f>IF(INDEX('Final Calculation Sheet'!$B$4:$B$40,ROW()-77)="","",INDEX('Final Calculation Sheet'!$B$4:$B$40,ROW()-77))</f>
        <v>Scrap of 33 KV GCB</v>
      </c>
      <c r="B107">
        <f>IF(A107="","",COUNTIFS(A$4:A$114,"&lt;"&amp;A107,A$4:A$114,"&lt;&gt;"&amp;"")+COUNTIF(A$4:A107,A107))</f>
        <v>46</v>
      </c>
      <c r="C107" t="e">
        <f t="shared" si="215"/>
        <v>#N/A</v>
      </c>
      <c r="D107" t="e">
        <f>D106+IF(AND(C107&lt;&gt;"",COUNTIF(C$4:C107,C107)=1),1,0)</f>
        <v>#N/A</v>
      </c>
      <c r="E107" t="e">
        <f t="shared" si="216"/>
        <v>#N/A</v>
      </c>
    </row>
    <row r="108" spans="1:5" x14ac:dyDescent="0.3">
      <c r="A108" t="str">
        <f>IF(INDEX('Final Calculation Sheet'!$B$4:$B$40,ROW()-77)="","",INDEX('Final Calculation Sheet'!$B$4:$B$40,ROW()-77))</f>
        <v>Scrap of Empty oil Barrels</v>
      </c>
      <c r="B108">
        <f>IF(A108="","",COUNTIFS(A$4:A$114,"&lt;"&amp;A108,A$4:A$114,"&lt;&gt;"&amp;"")+COUNTIF(A$4:A108,A108))</f>
        <v>55</v>
      </c>
      <c r="C108" t="e">
        <f t="shared" si="215"/>
        <v>#N/A</v>
      </c>
      <c r="D108" t="e">
        <f>D107+IF(AND(C108&lt;&gt;"",COUNTIF(C$4:C108,C108)=1),1,0)</f>
        <v>#N/A</v>
      </c>
      <c r="E108" t="e">
        <f t="shared" si="216"/>
        <v>#N/A</v>
      </c>
    </row>
    <row r="109" spans="1:5" x14ac:dyDescent="0.3">
      <c r="A109" t="str">
        <f>IF(INDEX('Final Calculation Sheet'!$B$4:$B$40,ROW()-77)="","",INDEX('Final Calculation Sheet'!$B$4:$B$40,ROW()-77))</f>
        <v>Scrap of empty oil drums</v>
      </c>
      <c r="B109">
        <f>IF(A109="","",COUNTIFS(A$4:A$114,"&lt;"&amp;A109,A$4:A$114,"&lt;&gt;"&amp;"")+COUNTIF(A$4:A109,A109))</f>
        <v>59</v>
      </c>
      <c r="C109" t="e">
        <f t="shared" si="215"/>
        <v>#N/A</v>
      </c>
      <c r="D109" t="e">
        <f>D108+IF(AND(C109&lt;&gt;"",COUNTIF(C$4:C109,C109)=1),1,0)</f>
        <v>#N/A</v>
      </c>
      <c r="E109" t="e">
        <f t="shared" si="216"/>
        <v>#N/A</v>
      </c>
    </row>
    <row r="110" spans="1:5" x14ac:dyDescent="0.3">
      <c r="A110" t="str">
        <f>IF(INDEX('Final Calculation Sheet'!$B$4:$B$40,ROW()-77)="","",INDEX('Final Calculation Sheet'!$B$4:$B$40,ROW()-77))</f>
        <v>Scrap of 33 KV CB</v>
      </c>
      <c r="B110">
        <f>IF(A110="","",COUNTIFS(A$4:A$114,"&lt;"&amp;A110,A$4:A$114,"&lt;&gt;"&amp;"")+COUNTIF(A$4:A110,A110))</f>
        <v>44</v>
      </c>
      <c r="C110" t="e">
        <f t="shared" si="215"/>
        <v>#N/A</v>
      </c>
      <c r="D110" t="e">
        <f>D109+IF(AND(C110&lt;&gt;"",COUNTIF(C$4:C110,C110)=1),1,0)</f>
        <v>#N/A</v>
      </c>
      <c r="E110" t="e">
        <f t="shared" si="216"/>
        <v>#N/A</v>
      </c>
    </row>
    <row r="111" spans="1:5" x14ac:dyDescent="0.3">
      <c r="A111" t="str">
        <f>IF(INDEX('Final Calculation Sheet'!$B$4:$B$40,ROW()-77)="","",INDEX('Final Calculation Sheet'!$B$4:$B$40,ROW()-77))</f>
        <v>Scrap of 66 KV Isolater</v>
      </c>
      <c r="B111">
        <f>IF(A111="","",COUNTIFS(A$4:A$114,"&lt;"&amp;A111,A$4:A$114,"&lt;&gt;"&amp;"")+COUNTIF(A$4:A111,A111))</f>
        <v>47</v>
      </c>
      <c r="C111" t="e">
        <f t="shared" si="215"/>
        <v>#N/A</v>
      </c>
      <c r="D111" t="e">
        <f>D110+IF(AND(C111&lt;&gt;"",COUNTIF(C$4:C111,C111)=1),1,0)</f>
        <v>#N/A</v>
      </c>
      <c r="E111" t="e">
        <f t="shared" si="216"/>
        <v>#N/A</v>
      </c>
    </row>
    <row r="112" spans="1:5" x14ac:dyDescent="0.3">
      <c r="A112" t="str">
        <f>IF(INDEX('Final Calculation Sheet'!$B$4:$B$40,ROW()-77)="","",INDEX('Final Calculation Sheet'!$B$4:$B$40,ROW()-77))</f>
        <v>Scrap of 132 KV CT</v>
      </c>
      <c r="B112">
        <f>IF(A112="","",COUNTIFS(A$4:A$114,"&lt;"&amp;A112,A$4:A$114,"&lt;&gt;"&amp;"")+COUNTIF(A$4:A112,A112))</f>
        <v>36</v>
      </c>
      <c r="C112" t="e">
        <f t="shared" si="215"/>
        <v>#N/A</v>
      </c>
      <c r="D112" t="e">
        <f>D111+IF(AND(C112&lt;&gt;"",COUNTIF(C$4:C112,C112)=1),1,0)</f>
        <v>#N/A</v>
      </c>
      <c r="E112" t="e">
        <f t="shared" si="216"/>
        <v>#N/A</v>
      </c>
    </row>
    <row r="113" spans="1:5" x14ac:dyDescent="0.3">
      <c r="A113" t="str">
        <f>IF(INDEX('Final Calculation Sheet'!$B$4:$B$40,ROW()-77)="","",INDEX('Final Calculation Sheet'!$B$4:$B$40,ROW()-77))</f>
        <v>Scrap of 66 kv TBC C &amp; R Panel</v>
      </c>
      <c r="B113">
        <f>IF(A113="","",COUNTIFS(A$4:A$114,"&lt;"&amp;A113,A$4:A$114,"&lt;&gt;"&amp;"")+COUNTIF(A$4:A113,A113))</f>
        <v>48</v>
      </c>
      <c r="C113" t="e">
        <f t="shared" si="215"/>
        <v>#N/A</v>
      </c>
      <c r="D113" t="e">
        <f>D112+IF(AND(C113&lt;&gt;"",COUNTIF(C$4:C113,C113)=1),1,0)</f>
        <v>#N/A</v>
      </c>
      <c r="E113" t="e">
        <f t="shared" si="216"/>
        <v>#N/A</v>
      </c>
    </row>
    <row r="114" spans="1:5" x14ac:dyDescent="0.3">
      <c r="A114" t="str">
        <f>IF(INDEX('Final Calculation Sheet'!$B$4:$B$40,ROW()-77)="","",INDEX('Final Calculation Sheet'!$B$4:$B$40,ROW()-77))</f>
        <v>Scrap of 132 KV CT</v>
      </c>
      <c r="B114">
        <f>IF(A114="","",COUNTIFS(A$4:A$114,"&lt;"&amp;A114,A$4:A$114,"&lt;&gt;"&amp;"")+COUNTIF(A$4:A114,A114))</f>
        <v>37</v>
      </c>
      <c r="C114" t="e">
        <f t="shared" si="215"/>
        <v>#N/A</v>
      </c>
      <c r="D114" t="e">
        <f>D113+IF(AND(C114&lt;&gt;"",COUNTIF(C$4:C114,C114)=1),1,0)</f>
        <v>#N/A</v>
      </c>
      <c r="E114" t="e">
        <f t="shared" si="216"/>
        <v>#N/A</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I38"/>
  <sheetViews>
    <sheetView zoomScaleNormal="100" workbookViewId="0"/>
  </sheetViews>
  <sheetFormatPr defaultColWidth="8.6640625" defaultRowHeight="14.4" x14ac:dyDescent="0.3"/>
  <sheetData>
    <row r="1" spans="1:35" x14ac:dyDescent="0.3">
      <c r="A1" t="s">
        <v>12</v>
      </c>
      <c r="B1" t="s">
        <v>13</v>
      </c>
      <c r="C1" t="s">
        <v>14</v>
      </c>
      <c r="D1" t="s">
        <v>15</v>
      </c>
      <c r="E1" t="s">
        <v>16</v>
      </c>
      <c r="F1" t="s">
        <v>17</v>
      </c>
      <c r="G1" t="s">
        <v>18</v>
      </c>
      <c r="H1" t="s">
        <v>19</v>
      </c>
      <c r="I1" t="s">
        <v>20</v>
      </c>
      <c r="J1" t="s">
        <v>21</v>
      </c>
      <c r="K1" t="s">
        <v>22</v>
      </c>
      <c r="L1" t="s">
        <v>23</v>
      </c>
      <c r="M1" t="s">
        <v>24</v>
      </c>
      <c r="N1" t="s">
        <v>25</v>
      </c>
      <c r="O1" t="s">
        <v>26</v>
      </c>
      <c r="P1" t="s">
        <v>27</v>
      </c>
      <c r="Q1" t="s">
        <v>28</v>
      </c>
      <c r="R1" t="s">
        <v>29</v>
      </c>
      <c r="S1" t="s">
        <v>30</v>
      </c>
      <c r="T1" t="s">
        <v>31</v>
      </c>
      <c r="U1" t="s">
        <v>32</v>
      </c>
      <c r="V1" t="s">
        <v>33</v>
      </c>
      <c r="W1" t="s">
        <v>34</v>
      </c>
      <c r="X1" t="s">
        <v>35</v>
      </c>
      <c r="Y1" t="s">
        <v>36</v>
      </c>
      <c r="Z1" t="s">
        <v>37</v>
      </c>
      <c r="AA1" t="s">
        <v>38</v>
      </c>
      <c r="AB1" t="s">
        <v>39</v>
      </c>
      <c r="AC1" t="s">
        <v>40</v>
      </c>
      <c r="AD1" t="s">
        <v>41</v>
      </c>
      <c r="AE1" t="s">
        <v>42</v>
      </c>
      <c r="AF1" t="s">
        <v>44</v>
      </c>
      <c r="AG1" t="s">
        <v>45</v>
      </c>
      <c r="AH1" t="s">
        <v>46</v>
      </c>
      <c r="AI1" t="s">
        <v>43</v>
      </c>
    </row>
    <row r="2" spans="1:35" x14ac:dyDescent="0.3">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Sheet'!$AF$4:$AF$40,$BJ5-3)="","",INDEX('Final Calculation Sheet'!$AF$4:$AF$40,$BJ5-3)),IF(OR($BI5=1,$BL5=1,$BH5&gt;0),"–",""))</f>
        <v/>
      </c>
      <c r="AG2" t="str">
        <f>IF($BJ5&gt;0,IF(INDEX('Final Calculation Sheet'!$AG$4:$AG$40,$BJ5-3)="","",INDEX('Final Calculation Sheet'!$AG$4:$AG$40,$BJ5-3)),IF(OR($BI5=1,$BL5=1,$BH5&gt;0),"–",""))</f>
        <v/>
      </c>
      <c r="AH2" t="str">
        <f>IF($BJ5&gt;0,IF(INDEX('Final Calculation Sheet'!$AH$4:$AH$40,$BJ5-3)="","",INDEX('Final Calculation Sheet'!$AH$4:$AH$40,$BJ5-3)),IF(OR($BI5=1,$BL5=1,$BH5&gt;0),"–",""))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spans="1:35" x14ac:dyDescent="0.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Sheet'!$AF$4:$AF$40,$BJ6-3)="","",INDEX('Final Calculation Sheet'!$AF$4:$AF$40,$BJ6-3)),IF(OR($BI6=1,$BL6=1,$BH6&gt;0),"–",""))</f>
        <v/>
      </c>
      <c r="AG3" t="str">
        <f>IF($BJ6&gt;0,IF(INDEX('Final Calculation Sheet'!$AG$4:$AG$40,$BJ6-3)="","",INDEX('Final Calculation Sheet'!$AG$4:$AG$40,$BJ6-3)),IF(OR($BI6=1,$BL6=1,$BH6&gt;0),"–",""))</f>
        <v/>
      </c>
      <c r="AH3" t="str">
        <f>IF($BJ6&gt;0,IF(INDEX('Final Calculation Sheet'!$AH$4:$AH$40,$BJ6-3)="","",INDEX('Final Calculation Sheet'!$AH$4:$AH$40,$BJ6-3)),IF(OR($BI6=1,$BL6=1,$BH6&gt;0),"–",""))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spans="1:35" x14ac:dyDescent="0.3">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Sheet'!$AF$4:$AF$40,$BJ7-3)="","",INDEX('Final Calculation Sheet'!$AF$4:$AF$40,$BJ7-3)),IF(OR($BI7=1,$BL7=1,$BH7&gt;0),"–",""))</f>
        <v/>
      </c>
      <c r="AG4" t="str">
        <f>IF($BJ7&gt;0,IF(INDEX('Final Calculation Sheet'!$AG$4:$AG$40,$BJ7-3)="","",INDEX('Final Calculation Sheet'!$AG$4:$AG$40,$BJ7-3)),IF(OR($BI7=1,$BL7=1,$BH7&gt;0),"–",""))</f>
        <v/>
      </c>
      <c r="AH4" t="str">
        <f>IF($BJ7&gt;0,IF(INDEX('Final Calculation Sheet'!$AH$4:$AH$40,$BJ7-3)="","",INDEX('Final Calculation Sheet'!$AH$4:$AH$40,$BJ7-3)),IF(OR($BI7=1,$BL7=1,$BH7&gt;0),"–",""))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spans="1:35" x14ac:dyDescent="0.3">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Sheet'!$AF$4:$AF$40,$BJ8-3)="","",INDEX('Final Calculation Sheet'!$AF$4:$AF$40,$BJ8-3)),IF(OR($BI8=1,$BL8=1,$BH8&gt;0),"–",""))</f>
        <v/>
      </c>
      <c r="AG5" t="str">
        <f>IF($BJ8&gt;0,IF(INDEX('Final Calculation Sheet'!$AG$4:$AG$40,$BJ8-3)="","",INDEX('Final Calculation Sheet'!$AG$4:$AG$40,$BJ8-3)),IF(OR($BI8=1,$BL8=1,$BH8&gt;0),"–",""))</f>
        <v/>
      </c>
      <c r="AH5" t="str">
        <f>IF($BJ8&gt;0,IF(INDEX('Final Calculation Sheet'!$AH$4:$AH$40,$BJ8-3)="","",INDEX('Final Calculation Sheet'!$AH$4:$AH$40,$BJ8-3)),IF(OR($BI8=1,$BL8=1,$BH8&gt;0),"–",""))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spans="1:35" x14ac:dyDescent="0.3">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Sheet'!$AF$4:$AF$40,$BJ9-3)="","",INDEX('Final Calculation Sheet'!$AF$4:$AF$40,$BJ9-3)),IF(OR($BI9=1,$BL9=1,$BH9&gt;0),"–",""))</f>
        <v/>
      </c>
      <c r="AG6" t="str">
        <f>IF($BJ9&gt;0,IF(INDEX('Final Calculation Sheet'!$AG$4:$AG$40,$BJ9-3)="","",INDEX('Final Calculation Sheet'!$AG$4:$AG$40,$BJ9-3)),IF(OR($BI9=1,$BL9=1,$BH9&gt;0),"–",""))</f>
        <v/>
      </c>
      <c r="AH6" t="str">
        <f>IF($BJ9&gt;0,IF(INDEX('Final Calculation Sheet'!$AH$4:$AH$40,$BJ9-3)="","",INDEX('Final Calculation Sheet'!$AH$4:$AH$40,$BJ9-3)),IF(OR($BI9=1,$BL9=1,$BH9&gt;0),"–",""))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spans="1:35" x14ac:dyDescent="0.3">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Sheet'!$AF$4:$AF$40,$BJ10-3)="","",INDEX('Final Calculation Sheet'!$AF$4:$AF$40,$BJ10-3)),IF(OR($BI10=1,$BL10=1,$BH10&gt;0),"–",""))</f>
        <v/>
      </c>
      <c r="AG7" t="str">
        <f>IF($BJ10&gt;0,IF(INDEX('Final Calculation Sheet'!$AG$4:$AG$40,$BJ10-3)="","",INDEX('Final Calculation Sheet'!$AG$4:$AG$40,$BJ10-3)),IF(OR($BI10=1,$BL10=1,$BH10&gt;0),"–",""))</f>
        <v/>
      </c>
      <c r="AH7" t="str">
        <f>IF($BJ10&gt;0,IF(INDEX('Final Calculation Sheet'!$AH$4:$AH$40,$BJ10-3)="","",INDEX('Final Calculation Sheet'!$AH$4:$AH$40,$BJ10-3)),IF(OR($BI10=1,$BL10=1,$BH10&gt;0),"–",""))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spans="1:35" x14ac:dyDescent="0.3">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Sheet'!$AF$4:$AF$40,$BJ11-3)="","",INDEX('Final Calculation Sheet'!$AF$4:$AF$40,$BJ11-3)),IF(OR($BI11=1,$BL11=1,$BH11&gt;0),"–",""))</f>
        <v/>
      </c>
      <c r="AG8" t="str">
        <f>IF($BJ11&gt;0,IF(INDEX('Final Calculation Sheet'!$AG$4:$AG$40,$BJ11-3)="","",INDEX('Final Calculation Sheet'!$AG$4:$AG$40,$BJ11-3)),IF(OR($BI11=1,$BL11=1,$BH11&gt;0),"–",""))</f>
        <v/>
      </c>
      <c r="AH8" t="str">
        <f>IF($BJ11&gt;0,IF(INDEX('Final Calculation Sheet'!$AH$4:$AH$40,$BJ11-3)="","",INDEX('Final Calculation Sheet'!$AH$4:$AH$40,$BJ11-3)),IF(OR($BI11=1,$BL11=1,$BH11&gt;0),"–",""))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spans="1:35" x14ac:dyDescent="0.3">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Sheet'!$AF$4:$AF$40,$BJ12-3)="","",INDEX('Final Calculation Sheet'!$AF$4:$AF$40,$BJ12-3)),IF(OR($BI12=1,$BL12=1,$BH12&gt;0),"–",""))</f>
        <v/>
      </c>
      <c r="AG9" t="str">
        <f>IF($BJ12&gt;0,IF(INDEX('Final Calculation Sheet'!$AG$4:$AG$40,$BJ12-3)="","",INDEX('Final Calculation Sheet'!$AG$4:$AG$40,$BJ12-3)),IF(OR($BI12=1,$BL12=1,$BH12&gt;0),"–",""))</f>
        <v/>
      </c>
      <c r="AH9" t="str">
        <f>IF($BJ12&gt;0,IF(INDEX('Final Calculation Sheet'!$AH$4:$AH$40,$BJ12-3)="","",INDEX('Final Calculation Sheet'!$AH$4:$AH$40,$BJ12-3)),IF(OR($BI12=1,$BL12=1,$BH12&gt;0),"–",""))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spans="1:35" x14ac:dyDescent="0.3">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Sheet'!$AF$4:$AF$40,$BJ13-3)="","",INDEX('Final Calculation Sheet'!$AF$4:$AF$40,$BJ13-3)),IF(OR($BI13=1,$BL13=1,$BH13&gt;0),"–",""))</f>
        <v/>
      </c>
      <c r="AG10" t="str">
        <f>IF($BJ13&gt;0,IF(INDEX('Final Calculation Sheet'!$AG$4:$AG$40,$BJ13-3)="","",INDEX('Final Calculation Sheet'!$AG$4:$AG$40,$BJ13-3)),IF(OR($BI13=1,$BL13=1,$BH13&gt;0),"–",""))</f>
        <v/>
      </c>
      <c r="AH10" t="str">
        <f>IF($BJ13&gt;0,IF(INDEX('Final Calculation Sheet'!$AH$4:$AH$40,$BJ13-3)="","",INDEX('Final Calculation Sheet'!$AH$4:$AH$40,$BJ13-3)),IF(OR($BI13=1,$BL13=1,$BH13&gt;0),"–",""))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spans="1:35" x14ac:dyDescent="0.3">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Sheet'!$AF$4:$AF$40,$BJ14-3)="","",INDEX('Final Calculation Sheet'!$AF$4:$AF$40,$BJ14-3)),IF(OR($BI14=1,$BL14=1,$BH14&gt;0),"–",""))</f>
        <v/>
      </c>
      <c r="AG11" t="str">
        <f>IF($BJ14&gt;0,IF(INDEX('Final Calculation Sheet'!$AG$4:$AG$40,$BJ14-3)="","",INDEX('Final Calculation Sheet'!$AG$4:$AG$40,$BJ14-3)),IF(OR($BI14=1,$BL14=1,$BH14&gt;0),"–",""))</f>
        <v/>
      </c>
      <c r="AH11" t="str">
        <f>IF($BJ14&gt;0,IF(INDEX('Final Calculation Sheet'!$AH$4:$AH$40,$BJ14-3)="","",INDEX('Final Calculation Sheet'!$AH$4:$AH$40,$BJ14-3)),IF(OR($BI14=1,$BL14=1,$BH14&gt;0),"–",""))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spans="1:35" x14ac:dyDescent="0.3">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Sheet'!$AF$4:$AF$40,$BJ15-3)="","",INDEX('Final Calculation Sheet'!$AF$4:$AF$40,$BJ15-3)),IF(OR($BI15=1,$BL15=1,$BH15&gt;0),"–",""))</f>
        <v/>
      </c>
      <c r="AG12" t="str">
        <f>IF($BJ15&gt;0,IF(INDEX('Final Calculation Sheet'!$AG$4:$AG$40,$BJ15-3)="","",INDEX('Final Calculation Sheet'!$AG$4:$AG$40,$BJ15-3)),IF(OR($BI15=1,$BL15=1,$BH15&gt;0),"–",""))</f>
        <v/>
      </c>
      <c r="AH12" t="str">
        <f>IF($BJ15&gt;0,IF(INDEX('Final Calculation Sheet'!$AH$4:$AH$40,$BJ15-3)="","",INDEX('Final Calculation Sheet'!$AH$4:$AH$40,$BJ15-3)),IF(OR($BI15=1,$BL15=1,$BH15&gt;0),"–",""))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spans="1:35" x14ac:dyDescent="0.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Sheet'!$AF$4:$AF$40,$BJ16-3)="","",INDEX('Final Calculation Sheet'!$AF$4:$AF$40,$BJ16-3)),IF(OR($BI16=1,$BL16=1,$BH16&gt;0),"–",""))</f>
        <v/>
      </c>
      <c r="AG13" t="str">
        <f>IF($BJ16&gt;0,IF(INDEX('Final Calculation Sheet'!$AG$4:$AG$40,$BJ16-3)="","",INDEX('Final Calculation Sheet'!$AG$4:$AG$40,$BJ16-3)),IF(OR($BI16=1,$BL16=1,$BH16&gt;0),"–",""))</f>
        <v/>
      </c>
      <c r="AH13" t="str">
        <f>IF($BJ16&gt;0,IF(INDEX('Final Calculation Sheet'!$AH$4:$AH$40,$BJ16-3)="","",INDEX('Final Calculation Sheet'!$AH$4:$AH$40,$BJ16-3)),IF(OR($BI16=1,$BL16=1,$BH16&gt;0),"–",""))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spans="1:35" x14ac:dyDescent="0.3">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Sheet'!$AF$4:$AF$40,$BJ17-3)="","",INDEX('Final Calculation Sheet'!$AF$4:$AF$40,$BJ17-3)),IF(OR($BI17=1,$BL17=1,$BH17&gt;0),"–",""))</f>
        <v/>
      </c>
      <c r="AG14" t="str">
        <f>IF($BJ17&gt;0,IF(INDEX('Final Calculation Sheet'!$AG$4:$AG$40,$BJ17-3)="","",INDEX('Final Calculation Sheet'!$AG$4:$AG$40,$BJ17-3)),IF(OR($BI17=1,$BL17=1,$BH17&gt;0),"–",""))</f>
        <v/>
      </c>
      <c r="AH14" t="str">
        <f>IF($BJ17&gt;0,IF(INDEX('Final Calculation Sheet'!$AH$4:$AH$40,$BJ17-3)="","",INDEX('Final Calculation Sheet'!$AH$4:$AH$40,$BJ17-3)),IF(OR($BI17=1,$BL17=1,$BH17&gt;0),"–",""))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spans="1:35" x14ac:dyDescent="0.3">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Sheet'!$AF$4:$AF$40,$BJ18-3)="","",INDEX('Final Calculation Sheet'!$AF$4:$AF$40,$BJ18-3)),IF(OR($BI18=1,$BL18=1,$BH18&gt;0),"–",""))</f>
        <v/>
      </c>
      <c r="AG15" t="str">
        <f>IF($BJ18&gt;0,IF(INDEX('Final Calculation Sheet'!$AG$4:$AG$40,$BJ18-3)="","",INDEX('Final Calculation Sheet'!$AG$4:$AG$40,$BJ18-3)),IF(OR($BI18=1,$BL18=1,$BH18&gt;0),"–",""))</f>
        <v/>
      </c>
      <c r="AH15" t="str">
        <f>IF($BJ18&gt;0,IF(INDEX('Final Calculation Sheet'!$AH$4:$AH$40,$BJ18-3)="","",INDEX('Final Calculation Sheet'!$AH$4:$AH$40,$BJ18-3)),IF(OR($BI18=1,$BL18=1,$BH18&gt;0),"–",""))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spans="1:35" x14ac:dyDescent="0.3">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Sheet'!$AF$4:$AF$40,$BJ19-3)="","",INDEX('Final Calculation Sheet'!$AF$4:$AF$40,$BJ19-3)),IF(OR($BI19=1,$BL19=1,$BH19&gt;0),"–",""))</f>
        <v/>
      </c>
      <c r="AG16" t="str">
        <f>IF($BJ19&gt;0,IF(INDEX('Final Calculation Sheet'!$AG$4:$AG$40,$BJ19-3)="","",INDEX('Final Calculation Sheet'!$AG$4:$AG$40,$BJ19-3)),IF(OR($BI19=1,$BL19=1,$BH19&gt;0),"–",""))</f>
        <v/>
      </c>
      <c r="AH16" t="str">
        <f>IF($BJ19&gt;0,IF(INDEX('Final Calculation Sheet'!$AH$4:$AH$40,$BJ19-3)="","",INDEX('Final Calculation Sheet'!$AH$4:$AH$40,$BJ19-3)),IF(OR($BI19=1,$BL19=1,$BH19&gt;0),"–",""))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spans="1:35" x14ac:dyDescent="0.3">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Sheet'!$AF$4:$AF$40,$BJ20-3)="","",INDEX('Final Calculation Sheet'!$AF$4:$AF$40,$BJ20-3)),IF(OR($BI20=1,$BL20=1,$BH20&gt;0),"–",""))</f>
        <v/>
      </c>
      <c r="AG17" t="str">
        <f>IF($BJ20&gt;0,IF(INDEX('Final Calculation Sheet'!$AG$4:$AG$40,$BJ20-3)="","",INDEX('Final Calculation Sheet'!$AG$4:$AG$40,$BJ20-3)),IF(OR($BI20=1,$BL20=1,$BH20&gt;0),"–",""))</f>
        <v/>
      </c>
      <c r="AH17" t="str">
        <f>IF($BJ20&gt;0,IF(INDEX('Final Calculation Sheet'!$AH$4:$AH$40,$BJ20-3)="","",INDEX('Final Calculation Sheet'!$AH$4:$AH$40,$BJ20-3)),IF(OR($BI20=1,$BL20=1,$BH20&gt;0),"–",""))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spans="1:35" x14ac:dyDescent="0.3">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Sheet'!$AF$4:$AF$40,$BJ21-3)="","",INDEX('Final Calculation Sheet'!$AF$4:$AF$40,$BJ21-3)),IF(OR($BI21=1,$BL21=1,$BH21&gt;0),"–",""))</f>
        <v/>
      </c>
      <c r="AG18" t="str">
        <f>IF($BJ21&gt;0,IF(INDEX('Final Calculation Sheet'!$AG$4:$AG$40,$BJ21-3)="","",INDEX('Final Calculation Sheet'!$AG$4:$AG$40,$BJ21-3)),IF(OR($BI21=1,$BL21=1,$BH21&gt;0),"–",""))</f>
        <v/>
      </c>
      <c r="AH18" t="str">
        <f>IF($BJ21&gt;0,IF(INDEX('Final Calculation Sheet'!$AH$4:$AH$40,$BJ21-3)="","",INDEX('Final Calculation Sheet'!$AH$4:$AH$40,$BJ21-3)),IF(OR($BI21=1,$BL21=1,$BH21&gt;0),"–",""))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spans="1:35" x14ac:dyDescent="0.3">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Sheet'!$AF$4:$AF$40,$BJ22-3)="","",INDEX('Final Calculation Sheet'!$AF$4:$AF$40,$BJ22-3)),IF(OR($BI22=1,$BL22=1,$BH22&gt;0),"–",""))</f>
        <v/>
      </c>
      <c r="AG19" t="str">
        <f>IF($BJ22&gt;0,IF(INDEX('Final Calculation Sheet'!$AG$4:$AG$40,$BJ22-3)="","",INDEX('Final Calculation Sheet'!$AG$4:$AG$40,$BJ22-3)),IF(OR($BI22=1,$BL22=1,$BH22&gt;0),"–",""))</f>
        <v/>
      </c>
      <c r="AH19" t="str">
        <f>IF($BJ22&gt;0,IF(INDEX('Final Calculation Sheet'!$AH$4:$AH$40,$BJ22-3)="","",INDEX('Final Calculation Sheet'!$AH$4:$AH$40,$BJ22-3)),IF(OR($BI22=1,$BL22=1,$BH22&gt;0),"–",""))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spans="1:35" x14ac:dyDescent="0.3">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Sheet'!$AF$4:$AF$40,$BJ23-3)="","",INDEX('Final Calculation Sheet'!$AF$4:$AF$40,$BJ23-3)),IF(OR($BI23=1,$BL23=1,$BH23&gt;0),"–",""))</f>
        <v/>
      </c>
      <c r="AG20" t="str">
        <f>IF($BJ23&gt;0,IF(INDEX('Final Calculation Sheet'!$AG$4:$AG$40,$BJ23-3)="","",INDEX('Final Calculation Sheet'!$AG$4:$AG$40,$BJ23-3)),IF(OR($BI23=1,$BL23=1,$BH23&gt;0),"–",""))</f>
        <v/>
      </c>
      <c r="AH20" t="str">
        <f>IF($BJ23&gt;0,IF(INDEX('Final Calculation Sheet'!$AH$4:$AH$40,$BJ23-3)="","",INDEX('Final Calculation Sheet'!$AH$4:$AH$40,$BJ23-3)),IF(OR($BI23=1,$BL23=1,$BH23&gt;0),"–",""))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spans="1:35" x14ac:dyDescent="0.3">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Sheet'!$AF$4:$AF$40,$BJ24-3)="","",INDEX('Final Calculation Sheet'!$AF$4:$AF$40,$BJ24-3)),IF(OR($BI24=1,$BL24=1,$BH24&gt;0),"–",""))</f>
        <v/>
      </c>
      <c r="AG21" t="str">
        <f>IF($BJ24&gt;0,IF(INDEX('Final Calculation Sheet'!$AG$4:$AG$40,$BJ24-3)="","",INDEX('Final Calculation Sheet'!$AG$4:$AG$40,$BJ24-3)),IF(OR($BI24=1,$BL24=1,$BH24&gt;0),"–",""))</f>
        <v/>
      </c>
      <c r="AH21" t="str">
        <f>IF($BJ24&gt;0,IF(INDEX('Final Calculation Sheet'!$AH$4:$AH$40,$BJ24-3)="","",INDEX('Final Calculation Sheet'!$AH$4:$AH$40,$BJ24-3)),IF(OR($BI24=1,$BL24=1,$BH24&gt;0),"–",""))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spans="1:35" x14ac:dyDescent="0.3">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Sheet'!$AF$4:$AF$40,$BJ25-3)="","",INDEX('Final Calculation Sheet'!$AF$4:$AF$40,$BJ25-3)),IF(OR($BI25=1,$BL25=1,$BH25&gt;0),"–",""))</f>
        <v/>
      </c>
      <c r="AG22" t="str">
        <f>IF($BJ25&gt;0,IF(INDEX('Final Calculation Sheet'!$AG$4:$AG$40,$BJ25-3)="","",INDEX('Final Calculation Sheet'!$AG$4:$AG$40,$BJ25-3)),IF(OR($BI25=1,$BL25=1,$BH25&gt;0),"–",""))</f>
        <v/>
      </c>
      <c r="AH22" t="str">
        <f>IF($BJ25&gt;0,IF(INDEX('Final Calculation Sheet'!$AH$4:$AH$40,$BJ25-3)="","",INDEX('Final Calculation Sheet'!$AH$4:$AH$40,$BJ25-3)),IF(OR($BI25=1,$BL25=1,$BH25&gt;0),"–",""))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spans="1:35" x14ac:dyDescent="0.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Sheet'!$AF$4:$AF$40,$BJ26-3)="","",INDEX('Final Calculation Sheet'!$AF$4:$AF$40,$BJ26-3)),IF(OR($BI26=1,$BL26=1,$BH26&gt;0),"–",""))</f>
        <v/>
      </c>
      <c r="AG23" t="str">
        <f>IF($BJ26&gt;0,IF(INDEX('Final Calculation Sheet'!$AG$4:$AG$40,$BJ26-3)="","",INDEX('Final Calculation Sheet'!$AG$4:$AG$40,$BJ26-3)),IF(OR($BI26=1,$BL26=1,$BH26&gt;0),"–",""))</f>
        <v/>
      </c>
      <c r="AH23" t="str">
        <f>IF($BJ26&gt;0,IF(INDEX('Final Calculation Sheet'!$AH$4:$AH$40,$BJ26-3)="","",INDEX('Final Calculation Sheet'!$AH$4:$AH$40,$BJ26-3)),IF(OR($BI26=1,$BL26=1,$BH26&gt;0),"–",""))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spans="1:35" x14ac:dyDescent="0.3">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Sheet'!$AF$4:$AF$40,$BJ27-3)="","",INDEX('Final Calculation Sheet'!$AF$4:$AF$40,$BJ27-3)),IF(OR($BI27=1,$BL27=1,$BH27&gt;0),"–",""))</f>
        <v/>
      </c>
      <c r="AG24" t="str">
        <f>IF($BJ27&gt;0,IF(INDEX('Final Calculation Sheet'!$AG$4:$AG$40,$BJ27-3)="","",INDEX('Final Calculation Sheet'!$AG$4:$AG$40,$BJ27-3)),IF(OR($BI27=1,$BL27=1,$BH27&gt;0),"–",""))</f>
        <v/>
      </c>
      <c r="AH24" t="str">
        <f>IF($BJ27&gt;0,IF(INDEX('Final Calculation Sheet'!$AH$4:$AH$40,$BJ27-3)="","",INDEX('Final Calculation Sheet'!$AH$4:$AH$40,$BJ27-3)),IF(OR($BI27=1,$BL27=1,$BH27&gt;0),"–",""))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spans="1:35" x14ac:dyDescent="0.3">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Sheet'!$AF$4:$AF$40,$BJ28-3)="","",INDEX('Final Calculation Sheet'!$AF$4:$AF$40,$BJ28-3)),IF(OR($BI28=1,$BL28=1,$BH28&gt;0),"–",""))</f>
        <v/>
      </c>
      <c r="AG25" t="str">
        <f>IF($BJ28&gt;0,IF(INDEX('Final Calculation Sheet'!$AG$4:$AG$40,$BJ28-3)="","",INDEX('Final Calculation Sheet'!$AG$4:$AG$40,$BJ28-3)),IF(OR($BI28=1,$BL28=1,$BH28&gt;0),"–",""))</f>
        <v/>
      </c>
      <c r="AH25" t="str">
        <f>IF($BJ28&gt;0,IF(INDEX('Final Calculation Sheet'!$AH$4:$AH$40,$BJ28-3)="","",INDEX('Final Calculation Sheet'!$AH$4:$AH$40,$BJ28-3)),IF(OR($BI28=1,$BL28=1,$BH28&gt;0),"–",""))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spans="1:35" x14ac:dyDescent="0.3">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Sheet'!$AF$4:$AF$40,$BJ29-3)="","",INDEX('Final Calculation Sheet'!$AF$4:$AF$40,$BJ29-3)),IF(OR($BI29=1,$BL29=1,$BH29&gt;0),"–",""))</f>
        <v/>
      </c>
      <c r="AG26" t="str">
        <f>IF($BJ29&gt;0,IF(INDEX('Final Calculation Sheet'!$AG$4:$AG$40,$BJ29-3)="","",INDEX('Final Calculation Sheet'!$AG$4:$AG$40,$BJ29-3)),IF(OR($BI29=1,$BL29=1,$BH29&gt;0),"–",""))</f>
        <v/>
      </c>
      <c r="AH26" t="str">
        <f>IF($BJ29&gt;0,IF(INDEX('Final Calculation Sheet'!$AH$4:$AH$40,$BJ29-3)="","",INDEX('Final Calculation Sheet'!$AH$4:$AH$40,$BJ29-3)),IF(OR($BI29=1,$BL29=1,$BH29&gt;0),"–",""))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spans="1:35" x14ac:dyDescent="0.3">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Sheet'!$AF$4:$AF$40,$BJ30-3)="","",INDEX('Final Calculation Sheet'!$AF$4:$AF$40,$BJ30-3)),IF(OR($BI30=1,$BL30=1,$BH30&gt;0),"–",""))</f>
        <v/>
      </c>
      <c r="AG27" t="str">
        <f>IF($BJ30&gt;0,IF(INDEX('Final Calculation Sheet'!$AG$4:$AG$40,$BJ30-3)="","",INDEX('Final Calculation Sheet'!$AG$4:$AG$40,$BJ30-3)),IF(OR($BI30=1,$BL30=1,$BH30&gt;0),"–",""))</f>
        <v/>
      </c>
      <c r="AH27" t="str">
        <f>IF($BJ30&gt;0,IF(INDEX('Final Calculation Sheet'!$AH$4:$AH$40,$BJ30-3)="","",INDEX('Final Calculation Sheet'!$AH$4:$AH$40,$BJ30-3)),IF(OR($BI30=1,$BL30=1,$BH30&gt;0),"–",""))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spans="1:35" x14ac:dyDescent="0.3">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Sheet'!$AF$4:$AF$40,$BJ31-3)="","",INDEX('Final Calculation Sheet'!$AF$4:$AF$40,$BJ31-3)),IF(OR($BI31=1,$BL31=1,$BH31&gt;0),"–",""))</f>
        <v/>
      </c>
      <c r="AG28" t="str">
        <f>IF($BJ31&gt;0,IF(INDEX('Final Calculation Sheet'!$AG$4:$AG$40,$BJ31-3)="","",INDEX('Final Calculation Sheet'!$AG$4:$AG$40,$BJ31-3)),IF(OR($BI31=1,$BL31=1,$BH31&gt;0),"–",""))</f>
        <v/>
      </c>
      <c r="AH28" t="str">
        <f>IF($BJ31&gt;0,IF(INDEX('Final Calculation Sheet'!$AH$4:$AH$40,$BJ31-3)="","",INDEX('Final Calculation Sheet'!$AH$4:$AH$40,$BJ31-3)),IF(OR($BI31=1,$BL31=1,$BH31&gt;0),"–",""))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spans="1:35" x14ac:dyDescent="0.3">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Sheet'!$AF$4:$AF$40,$BJ32-3)="","",INDEX('Final Calculation Sheet'!$AF$4:$AF$40,$BJ32-3)),IF(OR($BI32=1,$BL32=1,$BH32&gt;0),"–",""))</f>
        <v/>
      </c>
      <c r="AG29" t="str">
        <f>IF($BJ32&gt;0,IF(INDEX('Final Calculation Sheet'!$AG$4:$AG$40,$BJ32-3)="","",INDEX('Final Calculation Sheet'!$AG$4:$AG$40,$BJ32-3)),IF(OR($BI32=1,$BL32=1,$BH32&gt;0),"–",""))</f>
        <v/>
      </c>
      <c r="AH29" t="str">
        <f>IF($BJ32&gt;0,IF(INDEX('Final Calculation Sheet'!$AH$4:$AH$40,$BJ32-3)="","",INDEX('Final Calculation Sheet'!$AH$4:$AH$40,$BJ32-3)),IF(OR($BI32=1,$BL32=1,$BH32&gt;0),"–",""))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spans="1:35" x14ac:dyDescent="0.3">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Sheet'!$AF$4:$AF$40,$BJ33-3)="","",INDEX('Final Calculation Sheet'!$AF$4:$AF$40,$BJ33-3)),IF(OR($BI33=1,$BL33=1,$BH33&gt;0),"–",""))</f>
        <v/>
      </c>
      <c r="AG30" t="str">
        <f>IF($BJ33&gt;0,IF(INDEX('Final Calculation Sheet'!$AG$4:$AG$40,$BJ33-3)="","",INDEX('Final Calculation Sheet'!$AG$4:$AG$40,$BJ33-3)),IF(OR($BI33=1,$BL33=1,$BH33&gt;0),"–",""))</f>
        <v/>
      </c>
      <c r="AH30" t="str">
        <f>IF($BJ33&gt;0,IF(INDEX('Final Calculation Sheet'!$AH$4:$AH$40,$BJ33-3)="","",INDEX('Final Calculation Sheet'!$AH$4:$AH$40,$BJ33-3)),IF(OR($BI33=1,$BL33=1,$BH33&gt;0),"–",""))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spans="1:35" x14ac:dyDescent="0.3">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Sheet'!$AF$4:$AF$40,$BJ34-3)="","",INDEX('Final Calculation Sheet'!$AF$4:$AF$40,$BJ34-3)),IF(OR($BI34=1,$BL34=1,$BH34&gt;0),"–",""))</f>
        <v/>
      </c>
      <c r="AG31" t="str">
        <f>IF($BJ34&gt;0,IF(INDEX('Final Calculation Sheet'!$AG$4:$AG$40,$BJ34-3)="","",INDEX('Final Calculation Sheet'!$AG$4:$AG$40,$BJ34-3)),IF(OR($BI34=1,$BL34=1,$BH34&gt;0),"–",""))</f>
        <v/>
      </c>
      <c r="AH31" t="str">
        <f>IF($BJ34&gt;0,IF(INDEX('Final Calculation Sheet'!$AH$4:$AH$40,$BJ34-3)="","",INDEX('Final Calculation Sheet'!$AH$4:$AH$40,$BJ34-3)),IF(OR($BI34=1,$BL34=1,$BH34&gt;0),"–",""))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spans="1:35" x14ac:dyDescent="0.3">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Sheet'!$AF$4:$AF$40,$BJ35-3)="","",INDEX('Final Calculation Sheet'!$AF$4:$AF$40,$BJ35-3)),IF(OR($BI35=1,$BL35=1,$BH35&gt;0),"–",""))</f>
        <v/>
      </c>
      <c r="AG32" t="str">
        <f>IF($BJ35&gt;0,IF(INDEX('Final Calculation Sheet'!$AG$4:$AG$40,$BJ35-3)="","",INDEX('Final Calculation Sheet'!$AG$4:$AG$40,$BJ35-3)),IF(OR($BI35=1,$BL35=1,$BH35&gt;0),"–",""))</f>
        <v/>
      </c>
      <c r="AH32" t="str">
        <f>IF($BJ35&gt;0,IF(INDEX('Final Calculation Sheet'!$AH$4:$AH$40,$BJ35-3)="","",INDEX('Final Calculation Sheet'!$AH$4:$AH$40,$BJ35-3)),IF(OR($BI35=1,$BL35=1,$BH35&gt;0),"–",""))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spans="1:35" x14ac:dyDescent="0.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Sheet'!$AF$4:$AF$40,$BJ36-3)="","",INDEX('Final Calculation Sheet'!$AF$4:$AF$40,$BJ36-3)),IF(OR($BI36=1,$BL36=1,$BH36&gt;0),"–",""))</f>
        <v/>
      </c>
      <c r="AG33" t="str">
        <f>IF($BJ36&gt;0,IF(INDEX('Final Calculation Sheet'!$AG$4:$AG$40,$BJ36-3)="","",INDEX('Final Calculation Sheet'!$AG$4:$AG$40,$BJ36-3)),IF(OR($BI36=1,$BL36=1,$BH36&gt;0),"–",""))</f>
        <v/>
      </c>
      <c r="AH33" t="str">
        <f>IF($BJ36&gt;0,IF(INDEX('Final Calculation Sheet'!$AH$4:$AH$40,$BJ36-3)="","",INDEX('Final Calculation Sheet'!$AH$4:$AH$40,$BJ36-3)),IF(OR($BI36=1,$BL36=1,$BH36&gt;0),"–",""))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spans="1:35" x14ac:dyDescent="0.3">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Sheet'!$AF$4:$AF$40,$BJ37-3)="","",INDEX('Final Calculation Sheet'!$AF$4:$AF$40,$BJ37-3)),IF(OR($BI37=1,$BL37=1,$BH37&gt;0),"–",""))</f>
        <v/>
      </c>
      <c r="AG34" t="str">
        <f>IF($BJ37&gt;0,IF(INDEX('Final Calculation Sheet'!$AG$4:$AG$40,$BJ37-3)="","",INDEX('Final Calculation Sheet'!$AG$4:$AG$40,$BJ37-3)),IF(OR($BI37=1,$BL37=1,$BH37&gt;0),"–",""))</f>
        <v/>
      </c>
      <c r="AH34" t="str">
        <f>IF($BJ37&gt;0,IF(INDEX('Final Calculation Sheet'!$AH$4:$AH$40,$BJ37-3)="","",INDEX('Final Calculation Sheet'!$AH$4:$AH$40,$BJ37-3)),IF(OR($BI37=1,$BL37=1,$BH37&gt;0),"–",""))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spans="1:35" x14ac:dyDescent="0.3">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Sheet'!$AF$4:$AF$40,$BJ38-3)="","",INDEX('Final Calculation Sheet'!$AF$4:$AF$40,$BJ38-3)),IF(OR($BI38=1,$BL38=1,$BH38&gt;0),"–",""))</f>
        <v/>
      </c>
      <c r="AG35" t="str">
        <f>IF($BJ38&gt;0,IF(INDEX('Final Calculation Sheet'!$AG$4:$AG$40,$BJ38-3)="","",INDEX('Final Calculation Sheet'!$AG$4:$AG$40,$BJ38-3)),IF(OR($BI38=1,$BL38=1,$BH38&gt;0),"–",""))</f>
        <v/>
      </c>
      <c r="AH35" t="str">
        <f>IF($BJ38&gt;0,IF(INDEX('Final Calculation Sheet'!$AH$4:$AH$40,$BJ38-3)="","",INDEX('Final Calculation Sheet'!$AH$4:$AH$40,$BJ38-3)),IF(OR($BI38=1,$BL38=1,$BH38&gt;0),"–",""))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spans="1:35" x14ac:dyDescent="0.3">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Sheet'!$AF$4:$AF$40,$BJ39-3)="","",INDEX('Final Calculation Sheet'!$AF$4:$AF$40,$BJ39-3)),IF(OR($BI39=1,$BL39=1,$BH39&gt;0),"–",""))</f>
        <v/>
      </c>
      <c r="AG36" t="str">
        <f>IF($BJ39&gt;0,IF(INDEX('Final Calculation Sheet'!$AG$4:$AG$40,$BJ39-3)="","",INDEX('Final Calculation Sheet'!$AG$4:$AG$40,$BJ39-3)),IF(OR($BI39=1,$BL39=1,$BH39&gt;0),"–",""))</f>
        <v/>
      </c>
      <c r="AH36" t="str">
        <f>IF($BJ39&gt;0,IF(INDEX('Final Calculation Sheet'!$AH$4:$AH$40,$BJ39-3)="","",INDEX('Final Calculation Sheet'!$AH$4:$AH$40,$BJ39-3)),IF(OR($BI39=1,$BL39=1,$BH39&gt;0),"–",""))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spans="1:35" x14ac:dyDescent="0.3">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Sheet'!$AF$4:$AF$40,$BJ40-3)="","",INDEX('Final Calculation Sheet'!$AF$4:$AF$40,$BJ40-3)),IF(OR($BI40=1,$BL40=1,$BH40&gt;0),"–",""))</f>
        <v/>
      </c>
      <c r="AG37" t="str">
        <f>IF($BJ40&gt;0,IF(INDEX('Final Calculation Sheet'!$AG$4:$AG$40,$BJ40-3)="","",INDEX('Final Calculation Sheet'!$AG$4:$AG$40,$BJ40-3)),IF(OR($BI40=1,$BL40=1,$BH40&gt;0),"–",""))</f>
        <v/>
      </c>
      <c r="AH37" t="str">
        <f>IF($BJ40&gt;0,IF(INDEX('Final Calculation Sheet'!$AH$4:$AH$40,$BJ40-3)="","",INDEX('Final Calculation Sheet'!$AH$4:$AH$40,$BJ40-3)),IF(OR($BI40=1,$BL40=1,$BH40&gt;0),"–",""))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spans="1:35" x14ac:dyDescent="0.3">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Sheet'!$AF$4:$AF$40,$BJ41-3)="","",INDEX('Final Calculation Sheet'!$AF$4:$AF$40,$BJ41-3)),IF(OR($BI41=1,$BL41=1,$BH41&gt;0),"–",""))</f>
        <v/>
      </c>
      <c r="AG38" t="str">
        <f>IF($BJ41&gt;0,IF(INDEX('Final Calculation Sheet'!$AG$4:$AG$40,$BJ41-3)="","",INDEX('Final Calculation Sheet'!$AG$4:$AG$40,$BJ41-3)),IF(OR($BI41=1,$BL41=1,$BH41&gt;0),"–",""))</f>
        <v/>
      </c>
      <c r="AH38" t="str">
        <f>IF($BJ41&gt;0,IF(INDEX('Final Calculation Sheet'!$AH$4:$AH$40,$BJ41-3)="","",INDEX('Final Calculation Sheet'!$AH$4:$AH$40,$BJ41-3)),IF(OR($BI41=1,$BL41=1,$BH41&gt;0),"–",""))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Final Calculation Sheet</vt:lpstr>
      <vt:lpstr>Live Search</vt:lpstr>
      <vt:lpstr>Buyer Groups</vt:lpstr>
      <vt:lpstr>Lists</vt:lpstr>
      <vt:lpstr>LS_Backup</vt:lpstr>
      <vt:lpstr>'Live Search'!Print_Titles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S.M.C</dc:creator>
  <cp:lastModifiedBy>Piyush Prakash Dhabekar</cp:lastModifiedBy>
  <cp:revision>0</cp:revision>
  <dcterms:created xsi:type="dcterms:W3CDTF">2026-09-02T06:08:07Z</dcterms:created>
  <dcterms:modified xsi:type="dcterms:W3CDTF">2026-09-11T15:41:54Z</dcterms:modified>
  <dc:language>en-US</dc:language>
</cp:coreProperties>
</file>