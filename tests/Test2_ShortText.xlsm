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N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ARE PINNED TO THE TOP — as soon as any SEARCH box holds a value, the strip in rows 7:43 opens above the buyer blocks and lists every matching lot there (same rule as the yellow highlight: contains-text per column, AND across columns, (blank)/(nonblank) supported), while the lots that do NOT match go grey inside the blocks below; the strip hides itself again once the SEARCH row is cleared, and its +/- control on row 44 opens or closes it by hand too. For multi-value ANY (comma) or wildcards use Live Search.  •  LIFT MATCHING BLOCKS — double-click the ▸ MATCHED LOTS bar (row 6) and every buyer block holding a matching lot moves to the top of the list, matched lots first inside the block; double-click the bar again to restore the plain alphabetical order. Typing in the SEARCH row puts the blocks back in that plain order first, so every search starts from the same layout. Blocks are physically moved, never rewritten, so shading, row groups, subtotals and every live link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c r="A6" s="117" t="inlineStr">
        <is>
          <t>▸ MATCHED LOTS</t>
        </is>
      </c>
      <c r="B6" s="117" t="n"/>
      <c r="C6" s="117" t="str">
        <f>IF(COUNTIF($B$4:$AI$4,"&lt;&gt;")=0,"STATUS - no search text typed yet","STATUS - "&amp;SUM($AJ$6:$AJ$42)&amp;" of 37 lot(s) match"&amp;IF($EP$1=1," - blocks lifted",""))</f>
        <v>STATUS - no search text typed yet</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c r="AJ6">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G6">
        <f>IF($B$4="",1,IF($B$4="(blank)",--('Final Calculation Sheet'!$F$4=""),IF($B$4="(nonblank)",--('Final Calculation Sheet'!$F$4&lt;&gt;""),--ISNUMBER(SEARCH($B$4,'Final Calculation Sheet'!$F$4)))))</f>
        <v/>
      </c>
      <c r="DH6">
        <f>IF($C$4="",1,IF($C$4="(blank)",--('Final Calculation Sheet'!$G$4=""),IF($C$4="(nonblank)",--('Final Calculation Sheet'!$G$4&lt;&gt;""),--ISNUMBER(SEARCH($C$4,'Final Calculation Sheet'!$G$4)))))</f>
        <v/>
      </c>
      <c r="DI6">
        <f>IF($D$4="",1,IF($D$4="(blank)",--('Final Calculation Sheet'!$B$4=""),IF($D$4="(nonblank)",--('Final Calculation Sheet'!$B$4&lt;&gt;""),--ISNUMBER(SEARCH($D$4,'Final Calculation Sheet'!$B$4)))))</f>
        <v/>
      </c>
      <c r="DJ6">
        <f>IF($E$4="",1,IF($E$4="(blank)",--('Final Calculation Sheet'!$D$4=""),IF($E$4="(nonblank)",--('Final Calculation Sheet'!$D$4&lt;&gt;""),--ISNUMBER(SEARCH($E$4,'Final Calculation Sheet'!$D$4)))))</f>
        <v/>
      </c>
      <c r="DK6">
        <f>IF($F$4="",1,IF($F$4="(blank)",--('Final Calculation Sheet'!$A$4=""),IF($F$4="(nonblank)",--('Final Calculation Sheet'!$A$4&lt;&gt;""),--ISNUMBER(SEARCH($F$4,'Final Calculation Sheet'!$A$4)))))</f>
        <v/>
      </c>
      <c r="DL6">
        <f>IF($G$4="",1,IF($G$4="(blank)",--('Final Calculation Sheet'!$E$4=""),IF($G$4="(nonblank)",--('Final Calculation Sheet'!$E$4&lt;&gt;""),--ISNUMBER(SEARCH($G$4,'Final Calculation Sheet'!$E$4)))))</f>
        <v/>
      </c>
      <c r="DM6">
        <f>IF($H$4="",1,IF($H$4="(blank)",--('Final Calculation Sheet'!$C$4=""),IF($H$4="(nonblank)",--('Final Calculation Sheet'!$C$4&lt;&gt;""),--ISNUMBER(SEARCH($H$4,'Final Calculation Sheet'!$C$4)))))</f>
        <v/>
      </c>
      <c r="DN6">
        <f>IF($I$4="",1,IF($I$4="(blank)",--('Final Calculation Sheet'!$H$4=""),IF($I$4="(nonblank)",--('Final Calculation Sheet'!$H$4&lt;&gt;""),--ISNUMBER(SEARCH($I$4,'Final Calculation Sheet'!$H$4)))))</f>
        <v/>
      </c>
      <c r="DO6">
        <f>IF($J$4="",1,IF($J$4="(blank)",--('Final Calculation Sheet'!$I$4=""),IF($J$4="(nonblank)",--('Final Calculation Sheet'!$I$4&lt;&gt;""),--ISNUMBER(SEARCH($J$4,'Final Calculation Sheet'!$I$4)))))</f>
        <v/>
      </c>
      <c r="DP6">
        <f>IF($K$4="",1,IF($K$4="(blank)",--('Final Calculation Sheet'!$J$4=""),IF($K$4="(nonblank)",--('Final Calculation Sheet'!$J$4&lt;&gt;""),--ISNUMBER(SEARCH($K$4,'Final Calculation Sheet'!$J$4)))))</f>
        <v/>
      </c>
      <c r="DQ6">
        <f>IF($L$4="",1,IF($L$4="(blank)",--('Final Calculation Sheet'!$K$4=""),IF($L$4="(nonblank)",--('Final Calculation Sheet'!$K$4&lt;&gt;""),--ISNUMBER(SEARCH($L$4,'Final Calculation Sheet'!$K$4)))))</f>
        <v/>
      </c>
      <c r="DR6">
        <f>IF($M$4="",1,IF($M$4="(blank)",--('Final Calculation Sheet'!$L$4=""),IF($M$4="(nonblank)",--('Final Calculation Sheet'!$L$4&lt;&gt;""),--ISNUMBER(SEARCH($M$4,'Final Calculation Sheet'!$L$4)))))</f>
        <v/>
      </c>
      <c r="DS6">
        <f>IF($N$4="",1,IF($N$4="(blank)",--('Final Calculation Sheet'!$M$4=""),IF($N$4="(nonblank)",--('Final Calculation Sheet'!$M$4&lt;&gt;""),--ISNUMBER(SEARCH($N$4,'Final Calculation Sheet'!$M$4)))))</f>
        <v/>
      </c>
      <c r="DT6">
        <f>IF($O$4="",1,IF($O$4="(blank)",--('Final Calculation Sheet'!$N$4=""),IF($O$4="(nonblank)",--('Final Calculation Sheet'!$N$4&lt;&gt;""),--ISNUMBER(SEARCH($O$4,'Final Calculation Sheet'!$N$4)))))</f>
        <v/>
      </c>
      <c r="DU6">
        <f>IF($P$4="",1,IF($P$4="(blank)",--('Final Calculation Sheet'!$O$4=""),IF($P$4="(nonblank)",--('Final Calculation Sheet'!$O$4&lt;&gt;""),--ISNUMBER(SEARCH($P$4,'Final Calculation Sheet'!$O$4)))))</f>
        <v/>
      </c>
      <c r="DV6">
        <f>IF($Q$4="",1,IF($Q$4="(blank)",--('Final Calculation Sheet'!$P$4=""),IF($Q$4="(nonblank)",--('Final Calculation Sheet'!$P$4&lt;&gt;""),--ISNUMBER(SEARCH($Q$4,'Final Calculation Sheet'!$P$4)))))</f>
        <v/>
      </c>
      <c r="DW6">
        <f>IF($R$4="",1,IF($R$4="(blank)",--('Final Calculation Sheet'!$Q$4=""),IF($R$4="(nonblank)",--('Final Calculation Sheet'!$Q$4&lt;&gt;""),--ISNUMBER(SEARCH($R$4,'Final Calculation Sheet'!$Q$4)))))</f>
        <v/>
      </c>
      <c r="DX6">
        <f>IF($S$4="",1,IF($S$4="(blank)",--('Final Calculation Sheet'!$R$4=""),IF($S$4="(nonblank)",--('Final Calculation Sheet'!$R$4&lt;&gt;""),--ISNUMBER(SEARCH($S$4,'Final Calculation Sheet'!$R$4)))))</f>
        <v/>
      </c>
      <c r="DY6">
        <f>IF($T$4="",1,IF($T$4="(blank)",--('Final Calculation Sheet'!$S$4=""),IF($T$4="(nonblank)",--('Final Calculation Sheet'!$S$4&lt;&gt;""),--ISNUMBER(SEARCH($T$4,'Final Calculation Sheet'!$S$4)))))</f>
        <v/>
      </c>
      <c r="DZ6">
        <f>IF($U$4="",1,IF($U$4="(blank)",--('Final Calculation Sheet'!$T$4=""),IF($U$4="(nonblank)",--('Final Calculation Sheet'!$T$4&lt;&gt;""),--ISNUMBER(SEARCH($U$4,'Final Calculation Sheet'!$T$4)))))</f>
        <v/>
      </c>
      <c r="EA6">
        <f>IF($V$4="",1,IF($V$4="(blank)",--('Final Calculation Sheet'!$U$4=""),IF($V$4="(nonblank)",--('Final Calculation Sheet'!$U$4&lt;&gt;""),--ISNUMBER(SEARCH($V$4,'Final Calculation Sheet'!$U$4)))))</f>
        <v/>
      </c>
      <c r="EB6">
        <f>IF($W$4="",1,IF($W$4="(blank)",--('Final Calculation Sheet'!$V$4=""),IF($W$4="(nonblank)",--('Final Calculation Sheet'!$V$4&lt;&gt;""),--ISNUMBER(SEARCH($W$4,'Final Calculation Sheet'!$V$4)))))</f>
        <v/>
      </c>
      <c r="EC6">
        <f>IF($X$4="",1,IF($X$4="(blank)",--('Final Calculation Sheet'!$W$4=""),IF($X$4="(nonblank)",--('Final Calculation Sheet'!$W$4&lt;&gt;""),--ISNUMBER(SEARCH($X$4,'Final Calculation Sheet'!$W$4)))))</f>
        <v/>
      </c>
      <c r="ED6">
        <f>IF($Y$4="",1,IF($Y$4="(blank)",--('Final Calculation Sheet'!$X$4=""),IF($Y$4="(nonblank)",--('Final Calculation Sheet'!$X$4&lt;&gt;""),--ISNUMBER(SEARCH($Y$4,'Final Calculation Sheet'!$X$4)))))</f>
        <v/>
      </c>
      <c r="EE6">
        <f>IF($Z$4="",1,IF($Z$4="(blank)",--('Final Calculation Sheet'!$Y$4=""),IF($Z$4="(nonblank)",--('Final Calculation Sheet'!$Y$4&lt;&gt;""),--ISNUMBER(SEARCH($Z$4,'Final Calculation Sheet'!$Y$4)))))</f>
        <v/>
      </c>
      <c r="EF6">
        <f>IF($AA$4="",1,IF($AA$4="(blank)",--('Final Calculation Sheet'!$Z$4=""),IF($AA$4="(nonblank)",--('Final Calculation Sheet'!$Z$4&lt;&gt;""),--ISNUMBER(SEARCH($AA$4,'Final Calculation Sheet'!$Z$4)))))</f>
        <v/>
      </c>
      <c r="EG6">
        <f>IF($AB$4="",1,IF($AB$4="(blank)",--('Final Calculation Sheet'!$AA$4=""),IF($AB$4="(nonblank)",--('Final Calculation Sheet'!$AA$4&lt;&gt;""),--ISNUMBER(SEARCH($AB$4,'Final Calculation Sheet'!$AA$4)))))</f>
        <v/>
      </c>
      <c r="EH6">
        <f>IF($AC$4="",1,IF($AC$4="(blank)",--('Final Calculation Sheet'!$AB$4=""),IF($AC$4="(nonblank)",--('Final Calculation Sheet'!$AB$4&lt;&gt;""),--ISNUMBER(SEARCH($AC$4,'Final Calculation Sheet'!$AB$4)))))</f>
        <v/>
      </c>
      <c r="EI6">
        <f>IF($AD$4="",1,IF($AD$4="(blank)",--('Final Calculation Sheet'!$AC$4=""),IF($AD$4="(nonblank)",--('Final Calculation Sheet'!$AC$4&lt;&gt;""),--ISNUMBER(SEARCH($AD$4,'Final Calculation Sheet'!$AC$4)))))</f>
        <v/>
      </c>
      <c r="EJ6">
        <f>IF($AE$4="",1,IF($AE$4="(blank)",--('Final Calculation Sheet'!$AD$4=""),IF($AE$4="(nonblank)",--('Final Calculation Sheet'!$AD$4&lt;&gt;""),--ISNUMBER(SEARCH($AE$4,'Final Calculation Sheet'!$AD$4)))))</f>
        <v/>
      </c>
      <c r="EK6">
        <f>IF($AF$4="",1,IF($AF$4="(blank)",--(IF('Final Calculation Sheet'!$AD$4&lt;=5,"SETTLED","OUTSTANDING")=""),IF($AF$4="(nonblank)",--(IF('Final Calculation Sheet'!$AD$4&lt;=5,"SETTLED","OUTSTANDING")&lt;&gt;""),--ISNUMBER(SEARCH($AF$4,IF('Final Calculation Sheet'!$AD$4&lt;=5,"SETTLED","OUTSTANDING"))))))</f>
        <v/>
      </c>
      <c r="EL6">
        <f>IF($AG$4="",1,IF($AG$4="(blank)",--('Final Calculation Sheet'!$AF$4=""),IF($AG$4="(nonblank)",--('Final Calculation Sheet'!$AF$4&lt;&gt;""),--ISNUMBER(SEARCH($AG$4,'Final Calculation Sheet'!$AF$4)))))</f>
        <v/>
      </c>
      <c r="EM6">
        <f>IF($AH$4="",1,IF($AH$4="(blank)",--('Final Calculation Sheet'!$AG$4=""),IF($AH$4="(nonblank)",--('Final Calculation Sheet'!$AG$4&lt;&gt;""),--ISNUMBER(SEARCH($AH$4,'Final Calculation Sheet'!$AG$4)))))</f>
        <v/>
      </c>
      <c r="EN6">
        <f>IF($AI$4="",1,IF($AI$4="(blank)",--('Final Calculation Sheet'!$AH$4=""),IF($AI$4="(nonblank)",--('Final Calculation Sheet'!$AH$4&lt;&gt;""),--ISNUMBER(SEARCH($AI$4,'Final Calculation Sheet'!$AH$4)))))</f>
        <v/>
      </c>
    </row>
    <row r="7" outlineLevel="1" hidden="1">
      <c r="A7" s="118">
        <f>IF($AL$7="","",1)</f>
        <v/>
      </c>
      <c r="B7" s="119">
        <f>IF($AL$7="","",IF(INDEX('Final Calculation Sheet'!$F$4:$F$40,$AL$7)="","",INDEX('Final Calculation Sheet'!$F$4:$F$40,$AL$7)))</f>
        <v/>
      </c>
      <c r="C7" s="119">
        <f>IF($AL$7="","",IF(INDEX('Final Calculation Sheet'!$G$4:$G$40,$AL$7)="","",INDEX('Final Calculation Sheet'!$G$4:$G$40,$AL$7)))</f>
        <v/>
      </c>
      <c r="D7" s="120">
        <f>IF(COUNTIF($B$4:$AI$4,"&lt;&gt;")=0,"↑ Pick a value from any SEARCH dropdown (or type) — ↓ the SEARCH row above is what fills this list",IF($AL7="","",IF(INDEX('Final Calculation Sheet'!$B$4:$B$40,$AL7)="","",INDEX('Final Calculation Sheet'!$B$4:$B$40,$AL7))))</f>
        <v/>
      </c>
      <c r="E7" s="121">
        <f>IF($AL$7="","",IF(INDEX('Final Calculation Sheet'!$D$4:$D$40,$AL$7)="","",INDEX('Final Calculation Sheet'!$D$4:$D$40,$AL$7)))</f>
        <v/>
      </c>
      <c r="F7" s="121">
        <f>IF($AL$7="","",IF(INDEX('Final Calculation Sheet'!$A$4:$A$40,$AL$7)="","",INDEX('Final Calculation Sheet'!$A$4:$A$40,$AL$7)))</f>
        <v/>
      </c>
      <c r="G7" s="121">
        <f>IF($AL$7="","",IF(INDEX('Final Calculation Sheet'!$E$4:$E$40,$AL$7)="","",INDEX('Final Calculation Sheet'!$E$4:$E$40,$AL$7)))</f>
        <v/>
      </c>
      <c r="H7" s="122">
        <f>IF($AL$7="","",IF(INDEX('Final Calculation Sheet'!$C$4:$C$40,$AL$7)="","",INDEX('Final Calculation Sheet'!$C$4:$C$40,$AL$7)))</f>
        <v/>
      </c>
      <c r="I7" s="122">
        <f>IF($AL$7="","",IF(INDEX('Final Calculation Sheet'!$H$4:$H$40,$AL$7)="","",INDEX('Final Calculation Sheet'!$H$4:$H$40,$AL$7)))</f>
        <v/>
      </c>
      <c r="J7" s="122">
        <f>IF($AL$7="","",IF(INDEX('Final Calculation Sheet'!$I$4:$I$40,$AL$7)="","",INDEX('Final Calculation Sheet'!$I$4:$I$40,$AL$7)))</f>
        <v/>
      </c>
      <c r="K7" s="122">
        <f>IF($AL$7="","",IF(INDEX('Final Calculation Sheet'!$J$4:$J$40,$AL$7)="","",INDEX('Final Calculation Sheet'!$J$4:$J$40,$AL$7)))</f>
        <v/>
      </c>
      <c r="L7" s="122">
        <f>IF($AL$7="","",IF(INDEX('Final Calculation Sheet'!$K$4:$K$40,$AL$7)="","",INDEX('Final Calculation Sheet'!$K$4:$K$40,$AL$7)))</f>
        <v/>
      </c>
      <c r="M7" s="122">
        <f>IF($AL$7="","",IF(INDEX('Final Calculation Sheet'!$L$4:$L$40,$AL$7)="","",INDEX('Final Calculation Sheet'!$L$4:$L$40,$AL$7)))</f>
        <v/>
      </c>
      <c r="N7" s="122">
        <f>IF($AL$7="","",IF(INDEX('Final Calculation Sheet'!$M$4:$M$40,$AL$7)="","",INDEX('Final Calculation Sheet'!$M$4:$M$40,$AL$7)))</f>
        <v/>
      </c>
      <c r="O7" s="123">
        <f>IF($AL$7="","",IF(INDEX('Final Calculation Sheet'!$N$4:$N$40,$AL$7)="","",INDEX('Final Calculation Sheet'!$N$4:$N$40,$AL$7)))</f>
        <v/>
      </c>
      <c r="P7" s="122">
        <f>IF($AL$7="","",IF(INDEX('Final Calculation Sheet'!$O$4:$O$40,$AL$7)="","",INDEX('Final Calculation Sheet'!$O$4:$O$40,$AL$7)))</f>
        <v/>
      </c>
      <c r="Q7" s="122">
        <f>IF($AL$7="","",IF(INDEX('Final Calculation Sheet'!$P$4:$P$40,$AL$7)="","",INDEX('Final Calculation Sheet'!$P$4:$P$40,$AL$7)))</f>
        <v/>
      </c>
      <c r="R7" s="124">
        <f>IF($AL$7="","",IF(INDEX('Final Calculation Sheet'!$Q$4:$Q$40,$AL$7)="","",INDEX('Final Calculation Sheet'!$Q$4:$Q$40,$AL$7)))</f>
        <v/>
      </c>
      <c r="S7" s="122">
        <f>IF($AL$7="","",IF(INDEX('Final Calculation Sheet'!$R$4:$R$40,$AL$7)="","",INDEX('Final Calculation Sheet'!$R$4:$R$40,$AL$7)))</f>
        <v/>
      </c>
      <c r="T7" s="122">
        <f>IF($AL$7="","",IF(INDEX('Final Calculation Sheet'!$S$4:$S$40,$AL$7)="","",INDEX('Final Calculation Sheet'!$S$4:$S$40,$AL$7)))</f>
        <v/>
      </c>
      <c r="U7" s="122">
        <f>IF($AL$7="","",IF(INDEX('Final Calculation Sheet'!$T$4:$T$40,$AL$7)="","",INDEX('Final Calculation Sheet'!$T$4:$T$40,$AL$7)))</f>
        <v/>
      </c>
      <c r="V7" s="125">
        <f>IF($AL$7="","",IF(INDEX('Final Calculation Sheet'!$U$4:$U$40,$AL$7)="","",INDEX('Final Calculation Sheet'!$U$4:$U$40,$AL$7)))</f>
        <v/>
      </c>
      <c r="W7" s="122">
        <f>IF($AL$7="","",IF(INDEX('Final Calculation Sheet'!$V$4:$V$40,$AL$7)="","",INDEX('Final Calculation Sheet'!$V$4:$V$40,$AL$7)))</f>
        <v/>
      </c>
      <c r="X7" s="122">
        <f>IF($AL$7="","",IF(INDEX('Final Calculation Sheet'!$W$4:$W$40,$AL$7)="","",INDEX('Final Calculation Sheet'!$W$4:$W$40,$AL$7)))</f>
        <v/>
      </c>
      <c r="Y7" s="122">
        <f>IF($AL$7="","",IF(INDEX('Final Calculation Sheet'!$X$4:$X$40,$AL$7)="","",INDEX('Final Calculation Sheet'!$X$4:$X$40,$AL$7)))</f>
        <v/>
      </c>
      <c r="Z7" s="122">
        <f>IF($AL$7="","",IF(INDEX('Final Calculation Sheet'!$Y$4:$Y$40,$AL$7)="","",INDEX('Final Calculation Sheet'!$Y$4:$Y$40,$AL$7)))</f>
        <v/>
      </c>
      <c r="AA7" s="122">
        <f>IF($AL$7="","",IF(INDEX('Final Calculation Sheet'!$Z$4:$Z$40,$AL$7)="","",INDEX('Final Calculation Sheet'!$Z$4:$Z$40,$AL$7)))</f>
        <v/>
      </c>
      <c r="AB7" s="122">
        <f>IF($AL$7="","",IF(INDEX('Final Calculation Sheet'!$AA$4:$AA$40,$AL$7)="","",INDEX('Final Calculation Sheet'!$AA$4:$AA$40,$AL$7)))</f>
        <v/>
      </c>
      <c r="AC7" s="122">
        <f>IF($AL$7="","",IF(INDEX('Final Calculation Sheet'!$AB$4:$AB$40,$AL$7)="","",INDEX('Final Calculation Sheet'!$AB$4:$AB$40,$AL$7)))</f>
        <v/>
      </c>
      <c r="AD7" s="122">
        <f>IF($AL$7="","",IF(INDEX('Final Calculation Sheet'!$AC$4:$AC$40,$AL$7)="","",INDEX('Final Calculation Sheet'!$AC$4:$AC$40,$AL$7)))</f>
        <v/>
      </c>
      <c r="AE7" s="122">
        <f>IF($AL$7="","",IF(INDEX('Final Calculation Sheet'!$AD$4:$AD$40,$AL$7)="","",INDEX('Final Calculation Sheet'!$AD$4:$AD$40,$AL$7)))</f>
        <v/>
      </c>
      <c r="AF7" s="127">
        <f>IF($AL$7="","",IF(INDEX('Final Calculation Sheet'!$AD$4:$AD$40,$AL$7)&lt;=5,"SETTLED","OUTSTANDING"))</f>
        <v/>
      </c>
      <c r="AG7" s="122">
        <f>IF($AL$7="","",IF(INDEX('Final Calculation Sheet'!$AF$4:$AF$40,$AL$7)="","",INDEX('Final Calculation Sheet'!$AF$4:$AF$40,$AL$7)))</f>
        <v/>
      </c>
      <c r="AH7" s="126">
        <f>IF($AL$7="","",IF(INDEX('Final Calculation Sheet'!$AG$4:$AG$40,$AL$7)="","",INDEX('Final Calculation Sheet'!$AG$4:$AG$40,$AL$7)))</f>
        <v/>
      </c>
      <c r="AI7" s="122">
        <f>IF($AL$7="","",IF(INDEX('Final Calculation Sheet'!$AH$4:$AH$40,$AL$7)="","",INDEX('Final Calculation Sheet'!$AH$4:$AH$40,$AL$7)))</f>
        <v/>
      </c>
      <c r="AJ7">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7">
        <f>IF(AJ7=1,COUNTIF(AJ$6:AJ7,1),"")</f>
        <v/>
      </c>
      <c r="AL7">
        <f>IF(COUNTIF($B$4:$AI$4,"&lt;&gt;")=0,"",IFERROR(MATCH(1,$AK$6:$AK$42,0),""))</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G7">
        <f>IF($B$4="",1,IF($B$4="(blank)",--('Final Calculation Sheet'!$F$5=""),IF($B$4="(nonblank)",--('Final Calculation Sheet'!$F$5&lt;&gt;""),--ISNUMBER(SEARCH($B$4,'Final Calculation Sheet'!$F$5)))))</f>
        <v/>
      </c>
      <c r="DH7">
        <f>IF($C$4="",1,IF($C$4="(blank)",--('Final Calculation Sheet'!$G$5=""),IF($C$4="(nonblank)",--('Final Calculation Sheet'!$G$5&lt;&gt;""),--ISNUMBER(SEARCH($C$4,'Final Calculation Sheet'!$G$5)))))</f>
        <v/>
      </c>
      <c r="DI7">
        <f>IF($D$4="",1,IF($D$4="(blank)",--('Final Calculation Sheet'!$B$5=""),IF($D$4="(nonblank)",--('Final Calculation Sheet'!$B$5&lt;&gt;""),--ISNUMBER(SEARCH($D$4,'Final Calculation Sheet'!$B$5)))))</f>
        <v/>
      </c>
      <c r="DJ7">
        <f>IF($E$4="",1,IF($E$4="(blank)",--('Final Calculation Sheet'!$D$5=""),IF($E$4="(nonblank)",--('Final Calculation Sheet'!$D$5&lt;&gt;""),--ISNUMBER(SEARCH($E$4,'Final Calculation Sheet'!$D$5)))))</f>
        <v/>
      </c>
      <c r="DK7">
        <f>IF($F$4="",1,IF($F$4="(blank)",--('Final Calculation Sheet'!$A$5=""),IF($F$4="(nonblank)",--('Final Calculation Sheet'!$A$5&lt;&gt;""),--ISNUMBER(SEARCH($F$4,'Final Calculation Sheet'!$A$5)))))</f>
        <v/>
      </c>
      <c r="DL7">
        <f>IF($G$4="",1,IF($G$4="(blank)",--('Final Calculation Sheet'!$E$5=""),IF($G$4="(nonblank)",--('Final Calculation Sheet'!$E$5&lt;&gt;""),--ISNUMBER(SEARCH($G$4,'Final Calculation Sheet'!$E$5)))))</f>
        <v/>
      </c>
      <c r="DM7">
        <f>IF($H$4="",1,IF($H$4="(blank)",--('Final Calculation Sheet'!$C$5=""),IF($H$4="(nonblank)",--('Final Calculation Sheet'!$C$5&lt;&gt;""),--ISNUMBER(SEARCH($H$4,'Final Calculation Sheet'!$C$5)))))</f>
        <v/>
      </c>
      <c r="DN7">
        <f>IF($I$4="",1,IF($I$4="(blank)",--('Final Calculation Sheet'!$H$5=""),IF($I$4="(nonblank)",--('Final Calculation Sheet'!$H$5&lt;&gt;""),--ISNUMBER(SEARCH($I$4,'Final Calculation Sheet'!$H$5)))))</f>
        <v/>
      </c>
      <c r="DO7">
        <f>IF($J$4="",1,IF($J$4="(blank)",--('Final Calculation Sheet'!$I$5=""),IF($J$4="(nonblank)",--('Final Calculation Sheet'!$I$5&lt;&gt;""),--ISNUMBER(SEARCH($J$4,'Final Calculation Sheet'!$I$5)))))</f>
        <v/>
      </c>
      <c r="DP7">
        <f>IF($K$4="",1,IF($K$4="(blank)",--('Final Calculation Sheet'!$J$5=""),IF($K$4="(nonblank)",--('Final Calculation Sheet'!$J$5&lt;&gt;""),--ISNUMBER(SEARCH($K$4,'Final Calculation Sheet'!$J$5)))))</f>
        <v/>
      </c>
      <c r="DQ7">
        <f>IF($L$4="",1,IF($L$4="(blank)",--('Final Calculation Sheet'!$K$5=""),IF($L$4="(nonblank)",--('Final Calculation Sheet'!$K$5&lt;&gt;""),--ISNUMBER(SEARCH($L$4,'Final Calculation Sheet'!$K$5)))))</f>
        <v/>
      </c>
      <c r="DR7">
        <f>IF($M$4="",1,IF($M$4="(blank)",--('Final Calculation Sheet'!$L$5=""),IF($M$4="(nonblank)",--('Final Calculation Sheet'!$L$5&lt;&gt;""),--ISNUMBER(SEARCH($M$4,'Final Calculation Sheet'!$L$5)))))</f>
        <v/>
      </c>
      <c r="DS7">
        <f>IF($N$4="",1,IF($N$4="(blank)",--('Final Calculation Sheet'!$M$5=""),IF($N$4="(nonblank)",--('Final Calculation Sheet'!$M$5&lt;&gt;""),--ISNUMBER(SEARCH($N$4,'Final Calculation Sheet'!$M$5)))))</f>
        <v/>
      </c>
      <c r="DT7">
        <f>IF($O$4="",1,IF($O$4="(blank)",--('Final Calculation Sheet'!$N$5=""),IF($O$4="(nonblank)",--('Final Calculation Sheet'!$N$5&lt;&gt;""),--ISNUMBER(SEARCH($O$4,'Final Calculation Sheet'!$N$5)))))</f>
        <v/>
      </c>
      <c r="DU7">
        <f>IF($P$4="",1,IF($P$4="(blank)",--('Final Calculation Sheet'!$O$5=""),IF($P$4="(nonblank)",--('Final Calculation Sheet'!$O$5&lt;&gt;""),--ISNUMBER(SEARCH($P$4,'Final Calculation Sheet'!$O$5)))))</f>
        <v/>
      </c>
      <c r="DV7">
        <f>IF($Q$4="",1,IF($Q$4="(blank)",--('Final Calculation Sheet'!$P$5=""),IF($Q$4="(nonblank)",--('Final Calculation Sheet'!$P$5&lt;&gt;""),--ISNUMBER(SEARCH($Q$4,'Final Calculation Sheet'!$P$5)))))</f>
        <v/>
      </c>
      <c r="DW7">
        <f>IF($R$4="",1,IF($R$4="(blank)",--('Final Calculation Sheet'!$Q$5=""),IF($R$4="(nonblank)",--('Final Calculation Sheet'!$Q$5&lt;&gt;""),--ISNUMBER(SEARCH($R$4,'Final Calculation Sheet'!$Q$5)))))</f>
        <v/>
      </c>
      <c r="DX7">
        <f>IF($S$4="",1,IF($S$4="(blank)",--('Final Calculation Sheet'!$R$5=""),IF($S$4="(nonblank)",--('Final Calculation Sheet'!$R$5&lt;&gt;""),--ISNUMBER(SEARCH($S$4,'Final Calculation Sheet'!$R$5)))))</f>
        <v/>
      </c>
      <c r="DY7">
        <f>IF($T$4="",1,IF($T$4="(blank)",--('Final Calculation Sheet'!$S$5=""),IF($T$4="(nonblank)",--('Final Calculation Sheet'!$S$5&lt;&gt;""),--ISNUMBER(SEARCH($T$4,'Final Calculation Sheet'!$S$5)))))</f>
        <v/>
      </c>
      <c r="DZ7">
        <f>IF($U$4="",1,IF($U$4="(blank)",--('Final Calculation Sheet'!$T$5=""),IF($U$4="(nonblank)",--('Final Calculation Sheet'!$T$5&lt;&gt;""),--ISNUMBER(SEARCH($U$4,'Final Calculation Sheet'!$T$5)))))</f>
        <v/>
      </c>
      <c r="EA7">
        <f>IF($V$4="",1,IF($V$4="(blank)",--('Final Calculation Sheet'!$U$5=""),IF($V$4="(nonblank)",--('Final Calculation Sheet'!$U$5&lt;&gt;""),--ISNUMBER(SEARCH($V$4,'Final Calculation Sheet'!$U$5)))))</f>
        <v/>
      </c>
      <c r="EB7">
        <f>IF($W$4="",1,IF($W$4="(blank)",--('Final Calculation Sheet'!$V$5=""),IF($W$4="(nonblank)",--('Final Calculation Sheet'!$V$5&lt;&gt;""),--ISNUMBER(SEARCH($W$4,'Final Calculation Sheet'!$V$5)))))</f>
        <v/>
      </c>
      <c r="EC7">
        <f>IF($X$4="",1,IF($X$4="(blank)",--('Final Calculation Sheet'!$W$5=""),IF($X$4="(nonblank)",--('Final Calculation Sheet'!$W$5&lt;&gt;""),--ISNUMBER(SEARCH($X$4,'Final Calculation Sheet'!$W$5)))))</f>
        <v/>
      </c>
      <c r="ED7">
        <f>IF($Y$4="",1,IF($Y$4="(blank)",--('Final Calculation Sheet'!$X$5=""),IF($Y$4="(nonblank)",--('Final Calculation Sheet'!$X$5&lt;&gt;""),--ISNUMBER(SEARCH($Y$4,'Final Calculation Sheet'!$X$5)))))</f>
        <v/>
      </c>
      <c r="EE7">
        <f>IF($Z$4="",1,IF($Z$4="(blank)",--('Final Calculation Sheet'!$Y$5=""),IF($Z$4="(nonblank)",--('Final Calculation Sheet'!$Y$5&lt;&gt;""),--ISNUMBER(SEARCH($Z$4,'Final Calculation Sheet'!$Y$5)))))</f>
        <v/>
      </c>
      <c r="EF7">
        <f>IF($AA$4="",1,IF($AA$4="(blank)",--('Final Calculation Sheet'!$Z$5=""),IF($AA$4="(nonblank)",--('Final Calculation Sheet'!$Z$5&lt;&gt;""),--ISNUMBER(SEARCH($AA$4,'Final Calculation Sheet'!$Z$5)))))</f>
        <v/>
      </c>
      <c r="EG7">
        <f>IF($AB$4="",1,IF($AB$4="(blank)",--('Final Calculation Sheet'!$AA$5=""),IF($AB$4="(nonblank)",--('Final Calculation Sheet'!$AA$5&lt;&gt;""),--ISNUMBER(SEARCH($AB$4,'Final Calculation Sheet'!$AA$5)))))</f>
        <v/>
      </c>
      <c r="EH7">
        <f>IF($AC$4="",1,IF($AC$4="(blank)",--('Final Calculation Sheet'!$AB$5=""),IF($AC$4="(nonblank)",--('Final Calculation Sheet'!$AB$5&lt;&gt;""),--ISNUMBER(SEARCH($AC$4,'Final Calculation Sheet'!$AB$5)))))</f>
        <v/>
      </c>
      <c r="EI7">
        <f>IF($AD$4="",1,IF($AD$4="(blank)",--('Final Calculation Sheet'!$AC$5=""),IF($AD$4="(nonblank)",--('Final Calculation Sheet'!$AC$5&lt;&gt;""),--ISNUMBER(SEARCH($AD$4,'Final Calculation Sheet'!$AC$5)))))</f>
        <v/>
      </c>
      <c r="EJ7">
        <f>IF($AE$4="",1,IF($AE$4="(blank)",--('Final Calculation Sheet'!$AD$5=""),IF($AE$4="(nonblank)",--('Final Calculation Sheet'!$AD$5&lt;&gt;""),--ISNUMBER(SEARCH($AE$4,'Final Calculation Sheet'!$AD$5)))))</f>
        <v/>
      </c>
      <c r="EK7">
        <f>IF($AF$4="",1,IF($AF$4="(blank)",--(IF('Final Calculation Sheet'!$AD$5&lt;=5,"SETTLED","OUTSTANDING")=""),IF($AF$4="(nonblank)",--(IF('Final Calculation Sheet'!$AD$5&lt;=5,"SETTLED","OUTSTANDING")&lt;&gt;""),--ISNUMBER(SEARCH($AF$4,IF('Final Calculation Sheet'!$AD$5&lt;=5,"SETTLED","OUTSTANDING"))))))</f>
        <v/>
      </c>
      <c r="EL7">
        <f>IF($AG$4="",1,IF($AG$4="(blank)",--('Final Calculation Sheet'!$AF$5=""),IF($AG$4="(nonblank)",--('Final Calculation Sheet'!$AF$5&lt;&gt;""),--ISNUMBER(SEARCH($AG$4,'Final Calculation Sheet'!$AF$5)))))</f>
        <v/>
      </c>
      <c r="EM7">
        <f>IF($AH$4="",1,IF($AH$4="(blank)",--('Final Calculation Sheet'!$AG$5=""),IF($AH$4="(nonblank)",--('Final Calculation Sheet'!$AG$5&lt;&gt;""),--ISNUMBER(SEARCH($AH$4,'Final Calculation Sheet'!$AG$5)))))</f>
        <v/>
      </c>
      <c r="EN7">
        <f>IF($AI$4="",1,IF($AI$4="(blank)",--('Final Calculation Sheet'!$AH$5=""),IF($AI$4="(nonblank)",--('Final Calculation Sheet'!$AH$5&lt;&gt;""),--ISNUMBER(SEARCH($AI$4,'Final Calculation Sheet'!$AH$5)))))</f>
        <v/>
      </c>
    </row>
    <row r="8" outlineLevel="1" hidden="1">
      <c r="A8" s="128">
        <f>IF($AL$8="","",2)</f>
        <v/>
      </c>
      <c r="B8" s="129">
        <f>IF($AL$8="","",IF(INDEX('Final Calculation Sheet'!$F$4:$F$40,$AL$8)="","",INDEX('Final Calculation Sheet'!$F$4:$F$40,$AL$8)))</f>
        <v/>
      </c>
      <c r="C8" s="129">
        <f>IF($AL$8="","",IF(INDEX('Final Calculation Sheet'!$G$4:$G$40,$AL$8)="","",INDEX('Final Calculation Sheet'!$G$4:$G$40,$AL$8)))</f>
        <v/>
      </c>
      <c r="D8" s="130">
        <f>IF($AL$8="","",IF(INDEX('Final Calculation Sheet'!$B$4:$B$40,$AL$8)="","",INDEX('Final Calculation Sheet'!$B$4:$B$40,$AL$8)))</f>
        <v/>
      </c>
      <c r="E8" s="130">
        <f>IF($AL$8="","",IF(INDEX('Final Calculation Sheet'!$D$4:$D$40,$AL$8)="","",INDEX('Final Calculation Sheet'!$D$4:$D$40,$AL$8)))</f>
        <v/>
      </c>
      <c r="F8" s="130">
        <f>IF($AL$8="","",IF(INDEX('Final Calculation Sheet'!$A$4:$A$40,$AL$8)="","",INDEX('Final Calculation Sheet'!$A$4:$A$40,$AL$8)))</f>
        <v/>
      </c>
      <c r="G8" s="130">
        <f>IF($AL$8="","",IF(INDEX('Final Calculation Sheet'!$E$4:$E$40,$AL$8)="","",INDEX('Final Calculation Sheet'!$E$4:$E$40,$AL$8)))</f>
        <v/>
      </c>
      <c r="H8" s="131">
        <f>IF($AL$8="","",IF(INDEX('Final Calculation Sheet'!$C$4:$C$40,$AL$8)="","",INDEX('Final Calculation Sheet'!$C$4:$C$40,$AL$8)))</f>
        <v/>
      </c>
      <c r="I8" s="131">
        <f>IF($AL$8="","",IF(INDEX('Final Calculation Sheet'!$H$4:$H$40,$AL$8)="","",INDEX('Final Calculation Sheet'!$H$4:$H$40,$AL$8)))</f>
        <v/>
      </c>
      <c r="J8" s="131">
        <f>IF($AL$8="","",IF(INDEX('Final Calculation Sheet'!$I$4:$I$40,$AL$8)="","",INDEX('Final Calculation Sheet'!$I$4:$I$40,$AL$8)))</f>
        <v/>
      </c>
      <c r="K8" s="131">
        <f>IF($AL$8="","",IF(INDEX('Final Calculation Sheet'!$J$4:$J$40,$AL$8)="","",INDEX('Final Calculation Sheet'!$J$4:$J$40,$AL$8)))</f>
        <v/>
      </c>
      <c r="L8" s="131">
        <f>IF($AL$8="","",IF(INDEX('Final Calculation Sheet'!$K$4:$K$40,$AL$8)="","",INDEX('Final Calculation Sheet'!$K$4:$K$40,$AL$8)))</f>
        <v/>
      </c>
      <c r="M8" s="131">
        <f>IF($AL$8="","",IF(INDEX('Final Calculation Sheet'!$L$4:$L$40,$AL$8)="","",INDEX('Final Calculation Sheet'!$L$4:$L$40,$AL$8)))</f>
        <v/>
      </c>
      <c r="N8" s="131">
        <f>IF($AL$8="","",IF(INDEX('Final Calculation Sheet'!$M$4:$M$40,$AL$8)="","",INDEX('Final Calculation Sheet'!$M$4:$M$40,$AL$8)))</f>
        <v/>
      </c>
      <c r="O8" s="132">
        <f>IF($AL$8="","",IF(INDEX('Final Calculation Sheet'!$N$4:$N$40,$AL$8)="","",INDEX('Final Calculation Sheet'!$N$4:$N$40,$AL$8)))</f>
        <v/>
      </c>
      <c r="P8" s="131">
        <f>IF($AL$8="","",IF(INDEX('Final Calculation Sheet'!$O$4:$O$40,$AL$8)="","",INDEX('Final Calculation Sheet'!$O$4:$O$40,$AL$8)))</f>
        <v/>
      </c>
      <c r="Q8" s="131">
        <f>IF($AL$8="","",IF(INDEX('Final Calculation Sheet'!$P$4:$P$40,$AL$8)="","",INDEX('Final Calculation Sheet'!$P$4:$P$40,$AL$8)))</f>
        <v/>
      </c>
      <c r="R8" s="133">
        <f>IF($AL$8="","",IF(INDEX('Final Calculation Sheet'!$Q$4:$Q$40,$AL$8)="","",INDEX('Final Calculation Sheet'!$Q$4:$Q$40,$AL$8)))</f>
        <v/>
      </c>
      <c r="S8" s="131">
        <f>IF($AL$8="","",IF(INDEX('Final Calculation Sheet'!$R$4:$R$40,$AL$8)="","",INDEX('Final Calculation Sheet'!$R$4:$R$40,$AL$8)))</f>
        <v/>
      </c>
      <c r="T8" s="131">
        <f>IF($AL$8="","",IF(INDEX('Final Calculation Sheet'!$S$4:$S$40,$AL$8)="","",INDEX('Final Calculation Sheet'!$S$4:$S$40,$AL$8)))</f>
        <v/>
      </c>
      <c r="U8" s="131">
        <f>IF($AL$8="","",IF(INDEX('Final Calculation Sheet'!$T$4:$T$40,$AL$8)="","",INDEX('Final Calculation Sheet'!$T$4:$T$40,$AL$8)))</f>
        <v/>
      </c>
      <c r="V8" s="134">
        <f>IF($AL$8="","",IF(INDEX('Final Calculation Sheet'!$U$4:$U$40,$AL$8)="","",INDEX('Final Calculation Sheet'!$U$4:$U$40,$AL$8)))</f>
        <v/>
      </c>
      <c r="W8" s="131">
        <f>IF($AL$8="","",IF(INDEX('Final Calculation Sheet'!$V$4:$V$40,$AL$8)="","",INDEX('Final Calculation Sheet'!$V$4:$V$40,$AL$8)))</f>
        <v/>
      </c>
      <c r="X8" s="131">
        <f>IF($AL$8="","",IF(INDEX('Final Calculation Sheet'!$W$4:$W$40,$AL$8)="","",INDEX('Final Calculation Sheet'!$W$4:$W$40,$AL$8)))</f>
        <v/>
      </c>
      <c r="Y8" s="131">
        <f>IF($AL$8="","",IF(INDEX('Final Calculation Sheet'!$X$4:$X$40,$AL$8)="","",INDEX('Final Calculation Sheet'!$X$4:$X$40,$AL$8)))</f>
        <v/>
      </c>
      <c r="Z8" s="131">
        <f>IF($AL$8="","",IF(INDEX('Final Calculation Sheet'!$Y$4:$Y$40,$AL$8)="","",INDEX('Final Calculation Sheet'!$Y$4:$Y$40,$AL$8)))</f>
        <v/>
      </c>
      <c r="AA8" s="131">
        <f>IF($AL$8="","",IF(INDEX('Final Calculation Sheet'!$Z$4:$Z$40,$AL$8)="","",INDEX('Final Calculation Sheet'!$Z$4:$Z$40,$AL$8)))</f>
        <v/>
      </c>
      <c r="AB8" s="131">
        <f>IF($AL$8="","",IF(INDEX('Final Calculation Sheet'!$AA$4:$AA$40,$AL$8)="","",INDEX('Final Calculation Sheet'!$AA$4:$AA$40,$AL$8)))</f>
        <v/>
      </c>
      <c r="AC8" s="131">
        <f>IF($AL$8="","",IF(INDEX('Final Calculation Sheet'!$AB$4:$AB$40,$AL$8)="","",INDEX('Final Calculation Sheet'!$AB$4:$AB$40,$AL$8)))</f>
        <v/>
      </c>
      <c r="AD8" s="131">
        <f>IF($AL$8="","",IF(INDEX('Final Calculation Sheet'!$AC$4:$AC$40,$AL$8)="","",INDEX('Final Calculation Sheet'!$AC$4:$AC$40,$AL$8)))</f>
        <v/>
      </c>
      <c r="AE8" s="131">
        <f>IF($AL$8="","",IF(INDEX('Final Calculation Sheet'!$AD$4:$AD$40,$AL$8)="","",INDEX('Final Calculation Sheet'!$AD$4:$AD$40,$AL$8)))</f>
        <v/>
      </c>
      <c r="AF8" s="136">
        <f>IF($AL$8="","",IF(INDEX('Final Calculation Sheet'!$AD$4:$AD$40,$AL$8)&lt;=5,"SETTLED","OUTSTANDING"))</f>
        <v/>
      </c>
      <c r="AG8" s="131">
        <f>IF($AL$8="","",IF(INDEX('Final Calculation Sheet'!$AF$4:$AF$40,$AL$8)="","",INDEX('Final Calculation Sheet'!$AF$4:$AF$40,$AL$8)))</f>
        <v/>
      </c>
      <c r="AH8" s="135">
        <f>IF($AL$8="","",IF(INDEX('Final Calculation Sheet'!$AG$4:$AG$40,$AL$8)="","",INDEX('Final Calculation Sheet'!$AG$4:$AG$40,$AL$8)))</f>
        <v/>
      </c>
      <c r="AI8" s="131">
        <f>IF($AL$8="","",IF(INDEX('Final Calculation Sheet'!$AH$4:$AH$40,$AL$8)="","",INDEX('Final Calculation Sheet'!$AH$4:$AH$40,$AL$8)))</f>
        <v/>
      </c>
      <c r="AJ8">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8">
        <f>IF(AJ8=1,COUNTIF(AJ$6:AJ8,1),"")</f>
        <v/>
      </c>
      <c r="AL8">
        <f>IF(COUNTIF($B$4:$AI$4,"&lt;&gt;")=0,"",IFERROR(MATCH(2,$AK$6:$AK$42,0),""))</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G8">
        <f>IF($B$4="",1,IF($B$4="(blank)",--('Final Calculation Sheet'!$F$6=""),IF($B$4="(nonblank)",--('Final Calculation Sheet'!$F$6&lt;&gt;""),--ISNUMBER(SEARCH($B$4,'Final Calculation Sheet'!$F$6)))))</f>
        <v/>
      </c>
      <c r="DH8">
        <f>IF($C$4="",1,IF($C$4="(blank)",--('Final Calculation Sheet'!$G$6=""),IF($C$4="(nonblank)",--('Final Calculation Sheet'!$G$6&lt;&gt;""),--ISNUMBER(SEARCH($C$4,'Final Calculation Sheet'!$G$6)))))</f>
        <v/>
      </c>
      <c r="DI8">
        <f>IF($D$4="",1,IF($D$4="(blank)",--('Final Calculation Sheet'!$B$6=""),IF($D$4="(nonblank)",--('Final Calculation Sheet'!$B$6&lt;&gt;""),--ISNUMBER(SEARCH($D$4,'Final Calculation Sheet'!$B$6)))))</f>
        <v/>
      </c>
      <c r="DJ8">
        <f>IF($E$4="",1,IF($E$4="(blank)",--('Final Calculation Sheet'!$D$6=""),IF($E$4="(nonblank)",--('Final Calculation Sheet'!$D$6&lt;&gt;""),--ISNUMBER(SEARCH($E$4,'Final Calculation Sheet'!$D$6)))))</f>
        <v/>
      </c>
      <c r="DK8">
        <f>IF($F$4="",1,IF($F$4="(blank)",--('Final Calculation Sheet'!$A$6=""),IF($F$4="(nonblank)",--('Final Calculation Sheet'!$A$6&lt;&gt;""),--ISNUMBER(SEARCH($F$4,'Final Calculation Sheet'!$A$6)))))</f>
        <v/>
      </c>
      <c r="DL8">
        <f>IF($G$4="",1,IF($G$4="(blank)",--('Final Calculation Sheet'!$E$6=""),IF($G$4="(nonblank)",--('Final Calculation Sheet'!$E$6&lt;&gt;""),--ISNUMBER(SEARCH($G$4,'Final Calculation Sheet'!$E$6)))))</f>
        <v/>
      </c>
      <c r="DM8">
        <f>IF($H$4="",1,IF($H$4="(blank)",--('Final Calculation Sheet'!$C$6=""),IF($H$4="(nonblank)",--('Final Calculation Sheet'!$C$6&lt;&gt;""),--ISNUMBER(SEARCH($H$4,'Final Calculation Sheet'!$C$6)))))</f>
        <v/>
      </c>
      <c r="DN8">
        <f>IF($I$4="",1,IF($I$4="(blank)",--('Final Calculation Sheet'!$H$6=""),IF($I$4="(nonblank)",--('Final Calculation Sheet'!$H$6&lt;&gt;""),--ISNUMBER(SEARCH($I$4,'Final Calculation Sheet'!$H$6)))))</f>
        <v/>
      </c>
      <c r="DO8">
        <f>IF($J$4="",1,IF($J$4="(blank)",--('Final Calculation Sheet'!$I$6=""),IF($J$4="(nonblank)",--('Final Calculation Sheet'!$I$6&lt;&gt;""),--ISNUMBER(SEARCH($J$4,'Final Calculation Sheet'!$I$6)))))</f>
        <v/>
      </c>
      <c r="DP8">
        <f>IF($K$4="",1,IF($K$4="(blank)",--('Final Calculation Sheet'!$J$6=""),IF($K$4="(nonblank)",--('Final Calculation Sheet'!$J$6&lt;&gt;""),--ISNUMBER(SEARCH($K$4,'Final Calculation Sheet'!$J$6)))))</f>
        <v/>
      </c>
      <c r="DQ8">
        <f>IF($L$4="",1,IF($L$4="(blank)",--('Final Calculation Sheet'!$K$6=""),IF($L$4="(nonblank)",--('Final Calculation Sheet'!$K$6&lt;&gt;""),--ISNUMBER(SEARCH($L$4,'Final Calculation Sheet'!$K$6)))))</f>
        <v/>
      </c>
      <c r="DR8">
        <f>IF($M$4="",1,IF($M$4="(blank)",--('Final Calculation Sheet'!$L$6=""),IF($M$4="(nonblank)",--('Final Calculation Sheet'!$L$6&lt;&gt;""),--ISNUMBER(SEARCH($M$4,'Final Calculation Sheet'!$L$6)))))</f>
        <v/>
      </c>
      <c r="DS8">
        <f>IF($N$4="",1,IF($N$4="(blank)",--('Final Calculation Sheet'!$M$6=""),IF($N$4="(nonblank)",--('Final Calculation Sheet'!$M$6&lt;&gt;""),--ISNUMBER(SEARCH($N$4,'Final Calculation Sheet'!$M$6)))))</f>
        <v/>
      </c>
      <c r="DT8">
        <f>IF($O$4="",1,IF($O$4="(blank)",--('Final Calculation Sheet'!$N$6=""),IF($O$4="(nonblank)",--('Final Calculation Sheet'!$N$6&lt;&gt;""),--ISNUMBER(SEARCH($O$4,'Final Calculation Sheet'!$N$6)))))</f>
        <v/>
      </c>
      <c r="DU8">
        <f>IF($P$4="",1,IF($P$4="(blank)",--('Final Calculation Sheet'!$O$6=""),IF($P$4="(nonblank)",--('Final Calculation Sheet'!$O$6&lt;&gt;""),--ISNUMBER(SEARCH($P$4,'Final Calculation Sheet'!$O$6)))))</f>
        <v/>
      </c>
      <c r="DV8">
        <f>IF($Q$4="",1,IF($Q$4="(blank)",--('Final Calculation Sheet'!$P$6=""),IF($Q$4="(nonblank)",--('Final Calculation Sheet'!$P$6&lt;&gt;""),--ISNUMBER(SEARCH($Q$4,'Final Calculation Sheet'!$P$6)))))</f>
        <v/>
      </c>
      <c r="DW8">
        <f>IF($R$4="",1,IF($R$4="(blank)",--('Final Calculation Sheet'!$Q$6=""),IF($R$4="(nonblank)",--('Final Calculation Sheet'!$Q$6&lt;&gt;""),--ISNUMBER(SEARCH($R$4,'Final Calculation Sheet'!$Q$6)))))</f>
        <v/>
      </c>
      <c r="DX8">
        <f>IF($S$4="",1,IF($S$4="(blank)",--('Final Calculation Sheet'!$R$6=""),IF($S$4="(nonblank)",--('Final Calculation Sheet'!$R$6&lt;&gt;""),--ISNUMBER(SEARCH($S$4,'Final Calculation Sheet'!$R$6)))))</f>
        <v/>
      </c>
      <c r="DY8">
        <f>IF($T$4="",1,IF($T$4="(blank)",--('Final Calculation Sheet'!$S$6=""),IF($T$4="(nonblank)",--('Final Calculation Sheet'!$S$6&lt;&gt;""),--ISNUMBER(SEARCH($T$4,'Final Calculation Sheet'!$S$6)))))</f>
        <v/>
      </c>
      <c r="DZ8">
        <f>IF($U$4="",1,IF($U$4="(blank)",--('Final Calculation Sheet'!$T$6=""),IF($U$4="(nonblank)",--('Final Calculation Sheet'!$T$6&lt;&gt;""),--ISNUMBER(SEARCH($U$4,'Final Calculation Sheet'!$T$6)))))</f>
        <v/>
      </c>
      <c r="EA8">
        <f>IF($V$4="",1,IF($V$4="(blank)",--('Final Calculation Sheet'!$U$6=""),IF($V$4="(nonblank)",--('Final Calculation Sheet'!$U$6&lt;&gt;""),--ISNUMBER(SEARCH($V$4,'Final Calculation Sheet'!$U$6)))))</f>
        <v/>
      </c>
      <c r="EB8">
        <f>IF($W$4="",1,IF($W$4="(blank)",--('Final Calculation Sheet'!$V$6=""),IF($W$4="(nonblank)",--('Final Calculation Sheet'!$V$6&lt;&gt;""),--ISNUMBER(SEARCH($W$4,'Final Calculation Sheet'!$V$6)))))</f>
        <v/>
      </c>
      <c r="EC8">
        <f>IF($X$4="",1,IF($X$4="(blank)",--('Final Calculation Sheet'!$W$6=""),IF($X$4="(nonblank)",--('Final Calculation Sheet'!$W$6&lt;&gt;""),--ISNUMBER(SEARCH($X$4,'Final Calculation Sheet'!$W$6)))))</f>
        <v/>
      </c>
      <c r="ED8">
        <f>IF($Y$4="",1,IF($Y$4="(blank)",--('Final Calculation Sheet'!$X$6=""),IF($Y$4="(nonblank)",--('Final Calculation Sheet'!$X$6&lt;&gt;""),--ISNUMBER(SEARCH($Y$4,'Final Calculation Sheet'!$X$6)))))</f>
        <v/>
      </c>
      <c r="EE8">
        <f>IF($Z$4="",1,IF($Z$4="(blank)",--('Final Calculation Sheet'!$Y$6=""),IF($Z$4="(nonblank)",--('Final Calculation Sheet'!$Y$6&lt;&gt;""),--ISNUMBER(SEARCH($Z$4,'Final Calculation Sheet'!$Y$6)))))</f>
        <v/>
      </c>
      <c r="EF8">
        <f>IF($AA$4="",1,IF($AA$4="(blank)",--('Final Calculation Sheet'!$Z$6=""),IF($AA$4="(nonblank)",--('Final Calculation Sheet'!$Z$6&lt;&gt;""),--ISNUMBER(SEARCH($AA$4,'Final Calculation Sheet'!$Z$6)))))</f>
        <v/>
      </c>
      <c r="EG8">
        <f>IF($AB$4="",1,IF($AB$4="(blank)",--('Final Calculation Sheet'!$AA$6=""),IF($AB$4="(nonblank)",--('Final Calculation Sheet'!$AA$6&lt;&gt;""),--ISNUMBER(SEARCH($AB$4,'Final Calculation Sheet'!$AA$6)))))</f>
        <v/>
      </c>
      <c r="EH8">
        <f>IF($AC$4="",1,IF($AC$4="(blank)",--('Final Calculation Sheet'!$AB$6=""),IF($AC$4="(nonblank)",--('Final Calculation Sheet'!$AB$6&lt;&gt;""),--ISNUMBER(SEARCH($AC$4,'Final Calculation Sheet'!$AB$6)))))</f>
        <v/>
      </c>
      <c r="EI8">
        <f>IF($AD$4="",1,IF($AD$4="(blank)",--('Final Calculation Sheet'!$AC$6=""),IF($AD$4="(nonblank)",--('Final Calculation Sheet'!$AC$6&lt;&gt;""),--ISNUMBER(SEARCH($AD$4,'Final Calculation Sheet'!$AC$6)))))</f>
        <v/>
      </c>
      <c r="EJ8">
        <f>IF($AE$4="",1,IF($AE$4="(blank)",--('Final Calculation Sheet'!$AD$6=""),IF($AE$4="(nonblank)",--('Final Calculation Sheet'!$AD$6&lt;&gt;""),--ISNUMBER(SEARCH($AE$4,'Final Calculation Sheet'!$AD$6)))))</f>
        <v/>
      </c>
      <c r="EK8">
        <f>IF($AF$4="",1,IF($AF$4="(blank)",--(IF('Final Calculation Sheet'!$AD$6&lt;=5,"SETTLED","OUTSTANDING")=""),IF($AF$4="(nonblank)",--(IF('Final Calculation Sheet'!$AD$6&lt;=5,"SETTLED","OUTSTANDING")&lt;&gt;""),--ISNUMBER(SEARCH($AF$4,IF('Final Calculation Sheet'!$AD$6&lt;=5,"SETTLED","OUTSTANDING"))))))</f>
        <v/>
      </c>
      <c r="EL8">
        <f>IF($AG$4="",1,IF($AG$4="(blank)",--('Final Calculation Sheet'!$AF$6=""),IF($AG$4="(nonblank)",--('Final Calculation Sheet'!$AF$6&lt;&gt;""),--ISNUMBER(SEARCH($AG$4,'Final Calculation Sheet'!$AF$6)))))</f>
        <v/>
      </c>
      <c r="EM8">
        <f>IF($AH$4="",1,IF($AH$4="(blank)",--('Final Calculation Sheet'!$AG$6=""),IF($AH$4="(nonblank)",--('Final Calculation Sheet'!$AG$6&lt;&gt;""),--ISNUMBER(SEARCH($AH$4,'Final Calculation Sheet'!$AG$6)))))</f>
        <v/>
      </c>
      <c r="EN8">
        <f>IF($AI$4="",1,IF($AI$4="(blank)",--('Final Calculation Sheet'!$AH$6=""),IF($AI$4="(nonblank)",--('Final Calculation Sheet'!$AH$6&lt;&gt;""),--ISNUMBER(SEARCH($AI$4,'Final Calculation Sheet'!$AH$6)))))</f>
        <v/>
      </c>
    </row>
    <row r="9" outlineLevel="1" hidden="1">
      <c r="A9" s="118">
        <f>IF($AL$9="","",3)</f>
        <v/>
      </c>
      <c r="B9" s="119">
        <f>IF($AL$9="","",IF(INDEX('Final Calculation Sheet'!$F$4:$F$40,$AL$9)="","",INDEX('Final Calculation Sheet'!$F$4:$F$40,$AL$9)))</f>
        <v/>
      </c>
      <c r="C9" s="119">
        <f>IF($AL$9="","",IF(INDEX('Final Calculation Sheet'!$G$4:$G$40,$AL$9)="","",INDEX('Final Calculation Sheet'!$G$4:$G$40,$AL$9)))</f>
        <v/>
      </c>
      <c r="D9" s="121">
        <f>IF($AL$9="","",IF(INDEX('Final Calculation Sheet'!$B$4:$B$40,$AL$9)="","",INDEX('Final Calculation Sheet'!$B$4:$B$40,$AL$9)))</f>
        <v/>
      </c>
      <c r="E9" s="121">
        <f>IF($AL$9="","",IF(INDEX('Final Calculation Sheet'!$D$4:$D$40,$AL$9)="","",INDEX('Final Calculation Sheet'!$D$4:$D$40,$AL$9)))</f>
        <v/>
      </c>
      <c r="F9" s="121">
        <f>IF($AL$9="","",IF(INDEX('Final Calculation Sheet'!$A$4:$A$40,$AL$9)="","",INDEX('Final Calculation Sheet'!$A$4:$A$40,$AL$9)))</f>
        <v/>
      </c>
      <c r="G9" s="121">
        <f>IF($AL$9="","",IF(INDEX('Final Calculation Sheet'!$E$4:$E$40,$AL$9)="","",INDEX('Final Calculation Sheet'!$E$4:$E$40,$AL$9)))</f>
        <v/>
      </c>
      <c r="H9" s="122">
        <f>IF($AL$9="","",IF(INDEX('Final Calculation Sheet'!$C$4:$C$40,$AL$9)="","",INDEX('Final Calculation Sheet'!$C$4:$C$40,$AL$9)))</f>
        <v/>
      </c>
      <c r="I9" s="122">
        <f>IF($AL$9="","",IF(INDEX('Final Calculation Sheet'!$H$4:$H$40,$AL$9)="","",INDEX('Final Calculation Sheet'!$H$4:$H$40,$AL$9)))</f>
        <v/>
      </c>
      <c r="J9" s="122">
        <f>IF($AL$9="","",IF(INDEX('Final Calculation Sheet'!$I$4:$I$40,$AL$9)="","",INDEX('Final Calculation Sheet'!$I$4:$I$40,$AL$9)))</f>
        <v/>
      </c>
      <c r="K9" s="122">
        <f>IF($AL$9="","",IF(INDEX('Final Calculation Sheet'!$J$4:$J$40,$AL$9)="","",INDEX('Final Calculation Sheet'!$J$4:$J$40,$AL$9)))</f>
        <v/>
      </c>
      <c r="L9" s="122">
        <f>IF($AL$9="","",IF(INDEX('Final Calculation Sheet'!$K$4:$K$40,$AL$9)="","",INDEX('Final Calculation Sheet'!$K$4:$K$40,$AL$9)))</f>
        <v/>
      </c>
      <c r="M9" s="122">
        <f>IF($AL$9="","",IF(INDEX('Final Calculation Sheet'!$L$4:$L$40,$AL$9)="","",INDEX('Final Calculation Sheet'!$L$4:$L$40,$AL$9)))</f>
        <v/>
      </c>
      <c r="N9" s="122">
        <f>IF($AL$9="","",IF(INDEX('Final Calculation Sheet'!$M$4:$M$40,$AL$9)="","",INDEX('Final Calculation Sheet'!$M$4:$M$40,$AL$9)))</f>
        <v/>
      </c>
      <c r="O9" s="123">
        <f>IF($AL$9="","",IF(INDEX('Final Calculation Sheet'!$N$4:$N$40,$AL$9)="","",INDEX('Final Calculation Sheet'!$N$4:$N$40,$AL$9)))</f>
        <v/>
      </c>
      <c r="P9" s="122">
        <f>IF($AL$9="","",IF(INDEX('Final Calculation Sheet'!$O$4:$O$40,$AL$9)="","",INDEX('Final Calculation Sheet'!$O$4:$O$40,$AL$9)))</f>
        <v/>
      </c>
      <c r="Q9" s="122">
        <f>IF($AL$9="","",IF(INDEX('Final Calculation Sheet'!$P$4:$P$40,$AL$9)="","",INDEX('Final Calculation Sheet'!$P$4:$P$40,$AL$9)))</f>
        <v/>
      </c>
      <c r="R9" s="124">
        <f>IF($AL$9="","",IF(INDEX('Final Calculation Sheet'!$Q$4:$Q$40,$AL$9)="","",INDEX('Final Calculation Sheet'!$Q$4:$Q$40,$AL$9)))</f>
        <v/>
      </c>
      <c r="S9" s="122">
        <f>IF($AL$9="","",IF(INDEX('Final Calculation Sheet'!$R$4:$R$40,$AL$9)="","",INDEX('Final Calculation Sheet'!$R$4:$R$40,$AL$9)))</f>
        <v/>
      </c>
      <c r="T9" s="122">
        <f>IF($AL$9="","",IF(INDEX('Final Calculation Sheet'!$S$4:$S$40,$AL$9)="","",INDEX('Final Calculation Sheet'!$S$4:$S$40,$AL$9)))</f>
        <v/>
      </c>
      <c r="U9" s="122">
        <f>IF($AL$9="","",IF(INDEX('Final Calculation Sheet'!$T$4:$T$40,$AL$9)="","",INDEX('Final Calculation Sheet'!$T$4:$T$40,$AL$9)))</f>
        <v/>
      </c>
      <c r="V9" s="125">
        <f>IF($AL$9="","",IF(INDEX('Final Calculation Sheet'!$U$4:$U$40,$AL$9)="","",INDEX('Final Calculation Sheet'!$U$4:$U$40,$AL$9)))</f>
        <v/>
      </c>
      <c r="W9" s="122">
        <f>IF($AL$9="","",IF(INDEX('Final Calculation Sheet'!$V$4:$V$40,$AL$9)="","",INDEX('Final Calculation Sheet'!$V$4:$V$40,$AL$9)))</f>
        <v/>
      </c>
      <c r="X9" s="122">
        <f>IF($AL$9="","",IF(INDEX('Final Calculation Sheet'!$W$4:$W$40,$AL$9)="","",INDEX('Final Calculation Sheet'!$W$4:$W$40,$AL$9)))</f>
        <v/>
      </c>
      <c r="Y9" s="122">
        <f>IF($AL$9="","",IF(INDEX('Final Calculation Sheet'!$X$4:$X$40,$AL$9)="","",INDEX('Final Calculation Sheet'!$X$4:$X$40,$AL$9)))</f>
        <v/>
      </c>
      <c r="Z9" s="122">
        <f>IF($AL$9="","",IF(INDEX('Final Calculation Sheet'!$Y$4:$Y$40,$AL$9)="","",INDEX('Final Calculation Sheet'!$Y$4:$Y$40,$AL$9)))</f>
        <v/>
      </c>
      <c r="AA9" s="122">
        <f>IF($AL$9="","",IF(INDEX('Final Calculation Sheet'!$Z$4:$Z$40,$AL$9)="","",INDEX('Final Calculation Sheet'!$Z$4:$Z$40,$AL$9)))</f>
        <v/>
      </c>
      <c r="AB9" s="122">
        <f>IF($AL$9="","",IF(INDEX('Final Calculation Sheet'!$AA$4:$AA$40,$AL$9)="","",INDEX('Final Calculation Sheet'!$AA$4:$AA$40,$AL$9)))</f>
        <v/>
      </c>
      <c r="AC9" s="122">
        <f>IF($AL$9="","",IF(INDEX('Final Calculation Sheet'!$AB$4:$AB$40,$AL$9)="","",INDEX('Final Calculation Sheet'!$AB$4:$AB$40,$AL$9)))</f>
        <v/>
      </c>
      <c r="AD9" s="122">
        <f>IF($AL$9="","",IF(INDEX('Final Calculation Sheet'!$AC$4:$AC$40,$AL$9)="","",INDEX('Final Calculation Sheet'!$AC$4:$AC$40,$AL$9)))</f>
        <v/>
      </c>
      <c r="AE9" s="122">
        <f>IF($AL$9="","",IF(INDEX('Final Calculation Sheet'!$AD$4:$AD$40,$AL$9)="","",INDEX('Final Calculation Sheet'!$AD$4:$AD$40,$AL$9)))</f>
        <v/>
      </c>
      <c r="AF9" s="127">
        <f>IF($AL$9="","",IF(INDEX('Final Calculation Sheet'!$AD$4:$AD$40,$AL$9)&lt;=5,"SETTLED","OUTSTANDING"))</f>
        <v/>
      </c>
      <c r="AG9" s="122">
        <f>IF($AL$9="","",IF(INDEX('Final Calculation Sheet'!$AF$4:$AF$40,$AL$9)="","",INDEX('Final Calculation Sheet'!$AF$4:$AF$40,$AL$9)))</f>
        <v/>
      </c>
      <c r="AH9" s="126">
        <f>IF($AL$9="","",IF(INDEX('Final Calculation Sheet'!$AG$4:$AG$40,$AL$9)="","",INDEX('Final Calculation Sheet'!$AG$4:$AG$40,$AL$9)))</f>
        <v/>
      </c>
      <c r="AI9" s="122">
        <f>IF($AL$9="","",IF(INDEX('Final Calculation Sheet'!$AH$4:$AH$40,$AL$9)="","",INDEX('Final Calculation Sheet'!$AH$4:$AH$40,$AL$9)))</f>
        <v/>
      </c>
      <c r="AJ9">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9">
        <f>IF(AJ9=1,COUNTIF(AJ$6:AJ9,1),"")</f>
        <v/>
      </c>
      <c r="AL9">
        <f>IF(COUNTIF($B$4:$AI$4,"&lt;&gt;")=0,"",IFERROR(MATCH(3,$AK$6:$AK$42,0),""))</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G9">
        <f>IF($B$4="",1,IF($B$4="(blank)",--('Final Calculation Sheet'!$F$7=""),IF($B$4="(nonblank)",--('Final Calculation Sheet'!$F$7&lt;&gt;""),--ISNUMBER(SEARCH($B$4,'Final Calculation Sheet'!$F$7)))))</f>
        <v/>
      </c>
      <c r="DH9">
        <f>IF($C$4="",1,IF($C$4="(blank)",--('Final Calculation Sheet'!$G$7=""),IF($C$4="(nonblank)",--('Final Calculation Sheet'!$G$7&lt;&gt;""),--ISNUMBER(SEARCH($C$4,'Final Calculation Sheet'!$G$7)))))</f>
        <v/>
      </c>
      <c r="DI9">
        <f>IF($D$4="",1,IF($D$4="(blank)",--('Final Calculation Sheet'!$B$7=""),IF($D$4="(nonblank)",--('Final Calculation Sheet'!$B$7&lt;&gt;""),--ISNUMBER(SEARCH($D$4,'Final Calculation Sheet'!$B$7)))))</f>
        <v/>
      </c>
      <c r="DJ9">
        <f>IF($E$4="",1,IF($E$4="(blank)",--('Final Calculation Sheet'!$D$7=""),IF($E$4="(nonblank)",--('Final Calculation Sheet'!$D$7&lt;&gt;""),--ISNUMBER(SEARCH($E$4,'Final Calculation Sheet'!$D$7)))))</f>
        <v/>
      </c>
      <c r="DK9">
        <f>IF($F$4="",1,IF($F$4="(blank)",--('Final Calculation Sheet'!$A$7=""),IF($F$4="(nonblank)",--('Final Calculation Sheet'!$A$7&lt;&gt;""),--ISNUMBER(SEARCH($F$4,'Final Calculation Sheet'!$A$7)))))</f>
        <v/>
      </c>
      <c r="DL9">
        <f>IF($G$4="",1,IF($G$4="(blank)",--('Final Calculation Sheet'!$E$7=""),IF($G$4="(nonblank)",--('Final Calculation Sheet'!$E$7&lt;&gt;""),--ISNUMBER(SEARCH($G$4,'Final Calculation Sheet'!$E$7)))))</f>
        <v/>
      </c>
      <c r="DM9">
        <f>IF($H$4="",1,IF($H$4="(blank)",--('Final Calculation Sheet'!$C$7=""),IF($H$4="(nonblank)",--('Final Calculation Sheet'!$C$7&lt;&gt;""),--ISNUMBER(SEARCH($H$4,'Final Calculation Sheet'!$C$7)))))</f>
        <v/>
      </c>
      <c r="DN9">
        <f>IF($I$4="",1,IF($I$4="(blank)",--('Final Calculation Sheet'!$H$7=""),IF($I$4="(nonblank)",--('Final Calculation Sheet'!$H$7&lt;&gt;""),--ISNUMBER(SEARCH($I$4,'Final Calculation Sheet'!$H$7)))))</f>
        <v/>
      </c>
      <c r="DO9">
        <f>IF($J$4="",1,IF($J$4="(blank)",--('Final Calculation Sheet'!$I$7=""),IF($J$4="(nonblank)",--('Final Calculation Sheet'!$I$7&lt;&gt;""),--ISNUMBER(SEARCH($J$4,'Final Calculation Sheet'!$I$7)))))</f>
        <v/>
      </c>
      <c r="DP9">
        <f>IF($K$4="",1,IF($K$4="(blank)",--('Final Calculation Sheet'!$J$7=""),IF($K$4="(nonblank)",--('Final Calculation Sheet'!$J$7&lt;&gt;""),--ISNUMBER(SEARCH($K$4,'Final Calculation Sheet'!$J$7)))))</f>
        <v/>
      </c>
      <c r="DQ9">
        <f>IF($L$4="",1,IF($L$4="(blank)",--('Final Calculation Sheet'!$K$7=""),IF($L$4="(nonblank)",--('Final Calculation Sheet'!$K$7&lt;&gt;""),--ISNUMBER(SEARCH($L$4,'Final Calculation Sheet'!$K$7)))))</f>
        <v/>
      </c>
      <c r="DR9">
        <f>IF($M$4="",1,IF($M$4="(blank)",--('Final Calculation Sheet'!$L$7=""),IF($M$4="(nonblank)",--('Final Calculation Sheet'!$L$7&lt;&gt;""),--ISNUMBER(SEARCH($M$4,'Final Calculation Sheet'!$L$7)))))</f>
        <v/>
      </c>
      <c r="DS9">
        <f>IF($N$4="",1,IF($N$4="(blank)",--('Final Calculation Sheet'!$M$7=""),IF($N$4="(nonblank)",--('Final Calculation Sheet'!$M$7&lt;&gt;""),--ISNUMBER(SEARCH($N$4,'Final Calculation Sheet'!$M$7)))))</f>
        <v/>
      </c>
      <c r="DT9">
        <f>IF($O$4="",1,IF($O$4="(blank)",--('Final Calculation Sheet'!$N$7=""),IF($O$4="(nonblank)",--('Final Calculation Sheet'!$N$7&lt;&gt;""),--ISNUMBER(SEARCH($O$4,'Final Calculation Sheet'!$N$7)))))</f>
        <v/>
      </c>
      <c r="DU9">
        <f>IF($P$4="",1,IF($P$4="(blank)",--('Final Calculation Sheet'!$O$7=""),IF($P$4="(nonblank)",--('Final Calculation Sheet'!$O$7&lt;&gt;""),--ISNUMBER(SEARCH($P$4,'Final Calculation Sheet'!$O$7)))))</f>
        <v/>
      </c>
      <c r="DV9">
        <f>IF($Q$4="",1,IF($Q$4="(blank)",--('Final Calculation Sheet'!$P$7=""),IF($Q$4="(nonblank)",--('Final Calculation Sheet'!$P$7&lt;&gt;""),--ISNUMBER(SEARCH($Q$4,'Final Calculation Sheet'!$P$7)))))</f>
        <v/>
      </c>
      <c r="DW9">
        <f>IF($R$4="",1,IF($R$4="(blank)",--('Final Calculation Sheet'!$Q$7=""),IF($R$4="(nonblank)",--('Final Calculation Sheet'!$Q$7&lt;&gt;""),--ISNUMBER(SEARCH($R$4,'Final Calculation Sheet'!$Q$7)))))</f>
        <v/>
      </c>
      <c r="DX9">
        <f>IF($S$4="",1,IF($S$4="(blank)",--('Final Calculation Sheet'!$R$7=""),IF($S$4="(nonblank)",--('Final Calculation Sheet'!$R$7&lt;&gt;""),--ISNUMBER(SEARCH($S$4,'Final Calculation Sheet'!$R$7)))))</f>
        <v/>
      </c>
      <c r="DY9">
        <f>IF($T$4="",1,IF($T$4="(blank)",--('Final Calculation Sheet'!$S$7=""),IF($T$4="(nonblank)",--('Final Calculation Sheet'!$S$7&lt;&gt;""),--ISNUMBER(SEARCH($T$4,'Final Calculation Sheet'!$S$7)))))</f>
        <v/>
      </c>
      <c r="DZ9">
        <f>IF($U$4="",1,IF($U$4="(blank)",--('Final Calculation Sheet'!$T$7=""),IF($U$4="(nonblank)",--('Final Calculation Sheet'!$T$7&lt;&gt;""),--ISNUMBER(SEARCH($U$4,'Final Calculation Sheet'!$T$7)))))</f>
        <v/>
      </c>
      <c r="EA9">
        <f>IF($V$4="",1,IF($V$4="(blank)",--('Final Calculation Sheet'!$U$7=""),IF($V$4="(nonblank)",--('Final Calculation Sheet'!$U$7&lt;&gt;""),--ISNUMBER(SEARCH($V$4,'Final Calculation Sheet'!$U$7)))))</f>
        <v/>
      </c>
      <c r="EB9">
        <f>IF($W$4="",1,IF($W$4="(blank)",--('Final Calculation Sheet'!$V$7=""),IF($W$4="(nonblank)",--('Final Calculation Sheet'!$V$7&lt;&gt;""),--ISNUMBER(SEARCH($W$4,'Final Calculation Sheet'!$V$7)))))</f>
        <v/>
      </c>
      <c r="EC9">
        <f>IF($X$4="",1,IF($X$4="(blank)",--('Final Calculation Sheet'!$W$7=""),IF($X$4="(nonblank)",--('Final Calculation Sheet'!$W$7&lt;&gt;""),--ISNUMBER(SEARCH($X$4,'Final Calculation Sheet'!$W$7)))))</f>
        <v/>
      </c>
      <c r="ED9">
        <f>IF($Y$4="",1,IF($Y$4="(blank)",--('Final Calculation Sheet'!$X$7=""),IF($Y$4="(nonblank)",--('Final Calculation Sheet'!$X$7&lt;&gt;""),--ISNUMBER(SEARCH($Y$4,'Final Calculation Sheet'!$X$7)))))</f>
        <v/>
      </c>
      <c r="EE9">
        <f>IF($Z$4="",1,IF($Z$4="(blank)",--('Final Calculation Sheet'!$Y$7=""),IF($Z$4="(nonblank)",--('Final Calculation Sheet'!$Y$7&lt;&gt;""),--ISNUMBER(SEARCH($Z$4,'Final Calculation Sheet'!$Y$7)))))</f>
        <v/>
      </c>
      <c r="EF9">
        <f>IF($AA$4="",1,IF($AA$4="(blank)",--('Final Calculation Sheet'!$Z$7=""),IF($AA$4="(nonblank)",--('Final Calculation Sheet'!$Z$7&lt;&gt;""),--ISNUMBER(SEARCH($AA$4,'Final Calculation Sheet'!$Z$7)))))</f>
        <v/>
      </c>
      <c r="EG9">
        <f>IF($AB$4="",1,IF($AB$4="(blank)",--('Final Calculation Sheet'!$AA$7=""),IF($AB$4="(nonblank)",--('Final Calculation Sheet'!$AA$7&lt;&gt;""),--ISNUMBER(SEARCH($AB$4,'Final Calculation Sheet'!$AA$7)))))</f>
        <v/>
      </c>
      <c r="EH9">
        <f>IF($AC$4="",1,IF($AC$4="(blank)",--('Final Calculation Sheet'!$AB$7=""),IF($AC$4="(nonblank)",--('Final Calculation Sheet'!$AB$7&lt;&gt;""),--ISNUMBER(SEARCH($AC$4,'Final Calculation Sheet'!$AB$7)))))</f>
        <v/>
      </c>
      <c r="EI9">
        <f>IF($AD$4="",1,IF($AD$4="(blank)",--('Final Calculation Sheet'!$AC$7=""),IF($AD$4="(nonblank)",--('Final Calculation Sheet'!$AC$7&lt;&gt;""),--ISNUMBER(SEARCH($AD$4,'Final Calculation Sheet'!$AC$7)))))</f>
        <v/>
      </c>
      <c r="EJ9">
        <f>IF($AE$4="",1,IF($AE$4="(blank)",--('Final Calculation Sheet'!$AD$7=""),IF($AE$4="(nonblank)",--('Final Calculation Sheet'!$AD$7&lt;&gt;""),--ISNUMBER(SEARCH($AE$4,'Final Calculation Sheet'!$AD$7)))))</f>
        <v/>
      </c>
      <c r="EK9">
        <f>IF($AF$4="",1,IF($AF$4="(blank)",--(IF('Final Calculation Sheet'!$AD$7&lt;=5,"SETTLED","OUTSTANDING")=""),IF($AF$4="(nonblank)",--(IF('Final Calculation Sheet'!$AD$7&lt;=5,"SETTLED","OUTSTANDING")&lt;&gt;""),--ISNUMBER(SEARCH($AF$4,IF('Final Calculation Sheet'!$AD$7&lt;=5,"SETTLED","OUTSTANDING"))))))</f>
        <v/>
      </c>
      <c r="EL9">
        <f>IF($AG$4="",1,IF($AG$4="(blank)",--('Final Calculation Sheet'!$AF$7=""),IF($AG$4="(nonblank)",--('Final Calculation Sheet'!$AF$7&lt;&gt;""),--ISNUMBER(SEARCH($AG$4,'Final Calculation Sheet'!$AF$7)))))</f>
        <v/>
      </c>
      <c r="EM9">
        <f>IF($AH$4="",1,IF($AH$4="(blank)",--('Final Calculation Sheet'!$AG$7=""),IF($AH$4="(nonblank)",--('Final Calculation Sheet'!$AG$7&lt;&gt;""),--ISNUMBER(SEARCH($AH$4,'Final Calculation Sheet'!$AG$7)))))</f>
        <v/>
      </c>
      <c r="EN9">
        <f>IF($AI$4="",1,IF($AI$4="(blank)",--('Final Calculation Sheet'!$AH$7=""),IF($AI$4="(nonblank)",--('Final Calculation Sheet'!$AH$7&lt;&gt;""),--ISNUMBER(SEARCH($AI$4,'Final Calculation Sheet'!$AH$7)))))</f>
        <v/>
      </c>
    </row>
    <row r="10" outlineLevel="1" hidden="1">
      <c r="A10" s="128">
        <f>IF($AL$10="","",4)</f>
        <v/>
      </c>
      <c r="B10" s="129">
        <f>IF($AL$10="","",IF(INDEX('Final Calculation Sheet'!$F$4:$F$40,$AL$10)="","",INDEX('Final Calculation Sheet'!$F$4:$F$40,$AL$10)))</f>
        <v/>
      </c>
      <c r="C10" s="129">
        <f>IF($AL$10="","",IF(INDEX('Final Calculation Sheet'!$G$4:$G$40,$AL$10)="","",INDEX('Final Calculation Sheet'!$G$4:$G$40,$AL$10)))</f>
        <v/>
      </c>
      <c r="D10" s="130">
        <f>IF($AL$10="","",IF(INDEX('Final Calculation Sheet'!$B$4:$B$40,$AL$10)="","",INDEX('Final Calculation Sheet'!$B$4:$B$40,$AL$10)))</f>
        <v/>
      </c>
      <c r="E10" s="130">
        <f>IF($AL$10="","",IF(INDEX('Final Calculation Sheet'!$D$4:$D$40,$AL$10)="","",INDEX('Final Calculation Sheet'!$D$4:$D$40,$AL$10)))</f>
        <v/>
      </c>
      <c r="F10" s="130">
        <f>IF($AL$10="","",IF(INDEX('Final Calculation Sheet'!$A$4:$A$40,$AL$10)="","",INDEX('Final Calculation Sheet'!$A$4:$A$40,$AL$10)))</f>
        <v/>
      </c>
      <c r="G10" s="130">
        <f>IF($AL$10="","",IF(INDEX('Final Calculation Sheet'!$E$4:$E$40,$AL$10)="","",INDEX('Final Calculation Sheet'!$E$4:$E$40,$AL$10)))</f>
        <v/>
      </c>
      <c r="H10" s="131">
        <f>IF($AL$10="","",IF(INDEX('Final Calculation Sheet'!$C$4:$C$40,$AL$10)="","",INDEX('Final Calculation Sheet'!$C$4:$C$40,$AL$10)))</f>
        <v/>
      </c>
      <c r="I10" s="131">
        <f>IF($AL$10="","",IF(INDEX('Final Calculation Sheet'!$H$4:$H$40,$AL$10)="","",INDEX('Final Calculation Sheet'!$H$4:$H$40,$AL$10)))</f>
        <v/>
      </c>
      <c r="J10" s="131">
        <f>IF($AL$10="","",IF(INDEX('Final Calculation Sheet'!$I$4:$I$40,$AL$10)="","",INDEX('Final Calculation Sheet'!$I$4:$I$40,$AL$10)))</f>
        <v/>
      </c>
      <c r="K10" s="131">
        <f>IF($AL$10="","",IF(INDEX('Final Calculation Sheet'!$J$4:$J$40,$AL$10)="","",INDEX('Final Calculation Sheet'!$J$4:$J$40,$AL$10)))</f>
        <v/>
      </c>
      <c r="L10" s="131">
        <f>IF($AL$10="","",IF(INDEX('Final Calculation Sheet'!$K$4:$K$40,$AL$10)="","",INDEX('Final Calculation Sheet'!$K$4:$K$40,$AL$10)))</f>
        <v/>
      </c>
      <c r="M10" s="131">
        <f>IF($AL$10="","",IF(INDEX('Final Calculation Sheet'!$L$4:$L$40,$AL$10)="","",INDEX('Final Calculation Sheet'!$L$4:$L$40,$AL$10)))</f>
        <v/>
      </c>
      <c r="N10" s="131">
        <f>IF($AL$10="","",IF(INDEX('Final Calculation Sheet'!$M$4:$M$40,$AL$10)="","",INDEX('Final Calculation Sheet'!$M$4:$M$40,$AL$10)))</f>
        <v/>
      </c>
      <c r="O10" s="132">
        <f>IF($AL$10="","",IF(INDEX('Final Calculation Sheet'!$N$4:$N$40,$AL$10)="","",INDEX('Final Calculation Sheet'!$N$4:$N$40,$AL$10)))</f>
        <v/>
      </c>
      <c r="P10" s="131">
        <f>IF($AL$10="","",IF(INDEX('Final Calculation Sheet'!$O$4:$O$40,$AL$10)="","",INDEX('Final Calculation Sheet'!$O$4:$O$40,$AL$10)))</f>
        <v/>
      </c>
      <c r="Q10" s="131">
        <f>IF($AL$10="","",IF(INDEX('Final Calculation Sheet'!$P$4:$P$40,$AL$10)="","",INDEX('Final Calculation Sheet'!$P$4:$P$40,$AL$10)))</f>
        <v/>
      </c>
      <c r="R10" s="133">
        <f>IF($AL$10="","",IF(INDEX('Final Calculation Sheet'!$Q$4:$Q$40,$AL$10)="","",INDEX('Final Calculation Sheet'!$Q$4:$Q$40,$AL$10)))</f>
        <v/>
      </c>
      <c r="S10" s="131">
        <f>IF($AL$10="","",IF(INDEX('Final Calculation Sheet'!$R$4:$R$40,$AL$10)="","",INDEX('Final Calculation Sheet'!$R$4:$R$40,$AL$10)))</f>
        <v/>
      </c>
      <c r="T10" s="131">
        <f>IF($AL$10="","",IF(INDEX('Final Calculation Sheet'!$S$4:$S$40,$AL$10)="","",INDEX('Final Calculation Sheet'!$S$4:$S$40,$AL$10)))</f>
        <v/>
      </c>
      <c r="U10" s="131">
        <f>IF($AL$10="","",IF(INDEX('Final Calculation Sheet'!$T$4:$T$40,$AL$10)="","",INDEX('Final Calculation Sheet'!$T$4:$T$40,$AL$10)))</f>
        <v/>
      </c>
      <c r="V10" s="134">
        <f>IF($AL$10="","",IF(INDEX('Final Calculation Sheet'!$U$4:$U$40,$AL$10)="","",INDEX('Final Calculation Sheet'!$U$4:$U$40,$AL$10)))</f>
        <v/>
      </c>
      <c r="W10" s="131">
        <f>IF($AL$10="","",IF(INDEX('Final Calculation Sheet'!$V$4:$V$40,$AL$10)="","",INDEX('Final Calculation Sheet'!$V$4:$V$40,$AL$10)))</f>
        <v/>
      </c>
      <c r="X10" s="131">
        <f>IF($AL$10="","",IF(INDEX('Final Calculation Sheet'!$W$4:$W$40,$AL$10)="","",INDEX('Final Calculation Sheet'!$W$4:$W$40,$AL$10)))</f>
        <v/>
      </c>
      <c r="Y10" s="131">
        <f>IF($AL$10="","",IF(INDEX('Final Calculation Sheet'!$X$4:$X$40,$AL$10)="","",INDEX('Final Calculation Sheet'!$X$4:$X$40,$AL$10)))</f>
        <v/>
      </c>
      <c r="Z10" s="131">
        <f>IF($AL$10="","",IF(INDEX('Final Calculation Sheet'!$Y$4:$Y$40,$AL$10)="","",INDEX('Final Calculation Sheet'!$Y$4:$Y$40,$AL$10)))</f>
        <v/>
      </c>
      <c r="AA10" s="131">
        <f>IF($AL$10="","",IF(INDEX('Final Calculation Sheet'!$Z$4:$Z$40,$AL$10)="","",INDEX('Final Calculation Sheet'!$Z$4:$Z$40,$AL$10)))</f>
        <v/>
      </c>
      <c r="AB10" s="131">
        <f>IF($AL$10="","",IF(INDEX('Final Calculation Sheet'!$AA$4:$AA$40,$AL$10)="","",INDEX('Final Calculation Sheet'!$AA$4:$AA$40,$AL$10)))</f>
        <v/>
      </c>
      <c r="AC10" s="131">
        <f>IF($AL$10="","",IF(INDEX('Final Calculation Sheet'!$AB$4:$AB$40,$AL$10)="","",INDEX('Final Calculation Sheet'!$AB$4:$AB$40,$AL$10)))</f>
        <v/>
      </c>
      <c r="AD10" s="131">
        <f>IF($AL$10="","",IF(INDEX('Final Calculation Sheet'!$AC$4:$AC$40,$AL$10)="","",INDEX('Final Calculation Sheet'!$AC$4:$AC$40,$AL$10)))</f>
        <v/>
      </c>
      <c r="AE10" s="131">
        <f>IF($AL$10="","",IF(INDEX('Final Calculation Sheet'!$AD$4:$AD$40,$AL$10)="","",INDEX('Final Calculation Sheet'!$AD$4:$AD$40,$AL$10)))</f>
        <v/>
      </c>
      <c r="AF10" s="136">
        <f>IF($AL$10="","",IF(INDEX('Final Calculation Sheet'!$AD$4:$AD$40,$AL$10)&lt;=5,"SETTLED","OUTSTANDING"))</f>
        <v/>
      </c>
      <c r="AG10" s="131">
        <f>IF($AL$10="","",IF(INDEX('Final Calculation Sheet'!$AF$4:$AF$40,$AL$10)="","",INDEX('Final Calculation Sheet'!$AF$4:$AF$40,$AL$10)))</f>
        <v/>
      </c>
      <c r="AH10" s="135">
        <f>IF($AL$10="","",IF(INDEX('Final Calculation Sheet'!$AG$4:$AG$40,$AL$10)="","",INDEX('Final Calculation Sheet'!$AG$4:$AG$40,$AL$10)))</f>
        <v/>
      </c>
      <c r="AI10" s="131">
        <f>IF($AL$10="","",IF(INDEX('Final Calculation Sheet'!$AH$4:$AH$40,$AL$10)="","",INDEX('Final Calculation Sheet'!$AH$4:$AH$40,$AL$10)))</f>
        <v/>
      </c>
      <c r="AJ10">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10">
        <f>IF(AJ10=1,COUNTIF(AJ$6:AJ10,1),"")</f>
        <v/>
      </c>
      <c r="AL10">
        <f>IF(COUNTIF($B$4:$AI$4,"&lt;&gt;")=0,"",IFERROR(MATCH(4,$AK$6:$AK$42,0),""))</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G10">
        <f>IF($B$4="",1,IF($B$4="(blank)",--('Final Calculation Sheet'!$F$8=""),IF($B$4="(nonblank)",--('Final Calculation Sheet'!$F$8&lt;&gt;""),--ISNUMBER(SEARCH($B$4,'Final Calculation Sheet'!$F$8)))))</f>
        <v/>
      </c>
      <c r="DH10">
        <f>IF($C$4="",1,IF($C$4="(blank)",--('Final Calculation Sheet'!$G$8=""),IF($C$4="(nonblank)",--('Final Calculation Sheet'!$G$8&lt;&gt;""),--ISNUMBER(SEARCH($C$4,'Final Calculation Sheet'!$G$8)))))</f>
        <v/>
      </c>
      <c r="DI10">
        <f>IF($D$4="",1,IF($D$4="(blank)",--('Final Calculation Sheet'!$B$8=""),IF($D$4="(nonblank)",--('Final Calculation Sheet'!$B$8&lt;&gt;""),--ISNUMBER(SEARCH($D$4,'Final Calculation Sheet'!$B$8)))))</f>
        <v/>
      </c>
      <c r="DJ10">
        <f>IF($E$4="",1,IF($E$4="(blank)",--('Final Calculation Sheet'!$D$8=""),IF($E$4="(nonblank)",--('Final Calculation Sheet'!$D$8&lt;&gt;""),--ISNUMBER(SEARCH($E$4,'Final Calculation Sheet'!$D$8)))))</f>
        <v/>
      </c>
      <c r="DK10">
        <f>IF($F$4="",1,IF($F$4="(blank)",--('Final Calculation Sheet'!$A$8=""),IF($F$4="(nonblank)",--('Final Calculation Sheet'!$A$8&lt;&gt;""),--ISNUMBER(SEARCH($F$4,'Final Calculation Sheet'!$A$8)))))</f>
        <v/>
      </c>
      <c r="DL10">
        <f>IF($G$4="",1,IF($G$4="(blank)",--('Final Calculation Sheet'!$E$8=""),IF($G$4="(nonblank)",--('Final Calculation Sheet'!$E$8&lt;&gt;""),--ISNUMBER(SEARCH($G$4,'Final Calculation Sheet'!$E$8)))))</f>
        <v/>
      </c>
      <c r="DM10">
        <f>IF($H$4="",1,IF($H$4="(blank)",--('Final Calculation Sheet'!$C$8=""),IF($H$4="(nonblank)",--('Final Calculation Sheet'!$C$8&lt;&gt;""),--ISNUMBER(SEARCH($H$4,'Final Calculation Sheet'!$C$8)))))</f>
        <v/>
      </c>
      <c r="DN10">
        <f>IF($I$4="",1,IF($I$4="(blank)",--('Final Calculation Sheet'!$H$8=""),IF($I$4="(nonblank)",--('Final Calculation Sheet'!$H$8&lt;&gt;""),--ISNUMBER(SEARCH($I$4,'Final Calculation Sheet'!$H$8)))))</f>
        <v/>
      </c>
      <c r="DO10">
        <f>IF($J$4="",1,IF($J$4="(blank)",--('Final Calculation Sheet'!$I$8=""),IF($J$4="(nonblank)",--('Final Calculation Sheet'!$I$8&lt;&gt;""),--ISNUMBER(SEARCH($J$4,'Final Calculation Sheet'!$I$8)))))</f>
        <v/>
      </c>
      <c r="DP10">
        <f>IF($K$4="",1,IF($K$4="(blank)",--('Final Calculation Sheet'!$J$8=""),IF($K$4="(nonblank)",--('Final Calculation Sheet'!$J$8&lt;&gt;""),--ISNUMBER(SEARCH($K$4,'Final Calculation Sheet'!$J$8)))))</f>
        <v/>
      </c>
      <c r="DQ10">
        <f>IF($L$4="",1,IF($L$4="(blank)",--('Final Calculation Sheet'!$K$8=""),IF($L$4="(nonblank)",--('Final Calculation Sheet'!$K$8&lt;&gt;""),--ISNUMBER(SEARCH($L$4,'Final Calculation Sheet'!$K$8)))))</f>
        <v/>
      </c>
      <c r="DR10">
        <f>IF($M$4="",1,IF($M$4="(blank)",--('Final Calculation Sheet'!$L$8=""),IF($M$4="(nonblank)",--('Final Calculation Sheet'!$L$8&lt;&gt;""),--ISNUMBER(SEARCH($M$4,'Final Calculation Sheet'!$L$8)))))</f>
        <v/>
      </c>
      <c r="DS10">
        <f>IF($N$4="",1,IF($N$4="(blank)",--('Final Calculation Sheet'!$M$8=""),IF($N$4="(nonblank)",--('Final Calculation Sheet'!$M$8&lt;&gt;""),--ISNUMBER(SEARCH($N$4,'Final Calculation Sheet'!$M$8)))))</f>
        <v/>
      </c>
      <c r="DT10">
        <f>IF($O$4="",1,IF($O$4="(blank)",--('Final Calculation Sheet'!$N$8=""),IF($O$4="(nonblank)",--('Final Calculation Sheet'!$N$8&lt;&gt;""),--ISNUMBER(SEARCH($O$4,'Final Calculation Sheet'!$N$8)))))</f>
        <v/>
      </c>
      <c r="DU10">
        <f>IF($P$4="",1,IF($P$4="(blank)",--('Final Calculation Sheet'!$O$8=""),IF($P$4="(nonblank)",--('Final Calculation Sheet'!$O$8&lt;&gt;""),--ISNUMBER(SEARCH($P$4,'Final Calculation Sheet'!$O$8)))))</f>
        <v/>
      </c>
      <c r="DV10">
        <f>IF($Q$4="",1,IF($Q$4="(blank)",--('Final Calculation Sheet'!$P$8=""),IF($Q$4="(nonblank)",--('Final Calculation Sheet'!$P$8&lt;&gt;""),--ISNUMBER(SEARCH($Q$4,'Final Calculation Sheet'!$P$8)))))</f>
        <v/>
      </c>
      <c r="DW10">
        <f>IF($R$4="",1,IF($R$4="(blank)",--('Final Calculation Sheet'!$Q$8=""),IF($R$4="(nonblank)",--('Final Calculation Sheet'!$Q$8&lt;&gt;""),--ISNUMBER(SEARCH($R$4,'Final Calculation Sheet'!$Q$8)))))</f>
        <v/>
      </c>
      <c r="DX10">
        <f>IF($S$4="",1,IF($S$4="(blank)",--('Final Calculation Sheet'!$R$8=""),IF($S$4="(nonblank)",--('Final Calculation Sheet'!$R$8&lt;&gt;""),--ISNUMBER(SEARCH($S$4,'Final Calculation Sheet'!$R$8)))))</f>
        <v/>
      </c>
      <c r="DY10">
        <f>IF($T$4="",1,IF($T$4="(blank)",--('Final Calculation Sheet'!$S$8=""),IF($T$4="(nonblank)",--('Final Calculation Sheet'!$S$8&lt;&gt;""),--ISNUMBER(SEARCH($T$4,'Final Calculation Sheet'!$S$8)))))</f>
        <v/>
      </c>
      <c r="DZ10">
        <f>IF($U$4="",1,IF($U$4="(blank)",--('Final Calculation Sheet'!$T$8=""),IF($U$4="(nonblank)",--('Final Calculation Sheet'!$T$8&lt;&gt;""),--ISNUMBER(SEARCH($U$4,'Final Calculation Sheet'!$T$8)))))</f>
        <v/>
      </c>
      <c r="EA10">
        <f>IF($V$4="",1,IF($V$4="(blank)",--('Final Calculation Sheet'!$U$8=""),IF($V$4="(nonblank)",--('Final Calculation Sheet'!$U$8&lt;&gt;""),--ISNUMBER(SEARCH($V$4,'Final Calculation Sheet'!$U$8)))))</f>
        <v/>
      </c>
      <c r="EB10">
        <f>IF($W$4="",1,IF($W$4="(blank)",--('Final Calculation Sheet'!$V$8=""),IF($W$4="(nonblank)",--('Final Calculation Sheet'!$V$8&lt;&gt;""),--ISNUMBER(SEARCH($W$4,'Final Calculation Sheet'!$V$8)))))</f>
        <v/>
      </c>
      <c r="EC10">
        <f>IF($X$4="",1,IF($X$4="(blank)",--('Final Calculation Sheet'!$W$8=""),IF($X$4="(nonblank)",--('Final Calculation Sheet'!$W$8&lt;&gt;""),--ISNUMBER(SEARCH($X$4,'Final Calculation Sheet'!$W$8)))))</f>
        <v/>
      </c>
      <c r="ED10">
        <f>IF($Y$4="",1,IF($Y$4="(blank)",--('Final Calculation Sheet'!$X$8=""),IF($Y$4="(nonblank)",--('Final Calculation Sheet'!$X$8&lt;&gt;""),--ISNUMBER(SEARCH($Y$4,'Final Calculation Sheet'!$X$8)))))</f>
        <v/>
      </c>
      <c r="EE10">
        <f>IF($Z$4="",1,IF($Z$4="(blank)",--('Final Calculation Sheet'!$Y$8=""),IF($Z$4="(nonblank)",--('Final Calculation Sheet'!$Y$8&lt;&gt;""),--ISNUMBER(SEARCH($Z$4,'Final Calculation Sheet'!$Y$8)))))</f>
        <v/>
      </c>
      <c r="EF10">
        <f>IF($AA$4="",1,IF($AA$4="(blank)",--('Final Calculation Sheet'!$Z$8=""),IF($AA$4="(nonblank)",--('Final Calculation Sheet'!$Z$8&lt;&gt;""),--ISNUMBER(SEARCH($AA$4,'Final Calculation Sheet'!$Z$8)))))</f>
        <v/>
      </c>
      <c r="EG10">
        <f>IF($AB$4="",1,IF($AB$4="(blank)",--('Final Calculation Sheet'!$AA$8=""),IF($AB$4="(nonblank)",--('Final Calculation Sheet'!$AA$8&lt;&gt;""),--ISNUMBER(SEARCH($AB$4,'Final Calculation Sheet'!$AA$8)))))</f>
        <v/>
      </c>
      <c r="EH10">
        <f>IF($AC$4="",1,IF($AC$4="(blank)",--('Final Calculation Sheet'!$AB$8=""),IF($AC$4="(nonblank)",--('Final Calculation Sheet'!$AB$8&lt;&gt;""),--ISNUMBER(SEARCH($AC$4,'Final Calculation Sheet'!$AB$8)))))</f>
        <v/>
      </c>
      <c r="EI10">
        <f>IF($AD$4="",1,IF($AD$4="(blank)",--('Final Calculation Sheet'!$AC$8=""),IF($AD$4="(nonblank)",--('Final Calculation Sheet'!$AC$8&lt;&gt;""),--ISNUMBER(SEARCH($AD$4,'Final Calculation Sheet'!$AC$8)))))</f>
        <v/>
      </c>
      <c r="EJ10">
        <f>IF($AE$4="",1,IF($AE$4="(blank)",--('Final Calculation Sheet'!$AD$8=""),IF($AE$4="(nonblank)",--('Final Calculation Sheet'!$AD$8&lt;&gt;""),--ISNUMBER(SEARCH($AE$4,'Final Calculation Sheet'!$AD$8)))))</f>
        <v/>
      </c>
      <c r="EK10">
        <f>IF($AF$4="",1,IF($AF$4="(blank)",--(IF('Final Calculation Sheet'!$AD$8&lt;=5,"SETTLED","OUTSTANDING")=""),IF($AF$4="(nonblank)",--(IF('Final Calculation Sheet'!$AD$8&lt;=5,"SETTLED","OUTSTANDING")&lt;&gt;""),--ISNUMBER(SEARCH($AF$4,IF('Final Calculation Sheet'!$AD$8&lt;=5,"SETTLED","OUTSTANDING"))))))</f>
        <v/>
      </c>
      <c r="EL10">
        <f>IF($AG$4="",1,IF($AG$4="(blank)",--('Final Calculation Sheet'!$AF$8=""),IF($AG$4="(nonblank)",--('Final Calculation Sheet'!$AF$8&lt;&gt;""),--ISNUMBER(SEARCH($AG$4,'Final Calculation Sheet'!$AF$8)))))</f>
        <v/>
      </c>
      <c r="EM10">
        <f>IF($AH$4="",1,IF($AH$4="(blank)",--('Final Calculation Sheet'!$AG$8=""),IF($AH$4="(nonblank)",--('Final Calculation Sheet'!$AG$8&lt;&gt;""),--ISNUMBER(SEARCH($AH$4,'Final Calculation Sheet'!$AG$8)))))</f>
        <v/>
      </c>
      <c r="EN10">
        <f>IF($AI$4="",1,IF($AI$4="(blank)",--('Final Calculation Sheet'!$AH$8=""),IF($AI$4="(nonblank)",--('Final Calculation Sheet'!$AH$8&lt;&gt;""),--ISNUMBER(SEARCH($AI$4,'Final Calculation Sheet'!$AH$8)))))</f>
        <v/>
      </c>
    </row>
    <row r="11" outlineLevel="1" hidden="1">
      <c r="A11" s="118">
        <f>IF($AL$11="","",5)</f>
        <v/>
      </c>
      <c r="B11" s="119">
        <f>IF($AL$11="","",IF(INDEX('Final Calculation Sheet'!$F$4:$F$40,$AL$11)="","",INDEX('Final Calculation Sheet'!$F$4:$F$40,$AL$11)))</f>
        <v/>
      </c>
      <c r="C11" s="119">
        <f>IF($AL$11="","",IF(INDEX('Final Calculation Sheet'!$G$4:$G$40,$AL$11)="","",INDEX('Final Calculation Sheet'!$G$4:$G$40,$AL$11)))</f>
        <v/>
      </c>
      <c r="D11" s="121">
        <f>IF($AL$11="","",IF(INDEX('Final Calculation Sheet'!$B$4:$B$40,$AL$11)="","",INDEX('Final Calculation Sheet'!$B$4:$B$40,$AL$11)))</f>
        <v/>
      </c>
      <c r="E11" s="121">
        <f>IF($AL$11="","",IF(INDEX('Final Calculation Sheet'!$D$4:$D$40,$AL$11)="","",INDEX('Final Calculation Sheet'!$D$4:$D$40,$AL$11)))</f>
        <v/>
      </c>
      <c r="F11" s="121">
        <f>IF($AL$11="","",IF(INDEX('Final Calculation Sheet'!$A$4:$A$40,$AL$11)="","",INDEX('Final Calculation Sheet'!$A$4:$A$40,$AL$11)))</f>
        <v/>
      </c>
      <c r="G11" s="121">
        <f>IF($AL$11="","",IF(INDEX('Final Calculation Sheet'!$E$4:$E$40,$AL$11)="","",INDEX('Final Calculation Sheet'!$E$4:$E$40,$AL$11)))</f>
        <v/>
      </c>
      <c r="H11" s="122">
        <f>IF($AL$11="","",IF(INDEX('Final Calculation Sheet'!$C$4:$C$40,$AL$11)="","",INDEX('Final Calculation Sheet'!$C$4:$C$40,$AL$11)))</f>
        <v/>
      </c>
      <c r="I11" s="122">
        <f>IF($AL$11="","",IF(INDEX('Final Calculation Sheet'!$H$4:$H$40,$AL$11)="","",INDEX('Final Calculation Sheet'!$H$4:$H$40,$AL$11)))</f>
        <v/>
      </c>
      <c r="J11" s="122">
        <f>IF($AL$11="","",IF(INDEX('Final Calculation Sheet'!$I$4:$I$40,$AL$11)="","",INDEX('Final Calculation Sheet'!$I$4:$I$40,$AL$11)))</f>
        <v/>
      </c>
      <c r="K11" s="122">
        <f>IF($AL$11="","",IF(INDEX('Final Calculation Sheet'!$J$4:$J$40,$AL$11)="","",INDEX('Final Calculation Sheet'!$J$4:$J$40,$AL$11)))</f>
        <v/>
      </c>
      <c r="L11" s="122">
        <f>IF($AL$11="","",IF(INDEX('Final Calculation Sheet'!$K$4:$K$40,$AL$11)="","",INDEX('Final Calculation Sheet'!$K$4:$K$40,$AL$11)))</f>
        <v/>
      </c>
      <c r="M11" s="122">
        <f>IF($AL$11="","",IF(INDEX('Final Calculation Sheet'!$L$4:$L$40,$AL$11)="","",INDEX('Final Calculation Sheet'!$L$4:$L$40,$AL$11)))</f>
        <v/>
      </c>
      <c r="N11" s="122">
        <f>IF($AL$11="","",IF(INDEX('Final Calculation Sheet'!$M$4:$M$40,$AL$11)="","",INDEX('Final Calculation Sheet'!$M$4:$M$40,$AL$11)))</f>
        <v/>
      </c>
      <c r="O11" s="123">
        <f>IF($AL$11="","",IF(INDEX('Final Calculation Sheet'!$N$4:$N$40,$AL$11)="","",INDEX('Final Calculation Sheet'!$N$4:$N$40,$AL$11)))</f>
        <v/>
      </c>
      <c r="P11" s="122">
        <f>IF($AL$11="","",IF(INDEX('Final Calculation Sheet'!$O$4:$O$40,$AL$11)="","",INDEX('Final Calculation Sheet'!$O$4:$O$40,$AL$11)))</f>
        <v/>
      </c>
      <c r="Q11" s="122">
        <f>IF($AL$11="","",IF(INDEX('Final Calculation Sheet'!$P$4:$P$40,$AL$11)="","",INDEX('Final Calculation Sheet'!$P$4:$P$40,$AL$11)))</f>
        <v/>
      </c>
      <c r="R11" s="124">
        <f>IF($AL$11="","",IF(INDEX('Final Calculation Sheet'!$Q$4:$Q$40,$AL$11)="","",INDEX('Final Calculation Sheet'!$Q$4:$Q$40,$AL$11)))</f>
        <v/>
      </c>
      <c r="S11" s="122">
        <f>IF($AL$11="","",IF(INDEX('Final Calculation Sheet'!$R$4:$R$40,$AL$11)="","",INDEX('Final Calculation Sheet'!$R$4:$R$40,$AL$11)))</f>
        <v/>
      </c>
      <c r="T11" s="122">
        <f>IF($AL$11="","",IF(INDEX('Final Calculation Sheet'!$S$4:$S$40,$AL$11)="","",INDEX('Final Calculation Sheet'!$S$4:$S$40,$AL$11)))</f>
        <v/>
      </c>
      <c r="U11" s="122">
        <f>IF($AL$11="","",IF(INDEX('Final Calculation Sheet'!$T$4:$T$40,$AL$11)="","",INDEX('Final Calculation Sheet'!$T$4:$T$40,$AL$11)))</f>
        <v/>
      </c>
      <c r="V11" s="125">
        <f>IF($AL$11="","",IF(INDEX('Final Calculation Sheet'!$U$4:$U$40,$AL$11)="","",INDEX('Final Calculation Sheet'!$U$4:$U$40,$AL$11)))</f>
        <v/>
      </c>
      <c r="W11" s="122">
        <f>IF($AL$11="","",IF(INDEX('Final Calculation Sheet'!$V$4:$V$40,$AL$11)="","",INDEX('Final Calculation Sheet'!$V$4:$V$40,$AL$11)))</f>
        <v/>
      </c>
      <c r="X11" s="122">
        <f>IF($AL$11="","",IF(INDEX('Final Calculation Sheet'!$W$4:$W$40,$AL$11)="","",INDEX('Final Calculation Sheet'!$W$4:$W$40,$AL$11)))</f>
        <v/>
      </c>
      <c r="Y11" s="122">
        <f>IF($AL$11="","",IF(INDEX('Final Calculation Sheet'!$X$4:$X$40,$AL$11)="","",INDEX('Final Calculation Sheet'!$X$4:$X$40,$AL$11)))</f>
        <v/>
      </c>
      <c r="Z11" s="122">
        <f>IF($AL$11="","",IF(INDEX('Final Calculation Sheet'!$Y$4:$Y$40,$AL$11)="","",INDEX('Final Calculation Sheet'!$Y$4:$Y$40,$AL$11)))</f>
        <v/>
      </c>
      <c r="AA11" s="122">
        <f>IF($AL$11="","",IF(INDEX('Final Calculation Sheet'!$Z$4:$Z$40,$AL$11)="","",INDEX('Final Calculation Sheet'!$Z$4:$Z$40,$AL$11)))</f>
        <v/>
      </c>
      <c r="AB11" s="122">
        <f>IF($AL$11="","",IF(INDEX('Final Calculation Sheet'!$AA$4:$AA$40,$AL$11)="","",INDEX('Final Calculation Sheet'!$AA$4:$AA$40,$AL$11)))</f>
        <v/>
      </c>
      <c r="AC11" s="122">
        <f>IF($AL$11="","",IF(INDEX('Final Calculation Sheet'!$AB$4:$AB$40,$AL$11)="","",INDEX('Final Calculation Sheet'!$AB$4:$AB$40,$AL$11)))</f>
        <v/>
      </c>
      <c r="AD11" s="122">
        <f>IF($AL$11="","",IF(INDEX('Final Calculation Sheet'!$AC$4:$AC$40,$AL$11)="","",INDEX('Final Calculation Sheet'!$AC$4:$AC$40,$AL$11)))</f>
        <v/>
      </c>
      <c r="AE11" s="122">
        <f>IF($AL$11="","",IF(INDEX('Final Calculation Sheet'!$AD$4:$AD$40,$AL$11)="","",INDEX('Final Calculation Sheet'!$AD$4:$AD$40,$AL$11)))</f>
        <v/>
      </c>
      <c r="AF11" s="127">
        <f>IF($AL$11="","",IF(INDEX('Final Calculation Sheet'!$AD$4:$AD$40,$AL$11)&lt;=5,"SETTLED","OUTSTANDING"))</f>
        <v/>
      </c>
      <c r="AG11" s="122">
        <f>IF($AL$11="","",IF(INDEX('Final Calculation Sheet'!$AF$4:$AF$40,$AL$11)="","",INDEX('Final Calculation Sheet'!$AF$4:$AF$40,$AL$11)))</f>
        <v/>
      </c>
      <c r="AH11" s="126">
        <f>IF($AL$11="","",IF(INDEX('Final Calculation Sheet'!$AG$4:$AG$40,$AL$11)="","",INDEX('Final Calculation Sheet'!$AG$4:$AG$40,$AL$11)))</f>
        <v/>
      </c>
      <c r="AI11" s="122">
        <f>IF($AL$11="","",IF(INDEX('Final Calculation Sheet'!$AH$4:$AH$40,$AL$11)="","",INDEX('Final Calculation Sheet'!$AH$4:$AH$40,$AL$11)))</f>
        <v/>
      </c>
      <c r="AJ11">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11">
        <f>IF(AJ11=1,COUNTIF(AJ$6:AJ11,1),"")</f>
        <v/>
      </c>
      <c r="AL11">
        <f>IF(COUNTIF($B$4:$AI$4,"&lt;&gt;")=0,"",IFERROR(MATCH(5,$AK$6:$AK$42,0),""))</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G11">
        <f>IF($B$4="",1,IF($B$4="(blank)",--('Final Calculation Sheet'!$F$9=""),IF($B$4="(nonblank)",--('Final Calculation Sheet'!$F$9&lt;&gt;""),--ISNUMBER(SEARCH($B$4,'Final Calculation Sheet'!$F$9)))))</f>
        <v/>
      </c>
      <c r="DH11">
        <f>IF($C$4="",1,IF($C$4="(blank)",--('Final Calculation Sheet'!$G$9=""),IF($C$4="(nonblank)",--('Final Calculation Sheet'!$G$9&lt;&gt;""),--ISNUMBER(SEARCH($C$4,'Final Calculation Sheet'!$G$9)))))</f>
        <v/>
      </c>
      <c r="DI11">
        <f>IF($D$4="",1,IF($D$4="(blank)",--('Final Calculation Sheet'!$B$9=""),IF($D$4="(nonblank)",--('Final Calculation Sheet'!$B$9&lt;&gt;""),--ISNUMBER(SEARCH($D$4,'Final Calculation Sheet'!$B$9)))))</f>
        <v/>
      </c>
      <c r="DJ11">
        <f>IF($E$4="",1,IF($E$4="(blank)",--('Final Calculation Sheet'!$D$9=""),IF($E$4="(nonblank)",--('Final Calculation Sheet'!$D$9&lt;&gt;""),--ISNUMBER(SEARCH($E$4,'Final Calculation Sheet'!$D$9)))))</f>
        <v/>
      </c>
      <c r="DK11">
        <f>IF($F$4="",1,IF($F$4="(blank)",--('Final Calculation Sheet'!$A$9=""),IF($F$4="(nonblank)",--('Final Calculation Sheet'!$A$9&lt;&gt;""),--ISNUMBER(SEARCH($F$4,'Final Calculation Sheet'!$A$9)))))</f>
        <v/>
      </c>
      <c r="DL11">
        <f>IF($G$4="",1,IF($G$4="(blank)",--('Final Calculation Sheet'!$E$9=""),IF($G$4="(nonblank)",--('Final Calculation Sheet'!$E$9&lt;&gt;""),--ISNUMBER(SEARCH($G$4,'Final Calculation Sheet'!$E$9)))))</f>
        <v/>
      </c>
      <c r="DM11">
        <f>IF($H$4="",1,IF($H$4="(blank)",--('Final Calculation Sheet'!$C$9=""),IF($H$4="(nonblank)",--('Final Calculation Sheet'!$C$9&lt;&gt;""),--ISNUMBER(SEARCH($H$4,'Final Calculation Sheet'!$C$9)))))</f>
        <v/>
      </c>
      <c r="DN11">
        <f>IF($I$4="",1,IF($I$4="(blank)",--('Final Calculation Sheet'!$H$9=""),IF($I$4="(nonblank)",--('Final Calculation Sheet'!$H$9&lt;&gt;""),--ISNUMBER(SEARCH($I$4,'Final Calculation Sheet'!$H$9)))))</f>
        <v/>
      </c>
      <c r="DO11">
        <f>IF($J$4="",1,IF($J$4="(blank)",--('Final Calculation Sheet'!$I$9=""),IF($J$4="(nonblank)",--('Final Calculation Sheet'!$I$9&lt;&gt;""),--ISNUMBER(SEARCH($J$4,'Final Calculation Sheet'!$I$9)))))</f>
        <v/>
      </c>
      <c r="DP11">
        <f>IF($K$4="",1,IF($K$4="(blank)",--('Final Calculation Sheet'!$J$9=""),IF($K$4="(nonblank)",--('Final Calculation Sheet'!$J$9&lt;&gt;""),--ISNUMBER(SEARCH($K$4,'Final Calculation Sheet'!$J$9)))))</f>
        <v/>
      </c>
      <c r="DQ11">
        <f>IF($L$4="",1,IF($L$4="(blank)",--('Final Calculation Sheet'!$K$9=""),IF($L$4="(nonblank)",--('Final Calculation Sheet'!$K$9&lt;&gt;""),--ISNUMBER(SEARCH($L$4,'Final Calculation Sheet'!$K$9)))))</f>
        <v/>
      </c>
      <c r="DR11">
        <f>IF($M$4="",1,IF($M$4="(blank)",--('Final Calculation Sheet'!$L$9=""),IF($M$4="(nonblank)",--('Final Calculation Sheet'!$L$9&lt;&gt;""),--ISNUMBER(SEARCH($M$4,'Final Calculation Sheet'!$L$9)))))</f>
        <v/>
      </c>
      <c r="DS11">
        <f>IF($N$4="",1,IF($N$4="(blank)",--('Final Calculation Sheet'!$M$9=""),IF($N$4="(nonblank)",--('Final Calculation Sheet'!$M$9&lt;&gt;""),--ISNUMBER(SEARCH($N$4,'Final Calculation Sheet'!$M$9)))))</f>
        <v/>
      </c>
      <c r="DT11">
        <f>IF($O$4="",1,IF($O$4="(blank)",--('Final Calculation Sheet'!$N$9=""),IF($O$4="(nonblank)",--('Final Calculation Sheet'!$N$9&lt;&gt;""),--ISNUMBER(SEARCH($O$4,'Final Calculation Sheet'!$N$9)))))</f>
        <v/>
      </c>
      <c r="DU11">
        <f>IF($P$4="",1,IF($P$4="(blank)",--('Final Calculation Sheet'!$O$9=""),IF($P$4="(nonblank)",--('Final Calculation Sheet'!$O$9&lt;&gt;""),--ISNUMBER(SEARCH($P$4,'Final Calculation Sheet'!$O$9)))))</f>
        <v/>
      </c>
      <c r="DV11">
        <f>IF($Q$4="",1,IF($Q$4="(blank)",--('Final Calculation Sheet'!$P$9=""),IF($Q$4="(nonblank)",--('Final Calculation Sheet'!$P$9&lt;&gt;""),--ISNUMBER(SEARCH($Q$4,'Final Calculation Sheet'!$P$9)))))</f>
        <v/>
      </c>
      <c r="DW11">
        <f>IF($R$4="",1,IF($R$4="(blank)",--('Final Calculation Sheet'!$Q$9=""),IF($R$4="(nonblank)",--('Final Calculation Sheet'!$Q$9&lt;&gt;""),--ISNUMBER(SEARCH($R$4,'Final Calculation Sheet'!$Q$9)))))</f>
        <v/>
      </c>
      <c r="DX11">
        <f>IF($S$4="",1,IF($S$4="(blank)",--('Final Calculation Sheet'!$R$9=""),IF($S$4="(nonblank)",--('Final Calculation Sheet'!$R$9&lt;&gt;""),--ISNUMBER(SEARCH($S$4,'Final Calculation Sheet'!$R$9)))))</f>
        <v/>
      </c>
      <c r="DY11">
        <f>IF($T$4="",1,IF($T$4="(blank)",--('Final Calculation Sheet'!$S$9=""),IF($T$4="(nonblank)",--('Final Calculation Sheet'!$S$9&lt;&gt;""),--ISNUMBER(SEARCH($T$4,'Final Calculation Sheet'!$S$9)))))</f>
        <v/>
      </c>
      <c r="DZ11">
        <f>IF($U$4="",1,IF($U$4="(blank)",--('Final Calculation Sheet'!$T$9=""),IF($U$4="(nonblank)",--('Final Calculation Sheet'!$T$9&lt;&gt;""),--ISNUMBER(SEARCH($U$4,'Final Calculation Sheet'!$T$9)))))</f>
        <v/>
      </c>
      <c r="EA11">
        <f>IF($V$4="",1,IF($V$4="(blank)",--('Final Calculation Sheet'!$U$9=""),IF($V$4="(nonblank)",--('Final Calculation Sheet'!$U$9&lt;&gt;""),--ISNUMBER(SEARCH($V$4,'Final Calculation Sheet'!$U$9)))))</f>
        <v/>
      </c>
      <c r="EB11">
        <f>IF($W$4="",1,IF($W$4="(blank)",--('Final Calculation Sheet'!$V$9=""),IF($W$4="(nonblank)",--('Final Calculation Sheet'!$V$9&lt;&gt;""),--ISNUMBER(SEARCH($W$4,'Final Calculation Sheet'!$V$9)))))</f>
        <v/>
      </c>
      <c r="EC11">
        <f>IF($X$4="",1,IF($X$4="(blank)",--('Final Calculation Sheet'!$W$9=""),IF($X$4="(nonblank)",--('Final Calculation Sheet'!$W$9&lt;&gt;""),--ISNUMBER(SEARCH($X$4,'Final Calculation Sheet'!$W$9)))))</f>
        <v/>
      </c>
      <c r="ED11">
        <f>IF($Y$4="",1,IF($Y$4="(blank)",--('Final Calculation Sheet'!$X$9=""),IF($Y$4="(nonblank)",--('Final Calculation Sheet'!$X$9&lt;&gt;""),--ISNUMBER(SEARCH($Y$4,'Final Calculation Sheet'!$X$9)))))</f>
        <v/>
      </c>
      <c r="EE11">
        <f>IF($Z$4="",1,IF($Z$4="(blank)",--('Final Calculation Sheet'!$Y$9=""),IF($Z$4="(nonblank)",--('Final Calculation Sheet'!$Y$9&lt;&gt;""),--ISNUMBER(SEARCH($Z$4,'Final Calculation Sheet'!$Y$9)))))</f>
        <v/>
      </c>
      <c r="EF11">
        <f>IF($AA$4="",1,IF($AA$4="(blank)",--('Final Calculation Sheet'!$Z$9=""),IF($AA$4="(nonblank)",--('Final Calculation Sheet'!$Z$9&lt;&gt;""),--ISNUMBER(SEARCH($AA$4,'Final Calculation Sheet'!$Z$9)))))</f>
        <v/>
      </c>
      <c r="EG11">
        <f>IF($AB$4="",1,IF($AB$4="(blank)",--('Final Calculation Sheet'!$AA$9=""),IF($AB$4="(nonblank)",--('Final Calculation Sheet'!$AA$9&lt;&gt;""),--ISNUMBER(SEARCH($AB$4,'Final Calculation Sheet'!$AA$9)))))</f>
        <v/>
      </c>
      <c r="EH11">
        <f>IF($AC$4="",1,IF($AC$4="(blank)",--('Final Calculation Sheet'!$AB$9=""),IF($AC$4="(nonblank)",--('Final Calculation Sheet'!$AB$9&lt;&gt;""),--ISNUMBER(SEARCH($AC$4,'Final Calculation Sheet'!$AB$9)))))</f>
        <v/>
      </c>
      <c r="EI11">
        <f>IF($AD$4="",1,IF($AD$4="(blank)",--('Final Calculation Sheet'!$AC$9=""),IF($AD$4="(nonblank)",--('Final Calculation Sheet'!$AC$9&lt;&gt;""),--ISNUMBER(SEARCH($AD$4,'Final Calculation Sheet'!$AC$9)))))</f>
        <v/>
      </c>
      <c r="EJ11">
        <f>IF($AE$4="",1,IF($AE$4="(blank)",--('Final Calculation Sheet'!$AD$9=""),IF($AE$4="(nonblank)",--('Final Calculation Sheet'!$AD$9&lt;&gt;""),--ISNUMBER(SEARCH($AE$4,'Final Calculation Sheet'!$AD$9)))))</f>
        <v/>
      </c>
      <c r="EK11">
        <f>IF($AF$4="",1,IF($AF$4="(blank)",--(IF('Final Calculation Sheet'!$AD$9&lt;=5,"SETTLED","OUTSTANDING")=""),IF($AF$4="(nonblank)",--(IF('Final Calculation Sheet'!$AD$9&lt;=5,"SETTLED","OUTSTANDING")&lt;&gt;""),--ISNUMBER(SEARCH($AF$4,IF('Final Calculation Sheet'!$AD$9&lt;=5,"SETTLED","OUTSTANDING"))))))</f>
        <v/>
      </c>
      <c r="EL11">
        <f>IF($AG$4="",1,IF($AG$4="(blank)",--('Final Calculation Sheet'!$AF$9=""),IF($AG$4="(nonblank)",--('Final Calculation Sheet'!$AF$9&lt;&gt;""),--ISNUMBER(SEARCH($AG$4,'Final Calculation Sheet'!$AF$9)))))</f>
        <v/>
      </c>
      <c r="EM11">
        <f>IF($AH$4="",1,IF($AH$4="(blank)",--('Final Calculation Sheet'!$AG$9=""),IF($AH$4="(nonblank)",--('Final Calculation Sheet'!$AG$9&lt;&gt;""),--ISNUMBER(SEARCH($AH$4,'Final Calculation Sheet'!$AG$9)))))</f>
        <v/>
      </c>
      <c r="EN11">
        <f>IF($AI$4="",1,IF($AI$4="(blank)",--('Final Calculation Sheet'!$AH$9=""),IF($AI$4="(nonblank)",--('Final Calculation Sheet'!$AH$9&lt;&gt;""),--ISNUMBER(SEARCH($AI$4,'Final Calculation Sheet'!$AH$9)))))</f>
        <v/>
      </c>
    </row>
    <row r="12" outlineLevel="1" hidden="1">
      <c r="A12" s="128">
        <f>IF($AL$12="","",6)</f>
        <v/>
      </c>
      <c r="B12" s="129">
        <f>IF($AL$12="","",IF(INDEX('Final Calculation Sheet'!$F$4:$F$40,$AL$12)="","",INDEX('Final Calculation Sheet'!$F$4:$F$40,$AL$12)))</f>
        <v/>
      </c>
      <c r="C12" s="129">
        <f>IF($AL$12="","",IF(INDEX('Final Calculation Sheet'!$G$4:$G$40,$AL$12)="","",INDEX('Final Calculation Sheet'!$G$4:$G$40,$AL$12)))</f>
        <v/>
      </c>
      <c r="D12" s="130">
        <f>IF($AL$12="","",IF(INDEX('Final Calculation Sheet'!$B$4:$B$40,$AL$12)="","",INDEX('Final Calculation Sheet'!$B$4:$B$40,$AL$12)))</f>
        <v/>
      </c>
      <c r="E12" s="130">
        <f>IF($AL$12="","",IF(INDEX('Final Calculation Sheet'!$D$4:$D$40,$AL$12)="","",INDEX('Final Calculation Sheet'!$D$4:$D$40,$AL$12)))</f>
        <v/>
      </c>
      <c r="F12" s="130">
        <f>IF($AL$12="","",IF(INDEX('Final Calculation Sheet'!$A$4:$A$40,$AL$12)="","",INDEX('Final Calculation Sheet'!$A$4:$A$40,$AL$12)))</f>
        <v/>
      </c>
      <c r="G12" s="130">
        <f>IF($AL$12="","",IF(INDEX('Final Calculation Sheet'!$E$4:$E$40,$AL$12)="","",INDEX('Final Calculation Sheet'!$E$4:$E$40,$AL$12)))</f>
        <v/>
      </c>
      <c r="H12" s="131">
        <f>IF($AL$12="","",IF(INDEX('Final Calculation Sheet'!$C$4:$C$40,$AL$12)="","",INDEX('Final Calculation Sheet'!$C$4:$C$40,$AL$12)))</f>
        <v/>
      </c>
      <c r="I12" s="131">
        <f>IF($AL$12="","",IF(INDEX('Final Calculation Sheet'!$H$4:$H$40,$AL$12)="","",INDEX('Final Calculation Sheet'!$H$4:$H$40,$AL$12)))</f>
        <v/>
      </c>
      <c r="J12" s="131">
        <f>IF($AL$12="","",IF(INDEX('Final Calculation Sheet'!$I$4:$I$40,$AL$12)="","",INDEX('Final Calculation Sheet'!$I$4:$I$40,$AL$12)))</f>
        <v/>
      </c>
      <c r="K12" s="131">
        <f>IF($AL$12="","",IF(INDEX('Final Calculation Sheet'!$J$4:$J$40,$AL$12)="","",INDEX('Final Calculation Sheet'!$J$4:$J$40,$AL$12)))</f>
        <v/>
      </c>
      <c r="L12" s="131">
        <f>IF($AL$12="","",IF(INDEX('Final Calculation Sheet'!$K$4:$K$40,$AL$12)="","",INDEX('Final Calculation Sheet'!$K$4:$K$40,$AL$12)))</f>
        <v/>
      </c>
      <c r="M12" s="131">
        <f>IF($AL$12="","",IF(INDEX('Final Calculation Sheet'!$L$4:$L$40,$AL$12)="","",INDEX('Final Calculation Sheet'!$L$4:$L$40,$AL$12)))</f>
        <v/>
      </c>
      <c r="N12" s="131">
        <f>IF($AL$12="","",IF(INDEX('Final Calculation Sheet'!$M$4:$M$40,$AL$12)="","",INDEX('Final Calculation Sheet'!$M$4:$M$40,$AL$12)))</f>
        <v/>
      </c>
      <c r="O12" s="132">
        <f>IF($AL$12="","",IF(INDEX('Final Calculation Sheet'!$N$4:$N$40,$AL$12)="","",INDEX('Final Calculation Sheet'!$N$4:$N$40,$AL$12)))</f>
        <v/>
      </c>
      <c r="P12" s="131">
        <f>IF($AL$12="","",IF(INDEX('Final Calculation Sheet'!$O$4:$O$40,$AL$12)="","",INDEX('Final Calculation Sheet'!$O$4:$O$40,$AL$12)))</f>
        <v/>
      </c>
      <c r="Q12" s="131">
        <f>IF($AL$12="","",IF(INDEX('Final Calculation Sheet'!$P$4:$P$40,$AL$12)="","",INDEX('Final Calculation Sheet'!$P$4:$P$40,$AL$12)))</f>
        <v/>
      </c>
      <c r="R12" s="133">
        <f>IF($AL$12="","",IF(INDEX('Final Calculation Sheet'!$Q$4:$Q$40,$AL$12)="","",INDEX('Final Calculation Sheet'!$Q$4:$Q$40,$AL$12)))</f>
        <v/>
      </c>
      <c r="S12" s="131">
        <f>IF($AL$12="","",IF(INDEX('Final Calculation Sheet'!$R$4:$R$40,$AL$12)="","",INDEX('Final Calculation Sheet'!$R$4:$R$40,$AL$12)))</f>
        <v/>
      </c>
      <c r="T12" s="131">
        <f>IF($AL$12="","",IF(INDEX('Final Calculation Sheet'!$S$4:$S$40,$AL$12)="","",INDEX('Final Calculation Sheet'!$S$4:$S$40,$AL$12)))</f>
        <v/>
      </c>
      <c r="U12" s="131">
        <f>IF($AL$12="","",IF(INDEX('Final Calculation Sheet'!$T$4:$T$40,$AL$12)="","",INDEX('Final Calculation Sheet'!$T$4:$T$40,$AL$12)))</f>
        <v/>
      </c>
      <c r="V12" s="134">
        <f>IF($AL$12="","",IF(INDEX('Final Calculation Sheet'!$U$4:$U$40,$AL$12)="","",INDEX('Final Calculation Sheet'!$U$4:$U$40,$AL$12)))</f>
        <v/>
      </c>
      <c r="W12" s="131">
        <f>IF($AL$12="","",IF(INDEX('Final Calculation Sheet'!$V$4:$V$40,$AL$12)="","",INDEX('Final Calculation Sheet'!$V$4:$V$40,$AL$12)))</f>
        <v/>
      </c>
      <c r="X12" s="131">
        <f>IF($AL$12="","",IF(INDEX('Final Calculation Sheet'!$W$4:$W$40,$AL$12)="","",INDEX('Final Calculation Sheet'!$W$4:$W$40,$AL$12)))</f>
        <v/>
      </c>
      <c r="Y12" s="131">
        <f>IF($AL$12="","",IF(INDEX('Final Calculation Sheet'!$X$4:$X$40,$AL$12)="","",INDEX('Final Calculation Sheet'!$X$4:$X$40,$AL$12)))</f>
        <v/>
      </c>
      <c r="Z12" s="131">
        <f>IF($AL$12="","",IF(INDEX('Final Calculation Sheet'!$Y$4:$Y$40,$AL$12)="","",INDEX('Final Calculation Sheet'!$Y$4:$Y$40,$AL$12)))</f>
        <v/>
      </c>
      <c r="AA12" s="131">
        <f>IF($AL$12="","",IF(INDEX('Final Calculation Sheet'!$Z$4:$Z$40,$AL$12)="","",INDEX('Final Calculation Sheet'!$Z$4:$Z$40,$AL$12)))</f>
        <v/>
      </c>
      <c r="AB12" s="131">
        <f>IF($AL$12="","",IF(INDEX('Final Calculation Sheet'!$AA$4:$AA$40,$AL$12)="","",INDEX('Final Calculation Sheet'!$AA$4:$AA$40,$AL$12)))</f>
        <v/>
      </c>
      <c r="AC12" s="131">
        <f>IF($AL$12="","",IF(INDEX('Final Calculation Sheet'!$AB$4:$AB$40,$AL$12)="","",INDEX('Final Calculation Sheet'!$AB$4:$AB$40,$AL$12)))</f>
        <v/>
      </c>
      <c r="AD12" s="131">
        <f>IF($AL$12="","",IF(INDEX('Final Calculation Sheet'!$AC$4:$AC$40,$AL$12)="","",INDEX('Final Calculation Sheet'!$AC$4:$AC$40,$AL$12)))</f>
        <v/>
      </c>
      <c r="AE12" s="131">
        <f>IF($AL$12="","",IF(INDEX('Final Calculation Sheet'!$AD$4:$AD$40,$AL$12)="","",INDEX('Final Calculation Sheet'!$AD$4:$AD$40,$AL$12)))</f>
        <v/>
      </c>
      <c r="AF12" s="136">
        <f>IF($AL$12="","",IF(INDEX('Final Calculation Sheet'!$AD$4:$AD$40,$AL$12)&lt;=5,"SETTLED","OUTSTANDING"))</f>
        <v/>
      </c>
      <c r="AG12" s="131">
        <f>IF($AL$12="","",IF(INDEX('Final Calculation Sheet'!$AF$4:$AF$40,$AL$12)="","",INDEX('Final Calculation Sheet'!$AF$4:$AF$40,$AL$12)))</f>
        <v/>
      </c>
      <c r="AH12" s="135">
        <f>IF($AL$12="","",IF(INDEX('Final Calculation Sheet'!$AG$4:$AG$40,$AL$12)="","",INDEX('Final Calculation Sheet'!$AG$4:$AG$40,$AL$12)))</f>
        <v/>
      </c>
      <c r="AI12" s="131">
        <f>IF($AL$12="","",IF(INDEX('Final Calculation Sheet'!$AH$4:$AH$40,$AL$12)="","",INDEX('Final Calculation Sheet'!$AH$4:$AH$40,$AL$12)))</f>
        <v/>
      </c>
      <c r="AJ12">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2">
        <f>IF(AJ12=1,COUNTIF(AJ$6:AJ12,1),"")</f>
        <v/>
      </c>
      <c r="AL12">
        <f>IF(COUNTIF($B$4:$AI$4,"&lt;&gt;")=0,"",IFERROR(MATCH(6,$AK$6:$AK$42,0),""))</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G12">
        <f>IF($B$4="",1,IF($B$4="(blank)",--('Final Calculation Sheet'!$F$10=""),IF($B$4="(nonblank)",--('Final Calculation Sheet'!$F$10&lt;&gt;""),--ISNUMBER(SEARCH($B$4,'Final Calculation Sheet'!$F$10)))))</f>
        <v/>
      </c>
      <c r="DH12">
        <f>IF($C$4="",1,IF($C$4="(blank)",--('Final Calculation Sheet'!$G$10=""),IF($C$4="(nonblank)",--('Final Calculation Sheet'!$G$10&lt;&gt;""),--ISNUMBER(SEARCH($C$4,'Final Calculation Sheet'!$G$10)))))</f>
        <v/>
      </c>
      <c r="DI12">
        <f>IF($D$4="",1,IF($D$4="(blank)",--('Final Calculation Sheet'!$B$10=""),IF($D$4="(nonblank)",--('Final Calculation Sheet'!$B$10&lt;&gt;""),--ISNUMBER(SEARCH($D$4,'Final Calculation Sheet'!$B$10)))))</f>
        <v/>
      </c>
      <c r="DJ12">
        <f>IF($E$4="",1,IF($E$4="(blank)",--('Final Calculation Sheet'!$D$10=""),IF($E$4="(nonblank)",--('Final Calculation Sheet'!$D$10&lt;&gt;""),--ISNUMBER(SEARCH($E$4,'Final Calculation Sheet'!$D$10)))))</f>
        <v/>
      </c>
      <c r="DK12">
        <f>IF($F$4="",1,IF($F$4="(blank)",--('Final Calculation Sheet'!$A$10=""),IF($F$4="(nonblank)",--('Final Calculation Sheet'!$A$10&lt;&gt;""),--ISNUMBER(SEARCH($F$4,'Final Calculation Sheet'!$A$10)))))</f>
        <v/>
      </c>
      <c r="DL12">
        <f>IF($G$4="",1,IF($G$4="(blank)",--('Final Calculation Sheet'!$E$10=""),IF($G$4="(nonblank)",--('Final Calculation Sheet'!$E$10&lt;&gt;""),--ISNUMBER(SEARCH($G$4,'Final Calculation Sheet'!$E$10)))))</f>
        <v/>
      </c>
      <c r="DM12">
        <f>IF($H$4="",1,IF($H$4="(blank)",--('Final Calculation Sheet'!$C$10=""),IF($H$4="(nonblank)",--('Final Calculation Sheet'!$C$10&lt;&gt;""),--ISNUMBER(SEARCH($H$4,'Final Calculation Sheet'!$C$10)))))</f>
        <v/>
      </c>
      <c r="DN12">
        <f>IF($I$4="",1,IF($I$4="(blank)",--('Final Calculation Sheet'!$H$10=""),IF($I$4="(nonblank)",--('Final Calculation Sheet'!$H$10&lt;&gt;""),--ISNUMBER(SEARCH($I$4,'Final Calculation Sheet'!$H$10)))))</f>
        <v/>
      </c>
      <c r="DO12">
        <f>IF($J$4="",1,IF($J$4="(blank)",--('Final Calculation Sheet'!$I$10=""),IF($J$4="(nonblank)",--('Final Calculation Sheet'!$I$10&lt;&gt;""),--ISNUMBER(SEARCH($J$4,'Final Calculation Sheet'!$I$10)))))</f>
        <v/>
      </c>
      <c r="DP12">
        <f>IF($K$4="",1,IF($K$4="(blank)",--('Final Calculation Sheet'!$J$10=""),IF($K$4="(nonblank)",--('Final Calculation Sheet'!$J$10&lt;&gt;""),--ISNUMBER(SEARCH($K$4,'Final Calculation Sheet'!$J$10)))))</f>
        <v/>
      </c>
      <c r="DQ12">
        <f>IF($L$4="",1,IF($L$4="(blank)",--('Final Calculation Sheet'!$K$10=""),IF($L$4="(nonblank)",--('Final Calculation Sheet'!$K$10&lt;&gt;""),--ISNUMBER(SEARCH($L$4,'Final Calculation Sheet'!$K$10)))))</f>
        <v/>
      </c>
      <c r="DR12">
        <f>IF($M$4="",1,IF($M$4="(blank)",--('Final Calculation Sheet'!$L$10=""),IF($M$4="(nonblank)",--('Final Calculation Sheet'!$L$10&lt;&gt;""),--ISNUMBER(SEARCH($M$4,'Final Calculation Sheet'!$L$10)))))</f>
        <v/>
      </c>
      <c r="DS12">
        <f>IF($N$4="",1,IF($N$4="(blank)",--('Final Calculation Sheet'!$M$10=""),IF($N$4="(nonblank)",--('Final Calculation Sheet'!$M$10&lt;&gt;""),--ISNUMBER(SEARCH($N$4,'Final Calculation Sheet'!$M$10)))))</f>
        <v/>
      </c>
      <c r="DT12">
        <f>IF($O$4="",1,IF($O$4="(blank)",--('Final Calculation Sheet'!$N$10=""),IF($O$4="(nonblank)",--('Final Calculation Sheet'!$N$10&lt;&gt;""),--ISNUMBER(SEARCH($O$4,'Final Calculation Sheet'!$N$10)))))</f>
        <v/>
      </c>
      <c r="DU12">
        <f>IF($P$4="",1,IF($P$4="(blank)",--('Final Calculation Sheet'!$O$10=""),IF($P$4="(nonblank)",--('Final Calculation Sheet'!$O$10&lt;&gt;""),--ISNUMBER(SEARCH($P$4,'Final Calculation Sheet'!$O$10)))))</f>
        <v/>
      </c>
      <c r="DV12">
        <f>IF($Q$4="",1,IF($Q$4="(blank)",--('Final Calculation Sheet'!$P$10=""),IF($Q$4="(nonblank)",--('Final Calculation Sheet'!$P$10&lt;&gt;""),--ISNUMBER(SEARCH($Q$4,'Final Calculation Sheet'!$P$10)))))</f>
        <v/>
      </c>
      <c r="DW12">
        <f>IF($R$4="",1,IF($R$4="(blank)",--('Final Calculation Sheet'!$Q$10=""),IF($R$4="(nonblank)",--('Final Calculation Sheet'!$Q$10&lt;&gt;""),--ISNUMBER(SEARCH($R$4,'Final Calculation Sheet'!$Q$10)))))</f>
        <v/>
      </c>
      <c r="DX12">
        <f>IF($S$4="",1,IF($S$4="(blank)",--('Final Calculation Sheet'!$R$10=""),IF($S$4="(nonblank)",--('Final Calculation Sheet'!$R$10&lt;&gt;""),--ISNUMBER(SEARCH($S$4,'Final Calculation Sheet'!$R$10)))))</f>
        <v/>
      </c>
      <c r="DY12">
        <f>IF($T$4="",1,IF($T$4="(blank)",--('Final Calculation Sheet'!$S$10=""),IF($T$4="(nonblank)",--('Final Calculation Sheet'!$S$10&lt;&gt;""),--ISNUMBER(SEARCH($T$4,'Final Calculation Sheet'!$S$10)))))</f>
        <v/>
      </c>
      <c r="DZ12">
        <f>IF($U$4="",1,IF($U$4="(blank)",--('Final Calculation Sheet'!$T$10=""),IF($U$4="(nonblank)",--('Final Calculation Sheet'!$T$10&lt;&gt;""),--ISNUMBER(SEARCH($U$4,'Final Calculation Sheet'!$T$10)))))</f>
        <v/>
      </c>
      <c r="EA12">
        <f>IF($V$4="",1,IF($V$4="(blank)",--('Final Calculation Sheet'!$U$10=""),IF($V$4="(nonblank)",--('Final Calculation Sheet'!$U$10&lt;&gt;""),--ISNUMBER(SEARCH($V$4,'Final Calculation Sheet'!$U$10)))))</f>
        <v/>
      </c>
      <c r="EB12">
        <f>IF($W$4="",1,IF($W$4="(blank)",--('Final Calculation Sheet'!$V$10=""),IF($W$4="(nonblank)",--('Final Calculation Sheet'!$V$10&lt;&gt;""),--ISNUMBER(SEARCH($W$4,'Final Calculation Sheet'!$V$10)))))</f>
        <v/>
      </c>
      <c r="EC12">
        <f>IF($X$4="",1,IF($X$4="(blank)",--('Final Calculation Sheet'!$W$10=""),IF($X$4="(nonblank)",--('Final Calculation Sheet'!$W$10&lt;&gt;""),--ISNUMBER(SEARCH($X$4,'Final Calculation Sheet'!$W$10)))))</f>
        <v/>
      </c>
      <c r="ED12">
        <f>IF($Y$4="",1,IF($Y$4="(blank)",--('Final Calculation Sheet'!$X$10=""),IF($Y$4="(nonblank)",--('Final Calculation Sheet'!$X$10&lt;&gt;""),--ISNUMBER(SEARCH($Y$4,'Final Calculation Sheet'!$X$10)))))</f>
        <v/>
      </c>
      <c r="EE12">
        <f>IF($Z$4="",1,IF($Z$4="(blank)",--('Final Calculation Sheet'!$Y$10=""),IF($Z$4="(nonblank)",--('Final Calculation Sheet'!$Y$10&lt;&gt;""),--ISNUMBER(SEARCH($Z$4,'Final Calculation Sheet'!$Y$10)))))</f>
        <v/>
      </c>
      <c r="EF12">
        <f>IF($AA$4="",1,IF($AA$4="(blank)",--('Final Calculation Sheet'!$Z$10=""),IF($AA$4="(nonblank)",--('Final Calculation Sheet'!$Z$10&lt;&gt;""),--ISNUMBER(SEARCH($AA$4,'Final Calculation Sheet'!$Z$10)))))</f>
        <v/>
      </c>
      <c r="EG12">
        <f>IF($AB$4="",1,IF($AB$4="(blank)",--('Final Calculation Sheet'!$AA$10=""),IF($AB$4="(nonblank)",--('Final Calculation Sheet'!$AA$10&lt;&gt;""),--ISNUMBER(SEARCH($AB$4,'Final Calculation Sheet'!$AA$10)))))</f>
        <v/>
      </c>
      <c r="EH12">
        <f>IF($AC$4="",1,IF($AC$4="(blank)",--('Final Calculation Sheet'!$AB$10=""),IF($AC$4="(nonblank)",--('Final Calculation Sheet'!$AB$10&lt;&gt;""),--ISNUMBER(SEARCH($AC$4,'Final Calculation Sheet'!$AB$10)))))</f>
        <v/>
      </c>
      <c r="EI12">
        <f>IF($AD$4="",1,IF($AD$4="(blank)",--('Final Calculation Sheet'!$AC$10=""),IF($AD$4="(nonblank)",--('Final Calculation Sheet'!$AC$10&lt;&gt;""),--ISNUMBER(SEARCH($AD$4,'Final Calculation Sheet'!$AC$10)))))</f>
        <v/>
      </c>
      <c r="EJ12">
        <f>IF($AE$4="",1,IF($AE$4="(blank)",--('Final Calculation Sheet'!$AD$10=""),IF($AE$4="(nonblank)",--('Final Calculation Sheet'!$AD$10&lt;&gt;""),--ISNUMBER(SEARCH($AE$4,'Final Calculation Sheet'!$AD$10)))))</f>
        <v/>
      </c>
      <c r="EK12">
        <f>IF($AF$4="",1,IF($AF$4="(blank)",--(IF('Final Calculation Sheet'!$AD$10&lt;=5,"SETTLED","OUTSTANDING")=""),IF($AF$4="(nonblank)",--(IF('Final Calculation Sheet'!$AD$10&lt;=5,"SETTLED","OUTSTANDING")&lt;&gt;""),--ISNUMBER(SEARCH($AF$4,IF('Final Calculation Sheet'!$AD$10&lt;=5,"SETTLED","OUTSTANDING"))))))</f>
        <v/>
      </c>
      <c r="EL12">
        <f>IF($AG$4="",1,IF($AG$4="(blank)",--('Final Calculation Sheet'!$AF$10=""),IF($AG$4="(nonblank)",--('Final Calculation Sheet'!$AF$10&lt;&gt;""),--ISNUMBER(SEARCH($AG$4,'Final Calculation Sheet'!$AF$10)))))</f>
        <v/>
      </c>
      <c r="EM12">
        <f>IF($AH$4="",1,IF($AH$4="(blank)",--('Final Calculation Sheet'!$AG$10=""),IF($AH$4="(nonblank)",--('Final Calculation Sheet'!$AG$10&lt;&gt;""),--ISNUMBER(SEARCH($AH$4,'Final Calculation Sheet'!$AG$10)))))</f>
        <v/>
      </c>
      <c r="EN12">
        <f>IF($AI$4="",1,IF($AI$4="(blank)",--('Final Calculation Sheet'!$AH$10=""),IF($AI$4="(nonblank)",--('Final Calculation Sheet'!$AH$10&lt;&gt;""),--ISNUMBER(SEARCH($AI$4,'Final Calculation Sheet'!$AH$10)))))</f>
        <v/>
      </c>
    </row>
    <row r="13" outlineLevel="1" hidden="1">
      <c r="A13" s="118">
        <f>IF($AL$13="","",7)</f>
        <v/>
      </c>
      <c r="B13" s="119">
        <f>IF($AL$13="","",IF(INDEX('Final Calculation Sheet'!$F$4:$F$40,$AL$13)="","",INDEX('Final Calculation Sheet'!$F$4:$F$40,$AL$13)))</f>
        <v/>
      </c>
      <c r="C13" s="119">
        <f>IF($AL$13="","",IF(INDEX('Final Calculation Sheet'!$G$4:$G$40,$AL$13)="","",INDEX('Final Calculation Sheet'!$G$4:$G$40,$AL$13)))</f>
        <v/>
      </c>
      <c r="D13" s="121">
        <f>IF($AL$13="","",IF(INDEX('Final Calculation Sheet'!$B$4:$B$40,$AL$13)="","",INDEX('Final Calculation Sheet'!$B$4:$B$40,$AL$13)))</f>
        <v/>
      </c>
      <c r="E13" s="121">
        <f>IF($AL$13="","",IF(INDEX('Final Calculation Sheet'!$D$4:$D$40,$AL$13)="","",INDEX('Final Calculation Sheet'!$D$4:$D$40,$AL$13)))</f>
        <v/>
      </c>
      <c r="F13" s="121">
        <f>IF($AL$13="","",IF(INDEX('Final Calculation Sheet'!$A$4:$A$40,$AL$13)="","",INDEX('Final Calculation Sheet'!$A$4:$A$40,$AL$13)))</f>
        <v/>
      </c>
      <c r="G13" s="121">
        <f>IF($AL$13="","",IF(INDEX('Final Calculation Sheet'!$E$4:$E$40,$AL$13)="","",INDEX('Final Calculation Sheet'!$E$4:$E$40,$AL$13)))</f>
        <v/>
      </c>
      <c r="H13" s="122">
        <f>IF($AL$13="","",IF(INDEX('Final Calculation Sheet'!$C$4:$C$40,$AL$13)="","",INDEX('Final Calculation Sheet'!$C$4:$C$40,$AL$13)))</f>
        <v/>
      </c>
      <c r="I13" s="122">
        <f>IF($AL$13="","",IF(INDEX('Final Calculation Sheet'!$H$4:$H$40,$AL$13)="","",INDEX('Final Calculation Sheet'!$H$4:$H$40,$AL$13)))</f>
        <v/>
      </c>
      <c r="J13" s="122">
        <f>IF($AL$13="","",IF(INDEX('Final Calculation Sheet'!$I$4:$I$40,$AL$13)="","",INDEX('Final Calculation Sheet'!$I$4:$I$40,$AL$13)))</f>
        <v/>
      </c>
      <c r="K13" s="122">
        <f>IF($AL$13="","",IF(INDEX('Final Calculation Sheet'!$J$4:$J$40,$AL$13)="","",INDEX('Final Calculation Sheet'!$J$4:$J$40,$AL$13)))</f>
        <v/>
      </c>
      <c r="L13" s="122">
        <f>IF($AL$13="","",IF(INDEX('Final Calculation Sheet'!$K$4:$K$40,$AL$13)="","",INDEX('Final Calculation Sheet'!$K$4:$K$40,$AL$13)))</f>
        <v/>
      </c>
      <c r="M13" s="122">
        <f>IF($AL$13="","",IF(INDEX('Final Calculation Sheet'!$L$4:$L$40,$AL$13)="","",INDEX('Final Calculation Sheet'!$L$4:$L$40,$AL$13)))</f>
        <v/>
      </c>
      <c r="N13" s="122">
        <f>IF($AL$13="","",IF(INDEX('Final Calculation Sheet'!$M$4:$M$40,$AL$13)="","",INDEX('Final Calculation Sheet'!$M$4:$M$40,$AL$13)))</f>
        <v/>
      </c>
      <c r="O13" s="123">
        <f>IF($AL$13="","",IF(INDEX('Final Calculation Sheet'!$N$4:$N$40,$AL$13)="","",INDEX('Final Calculation Sheet'!$N$4:$N$40,$AL$13)))</f>
        <v/>
      </c>
      <c r="P13" s="122">
        <f>IF($AL$13="","",IF(INDEX('Final Calculation Sheet'!$O$4:$O$40,$AL$13)="","",INDEX('Final Calculation Sheet'!$O$4:$O$40,$AL$13)))</f>
        <v/>
      </c>
      <c r="Q13" s="122">
        <f>IF($AL$13="","",IF(INDEX('Final Calculation Sheet'!$P$4:$P$40,$AL$13)="","",INDEX('Final Calculation Sheet'!$P$4:$P$40,$AL$13)))</f>
        <v/>
      </c>
      <c r="R13" s="124">
        <f>IF($AL$13="","",IF(INDEX('Final Calculation Sheet'!$Q$4:$Q$40,$AL$13)="","",INDEX('Final Calculation Sheet'!$Q$4:$Q$40,$AL$13)))</f>
        <v/>
      </c>
      <c r="S13" s="122">
        <f>IF($AL$13="","",IF(INDEX('Final Calculation Sheet'!$R$4:$R$40,$AL$13)="","",INDEX('Final Calculation Sheet'!$R$4:$R$40,$AL$13)))</f>
        <v/>
      </c>
      <c r="T13" s="122">
        <f>IF($AL$13="","",IF(INDEX('Final Calculation Sheet'!$S$4:$S$40,$AL$13)="","",INDEX('Final Calculation Sheet'!$S$4:$S$40,$AL$13)))</f>
        <v/>
      </c>
      <c r="U13" s="122">
        <f>IF($AL$13="","",IF(INDEX('Final Calculation Sheet'!$T$4:$T$40,$AL$13)="","",INDEX('Final Calculation Sheet'!$T$4:$T$40,$AL$13)))</f>
        <v/>
      </c>
      <c r="V13" s="125">
        <f>IF($AL$13="","",IF(INDEX('Final Calculation Sheet'!$U$4:$U$40,$AL$13)="","",INDEX('Final Calculation Sheet'!$U$4:$U$40,$AL$13)))</f>
        <v/>
      </c>
      <c r="W13" s="122">
        <f>IF($AL$13="","",IF(INDEX('Final Calculation Sheet'!$V$4:$V$40,$AL$13)="","",INDEX('Final Calculation Sheet'!$V$4:$V$40,$AL$13)))</f>
        <v/>
      </c>
      <c r="X13" s="122">
        <f>IF($AL$13="","",IF(INDEX('Final Calculation Sheet'!$W$4:$W$40,$AL$13)="","",INDEX('Final Calculation Sheet'!$W$4:$W$40,$AL$13)))</f>
        <v/>
      </c>
      <c r="Y13" s="122">
        <f>IF($AL$13="","",IF(INDEX('Final Calculation Sheet'!$X$4:$X$40,$AL$13)="","",INDEX('Final Calculation Sheet'!$X$4:$X$40,$AL$13)))</f>
        <v/>
      </c>
      <c r="Z13" s="122">
        <f>IF($AL$13="","",IF(INDEX('Final Calculation Sheet'!$Y$4:$Y$40,$AL$13)="","",INDEX('Final Calculation Sheet'!$Y$4:$Y$40,$AL$13)))</f>
        <v/>
      </c>
      <c r="AA13" s="122">
        <f>IF($AL$13="","",IF(INDEX('Final Calculation Sheet'!$Z$4:$Z$40,$AL$13)="","",INDEX('Final Calculation Sheet'!$Z$4:$Z$40,$AL$13)))</f>
        <v/>
      </c>
      <c r="AB13" s="122">
        <f>IF($AL$13="","",IF(INDEX('Final Calculation Sheet'!$AA$4:$AA$40,$AL$13)="","",INDEX('Final Calculation Sheet'!$AA$4:$AA$40,$AL$13)))</f>
        <v/>
      </c>
      <c r="AC13" s="122">
        <f>IF($AL$13="","",IF(INDEX('Final Calculation Sheet'!$AB$4:$AB$40,$AL$13)="","",INDEX('Final Calculation Sheet'!$AB$4:$AB$40,$AL$13)))</f>
        <v/>
      </c>
      <c r="AD13" s="122">
        <f>IF($AL$13="","",IF(INDEX('Final Calculation Sheet'!$AC$4:$AC$40,$AL$13)="","",INDEX('Final Calculation Sheet'!$AC$4:$AC$40,$AL$13)))</f>
        <v/>
      </c>
      <c r="AE13" s="122">
        <f>IF($AL$13="","",IF(INDEX('Final Calculation Sheet'!$AD$4:$AD$40,$AL$13)="","",INDEX('Final Calculation Sheet'!$AD$4:$AD$40,$AL$13)))</f>
        <v/>
      </c>
      <c r="AF13" s="127">
        <f>IF($AL$13="","",IF(INDEX('Final Calculation Sheet'!$AD$4:$AD$40,$AL$13)&lt;=5,"SETTLED","OUTSTANDING"))</f>
        <v/>
      </c>
      <c r="AG13" s="122">
        <f>IF($AL$13="","",IF(INDEX('Final Calculation Sheet'!$AF$4:$AF$40,$AL$13)="","",INDEX('Final Calculation Sheet'!$AF$4:$AF$40,$AL$13)))</f>
        <v/>
      </c>
      <c r="AH13" s="126">
        <f>IF($AL$13="","",IF(INDEX('Final Calculation Sheet'!$AG$4:$AG$40,$AL$13)="","",INDEX('Final Calculation Sheet'!$AG$4:$AG$40,$AL$13)))</f>
        <v/>
      </c>
      <c r="AI13" s="122">
        <f>IF($AL$13="","",IF(INDEX('Final Calculation Sheet'!$AH$4:$AH$40,$AL$13)="","",INDEX('Final Calculation Sheet'!$AH$4:$AH$40,$AL$13)))</f>
        <v/>
      </c>
      <c r="AJ13">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13">
        <f>IF(AJ13=1,COUNTIF(AJ$6:AJ13,1),"")</f>
        <v/>
      </c>
      <c r="AL13">
        <f>IF(COUNTIF($B$4:$AI$4,"&lt;&gt;")=0,"",IFERROR(MATCH(7,$AK$6:$AK$42,0),""))</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G13">
        <f>IF($B$4="",1,IF($B$4="(blank)",--('Final Calculation Sheet'!$F$11=""),IF($B$4="(nonblank)",--('Final Calculation Sheet'!$F$11&lt;&gt;""),--ISNUMBER(SEARCH($B$4,'Final Calculation Sheet'!$F$11)))))</f>
        <v/>
      </c>
      <c r="DH13">
        <f>IF($C$4="",1,IF($C$4="(blank)",--('Final Calculation Sheet'!$G$11=""),IF($C$4="(nonblank)",--('Final Calculation Sheet'!$G$11&lt;&gt;""),--ISNUMBER(SEARCH($C$4,'Final Calculation Sheet'!$G$11)))))</f>
        <v/>
      </c>
      <c r="DI13">
        <f>IF($D$4="",1,IF($D$4="(blank)",--('Final Calculation Sheet'!$B$11=""),IF($D$4="(nonblank)",--('Final Calculation Sheet'!$B$11&lt;&gt;""),--ISNUMBER(SEARCH($D$4,'Final Calculation Sheet'!$B$11)))))</f>
        <v/>
      </c>
      <c r="DJ13">
        <f>IF($E$4="",1,IF($E$4="(blank)",--('Final Calculation Sheet'!$D$11=""),IF($E$4="(nonblank)",--('Final Calculation Sheet'!$D$11&lt;&gt;""),--ISNUMBER(SEARCH($E$4,'Final Calculation Sheet'!$D$11)))))</f>
        <v/>
      </c>
      <c r="DK13">
        <f>IF($F$4="",1,IF($F$4="(blank)",--('Final Calculation Sheet'!$A$11=""),IF($F$4="(nonblank)",--('Final Calculation Sheet'!$A$11&lt;&gt;""),--ISNUMBER(SEARCH($F$4,'Final Calculation Sheet'!$A$11)))))</f>
        <v/>
      </c>
      <c r="DL13">
        <f>IF($G$4="",1,IF($G$4="(blank)",--('Final Calculation Sheet'!$E$11=""),IF($G$4="(nonblank)",--('Final Calculation Sheet'!$E$11&lt;&gt;""),--ISNUMBER(SEARCH($G$4,'Final Calculation Sheet'!$E$11)))))</f>
        <v/>
      </c>
      <c r="DM13">
        <f>IF($H$4="",1,IF($H$4="(blank)",--('Final Calculation Sheet'!$C$11=""),IF($H$4="(nonblank)",--('Final Calculation Sheet'!$C$11&lt;&gt;""),--ISNUMBER(SEARCH($H$4,'Final Calculation Sheet'!$C$11)))))</f>
        <v/>
      </c>
      <c r="DN13">
        <f>IF($I$4="",1,IF($I$4="(blank)",--('Final Calculation Sheet'!$H$11=""),IF($I$4="(nonblank)",--('Final Calculation Sheet'!$H$11&lt;&gt;""),--ISNUMBER(SEARCH($I$4,'Final Calculation Sheet'!$H$11)))))</f>
        <v/>
      </c>
      <c r="DO13">
        <f>IF($J$4="",1,IF($J$4="(blank)",--('Final Calculation Sheet'!$I$11=""),IF($J$4="(nonblank)",--('Final Calculation Sheet'!$I$11&lt;&gt;""),--ISNUMBER(SEARCH($J$4,'Final Calculation Sheet'!$I$11)))))</f>
        <v/>
      </c>
      <c r="DP13">
        <f>IF($K$4="",1,IF($K$4="(blank)",--('Final Calculation Sheet'!$J$11=""),IF($K$4="(nonblank)",--('Final Calculation Sheet'!$J$11&lt;&gt;""),--ISNUMBER(SEARCH($K$4,'Final Calculation Sheet'!$J$11)))))</f>
        <v/>
      </c>
      <c r="DQ13">
        <f>IF($L$4="",1,IF($L$4="(blank)",--('Final Calculation Sheet'!$K$11=""),IF($L$4="(nonblank)",--('Final Calculation Sheet'!$K$11&lt;&gt;""),--ISNUMBER(SEARCH($L$4,'Final Calculation Sheet'!$K$11)))))</f>
        <v/>
      </c>
      <c r="DR13">
        <f>IF($M$4="",1,IF($M$4="(blank)",--('Final Calculation Sheet'!$L$11=""),IF($M$4="(nonblank)",--('Final Calculation Sheet'!$L$11&lt;&gt;""),--ISNUMBER(SEARCH($M$4,'Final Calculation Sheet'!$L$11)))))</f>
        <v/>
      </c>
      <c r="DS13">
        <f>IF($N$4="",1,IF($N$4="(blank)",--('Final Calculation Sheet'!$M$11=""),IF($N$4="(nonblank)",--('Final Calculation Sheet'!$M$11&lt;&gt;""),--ISNUMBER(SEARCH($N$4,'Final Calculation Sheet'!$M$11)))))</f>
        <v/>
      </c>
      <c r="DT13">
        <f>IF($O$4="",1,IF($O$4="(blank)",--('Final Calculation Sheet'!$N$11=""),IF($O$4="(nonblank)",--('Final Calculation Sheet'!$N$11&lt;&gt;""),--ISNUMBER(SEARCH($O$4,'Final Calculation Sheet'!$N$11)))))</f>
        <v/>
      </c>
      <c r="DU13">
        <f>IF($P$4="",1,IF($P$4="(blank)",--('Final Calculation Sheet'!$O$11=""),IF($P$4="(nonblank)",--('Final Calculation Sheet'!$O$11&lt;&gt;""),--ISNUMBER(SEARCH($P$4,'Final Calculation Sheet'!$O$11)))))</f>
        <v/>
      </c>
      <c r="DV13">
        <f>IF($Q$4="",1,IF($Q$4="(blank)",--('Final Calculation Sheet'!$P$11=""),IF($Q$4="(nonblank)",--('Final Calculation Sheet'!$P$11&lt;&gt;""),--ISNUMBER(SEARCH($Q$4,'Final Calculation Sheet'!$P$11)))))</f>
        <v/>
      </c>
      <c r="DW13">
        <f>IF($R$4="",1,IF($R$4="(blank)",--('Final Calculation Sheet'!$Q$11=""),IF($R$4="(nonblank)",--('Final Calculation Sheet'!$Q$11&lt;&gt;""),--ISNUMBER(SEARCH($R$4,'Final Calculation Sheet'!$Q$11)))))</f>
        <v/>
      </c>
      <c r="DX13">
        <f>IF($S$4="",1,IF($S$4="(blank)",--('Final Calculation Sheet'!$R$11=""),IF($S$4="(nonblank)",--('Final Calculation Sheet'!$R$11&lt;&gt;""),--ISNUMBER(SEARCH($S$4,'Final Calculation Sheet'!$R$11)))))</f>
        <v/>
      </c>
      <c r="DY13">
        <f>IF($T$4="",1,IF($T$4="(blank)",--('Final Calculation Sheet'!$S$11=""),IF($T$4="(nonblank)",--('Final Calculation Sheet'!$S$11&lt;&gt;""),--ISNUMBER(SEARCH($T$4,'Final Calculation Sheet'!$S$11)))))</f>
        <v/>
      </c>
      <c r="DZ13">
        <f>IF($U$4="",1,IF($U$4="(blank)",--('Final Calculation Sheet'!$T$11=""),IF($U$4="(nonblank)",--('Final Calculation Sheet'!$T$11&lt;&gt;""),--ISNUMBER(SEARCH($U$4,'Final Calculation Sheet'!$T$11)))))</f>
        <v/>
      </c>
      <c r="EA13">
        <f>IF($V$4="",1,IF($V$4="(blank)",--('Final Calculation Sheet'!$U$11=""),IF($V$4="(nonblank)",--('Final Calculation Sheet'!$U$11&lt;&gt;""),--ISNUMBER(SEARCH($V$4,'Final Calculation Sheet'!$U$11)))))</f>
        <v/>
      </c>
      <c r="EB13">
        <f>IF($W$4="",1,IF($W$4="(blank)",--('Final Calculation Sheet'!$V$11=""),IF($W$4="(nonblank)",--('Final Calculation Sheet'!$V$11&lt;&gt;""),--ISNUMBER(SEARCH($W$4,'Final Calculation Sheet'!$V$11)))))</f>
        <v/>
      </c>
      <c r="EC13">
        <f>IF($X$4="",1,IF($X$4="(blank)",--('Final Calculation Sheet'!$W$11=""),IF($X$4="(nonblank)",--('Final Calculation Sheet'!$W$11&lt;&gt;""),--ISNUMBER(SEARCH($X$4,'Final Calculation Sheet'!$W$11)))))</f>
        <v/>
      </c>
      <c r="ED13">
        <f>IF($Y$4="",1,IF($Y$4="(blank)",--('Final Calculation Sheet'!$X$11=""),IF($Y$4="(nonblank)",--('Final Calculation Sheet'!$X$11&lt;&gt;""),--ISNUMBER(SEARCH($Y$4,'Final Calculation Sheet'!$X$11)))))</f>
        <v/>
      </c>
      <c r="EE13">
        <f>IF($Z$4="",1,IF($Z$4="(blank)",--('Final Calculation Sheet'!$Y$11=""),IF($Z$4="(nonblank)",--('Final Calculation Sheet'!$Y$11&lt;&gt;""),--ISNUMBER(SEARCH($Z$4,'Final Calculation Sheet'!$Y$11)))))</f>
        <v/>
      </c>
      <c r="EF13">
        <f>IF($AA$4="",1,IF($AA$4="(blank)",--('Final Calculation Sheet'!$Z$11=""),IF($AA$4="(nonblank)",--('Final Calculation Sheet'!$Z$11&lt;&gt;""),--ISNUMBER(SEARCH($AA$4,'Final Calculation Sheet'!$Z$11)))))</f>
        <v/>
      </c>
      <c r="EG13">
        <f>IF($AB$4="",1,IF($AB$4="(blank)",--('Final Calculation Sheet'!$AA$11=""),IF($AB$4="(nonblank)",--('Final Calculation Sheet'!$AA$11&lt;&gt;""),--ISNUMBER(SEARCH($AB$4,'Final Calculation Sheet'!$AA$11)))))</f>
        <v/>
      </c>
      <c r="EH13">
        <f>IF($AC$4="",1,IF($AC$4="(blank)",--('Final Calculation Sheet'!$AB$11=""),IF($AC$4="(nonblank)",--('Final Calculation Sheet'!$AB$11&lt;&gt;""),--ISNUMBER(SEARCH($AC$4,'Final Calculation Sheet'!$AB$11)))))</f>
        <v/>
      </c>
      <c r="EI13">
        <f>IF($AD$4="",1,IF($AD$4="(blank)",--('Final Calculation Sheet'!$AC$11=""),IF($AD$4="(nonblank)",--('Final Calculation Sheet'!$AC$11&lt;&gt;""),--ISNUMBER(SEARCH($AD$4,'Final Calculation Sheet'!$AC$11)))))</f>
        <v/>
      </c>
      <c r="EJ13">
        <f>IF($AE$4="",1,IF($AE$4="(blank)",--('Final Calculation Sheet'!$AD$11=""),IF($AE$4="(nonblank)",--('Final Calculation Sheet'!$AD$11&lt;&gt;""),--ISNUMBER(SEARCH($AE$4,'Final Calculation Sheet'!$AD$11)))))</f>
        <v/>
      </c>
      <c r="EK13">
        <f>IF($AF$4="",1,IF($AF$4="(blank)",--(IF('Final Calculation Sheet'!$AD$11&lt;=5,"SETTLED","OUTSTANDING")=""),IF($AF$4="(nonblank)",--(IF('Final Calculation Sheet'!$AD$11&lt;=5,"SETTLED","OUTSTANDING")&lt;&gt;""),--ISNUMBER(SEARCH($AF$4,IF('Final Calculation Sheet'!$AD$11&lt;=5,"SETTLED","OUTSTANDING"))))))</f>
        <v/>
      </c>
      <c r="EL13">
        <f>IF($AG$4="",1,IF($AG$4="(blank)",--('Final Calculation Sheet'!$AF$11=""),IF($AG$4="(nonblank)",--('Final Calculation Sheet'!$AF$11&lt;&gt;""),--ISNUMBER(SEARCH($AG$4,'Final Calculation Sheet'!$AF$11)))))</f>
        <v/>
      </c>
      <c r="EM13">
        <f>IF($AH$4="",1,IF($AH$4="(blank)",--('Final Calculation Sheet'!$AG$11=""),IF($AH$4="(nonblank)",--('Final Calculation Sheet'!$AG$11&lt;&gt;""),--ISNUMBER(SEARCH($AH$4,'Final Calculation Sheet'!$AG$11)))))</f>
        <v/>
      </c>
      <c r="EN13">
        <f>IF($AI$4="",1,IF($AI$4="(blank)",--('Final Calculation Sheet'!$AH$11=""),IF($AI$4="(nonblank)",--('Final Calculation Sheet'!$AH$11&lt;&gt;""),--ISNUMBER(SEARCH($AI$4,'Final Calculation Sheet'!$AH$11)))))</f>
        <v/>
      </c>
    </row>
    <row r="14" outlineLevel="1" hidden="1">
      <c r="A14" s="128">
        <f>IF($AL$14="","",8)</f>
        <v/>
      </c>
      <c r="B14" s="129">
        <f>IF($AL$14="","",IF(INDEX('Final Calculation Sheet'!$F$4:$F$40,$AL$14)="","",INDEX('Final Calculation Sheet'!$F$4:$F$40,$AL$14)))</f>
        <v/>
      </c>
      <c r="C14" s="129">
        <f>IF($AL$14="","",IF(INDEX('Final Calculation Sheet'!$G$4:$G$40,$AL$14)="","",INDEX('Final Calculation Sheet'!$G$4:$G$40,$AL$14)))</f>
        <v/>
      </c>
      <c r="D14" s="130">
        <f>IF($AL$14="","",IF(INDEX('Final Calculation Sheet'!$B$4:$B$40,$AL$14)="","",INDEX('Final Calculation Sheet'!$B$4:$B$40,$AL$14)))</f>
        <v/>
      </c>
      <c r="E14" s="130">
        <f>IF($AL$14="","",IF(INDEX('Final Calculation Sheet'!$D$4:$D$40,$AL$14)="","",INDEX('Final Calculation Sheet'!$D$4:$D$40,$AL$14)))</f>
        <v/>
      </c>
      <c r="F14" s="130">
        <f>IF($AL$14="","",IF(INDEX('Final Calculation Sheet'!$A$4:$A$40,$AL$14)="","",INDEX('Final Calculation Sheet'!$A$4:$A$40,$AL$14)))</f>
        <v/>
      </c>
      <c r="G14" s="130">
        <f>IF($AL$14="","",IF(INDEX('Final Calculation Sheet'!$E$4:$E$40,$AL$14)="","",INDEX('Final Calculation Sheet'!$E$4:$E$40,$AL$14)))</f>
        <v/>
      </c>
      <c r="H14" s="131">
        <f>IF($AL$14="","",IF(INDEX('Final Calculation Sheet'!$C$4:$C$40,$AL$14)="","",INDEX('Final Calculation Sheet'!$C$4:$C$40,$AL$14)))</f>
        <v/>
      </c>
      <c r="I14" s="131">
        <f>IF($AL$14="","",IF(INDEX('Final Calculation Sheet'!$H$4:$H$40,$AL$14)="","",INDEX('Final Calculation Sheet'!$H$4:$H$40,$AL$14)))</f>
        <v/>
      </c>
      <c r="J14" s="131">
        <f>IF($AL$14="","",IF(INDEX('Final Calculation Sheet'!$I$4:$I$40,$AL$14)="","",INDEX('Final Calculation Sheet'!$I$4:$I$40,$AL$14)))</f>
        <v/>
      </c>
      <c r="K14" s="131">
        <f>IF($AL$14="","",IF(INDEX('Final Calculation Sheet'!$J$4:$J$40,$AL$14)="","",INDEX('Final Calculation Sheet'!$J$4:$J$40,$AL$14)))</f>
        <v/>
      </c>
      <c r="L14" s="131">
        <f>IF($AL$14="","",IF(INDEX('Final Calculation Sheet'!$K$4:$K$40,$AL$14)="","",INDEX('Final Calculation Sheet'!$K$4:$K$40,$AL$14)))</f>
        <v/>
      </c>
      <c r="M14" s="131">
        <f>IF($AL$14="","",IF(INDEX('Final Calculation Sheet'!$L$4:$L$40,$AL$14)="","",INDEX('Final Calculation Sheet'!$L$4:$L$40,$AL$14)))</f>
        <v/>
      </c>
      <c r="N14" s="131">
        <f>IF($AL$14="","",IF(INDEX('Final Calculation Sheet'!$M$4:$M$40,$AL$14)="","",INDEX('Final Calculation Sheet'!$M$4:$M$40,$AL$14)))</f>
        <v/>
      </c>
      <c r="O14" s="132">
        <f>IF($AL$14="","",IF(INDEX('Final Calculation Sheet'!$N$4:$N$40,$AL$14)="","",INDEX('Final Calculation Sheet'!$N$4:$N$40,$AL$14)))</f>
        <v/>
      </c>
      <c r="P14" s="131">
        <f>IF($AL$14="","",IF(INDEX('Final Calculation Sheet'!$O$4:$O$40,$AL$14)="","",INDEX('Final Calculation Sheet'!$O$4:$O$40,$AL$14)))</f>
        <v/>
      </c>
      <c r="Q14" s="131">
        <f>IF($AL$14="","",IF(INDEX('Final Calculation Sheet'!$P$4:$P$40,$AL$14)="","",INDEX('Final Calculation Sheet'!$P$4:$P$40,$AL$14)))</f>
        <v/>
      </c>
      <c r="R14" s="133">
        <f>IF($AL$14="","",IF(INDEX('Final Calculation Sheet'!$Q$4:$Q$40,$AL$14)="","",INDEX('Final Calculation Sheet'!$Q$4:$Q$40,$AL$14)))</f>
        <v/>
      </c>
      <c r="S14" s="131">
        <f>IF($AL$14="","",IF(INDEX('Final Calculation Sheet'!$R$4:$R$40,$AL$14)="","",INDEX('Final Calculation Sheet'!$R$4:$R$40,$AL$14)))</f>
        <v/>
      </c>
      <c r="T14" s="131">
        <f>IF($AL$14="","",IF(INDEX('Final Calculation Sheet'!$S$4:$S$40,$AL$14)="","",INDEX('Final Calculation Sheet'!$S$4:$S$40,$AL$14)))</f>
        <v/>
      </c>
      <c r="U14" s="131">
        <f>IF($AL$14="","",IF(INDEX('Final Calculation Sheet'!$T$4:$T$40,$AL$14)="","",INDEX('Final Calculation Sheet'!$T$4:$T$40,$AL$14)))</f>
        <v/>
      </c>
      <c r="V14" s="134">
        <f>IF($AL$14="","",IF(INDEX('Final Calculation Sheet'!$U$4:$U$40,$AL$14)="","",INDEX('Final Calculation Sheet'!$U$4:$U$40,$AL$14)))</f>
        <v/>
      </c>
      <c r="W14" s="131">
        <f>IF($AL$14="","",IF(INDEX('Final Calculation Sheet'!$V$4:$V$40,$AL$14)="","",INDEX('Final Calculation Sheet'!$V$4:$V$40,$AL$14)))</f>
        <v/>
      </c>
      <c r="X14" s="131">
        <f>IF($AL$14="","",IF(INDEX('Final Calculation Sheet'!$W$4:$W$40,$AL$14)="","",INDEX('Final Calculation Sheet'!$W$4:$W$40,$AL$14)))</f>
        <v/>
      </c>
      <c r="Y14" s="131">
        <f>IF($AL$14="","",IF(INDEX('Final Calculation Sheet'!$X$4:$X$40,$AL$14)="","",INDEX('Final Calculation Sheet'!$X$4:$X$40,$AL$14)))</f>
        <v/>
      </c>
      <c r="Z14" s="131">
        <f>IF($AL$14="","",IF(INDEX('Final Calculation Sheet'!$Y$4:$Y$40,$AL$14)="","",INDEX('Final Calculation Sheet'!$Y$4:$Y$40,$AL$14)))</f>
        <v/>
      </c>
      <c r="AA14" s="131">
        <f>IF($AL$14="","",IF(INDEX('Final Calculation Sheet'!$Z$4:$Z$40,$AL$14)="","",INDEX('Final Calculation Sheet'!$Z$4:$Z$40,$AL$14)))</f>
        <v/>
      </c>
      <c r="AB14" s="131">
        <f>IF($AL$14="","",IF(INDEX('Final Calculation Sheet'!$AA$4:$AA$40,$AL$14)="","",INDEX('Final Calculation Sheet'!$AA$4:$AA$40,$AL$14)))</f>
        <v/>
      </c>
      <c r="AC14" s="131">
        <f>IF($AL$14="","",IF(INDEX('Final Calculation Sheet'!$AB$4:$AB$40,$AL$14)="","",INDEX('Final Calculation Sheet'!$AB$4:$AB$40,$AL$14)))</f>
        <v/>
      </c>
      <c r="AD14" s="131">
        <f>IF($AL$14="","",IF(INDEX('Final Calculation Sheet'!$AC$4:$AC$40,$AL$14)="","",INDEX('Final Calculation Sheet'!$AC$4:$AC$40,$AL$14)))</f>
        <v/>
      </c>
      <c r="AE14" s="131">
        <f>IF($AL$14="","",IF(INDEX('Final Calculation Sheet'!$AD$4:$AD$40,$AL$14)="","",INDEX('Final Calculation Sheet'!$AD$4:$AD$40,$AL$14)))</f>
        <v/>
      </c>
      <c r="AF14" s="136">
        <f>IF($AL$14="","",IF(INDEX('Final Calculation Sheet'!$AD$4:$AD$40,$AL$14)&lt;=5,"SETTLED","OUTSTANDING"))</f>
        <v/>
      </c>
      <c r="AG14" s="131">
        <f>IF($AL$14="","",IF(INDEX('Final Calculation Sheet'!$AF$4:$AF$40,$AL$14)="","",INDEX('Final Calculation Sheet'!$AF$4:$AF$40,$AL$14)))</f>
        <v/>
      </c>
      <c r="AH14" s="135">
        <f>IF($AL$14="","",IF(INDEX('Final Calculation Sheet'!$AG$4:$AG$40,$AL$14)="","",INDEX('Final Calculation Sheet'!$AG$4:$AG$40,$AL$14)))</f>
        <v/>
      </c>
      <c r="AI14" s="131">
        <f>IF($AL$14="","",IF(INDEX('Final Calculation Sheet'!$AH$4:$AH$40,$AL$14)="","",INDEX('Final Calculation Sheet'!$AH$4:$AH$40,$AL$14)))</f>
        <v/>
      </c>
      <c r="AJ14">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14">
        <f>IF(AJ14=1,COUNTIF(AJ$6:AJ14,1),"")</f>
        <v/>
      </c>
      <c r="AL14">
        <f>IF(COUNTIF($B$4:$AI$4,"&lt;&gt;")=0,"",IFERROR(MATCH(8,$AK$6:$AK$42,0),""))</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G14">
        <f>IF($B$4="",1,IF($B$4="(blank)",--('Final Calculation Sheet'!$F$12=""),IF($B$4="(nonblank)",--('Final Calculation Sheet'!$F$12&lt;&gt;""),--ISNUMBER(SEARCH($B$4,'Final Calculation Sheet'!$F$12)))))</f>
        <v/>
      </c>
      <c r="DH14">
        <f>IF($C$4="",1,IF($C$4="(blank)",--('Final Calculation Sheet'!$G$12=""),IF($C$4="(nonblank)",--('Final Calculation Sheet'!$G$12&lt;&gt;""),--ISNUMBER(SEARCH($C$4,'Final Calculation Sheet'!$G$12)))))</f>
        <v/>
      </c>
      <c r="DI14">
        <f>IF($D$4="",1,IF($D$4="(blank)",--('Final Calculation Sheet'!$B$12=""),IF($D$4="(nonblank)",--('Final Calculation Sheet'!$B$12&lt;&gt;""),--ISNUMBER(SEARCH($D$4,'Final Calculation Sheet'!$B$12)))))</f>
        <v/>
      </c>
      <c r="DJ14">
        <f>IF($E$4="",1,IF($E$4="(blank)",--('Final Calculation Sheet'!$D$12=""),IF($E$4="(nonblank)",--('Final Calculation Sheet'!$D$12&lt;&gt;""),--ISNUMBER(SEARCH($E$4,'Final Calculation Sheet'!$D$12)))))</f>
        <v/>
      </c>
      <c r="DK14">
        <f>IF($F$4="",1,IF($F$4="(blank)",--('Final Calculation Sheet'!$A$12=""),IF($F$4="(nonblank)",--('Final Calculation Sheet'!$A$12&lt;&gt;""),--ISNUMBER(SEARCH($F$4,'Final Calculation Sheet'!$A$12)))))</f>
        <v/>
      </c>
      <c r="DL14">
        <f>IF($G$4="",1,IF($G$4="(blank)",--('Final Calculation Sheet'!$E$12=""),IF($G$4="(nonblank)",--('Final Calculation Sheet'!$E$12&lt;&gt;""),--ISNUMBER(SEARCH($G$4,'Final Calculation Sheet'!$E$12)))))</f>
        <v/>
      </c>
      <c r="DM14">
        <f>IF($H$4="",1,IF($H$4="(blank)",--('Final Calculation Sheet'!$C$12=""),IF($H$4="(nonblank)",--('Final Calculation Sheet'!$C$12&lt;&gt;""),--ISNUMBER(SEARCH($H$4,'Final Calculation Sheet'!$C$12)))))</f>
        <v/>
      </c>
      <c r="DN14">
        <f>IF($I$4="",1,IF($I$4="(blank)",--('Final Calculation Sheet'!$H$12=""),IF($I$4="(nonblank)",--('Final Calculation Sheet'!$H$12&lt;&gt;""),--ISNUMBER(SEARCH($I$4,'Final Calculation Sheet'!$H$12)))))</f>
        <v/>
      </c>
      <c r="DO14">
        <f>IF($J$4="",1,IF($J$4="(blank)",--('Final Calculation Sheet'!$I$12=""),IF($J$4="(nonblank)",--('Final Calculation Sheet'!$I$12&lt;&gt;""),--ISNUMBER(SEARCH($J$4,'Final Calculation Sheet'!$I$12)))))</f>
        <v/>
      </c>
      <c r="DP14">
        <f>IF($K$4="",1,IF($K$4="(blank)",--('Final Calculation Sheet'!$J$12=""),IF($K$4="(nonblank)",--('Final Calculation Sheet'!$J$12&lt;&gt;""),--ISNUMBER(SEARCH($K$4,'Final Calculation Sheet'!$J$12)))))</f>
        <v/>
      </c>
      <c r="DQ14">
        <f>IF($L$4="",1,IF($L$4="(blank)",--('Final Calculation Sheet'!$K$12=""),IF($L$4="(nonblank)",--('Final Calculation Sheet'!$K$12&lt;&gt;""),--ISNUMBER(SEARCH($L$4,'Final Calculation Sheet'!$K$12)))))</f>
        <v/>
      </c>
      <c r="DR14">
        <f>IF($M$4="",1,IF($M$4="(blank)",--('Final Calculation Sheet'!$L$12=""),IF($M$4="(nonblank)",--('Final Calculation Sheet'!$L$12&lt;&gt;""),--ISNUMBER(SEARCH($M$4,'Final Calculation Sheet'!$L$12)))))</f>
        <v/>
      </c>
      <c r="DS14">
        <f>IF($N$4="",1,IF($N$4="(blank)",--('Final Calculation Sheet'!$M$12=""),IF($N$4="(nonblank)",--('Final Calculation Sheet'!$M$12&lt;&gt;""),--ISNUMBER(SEARCH($N$4,'Final Calculation Sheet'!$M$12)))))</f>
        <v/>
      </c>
      <c r="DT14">
        <f>IF($O$4="",1,IF($O$4="(blank)",--('Final Calculation Sheet'!$N$12=""),IF($O$4="(nonblank)",--('Final Calculation Sheet'!$N$12&lt;&gt;""),--ISNUMBER(SEARCH($O$4,'Final Calculation Sheet'!$N$12)))))</f>
        <v/>
      </c>
      <c r="DU14">
        <f>IF($P$4="",1,IF($P$4="(blank)",--('Final Calculation Sheet'!$O$12=""),IF($P$4="(nonblank)",--('Final Calculation Sheet'!$O$12&lt;&gt;""),--ISNUMBER(SEARCH($P$4,'Final Calculation Sheet'!$O$12)))))</f>
        <v/>
      </c>
      <c r="DV14">
        <f>IF($Q$4="",1,IF($Q$4="(blank)",--('Final Calculation Sheet'!$P$12=""),IF($Q$4="(nonblank)",--('Final Calculation Sheet'!$P$12&lt;&gt;""),--ISNUMBER(SEARCH($Q$4,'Final Calculation Sheet'!$P$12)))))</f>
        <v/>
      </c>
      <c r="DW14">
        <f>IF($R$4="",1,IF($R$4="(blank)",--('Final Calculation Sheet'!$Q$12=""),IF($R$4="(nonblank)",--('Final Calculation Sheet'!$Q$12&lt;&gt;""),--ISNUMBER(SEARCH($R$4,'Final Calculation Sheet'!$Q$12)))))</f>
        <v/>
      </c>
      <c r="DX14">
        <f>IF($S$4="",1,IF($S$4="(blank)",--('Final Calculation Sheet'!$R$12=""),IF($S$4="(nonblank)",--('Final Calculation Sheet'!$R$12&lt;&gt;""),--ISNUMBER(SEARCH($S$4,'Final Calculation Sheet'!$R$12)))))</f>
        <v/>
      </c>
      <c r="DY14">
        <f>IF($T$4="",1,IF($T$4="(blank)",--('Final Calculation Sheet'!$S$12=""),IF($T$4="(nonblank)",--('Final Calculation Sheet'!$S$12&lt;&gt;""),--ISNUMBER(SEARCH($T$4,'Final Calculation Sheet'!$S$12)))))</f>
        <v/>
      </c>
      <c r="DZ14">
        <f>IF($U$4="",1,IF($U$4="(blank)",--('Final Calculation Sheet'!$T$12=""),IF($U$4="(nonblank)",--('Final Calculation Sheet'!$T$12&lt;&gt;""),--ISNUMBER(SEARCH($U$4,'Final Calculation Sheet'!$T$12)))))</f>
        <v/>
      </c>
      <c r="EA14">
        <f>IF($V$4="",1,IF($V$4="(blank)",--('Final Calculation Sheet'!$U$12=""),IF($V$4="(nonblank)",--('Final Calculation Sheet'!$U$12&lt;&gt;""),--ISNUMBER(SEARCH($V$4,'Final Calculation Sheet'!$U$12)))))</f>
        <v/>
      </c>
      <c r="EB14">
        <f>IF($W$4="",1,IF($W$4="(blank)",--('Final Calculation Sheet'!$V$12=""),IF($W$4="(nonblank)",--('Final Calculation Sheet'!$V$12&lt;&gt;""),--ISNUMBER(SEARCH($W$4,'Final Calculation Sheet'!$V$12)))))</f>
        <v/>
      </c>
      <c r="EC14">
        <f>IF($X$4="",1,IF($X$4="(blank)",--('Final Calculation Sheet'!$W$12=""),IF($X$4="(nonblank)",--('Final Calculation Sheet'!$W$12&lt;&gt;""),--ISNUMBER(SEARCH($X$4,'Final Calculation Sheet'!$W$12)))))</f>
        <v/>
      </c>
      <c r="ED14">
        <f>IF($Y$4="",1,IF($Y$4="(blank)",--('Final Calculation Sheet'!$X$12=""),IF($Y$4="(nonblank)",--('Final Calculation Sheet'!$X$12&lt;&gt;""),--ISNUMBER(SEARCH($Y$4,'Final Calculation Sheet'!$X$12)))))</f>
        <v/>
      </c>
      <c r="EE14">
        <f>IF($Z$4="",1,IF($Z$4="(blank)",--('Final Calculation Sheet'!$Y$12=""),IF($Z$4="(nonblank)",--('Final Calculation Sheet'!$Y$12&lt;&gt;""),--ISNUMBER(SEARCH($Z$4,'Final Calculation Sheet'!$Y$12)))))</f>
        <v/>
      </c>
      <c r="EF14">
        <f>IF($AA$4="",1,IF($AA$4="(blank)",--('Final Calculation Sheet'!$Z$12=""),IF($AA$4="(nonblank)",--('Final Calculation Sheet'!$Z$12&lt;&gt;""),--ISNUMBER(SEARCH($AA$4,'Final Calculation Sheet'!$Z$12)))))</f>
        <v/>
      </c>
      <c r="EG14">
        <f>IF($AB$4="",1,IF($AB$4="(blank)",--('Final Calculation Sheet'!$AA$12=""),IF($AB$4="(nonblank)",--('Final Calculation Sheet'!$AA$12&lt;&gt;""),--ISNUMBER(SEARCH($AB$4,'Final Calculation Sheet'!$AA$12)))))</f>
        <v/>
      </c>
      <c r="EH14">
        <f>IF($AC$4="",1,IF($AC$4="(blank)",--('Final Calculation Sheet'!$AB$12=""),IF($AC$4="(nonblank)",--('Final Calculation Sheet'!$AB$12&lt;&gt;""),--ISNUMBER(SEARCH($AC$4,'Final Calculation Sheet'!$AB$12)))))</f>
        <v/>
      </c>
      <c r="EI14">
        <f>IF($AD$4="",1,IF($AD$4="(blank)",--('Final Calculation Sheet'!$AC$12=""),IF($AD$4="(nonblank)",--('Final Calculation Sheet'!$AC$12&lt;&gt;""),--ISNUMBER(SEARCH($AD$4,'Final Calculation Sheet'!$AC$12)))))</f>
        <v/>
      </c>
      <c r="EJ14">
        <f>IF($AE$4="",1,IF($AE$4="(blank)",--('Final Calculation Sheet'!$AD$12=""),IF($AE$4="(nonblank)",--('Final Calculation Sheet'!$AD$12&lt;&gt;""),--ISNUMBER(SEARCH($AE$4,'Final Calculation Sheet'!$AD$12)))))</f>
        <v/>
      </c>
      <c r="EK14">
        <f>IF($AF$4="",1,IF($AF$4="(blank)",--(IF('Final Calculation Sheet'!$AD$12&lt;=5,"SETTLED","OUTSTANDING")=""),IF($AF$4="(nonblank)",--(IF('Final Calculation Sheet'!$AD$12&lt;=5,"SETTLED","OUTSTANDING")&lt;&gt;""),--ISNUMBER(SEARCH($AF$4,IF('Final Calculation Sheet'!$AD$12&lt;=5,"SETTLED","OUTSTANDING"))))))</f>
        <v/>
      </c>
      <c r="EL14">
        <f>IF($AG$4="",1,IF($AG$4="(blank)",--('Final Calculation Sheet'!$AF$12=""),IF($AG$4="(nonblank)",--('Final Calculation Sheet'!$AF$12&lt;&gt;""),--ISNUMBER(SEARCH($AG$4,'Final Calculation Sheet'!$AF$12)))))</f>
        <v/>
      </c>
      <c r="EM14">
        <f>IF($AH$4="",1,IF($AH$4="(blank)",--('Final Calculation Sheet'!$AG$12=""),IF($AH$4="(nonblank)",--('Final Calculation Sheet'!$AG$12&lt;&gt;""),--ISNUMBER(SEARCH($AH$4,'Final Calculation Sheet'!$AG$12)))))</f>
        <v/>
      </c>
      <c r="EN14">
        <f>IF($AI$4="",1,IF($AI$4="(blank)",--('Final Calculation Sheet'!$AH$12=""),IF($AI$4="(nonblank)",--('Final Calculation Sheet'!$AH$12&lt;&gt;""),--ISNUMBER(SEARCH($AI$4,'Final Calculation Sheet'!$AH$12)))))</f>
        <v/>
      </c>
    </row>
    <row r="15" outlineLevel="1" hidden="1">
      <c r="A15" s="118">
        <f>IF($AL$15="","",9)</f>
        <v/>
      </c>
      <c r="B15" s="119">
        <f>IF($AL$15="","",IF(INDEX('Final Calculation Sheet'!$F$4:$F$40,$AL$15)="","",INDEX('Final Calculation Sheet'!$F$4:$F$40,$AL$15)))</f>
        <v/>
      </c>
      <c r="C15" s="119">
        <f>IF($AL$15="","",IF(INDEX('Final Calculation Sheet'!$G$4:$G$40,$AL$15)="","",INDEX('Final Calculation Sheet'!$G$4:$G$40,$AL$15)))</f>
        <v/>
      </c>
      <c r="D15" s="121">
        <f>IF($AL$15="","",IF(INDEX('Final Calculation Sheet'!$B$4:$B$40,$AL$15)="","",INDEX('Final Calculation Sheet'!$B$4:$B$40,$AL$15)))</f>
        <v/>
      </c>
      <c r="E15" s="121">
        <f>IF($AL$15="","",IF(INDEX('Final Calculation Sheet'!$D$4:$D$40,$AL$15)="","",INDEX('Final Calculation Sheet'!$D$4:$D$40,$AL$15)))</f>
        <v/>
      </c>
      <c r="F15" s="121">
        <f>IF($AL$15="","",IF(INDEX('Final Calculation Sheet'!$A$4:$A$40,$AL$15)="","",INDEX('Final Calculation Sheet'!$A$4:$A$40,$AL$15)))</f>
        <v/>
      </c>
      <c r="G15" s="121">
        <f>IF($AL$15="","",IF(INDEX('Final Calculation Sheet'!$E$4:$E$40,$AL$15)="","",INDEX('Final Calculation Sheet'!$E$4:$E$40,$AL$15)))</f>
        <v/>
      </c>
      <c r="H15" s="122">
        <f>IF($AL$15="","",IF(INDEX('Final Calculation Sheet'!$C$4:$C$40,$AL$15)="","",INDEX('Final Calculation Sheet'!$C$4:$C$40,$AL$15)))</f>
        <v/>
      </c>
      <c r="I15" s="122">
        <f>IF($AL$15="","",IF(INDEX('Final Calculation Sheet'!$H$4:$H$40,$AL$15)="","",INDEX('Final Calculation Sheet'!$H$4:$H$40,$AL$15)))</f>
        <v/>
      </c>
      <c r="J15" s="122">
        <f>IF($AL$15="","",IF(INDEX('Final Calculation Sheet'!$I$4:$I$40,$AL$15)="","",INDEX('Final Calculation Sheet'!$I$4:$I$40,$AL$15)))</f>
        <v/>
      </c>
      <c r="K15" s="122">
        <f>IF($AL$15="","",IF(INDEX('Final Calculation Sheet'!$J$4:$J$40,$AL$15)="","",INDEX('Final Calculation Sheet'!$J$4:$J$40,$AL$15)))</f>
        <v/>
      </c>
      <c r="L15" s="122">
        <f>IF($AL$15="","",IF(INDEX('Final Calculation Sheet'!$K$4:$K$40,$AL$15)="","",INDEX('Final Calculation Sheet'!$K$4:$K$40,$AL$15)))</f>
        <v/>
      </c>
      <c r="M15" s="122">
        <f>IF($AL$15="","",IF(INDEX('Final Calculation Sheet'!$L$4:$L$40,$AL$15)="","",INDEX('Final Calculation Sheet'!$L$4:$L$40,$AL$15)))</f>
        <v/>
      </c>
      <c r="N15" s="122">
        <f>IF($AL$15="","",IF(INDEX('Final Calculation Sheet'!$M$4:$M$40,$AL$15)="","",INDEX('Final Calculation Sheet'!$M$4:$M$40,$AL$15)))</f>
        <v/>
      </c>
      <c r="O15" s="123">
        <f>IF($AL$15="","",IF(INDEX('Final Calculation Sheet'!$N$4:$N$40,$AL$15)="","",INDEX('Final Calculation Sheet'!$N$4:$N$40,$AL$15)))</f>
        <v/>
      </c>
      <c r="P15" s="122">
        <f>IF($AL$15="","",IF(INDEX('Final Calculation Sheet'!$O$4:$O$40,$AL$15)="","",INDEX('Final Calculation Sheet'!$O$4:$O$40,$AL$15)))</f>
        <v/>
      </c>
      <c r="Q15" s="122">
        <f>IF($AL$15="","",IF(INDEX('Final Calculation Sheet'!$P$4:$P$40,$AL$15)="","",INDEX('Final Calculation Sheet'!$P$4:$P$40,$AL$15)))</f>
        <v/>
      </c>
      <c r="R15" s="124">
        <f>IF($AL$15="","",IF(INDEX('Final Calculation Sheet'!$Q$4:$Q$40,$AL$15)="","",INDEX('Final Calculation Sheet'!$Q$4:$Q$40,$AL$15)))</f>
        <v/>
      </c>
      <c r="S15" s="122">
        <f>IF($AL$15="","",IF(INDEX('Final Calculation Sheet'!$R$4:$R$40,$AL$15)="","",INDEX('Final Calculation Sheet'!$R$4:$R$40,$AL$15)))</f>
        <v/>
      </c>
      <c r="T15" s="122">
        <f>IF($AL$15="","",IF(INDEX('Final Calculation Sheet'!$S$4:$S$40,$AL$15)="","",INDEX('Final Calculation Sheet'!$S$4:$S$40,$AL$15)))</f>
        <v/>
      </c>
      <c r="U15" s="122">
        <f>IF($AL$15="","",IF(INDEX('Final Calculation Sheet'!$T$4:$T$40,$AL$15)="","",INDEX('Final Calculation Sheet'!$T$4:$T$40,$AL$15)))</f>
        <v/>
      </c>
      <c r="V15" s="125">
        <f>IF($AL$15="","",IF(INDEX('Final Calculation Sheet'!$U$4:$U$40,$AL$15)="","",INDEX('Final Calculation Sheet'!$U$4:$U$40,$AL$15)))</f>
        <v/>
      </c>
      <c r="W15" s="122">
        <f>IF($AL$15="","",IF(INDEX('Final Calculation Sheet'!$V$4:$V$40,$AL$15)="","",INDEX('Final Calculation Sheet'!$V$4:$V$40,$AL$15)))</f>
        <v/>
      </c>
      <c r="X15" s="122">
        <f>IF($AL$15="","",IF(INDEX('Final Calculation Sheet'!$W$4:$W$40,$AL$15)="","",INDEX('Final Calculation Sheet'!$W$4:$W$40,$AL$15)))</f>
        <v/>
      </c>
      <c r="Y15" s="122">
        <f>IF($AL$15="","",IF(INDEX('Final Calculation Sheet'!$X$4:$X$40,$AL$15)="","",INDEX('Final Calculation Sheet'!$X$4:$X$40,$AL$15)))</f>
        <v/>
      </c>
      <c r="Z15" s="122">
        <f>IF($AL$15="","",IF(INDEX('Final Calculation Sheet'!$Y$4:$Y$40,$AL$15)="","",INDEX('Final Calculation Sheet'!$Y$4:$Y$40,$AL$15)))</f>
        <v/>
      </c>
      <c r="AA15" s="122">
        <f>IF($AL$15="","",IF(INDEX('Final Calculation Sheet'!$Z$4:$Z$40,$AL$15)="","",INDEX('Final Calculation Sheet'!$Z$4:$Z$40,$AL$15)))</f>
        <v/>
      </c>
      <c r="AB15" s="122">
        <f>IF($AL$15="","",IF(INDEX('Final Calculation Sheet'!$AA$4:$AA$40,$AL$15)="","",INDEX('Final Calculation Sheet'!$AA$4:$AA$40,$AL$15)))</f>
        <v/>
      </c>
      <c r="AC15" s="122">
        <f>IF($AL$15="","",IF(INDEX('Final Calculation Sheet'!$AB$4:$AB$40,$AL$15)="","",INDEX('Final Calculation Sheet'!$AB$4:$AB$40,$AL$15)))</f>
        <v/>
      </c>
      <c r="AD15" s="122">
        <f>IF($AL$15="","",IF(INDEX('Final Calculation Sheet'!$AC$4:$AC$40,$AL$15)="","",INDEX('Final Calculation Sheet'!$AC$4:$AC$40,$AL$15)))</f>
        <v/>
      </c>
      <c r="AE15" s="122">
        <f>IF($AL$15="","",IF(INDEX('Final Calculation Sheet'!$AD$4:$AD$40,$AL$15)="","",INDEX('Final Calculation Sheet'!$AD$4:$AD$40,$AL$15)))</f>
        <v/>
      </c>
      <c r="AF15" s="127">
        <f>IF($AL$15="","",IF(INDEX('Final Calculation Sheet'!$AD$4:$AD$40,$AL$15)&lt;=5,"SETTLED","OUTSTANDING"))</f>
        <v/>
      </c>
      <c r="AG15" s="122">
        <f>IF($AL$15="","",IF(INDEX('Final Calculation Sheet'!$AF$4:$AF$40,$AL$15)="","",INDEX('Final Calculation Sheet'!$AF$4:$AF$40,$AL$15)))</f>
        <v/>
      </c>
      <c r="AH15" s="126">
        <f>IF($AL$15="","",IF(INDEX('Final Calculation Sheet'!$AG$4:$AG$40,$AL$15)="","",INDEX('Final Calculation Sheet'!$AG$4:$AG$40,$AL$15)))</f>
        <v/>
      </c>
      <c r="AI15" s="122">
        <f>IF($AL$15="","",IF(INDEX('Final Calculation Sheet'!$AH$4:$AH$40,$AL$15)="","",INDEX('Final Calculation Sheet'!$AH$4:$AH$40,$AL$15)))</f>
        <v/>
      </c>
      <c r="AJ1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15">
        <f>IF(AJ15=1,COUNTIF(AJ$6:AJ15,1),"")</f>
        <v/>
      </c>
      <c r="AL15">
        <f>IF(COUNTIF($B$4:$AI$4,"&lt;&gt;")=0,"",IFERROR(MATCH(9,$AK$6:$AK$42,0),""))</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G15">
        <f>IF($B$4="",1,IF($B$4="(blank)",--('Final Calculation Sheet'!$F$13=""),IF($B$4="(nonblank)",--('Final Calculation Sheet'!$F$13&lt;&gt;""),--ISNUMBER(SEARCH($B$4,'Final Calculation Sheet'!$F$13)))))</f>
        <v/>
      </c>
      <c r="DH15">
        <f>IF($C$4="",1,IF($C$4="(blank)",--('Final Calculation Sheet'!$G$13=""),IF($C$4="(nonblank)",--('Final Calculation Sheet'!$G$13&lt;&gt;""),--ISNUMBER(SEARCH($C$4,'Final Calculation Sheet'!$G$13)))))</f>
        <v/>
      </c>
      <c r="DI15">
        <f>IF($D$4="",1,IF($D$4="(blank)",--('Final Calculation Sheet'!$B$13=""),IF($D$4="(nonblank)",--('Final Calculation Sheet'!$B$13&lt;&gt;""),--ISNUMBER(SEARCH($D$4,'Final Calculation Sheet'!$B$13)))))</f>
        <v/>
      </c>
      <c r="DJ15">
        <f>IF($E$4="",1,IF($E$4="(blank)",--('Final Calculation Sheet'!$D$13=""),IF($E$4="(nonblank)",--('Final Calculation Sheet'!$D$13&lt;&gt;""),--ISNUMBER(SEARCH($E$4,'Final Calculation Sheet'!$D$13)))))</f>
        <v/>
      </c>
      <c r="DK15">
        <f>IF($F$4="",1,IF($F$4="(blank)",--('Final Calculation Sheet'!$A$13=""),IF($F$4="(nonblank)",--('Final Calculation Sheet'!$A$13&lt;&gt;""),--ISNUMBER(SEARCH($F$4,'Final Calculation Sheet'!$A$13)))))</f>
        <v/>
      </c>
      <c r="DL15">
        <f>IF($G$4="",1,IF($G$4="(blank)",--('Final Calculation Sheet'!$E$13=""),IF($G$4="(nonblank)",--('Final Calculation Sheet'!$E$13&lt;&gt;""),--ISNUMBER(SEARCH($G$4,'Final Calculation Sheet'!$E$13)))))</f>
        <v/>
      </c>
      <c r="DM15">
        <f>IF($H$4="",1,IF($H$4="(blank)",--('Final Calculation Sheet'!$C$13=""),IF($H$4="(nonblank)",--('Final Calculation Sheet'!$C$13&lt;&gt;""),--ISNUMBER(SEARCH($H$4,'Final Calculation Sheet'!$C$13)))))</f>
        <v/>
      </c>
      <c r="DN15">
        <f>IF($I$4="",1,IF($I$4="(blank)",--('Final Calculation Sheet'!$H$13=""),IF($I$4="(nonblank)",--('Final Calculation Sheet'!$H$13&lt;&gt;""),--ISNUMBER(SEARCH($I$4,'Final Calculation Sheet'!$H$13)))))</f>
        <v/>
      </c>
      <c r="DO15">
        <f>IF($J$4="",1,IF($J$4="(blank)",--('Final Calculation Sheet'!$I$13=""),IF($J$4="(nonblank)",--('Final Calculation Sheet'!$I$13&lt;&gt;""),--ISNUMBER(SEARCH($J$4,'Final Calculation Sheet'!$I$13)))))</f>
        <v/>
      </c>
      <c r="DP15">
        <f>IF($K$4="",1,IF($K$4="(blank)",--('Final Calculation Sheet'!$J$13=""),IF($K$4="(nonblank)",--('Final Calculation Sheet'!$J$13&lt;&gt;""),--ISNUMBER(SEARCH($K$4,'Final Calculation Sheet'!$J$13)))))</f>
        <v/>
      </c>
      <c r="DQ15">
        <f>IF($L$4="",1,IF($L$4="(blank)",--('Final Calculation Sheet'!$K$13=""),IF($L$4="(nonblank)",--('Final Calculation Sheet'!$K$13&lt;&gt;""),--ISNUMBER(SEARCH($L$4,'Final Calculation Sheet'!$K$13)))))</f>
        <v/>
      </c>
      <c r="DR15">
        <f>IF($M$4="",1,IF($M$4="(blank)",--('Final Calculation Sheet'!$L$13=""),IF($M$4="(nonblank)",--('Final Calculation Sheet'!$L$13&lt;&gt;""),--ISNUMBER(SEARCH($M$4,'Final Calculation Sheet'!$L$13)))))</f>
        <v/>
      </c>
      <c r="DS15">
        <f>IF($N$4="",1,IF($N$4="(blank)",--('Final Calculation Sheet'!$M$13=""),IF($N$4="(nonblank)",--('Final Calculation Sheet'!$M$13&lt;&gt;""),--ISNUMBER(SEARCH($N$4,'Final Calculation Sheet'!$M$13)))))</f>
        <v/>
      </c>
      <c r="DT15">
        <f>IF($O$4="",1,IF($O$4="(blank)",--('Final Calculation Sheet'!$N$13=""),IF($O$4="(nonblank)",--('Final Calculation Sheet'!$N$13&lt;&gt;""),--ISNUMBER(SEARCH($O$4,'Final Calculation Sheet'!$N$13)))))</f>
        <v/>
      </c>
      <c r="DU15">
        <f>IF($P$4="",1,IF($P$4="(blank)",--('Final Calculation Sheet'!$O$13=""),IF($P$4="(nonblank)",--('Final Calculation Sheet'!$O$13&lt;&gt;""),--ISNUMBER(SEARCH($P$4,'Final Calculation Sheet'!$O$13)))))</f>
        <v/>
      </c>
      <c r="DV15">
        <f>IF($Q$4="",1,IF($Q$4="(blank)",--('Final Calculation Sheet'!$P$13=""),IF($Q$4="(nonblank)",--('Final Calculation Sheet'!$P$13&lt;&gt;""),--ISNUMBER(SEARCH($Q$4,'Final Calculation Sheet'!$P$13)))))</f>
        <v/>
      </c>
      <c r="DW15">
        <f>IF($R$4="",1,IF($R$4="(blank)",--('Final Calculation Sheet'!$Q$13=""),IF($R$4="(nonblank)",--('Final Calculation Sheet'!$Q$13&lt;&gt;""),--ISNUMBER(SEARCH($R$4,'Final Calculation Sheet'!$Q$13)))))</f>
        <v/>
      </c>
      <c r="DX15">
        <f>IF($S$4="",1,IF($S$4="(blank)",--('Final Calculation Sheet'!$R$13=""),IF($S$4="(nonblank)",--('Final Calculation Sheet'!$R$13&lt;&gt;""),--ISNUMBER(SEARCH($S$4,'Final Calculation Sheet'!$R$13)))))</f>
        <v/>
      </c>
      <c r="DY15">
        <f>IF($T$4="",1,IF($T$4="(blank)",--('Final Calculation Sheet'!$S$13=""),IF($T$4="(nonblank)",--('Final Calculation Sheet'!$S$13&lt;&gt;""),--ISNUMBER(SEARCH($T$4,'Final Calculation Sheet'!$S$13)))))</f>
        <v/>
      </c>
      <c r="DZ15">
        <f>IF($U$4="",1,IF($U$4="(blank)",--('Final Calculation Sheet'!$T$13=""),IF($U$4="(nonblank)",--('Final Calculation Sheet'!$T$13&lt;&gt;""),--ISNUMBER(SEARCH($U$4,'Final Calculation Sheet'!$T$13)))))</f>
        <v/>
      </c>
      <c r="EA15">
        <f>IF($V$4="",1,IF($V$4="(blank)",--('Final Calculation Sheet'!$U$13=""),IF($V$4="(nonblank)",--('Final Calculation Sheet'!$U$13&lt;&gt;""),--ISNUMBER(SEARCH($V$4,'Final Calculation Sheet'!$U$13)))))</f>
        <v/>
      </c>
      <c r="EB15">
        <f>IF($W$4="",1,IF($W$4="(blank)",--('Final Calculation Sheet'!$V$13=""),IF($W$4="(nonblank)",--('Final Calculation Sheet'!$V$13&lt;&gt;""),--ISNUMBER(SEARCH($W$4,'Final Calculation Sheet'!$V$13)))))</f>
        <v/>
      </c>
      <c r="EC15">
        <f>IF($X$4="",1,IF($X$4="(blank)",--('Final Calculation Sheet'!$W$13=""),IF($X$4="(nonblank)",--('Final Calculation Sheet'!$W$13&lt;&gt;""),--ISNUMBER(SEARCH($X$4,'Final Calculation Sheet'!$W$13)))))</f>
        <v/>
      </c>
      <c r="ED15">
        <f>IF($Y$4="",1,IF($Y$4="(blank)",--('Final Calculation Sheet'!$X$13=""),IF($Y$4="(nonblank)",--('Final Calculation Sheet'!$X$13&lt;&gt;""),--ISNUMBER(SEARCH($Y$4,'Final Calculation Sheet'!$X$13)))))</f>
        <v/>
      </c>
      <c r="EE15">
        <f>IF($Z$4="",1,IF($Z$4="(blank)",--('Final Calculation Sheet'!$Y$13=""),IF($Z$4="(nonblank)",--('Final Calculation Sheet'!$Y$13&lt;&gt;""),--ISNUMBER(SEARCH($Z$4,'Final Calculation Sheet'!$Y$13)))))</f>
        <v/>
      </c>
      <c r="EF15">
        <f>IF($AA$4="",1,IF($AA$4="(blank)",--('Final Calculation Sheet'!$Z$13=""),IF($AA$4="(nonblank)",--('Final Calculation Sheet'!$Z$13&lt;&gt;""),--ISNUMBER(SEARCH($AA$4,'Final Calculation Sheet'!$Z$13)))))</f>
        <v/>
      </c>
      <c r="EG15">
        <f>IF($AB$4="",1,IF($AB$4="(blank)",--('Final Calculation Sheet'!$AA$13=""),IF($AB$4="(nonblank)",--('Final Calculation Sheet'!$AA$13&lt;&gt;""),--ISNUMBER(SEARCH($AB$4,'Final Calculation Sheet'!$AA$13)))))</f>
        <v/>
      </c>
      <c r="EH15">
        <f>IF($AC$4="",1,IF($AC$4="(blank)",--('Final Calculation Sheet'!$AB$13=""),IF($AC$4="(nonblank)",--('Final Calculation Sheet'!$AB$13&lt;&gt;""),--ISNUMBER(SEARCH($AC$4,'Final Calculation Sheet'!$AB$13)))))</f>
        <v/>
      </c>
      <c r="EI15">
        <f>IF($AD$4="",1,IF($AD$4="(blank)",--('Final Calculation Sheet'!$AC$13=""),IF($AD$4="(nonblank)",--('Final Calculation Sheet'!$AC$13&lt;&gt;""),--ISNUMBER(SEARCH($AD$4,'Final Calculation Sheet'!$AC$13)))))</f>
        <v/>
      </c>
      <c r="EJ15">
        <f>IF($AE$4="",1,IF($AE$4="(blank)",--('Final Calculation Sheet'!$AD$13=""),IF($AE$4="(nonblank)",--('Final Calculation Sheet'!$AD$13&lt;&gt;""),--ISNUMBER(SEARCH($AE$4,'Final Calculation Sheet'!$AD$13)))))</f>
        <v/>
      </c>
      <c r="EK15">
        <f>IF($AF$4="",1,IF($AF$4="(blank)",--(IF('Final Calculation Sheet'!$AD$13&lt;=5,"SETTLED","OUTSTANDING")=""),IF($AF$4="(nonblank)",--(IF('Final Calculation Sheet'!$AD$13&lt;=5,"SETTLED","OUTSTANDING")&lt;&gt;""),--ISNUMBER(SEARCH($AF$4,IF('Final Calculation Sheet'!$AD$13&lt;=5,"SETTLED","OUTSTANDING"))))))</f>
        <v/>
      </c>
      <c r="EL15">
        <f>IF($AG$4="",1,IF($AG$4="(blank)",--('Final Calculation Sheet'!$AF$13=""),IF($AG$4="(nonblank)",--('Final Calculation Sheet'!$AF$13&lt;&gt;""),--ISNUMBER(SEARCH($AG$4,'Final Calculation Sheet'!$AF$13)))))</f>
        <v/>
      </c>
      <c r="EM15">
        <f>IF($AH$4="",1,IF($AH$4="(blank)",--('Final Calculation Sheet'!$AG$13=""),IF($AH$4="(nonblank)",--('Final Calculation Sheet'!$AG$13&lt;&gt;""),--ISNUMBER(SEARCH($AH$4,'Final Calculation Sheet'!$AG$13)))))</f>
        <v/>
      </c>
      <c r="EN15">
        <f>IF($AI$4="",1,IF($AI$4="(blank)",--('Final Calculation Sheet'!$AH$13=""),IF($AI$4="(nonblank)",--('Final Calculation Sheet'!$AH$13&lt;&gt;""),--ISNUMBER(SEARCH($AI$4,'Final Calculation Sheet'!$AH$13)))))</f>
        <v/>
      </c>
    </row>
    <row r="16" outlineLevel="1" hidden="1">
      <c r="A16" s="128">
        <f>IF($AL$16="","",10)</f>
        <v/>
      </c>
      <c r="B16" s="129">
        <f>IF($AL$16="","",IF(INDEX('Final Calculation Sheet'!$F$4:$F$40,$AL$16)="","",INDEX('Final Calculation Sheet'!$F$4:$F$40,$AL$16)))</f>
        <v/>
      </c>
      <c r="C16" s="129">
        <f>IF($AL$16="","",IF(INDEX('Final Calculation Sheet'!$G$4:$G$40,$AL$16)="","",INDEX('Final Calculation Sheet'!$G$4:$G$40,$AL$16)))</f>
        <v/>
      </c>
      <c r="D16" s="130">
        <f>IF($AL$16="","",IF(INDEX('Final Calculation Sheet'!$B$4:$B$40,$AL$16)="","",INDEX('Final Calculation Sheet'!$B$4:$B$40,$AL$16)))</f>
        <v/>
      </c>
      <c r="E16" s="130">
        <f>IF($AL$16="","",IF(INDEX('Final Calculation Sheet'!$D$4:$D$40,$AL$16)="","",INDEX('Final Calculation Sheet'!$D$4:$D$40,$AL$16)))</f>
        <v/>
      </c>
      <c r="F16" s="130">
        <f>IF($AL$16="","",IF(INDEX('Final Calculation Sheet'!$A$4:$A$40,$AL$16)="","",INDEX('Final Calculation Sheet'!$A$4:$A$40,$AL$16)))</f>
        <v/>
      </c>
      <c r="G16" s="130">
        <f>IF($AL$16="","",IF(INDEX('Final Calculation Sheet'!$E$4:$E$40,$AL$16)="","",INDEX('Final Calculation Sheet'!$E$4:$E$40,$AL$16)))</f>
        <v/>
      </c>
      <c r="H16" s="131">
        <f>IF($AL$16="","",IF(INDEX('Final Calculation Sheet'!$C$4:$C$40,$AL$16)="","",INDEX('Final Calculation Sheet'!$C$4:$C$40,$AL$16)))</f>
        <v/>
      </c>
      <c r="I16" s="131">
        <f>IF($AL$16="","",IF(INDEX('Final Calculation Sheet'!$H$4:$H$40,$AL$16)="","",INDEX('Final Calculation Sheet'!$H$4:$H$40,$AL$16)))</f>
        <v/>
      </c>
      <c r="J16" s="131">
        <f>IF($AL$16="","",IF(INDEX('Final Calculation Sheet'!$I$4:$I$40,$AL$16)="","",INDEX('Final Calculation Sheet'!$I$4:$I$40,$AL$16)))</f>
        <v/>
      </c>
      <c r="K16" s="131">
        <f>IF($AL$16="","",IF(INDEX('Final Calculation Sheet'!$J$4:$J$40,$AL$16)="","",INDEX('Final Calculation Sheet'!$J$4:$J$40,$AL$16)))</f>
        <v/>
      </c>
      <c r="L16" s="131">
        <f>IF($AL$16="","",IF(INDEX('Final Calculation Sheet'!$K$4:$K$40,$AL$16)="","",INDEX('Final Calculation Sheet'!$K$4:$K$40,$AL$16)))</f>
        <v/>
      </c>
      <c r="M16" s="131">
        <f>IF($AL$16="","",IF(INDEX('Final Calculation Sheet'!$L$4:$L$40,$AL$16)="","",INDEX('Final Calculation Sheet'!$L$4:$L$40,$AL$16)))</f>
        <v/>
      </c>
      <c r="N16" s="131">
        <f>IF($AL$16="","",IF(INDEX('Final Calculation Sheet'!$M$4:$M$40,$AL$16)="","",INDEX('Final Calculation Sheet'!$M$4:$M$40,$AL$16)))</f>
        <v/>
      </c>
      <c r="O16" s="132">
        <f>IF($AL$16="","",IF(INDEX('Final Calculation Sheet'!$N$4:$N$40,$AL$16)="","",INDEX('Final Calculation Sheet'!$N$4:$N$40,$AL$16)))</f>
        <v/>
      </c>
      <c r="P16" s="131">
        <f>IF($AL$16="","",IF(INDEX('Final Calculation Sheet'!$O$4:$O$40,$AL$16)="","",INDEX('Final Calculation Sheet'!$O$4:$O$40,$AL$16)))</f>
        <v/>
      </c>
      <c r="Q16" s="131">
        <f>IF($AL$16="","",IF(INDEX('Final Calculation Sheet'!$P$4:$P$40,$AL$16)="","",INDEX('Final Calculation Sheet'!$P$4:$P$40,$AL$16)))</f>
        <v/>
      </c>
      <c r="R16" s="133">
        <f>IF($AL$16="","",IF(INDEX('Final Calculation Sheet'!$Q$4:$Q$40,$AL$16)="","",INDEX('Final Calculation Sheet'!$Q$4:$Q$40,$AL$16)))</f>
        <v/>
      </c>
      <c r="S16" s="131">
        <f>IF($AL$16="","",IF(INDEX('Final Calculation Sheet'!$R$4:$R$40,$AL$16)="","",INDEX('Final Calculation Sheet'!$R$4:$R$40,$AL$16)))</f>
        <v/>
      </c>
      <c r="T16" s="131">
        <f>IF($AL$16="","",IF(INDEX('Final Calculation Sheet'!$S$4:$S$40,$AL$16)="","",INDEX('Final Calculation Sheet'!$S$4:$S$40,$AL$16)))</f>
        <v/>
      </c>
      <c r="U16" s="131">
        <f>IF($AL$16="","",IF(INDEX('Final Calculation Sheet'!$T$4:$T$40,$AL$16)="","",INDEX('Final Calculation Sheet'!$T$4:$T$40,$AL$16)))</f>
        <v/>
      </c>
      <c r="V16" s="134">
        <f>IF($AL$16="","",IF(INDEX('Final Calculation Sheet'!$U$4:$U$40,$AL$16)="","",INDEX('Final Calculation Sheet'!$U$4:$U$40,$AL$16)))</f>
        <v/>
      </c>
      <c r="W16" s="131">
        <f>IF($AL$16="","",IF(INDEX('Final Calculation Sheet'!$V$4:$V$40,$AL$16)="","",INDEX('Final Calculation Sheet'!$V$4:$V$40,$AL$16)))</f>
        <v/>
      </c>
      <c r="X16" s="131">
        <f>IF($AL$16="","",IF(INDEX('Final Calculation Sheet'!$W$4:$W$40,$AL$16)="","",INDEX('Final Calculation Sheet'!$W$4:$W$40,$AL$16)))</f>
        <v/>
      </c>
      <c r="Y16" s="131">
        <f>IF($AL$16="","",IF(INDEX('Final Calculation Sheet'!$X$4:$X$40,$AL$16)="","",INDEX('Final Calculation Sheet'!$X$4:$X$40,$AL$16)))</f>
        <v/>
      </c>
      <c r="Z16" s="131">
        <f>IF($AL$16="","",IF(INDEX('Final Calculation Sheet'!$Y$4:$Y$40,$AL$16)="","",INDEX('Final Calculation Sheet'!$Y$4:$Y$40,$AL$16)))</f>
        <v/>
      </c>
      <c r="AA16" s="131">
        <f>IF($AL$16="","",IF(INDEX('Final Calculation Sheet'!$Z$4:$Z$40,$AL$16)="","",INDEX('Final Calculation Sheet'!$Z$4:$Z$40,$AL$16)))</f>
        <v/>
      </c>
      <c r="AB16" s="131">
        <f>IF($AL$16="","",IF(INDEX('Final Calculation Sheet'!$AA$4:$AA$40,$AL$16)="","",INDEX('Final Calculation Sheet'!$AA$4:$AA$40,$AL$16)))</f>
        <v/>
      </c>
      <c r="AC16" s="131">
        <f>IF($AL$16="","",IF(INDEX('Final Calculation Sheet'!$AB$4:$AB$40,$AL$16)="","",INDEX('Final Calculation Sheet'!$AB$4:$AB$40,$AL$16)))</f>
        <v/>
      </c>
      <c r="AD16" s="131">
        <f>IF($AL$16="","",IF(INDEX('Final Calculation Sheet'!$AC$4:$AC$40,$AL$16)="","",INDEX('Final Calculation Sheet'!$AC$4:$AC$40,$AL$16)))</f>
        <v/>
      </c>
      <c r="AE16" s="131">
        <f>IF($AL$16="","",IF(INDEX('Final Calculation Sheet'!$AD$4:$AD$40,$AL$16)="","",INDEX('Final Calculation Sheet'!$AD$4:$AD$40,$AL$16)))</f>
        <v/>
      </c>
      <c r="AF16" s="136">
        <f>IF($AL$16="","",IF(INDEX('Final Calculation Sheet'!$AD$4:$AD$40,$AL$16)&lt;=5,"SETTLED","OUTSTANDING"))</f>
        <v/>
      </c>
      <c r="AG16" s="131">
        <f>IF($AL$16="","",IF(INDEX('Final Calculation Sheet'!$AF$4:$AF$40,$AL$16)="","",INDEX('Final Calculation Sheet'!$AF$4:$AF$40,$AL$16)))</f>
        <v/>
      </c>
      <c r="AH16" s="135">
        <f>IF($AL$16="","",IF(INDEX('Final Calculation Sheet'!$AG$4:$AG$40,$AL$16)="","",INDEX('Final Calculation Sheet'!$AG$4:$AG$40,$AL$16)))</f>
        <v/>
      </c>
      <c r="AI16" s="131">
        <f>IF($AL$16="","",IF(INDEX('Final Calculation Sheet'!$AH$4:$AH$40,$AL$16)="","",INDEX('Final Calculation Sheet'!$AH$4:$AH$40,$AL$16)))</f>
        <v/>
      </c>
      <c r="AJ16">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16">
        <f>IF(AJ16=1,COUNTIF(AJ$6:AJ16,1),"")</f>
        <v/>
      </c>
      <c r="AL16">
        <f>IF(COUNTIF($B$4:$AI$4,"&lt;&gt;")=0,"",IFERROR(MATCH(10,$AK$6:$AK$42,0),""))</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G16">
        <f>IF($B$4="",1,IF($B$4="(blank)",--('Final Calculation Sheet'!$F$14=""),IF($B$4="(nonblank)",--('Final Calculation Sheet'!$F$14&lt;&gt;""),--ISNUMBER(SEARCH($B$4,'Final Calculation Sheet'!$F$14)))))</f>
        <v/>
      </c>
      <c r="DH16">
        <f>IF($C$4="",1,IF($C$4="(blank)",--('Final Calculation Sheet'!$G$14=""),IF($C$4="(nonblank)",--('Final Calculation Sheet'!$G$14&lt;&gt;""),--ISNUMBER(SEARCH($C$4,'Final Calculation Sheet'!$G$14)))))</f>
        <v/>
      </c>
      <c r="DI16">
        <f>IF($D$4="",1,IF($D$4="(blank)",--('Final Calculation Sheet'!$B$14=""),IF($D$4="(nonblank)",--('Final Calculation Sheet'!$B$14&lt;&gt;""),--ISNUMBER(SEARCH($D$4,'Final Calculation Sheet'!$B$14)))))</f>
        <v/>
      </c>
      <c r="DJ16">
        <f>IF($E$4="",1,IF($E$4="(blank)",--('Final Calculation Sheet'!$D$14=""),IF($E$4="(nonblank)",--('Final Calculation Sheet'!$D$14&lt;&gt;""),--ISNUMBER(SEARCH($E$4,'Final Calculation Sheet'!$D$14)))))</f>
        <v/>
      </c>
      <c r="DK16">
        <f>IF($F$4="",1,IF($F$4="(blank)",--('Final Calculation Sheet'!$A$14=""),IF($F$4="(nonblank)",--('Final Calculation Sheet'!$A$14&lt;&gt;""),--ISNUMBER(SEARCH($F$4,'Final Calculation Sheet'!$A$14)))))</f>
        <v/>
      </c>
      <c r="DL16">
        <f>IF($G$4="",1,IF($G$4="(blank)",--('Final Calculation Sheet'!$E$14=""),IF($G$4="(nonblank)",--('Final Calculation Sheet'!$E$14&lt;&gt;""),--ISNUMBER(SEARCH($G$4,'Final Calculation Sheet'!$E$14)))))</f>
        <v/>
      </c>
      <c r="DM16">
        <f>IF($H$4="",1,IF($H$4="(blank)",--('Final Calculation Sheet'!$C$14=""),IF($H$4="(nonblank)",--('Final Calculation Sheet'!$C$14&lt;&gt;""),--ISNUMBER(SEARCH($H$4,'Final Calculation Sheet'!$C$14)))))</f>
        <v/>
      </c>
      <c r="DN16">
        <f>IF($I$4="",1,IF($I$4="(blank)",--('Final Calculation Sheet'!$H$14=""),IF($I$4="(nonblank)",--('Final Calculation Sheet'!$H$14&lt;&gt;""),--ISNUMBER(SEARCH($I$4,'Final Calculation Sheet'!$H$14)))))</f>
        <v/>
      </c>
      <c r="DO16">
        <f>IF($J$4="",1,IF($J$4="(blank)",--('Final Calculation Sheet'!$I$14=""),IF($J$4="(nonblank)",--('Final Calculation Sheet'!$I$14&lt;&gt;""),--ISNUMBER(SEARCH($J$4,'Final Calculation Sheet'!$I$14)))))</f>
        <v/>
      </c>
      <c r="DP16">
        <f>IF($K$4="",1,IF($K$4="(blank)",--('Final Calculation Sheet'!$J$14=""),IF($K$4="(nonblank)",--('Final Calculation Sheet'!$J$14&lt;&gt;""),--ISNUMBER(SEARCH($K$4,'Final Calculation Sheet'!$J$14)))))</f>
        <v/>
      </c>
      <c r="DQ16">
        <f>IF($L$4="",1,IF($L$4="(blank)",--('Final Calculation Sheet'!$K$14=""),IF($L$4="(nonblank)",--('Final Calculation Sheet'!$K$14&lt;&gt;""),--ISNUMBER(SEARCH($L$4,'Final Calculation Sheet'!$K$14)))))</f>
        <v/>
      </c>
      <c r="DR16">
        <f>IF($M$4="",1,IF($M$4="(blank)",--('Final Calculation Sheet'!$L$14=""),IF($M$4="(nonblank)",--('Final Calculation Sheet'!$L$14&lt;&gt;""),--ISNUMBER(SEARCH($M$4,'Final Calculation Sheet'!$L$14)))))</f>
        <v/>
      </c>
      <c r="DS16">
        <f>IF($N$4="",1,IF($N$4="(blank)",--('Final Calculation Sheet'!$M$14=""),IF($N$4="(nonblank)",--('Final Calculation Sheet'!$M$14&lt;&gt;""),--ISNUMBER(SEARCH($N$4,'Final Calculation Sheet'!$M$14)))))</f>
        <v/>
      </c>
      <c r="DT16">
        <f>IF($O$4="",1,IF($O$4="(blank)",--('Final Calculation Sheet'!$N$14=""),IF($O$4="(nonblank)",--('Final Calculation Sheet'!$N$14&lt;&gt;""),--ISNUMBER(SEARCH($O$4,'Final Calculation Sheet'!$N$14)))))</f>
        <v/>
      </c>
      <c r="DU16">
        <f>IF($P$4="",1,IF($P$4="(blank)",--('Final Calculation Sheet'!$O$14=""),IF($P$4="(nonblank)",--('Final Calculation Sheet'!$O$14&lt;&gt;""),--ISNUMBER(SEARCH($P$4,'Final Calculation Sheet'!$O$14)))))</f>
        <v/>
      </c>
      <c r="DV16">
        <f>IF($Q$4="",1,IF($Q$4="(blank)",--('Final Calculation Sheet'!$P$14=""),IF($Q$4="(nonblank)",--('Final Calculation Sheet'!$P$14&lt;&gt;""),--ISNUMBER(SEARCH($Q$4,'Final Calculation Sheet'!$P$14)))))</f>
        <v/>
      </c>
      <c r="DW16">
        <f>IF($R$4="",1,IF($R$4="(blank)",--('Final Calculation Sheet'!$Q$14=""),IF($R$4="(nonblank)",--('Final Calculation Sheet'!$Q$14&lt;&gt;""),--ISNUMBER(SEARCH($R$4,'Final Calculation Sheet'!$Q$14)))))</f>
        <v/>
      </c>
      <c r="DX16">
        <f>IF($S$4="",1,IF($S$4="(blank)",--('Final Calculation Sheet'!$R$14=""),IF($S$4="(nonblank)",--('Final Calculation Sheet'!$R$14&lt;&gt;""),--ISNUMBER(SEARCH($S$4,'Final Calculation Sheet'!$R$14)))))</f>
        <v/>
      </c>
      <c r="DY16">
        <f>IF($T$4="",1,IF($T$4="(blank)",--('Final Calculation Sheet'!$S$14=""),IF($T$4="(nonblank)",--('Final Calculation Sheet'!$S$14&lt;&gt;""),--ISNUMBER(SEARCH($T$4,'Final Calculation Sheet'!$S$14)))))</f>
        <v/>
      </c>
      <c r="DZ16">
        <f>IF($U$4="",1,IF($U$4="(blank)",--('Final Calculation Sheet'!$T$14=""),IF($U$4="(nonblank)",--('Final Calculation Sheet'!$T$14&lt;&gt;""),--ISNUMBER(SEARCH($U$4,'Final Calculation Sheet'!$T$14)))))</f>
        <v/>
      </c>
      <c r="EA16">
        <f>IF($V$4="",1,IF($V$4="(blank)",--('Final Calculation Sheet'!$U$14=""),IF($V$4="(nonblank)",--('Final Calculation Sheet'!$U$14&lt;&gt;""),--ISNUMBER(SEARCH($V$4,'Final Calculation Sheet'!$U$14)))))</f>
        <v/>
      </c>
      <c r="EB16">
        <f>IF($W$4="",1,IF($W$4="(blank)",--('Final Calculation Sheet'!$V$14=""),IF($W$4="(nonblank)",--('Final Calculation Sheet'!$V$14&lt;&gt;""),--ISNUMBER(SEARCH($W$4,'Final Calculation Sheet'!$V$14)))))</f>
        <v/>
      </c>
      <c r="EC16">
        <f>IF($X$4="",1,IF($X$4="(blank)",--('Final Calculation Sheet'!$W$14=""),IF($X$4="(nonblank)",--('Final Calculation Sheet'!$W$14&lt;&gt;""),--ISNUMBER(SEARCH($X$4,'Final Calculation Sheet'!$W$14)))))</f>
        <v/>
      </c>
      <c r="ED16">
        <f>IF($Y$4="",1,IF($Y$4="(blank)",--('Final Calculation Sheet'!$X$14=""),IF($Y$4="(nonblank)",--('Final Calculation Sheet'!$X$14&lt;&gt;""),--ISNUMBER(SEARCH($Y$4,'Final Calculation Sheet'!$X$14)))))</f>
        <v/>
      </c>
      <c r="EE16">
        <f>IF($Z$4="",1,IF($Z$4="(blank)",--('Final Calculation Sheet'!$Y$14=""),IF($Z$4="(nonblank)",--('Final Calculation Sheet'!$Y$14&lt;&gt;""),--ISNUMBER(SEARCH($Z$4,'Final Calculation Sheet'!$Y$14)))))</f>
        <v/>
      </c>
      <c r="EF16">
        <f>IF($AA$4="",1,IF($AA$4="(blank)",--('Final Calculation Sheet'!$Z$14=""),IF($AA$4="(nonblank)",--('Final Calculation Sheet'!$Z$14&lt;&gt;""),--ISNUMBER(SEARCH($AA$4,'Final Calculation Sheet'!$Z$14)))))</f>
        <v/>
      </c>
      <c r="EG16">
        <f>IF($AB$4="",1,IF($AB$4="(blank)",--('Final Calculation Sheet'!$AA$14=""),IF($AB$4="(nonblank)",--('Final Calculation Sheet'!$AA$14&lt;&gt;""),--ISNUMBER(SEARCH($AB$4,'Final Calculation Sheet'!$AA$14)))))</f>
        <v/>
      </c>
      <c r="EH16">
        <f>IF($AC$4="",1,IF($AC$4="(blank)",--('Final Calculation Sheet'!$AB$14=""),IF($AC$4="(nonblank)",--('Final Calculation Sheet'!$AB$14&lt;&gt;""),--ISNUMBER(SEARCH($AC$4,'Final Calculation Sheet'!$AB$14)))))</f>
        <v/>
      </c>
      <c r="EI16">
        <f>IF($AD$4="",1,IF($AD$4="(blank)",--('Final Calculation Sheet'!$AC$14=""),IF($AD$4="(nonblank)",--('Final Calculation Sheet'!$AC$14&lt;&gt;""),--ISNUMBER(SEARCH($AD$4,'Final Calculation Sheet'!$AC$14)))))</f>
        <v/>
      </c>
      <c r="EJ16">
        <f>IF($AE$4="",1,IF($AE$4="(blank)",--('Final Calculation Sheet'!$AD$14=""),IF($AE$4="(nonblank)",--('Final Calculation Sheet'!$AD$14&lt;&gt;""),--ISNUMBER(SEARCH($AE$4,'Final Calculation Sheet'!$AD$14)))))</f>
        <v/>
      </c>
      <c r="EK16">
        <f>IF($AF$4="",1,IF($AF$4="(blank)",--(IF('Final Calculation Sheet'!$AD$14&lt;=5,"SETTLED","OUTSTANDING")=""),IF($AF$4="(nonblank)",--(IF('Final Calculation Sheet'!$AD$14&lt;=5,"SETTLED","OUTSTANDING")&lt;&gt;""),--ISNUMBER(SEARCH($AF$4,IF('Final Calculation Sheet'!$AD$14&lt;=5,"SETTLED","OUTSTANDING"))))))</f>
        <v/>
      </c>
      <c r="EL16">
        <f>IF($AG$4="",1,IF($AG$4="(blank)",--('Final Calculation Sheet'!$AF$14=""),IF($AG$4="(nonblank)",--('Final Calculation Sheet'!$AF$14&lt;&gt;""),--ISNUMBER(SEARCH($AG$4,'Final Calculation Sheet'!$AF$14)))))</f>
        <v/>
      </c>
      <c r="EM16">
        <f>IF($AH$4="",1,IF($AH$4="(blank)",--('Final Calculation Sheet'!$AG$14=""),IF($AH$4="(nonblank)",--('Final Calculation Sheet'!$AG$14&lt;&gt;""),--ISNUMBER(SEARCH($AH$4,'Final Calculation Sheet'!$AG$14)))))</f>
        <v/>
      </c>
      <c r="EN16">
        <f>IF($AI$4="",1,IF($AI$4="(blank)",--('Final Calculation Sheet'!$AH$14=""),IF($AI$4="(nonblank)",--('Final Calculation Sheet'!$AH$14&lt;&gt;""),--ISNUMBER(SEARCH($AI$4,'Final Calculation Sheet'!$AH$14)))))</f>
        <v/>
      </c>
    </row>
    <row r="17" outlineLevel="1" hidden="1">
      <c r="A17" s="118">
        <f>IF($AL$17="","",11)</f>
        <v/>
      </c>
      <c r="B17" s="119">
        <f>IF($AL$17="","",IF(INDEX('Final Calculation Sheet'!$F$4:$F$40,$AL$17)="","",INDEX('Final Calculation Sheet'!$F$4:$F$40,$AL$17)))</f>
        <v/>
      </c>
      <c r="C17" s="119">
        <f>IF($AL$17="","",IF(INDEX('Final Calculation Sheet'!$G$4:$G$40,$AL$17)="","",INDEX('Final Calculation Sheet'!$G$4:$G$40,$AL$17)))</f>
        <v/>
      </c>
      <c r="D17" s="121">
        <f>IF($AL$17="","",IF(INDEX('Final Calculation Sheet'!$B$4:$B$40,$AL$17)="","",INDEX('Final Calculation Sheet'!$B$4:$B$40,$AL$17)))</f>
        <v/>
      </c>
      <c r="E17" s="121">
        <f>IF($AL$17="","",IF(INDEX('Final Calculation Sheet'!$D$4:$D$40,$AL$17)="","",INDEX('Final Calculation Sheet'!$D$4:$D$40,$AL$17)))</f>
        <v/>
      </c>
      <c r="F17" s="121">
        <f>IF($AL$17="","",IF(INDEX('Final Calculation Sheet'!$A$4:$A$40,$AL$17)="","",INDEX('Final Calculation Sheet'!$A$4:$A$40,$AL$17)))</f>
        <v/>
      </c>
      <c r="G17" s="121">
        <f>IF($AL$17="","",IF(INDEX('Final Calculation Sheet'!$E$4:$E$40,$AL$17)="","",INDEX('Final Calculation Sheet'!$E$4:$E$40,$AL$17)))</f>
        <v/>
      </c>
      <c r="H17" s="122">
        <f>IF($AL$17="","",IF(INDEX('Final Calculation Sheet'!$C$4:$C$40,$AL$17)="","",INDEX('Final Calculation Sheet'!$C$4:$C$40,$AL$17)))</f>
        <v/>
      </c>
      <c r="I17" s="122">
        <f>IF($AL$17="","",IF(INDEX('Final Calculation Sheet'!$H$4:$H$40,$AL$17)="","",INDEX('Final Calculation Sheet'!$H$4:$H$40,$AL$17)))</f>
        <v/>
      </c>
      <c r="J17" s="122">
        <f>IF($AL$17="","",IF(INDEX('Final Calculation Sheet'!$I$4:$I$40,$AL$17)="","",INDEX('Final Calculation Sheet'!$I$4:$I$40,$AL$17)))</f>
        <v/>
      </c>
      <c r="K17" s="122">
        <f>IF($AL$17="","",IF(INDEX('Final Calculation Sheet'!$J$4:$J$40,$AL$17)="","",INDEX('Final Calculation Sheet'!$J$4:$J$40,$AL$17)))</f>
        <v/>
      </c>
      <c r="L17" s="122">
        <f>IF($AL$17="","",IF(INDEX('Final Calculation Sheet'!$K$4:$K$40,$AL$17)="","",INDEX('Final Calculation Sheet'!$K$4:$K$40,$AL$17)))</f>
        <v/>
      </c>
      <c r="M17" s="122">
        <f>IF($AL$17="","",IF(INDEX('Final Calculation Sheet'!$L$4:$L$40,$AL$17)="","",INDEX('Final Calculation Sheet'!$L$4:$L$40,$AL$17)))</f>
        <v/>
      </c>
      <c r="N17" s="122">
        <f>IF($AL$17="","",IF(INDEX('Final Calculation Sheet'!$M$4:$M$40,$AL$17)="","",INDEX('Final Calculation Sheet'!$M$4:$M$40,$AL$17)))</f>
        <v/>
      </c>
      <c r="O17" s="123">
        <f>IF($AL$17="","",IF(INDEX('Final Calculation Sheet'!$N$4:$N$40,$AL$17)="","",INDEX('Final Calculation Sheet'!$N$4:$N$40,$AL$17)))</f>
        <v/>
      </c>
      <c r="P17" s="122">
        <f>IF($AL$17="","",IF(INDEX('Final Calculation Sheet'!$O$4:$O$40,$AL$17)="","",INDEX('Final Calculation Sheet'!$O$4:$O$40,$AL$17)))</f>
        <v/>
      </c>
      <c r="Q17" s="122">
        <f>IF($AL$17="","",IF(INDEX('Final Calculation Sheet'!$P$4:$P$40,$AL$17)="","",INDEX('Final Calculation Sheet'!$P$4:$P$40,$AL$17)))</f>
        <v/>
      </c>
      <c r="R17" s="124">
        <f>IF($AL$17="","",IF(INDEX('Final Calculation Sheet'!$Q$4:$Q$40,$AL$17)="","",INDEX('Final Calculation Sheet'!$Q$4:$Q$40,$AL$17)))</f>
        <v/>
      </c>
      <c r="S17" s="122">
        <f>IF($AL$17="","",IF(INDEX('Final Calculation Sheet'!$R$4:$R$40,$AL$17)="","",INDEX('Final Calculation Sheet'!$R$4:$R$40,$AL$17)))</f>
        <v/>
      </c>
      <c r="T17" s="122">
        <f>IF($AL$17="","",IF(INDEX('Final Calculation Sheet'!$S$4:$S$40,$AL$17)="","",INDEX('Final Calculation Sheet'!$S$4:$S$40,$AL$17)))</f>
        <v/>
      </c>
      <c r="U17" s="122">
        <f>IF($AL$17="","",IF(INDEX('Final Calculation Sheet'!$T$4:$T$40,$AL$17)="","",INDEX('Final Calculation Sheet'!$T$4:$T$40,$AL$17)))</f>
        <v/>
      </c>
      <c r="V17" s="125">
        <f>IF($AL$17="","",IF(INDEX('Final Calculation Sheet'!$U$4:$U$40,$AL$17)="","",INDEX('Final Calculation Sheet'!$U$4:$U$40,$AL$17)))</f>
        <v/>
      </c>
      <c r="W17" s="122">
        <f>IF($AL$17="","",IF(INDEX('Final Calculation Sheet'!$V$4:$V$40,$AL$17)="","",INDEX('Final Calculation Sheet'!$V$4:$V$40,$AL$17)))</f>
        <v/>
      </c>
      <c r="X17" s="122">
        <f>IF($AL$17="","",IF(INDEX('Final Calculation Sheet'!$W$4:$W$40,$AL$17)="","",INDEX('Final Calculation Sheet'!$W$4:$W$40,$AL$17)))</f>
        <v/>
      </c>
      <c r="Y17" s="122">
        <f>IF($AL$17="","",IF(INDEX('Final Calculation Sheet'!$X$4:$X$40,$AL$17)="","",INDEX('Final Calculation Sheet'!$X$4:$X$40,$AL$17)))</f>
        <v/>
      </c>
      <c r="Z17" s="122">
        <f>IF($AL$17="","",IF(INDEX('Final Calculation Sheet'!$Y$4:$Y$40,$AL$17)="","",INDEX('Final Calculation Sheet'!$Y$4:$Y$40,$AL$17)))</f>
        <v/>
      </c>
      <c r="AA17" s="122">
        <f>IF($AL$17="","",IF(INDEX('Final Calculation Sheet'!$Z$4:$Z$40,$AL$17)="","",INDEX('Final Calculation Sheet'!$Z$4:$Z$40,$AL$17)))</f>
        <v/>
      </c>
      <c r="AB17" s="122">
        <f>IF($AL$17="","",IF(INDEX('Final Calculation Sheet'!$AA$4:$AA$40,$AL$17)="","",INDEX('Final Calculation Sheet'!$AA$4:$AA$40,$AL$17)))</f>
        <v/>
      </c>
      <c r="AC17" s="122">
        <f>IF($AL$17="","",IF(INDEX('Final Calculation Sheet'!$AB$4:$AB$40,$AL$17)="","",INDEX('Final Calculation Sheet'!$AB$4:$AB$40,$AL$17)))</f>
        <v/>
      </c>
      <c r="AD17" s="122">
        <f>IF($AL$17="","",IF(INDEX('Final Calculation Sheet'!$AC$4:$AC$40,$AL$17)="","",INDEX('Final Calculation Sheet'!$AC$4:$AC$40,$AL$17)))</f>
        <v/>
      </c>
      <c r="AE17" s="122">
        <f>IF($AL$17="","",IF(INDEX('Final Calculation Sheet'!$AD$4:$AD$40,$AL$17)="","",INDEX('Final Calculation Sheet'!$AD$4:$AD$40,$AL$17)))</f>
        <v/>
      </c>
      <c r="AF17" s="127">
        <f>IF($AL$17="","",IF(INDEX('Final Calculation Sheet'!$AD$4:$AD$40,$AL$17)&lt;=5,"SETTLED","OUTSTANDING"))</f>
        <v/>
      </c>
      <c r="AG17" s="122">
        <f>IF($AL$17="","",IF(INDEX('Final Calculation Sheet'!$AF$4:$AF$40,$AL$17)="","",INDEX('Final Calculation Sheet'!$AF$4:$AF$40,$AL$17)))</f>
        <v/>
      </c>
      <c r="AH17" s="126">
        <f>IF($AL$17="","",IF(INDEX('Final Calculation Sheet'!$AG$4:$AG$40,$AL$17)="","",INDEX('Final Calculation Sheet'!$AG$4:$AG$40,$AL$17)))</f>
        <v/>
      </c>
      <c r="AI17" s="122">
        <f>IF($AL$17="","",IF(INDEX('Final Calculation Sheet'!$AH$4:$AH$40,$AL$17)="","",INDEX('Final Calculation Sheet'!$AH$4:$AH$40,$AL$17)))</f>
        <v/>
      </c>
      <c r="AJ17">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7">
        <f>IF(AJ17=1,COUNTIF(AJ$6:AJ17,1),"")</f>
        <v/>
      </c>
      <c r="AL17">
        <f>IF(COUNTIF($B$4:$AI$4,"&lt;&gt;")=0,"",IFERROR(MATCH(11,$AK$6:$AK$42,0),""))</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G17">
        <f>IF($B$4="",1,IF($B$4="(blank)",--('Final Calculation Sheet'!$F$15=""),IF($B$4="(nonblank)",--('Final Calculation Sheet'!$F$15&lt;&gt;""),--ISNUMBER(SEARCH($B$4,'Final Calculation Sheet'!$F$15)))))</f>
        <v/>
      </c>
      <c r="DH17">
        <f>IF($C$4="",1,IF($C$4="(blank)",--('Final Calculation Sheet'!$G$15=""),IF($C$4="(nonblank)",--('Final Calculation Sheet'!$G$15&lt;&gt;""),--ISNUMBER(SEARCH($C$4,'Final Calculation Sheet'!$G$15)))))</f>
        <v/>
      </c>
      <c r="DI17">
        <f>IF($D$4="",1,IF($D$4="(blank)",--('Final Calculation Sheet'!$B$15=""),IF($D$4="(nonblank)",--('Final Calculation Sheet'!$B$15&lt;&gt;""),--ISNUMBER(SEARCH($D$4,'Final Calculation Sheet'!$B$15)))))</f>
        <v/>
      </c>
      <c r="DJ17">
        <f>IF($E$4="",1,IF($E$4="(blank)",--('Final Calculation Sheet'!$D$15=""),IF($E$4="(nonblank)",--('Final Calculation Sheet'!$D$15&lt;&gt;""),--ISNUMBER(SEARCH($E$4,'Final Calculation Sheet'!$D$15)))))</f>
        <v/>
      </c>
      <c r="DK17">
        <f>IF($F$4="",1,IF($F$4="(blank)",--('Final Calculation Sheet'!$A$15=""),IF($F$4="(nonblank)",--('Final Calculation Sheet'!$A$15&lt;&gt;""),--ISNUMBER(SEARCH($F$4,'Final Calculation Sheet'!$A$15)))))</f>
        <v/>
      </c>
      <c r="DL17">
        <f>IF($G$4="",1,IF($G$4="(blank)",--('Final Calculation Sheet'!$E$15=""),IF($G$4="(nonblank)",--('Final Calculation Sheet'!$E$15&lt;&gt;""),--ISNUMBER(SEARCH($G$4,'Final Calculation Sheet'!$E$15)))))</f>
        <v/>
      </c>
      <c r="DM17">
        <f>IF($H$4="",1,IF($H$4="(blank)",--('Final Calculation Sheet'!$C$15=""),IF($H$4="(nonblank)",--('Final Calculation Sheet'!$C$15&lt;&gt;""),--ISNUMBER(SEARCH($H$4,'Final Calculation Sheet'!$C$15)))))</f>
        <v/>
      </c>
      <c r="DN17">
        <f>IF($I$4="",1,IF($I$4="(blank)",--('Final Calculation Sheet'!$H$15=""),IF($I$4="(nonblank)",--('Final Calculation Sheet'!$H$15&lt;&gt;""),--ISNUMBER(SEARCH($I$4,'Final Calculation Sheet'!$H$15)))))</f>
        <v/>
      </c>
      <c r="DO17">
        <f>IF($J$4="",1,IF($J$4="(blank)",--('Final Calculation Sheet'!$I$15=""),IF($J$4="(nonblank)",--('Final Calculation Sheet'!$I$15&lt;&gt;""),--ISNUMBER(SEARCH($J$4,'Final Calculation Sheet'!$I$15)))))</f>
        <v/>
      </c>
      <c r="DP17">
        <f>IF($K$4="",1,IF($K$4="(blank)",--('Final Calculation Sheet'!$J$15=""),IF($K$4="(nonblank)",--('Final Calculation Sheet'!$J$15&lt;&gt;""),--ISNUMBER(SEARCH($K$4,'Final Calculation Sheet'!$J$15)))))</f>
        <v/>
      </c>
      <c r="DQ17">
        <f>IF($L$4="",1,IF($L$4="(blank)",--('Final Calculation Sheet'!$K$15=""),IF($L$4="(nonblank)",--('Final Calculation Sheet'!$K$15&lt;&gt;""),--ISNUMBER(SEARCH($L$4,'Final Calculation Sheet'!$K$15)))))</f>
        <v/>
      </c>
      <c r="DR17">
        <f>IF($M$4="",1,IF($M$4="(blank)",--('Final Calculation Sheet'!$L$15=""),IF($M$4="(nonblank)",--('Final Calculation Sheet'!$L$15&lt;&gt;""),--ISNUMBER(SEARCH($M$4,'Final Calculation Sheet'!$L$15)))))</f>
        <v/>
      </c>
      <c r="DS17">
        <f>IF($N$4="",1,IF($N$4="(blank)",--('Final Calculation Sheet'!$M$15=""),IF($N$4="(nonblank)",--('Final Calculation Sheet'!$M$15&lt;&gt;""),--ISNUMBER(SEARCH($N$4,'Final Calculation Sheet'!$M$15)))))</f>
        <v/>
      </c>
      <c r="DT17">
        <f>IF($O$4="",1,IF($O$4="(blank)",--('Final Calculation Sheet'!$N$15=""),IF($O$4="(nonblank)",--('Final Calculation Sheet'!$N$15&lt;&gt;""),--ISNUMBER(SEARCH($O$4,'Final Calculation Sheet'!$N$15)))))</f>
        <v/>
      </c>
      <c r="DU17">
        <f>IF($P$4="",1,IF($P$4="(blank)",--('Final Calculation Sheet'!$O$15=""),IF($P$4="(nonblank)",--('Final Calculation Sheet'!$O$15&lt;&gt;""),--ISNUMBER(SEARCH($P$4,'Final Calculation Sheet'!$O$15)))))</f>
        <v/>
      </c>
      <c r="DV17">
        <f>IF($Q$4="",1,IF($Q$4="(blank)",--('Final Calculation Sheet'!$P$15=""),IF($Q$4="(nonblank)",--('Final Calculation Sheet'!$P$15&lt;&gt;""),--ISNUMBER(SEARCH($Q$4,'Final Calculation Sheet'!$P$15)))))</f>
        <v/>
      </c>
      <c r="DW17">
        <f>IF($R$4="",1,IF($R$4="(blank)",--('Final Calculation Sheet'!$Q$15=""),IF($R$4="(nonblank)",--('Final Calculation Sheet'!$Q$15&lt;&gt;""),--ISNUMBER(SEARCH($R$4,'Final Calculation Sheet'!$Q$15)))))</f>
        <v/>
      </c>
      <c r="DX17">
        <f>IF($S$4="",1,IF($S$4="(blank)",--('Final Calculation Sheet'!$R$15=""),IF($S$4="(nonblank)",--('Final Calculation Sheet'!$R$15&lt;&gt;""),--ISNUMBER(SEARCH($S$4,'Final Calculation Sheet'!$R$15)))))</f>
        <v/>
      </c>
      <c r="DY17">
        <f>IF($T$4="",1,IF($T$4="(blank)",--('Final Calculation Sheet'!$S$15=""),IF($T$4="(nonblank)",--('Final Calculation Sheet'!$S$15&lt;&gt;""),--ISNUMBER(SEARCH($T$4,'Final Calculation Sheet'!$S$15)))))</f>
        <v/>
      </c>
      <c r="DZ17">
        <f>IF($U$4="",1,IF($U$4="(blank)",--('Final Calculation Sheet'!$T$15=""),IF($U$4="(nonblank)",--('Final Calculation Sheet'!$T$15&lt;&gt;""),--ISNUMBER(SEARCH($U$4,'Final Calculation Sheet'!$T$15)))))</f>
        <v/>
      </c>
      <c r="EA17">
        <f>IF($V$4="",1,IF($V$4="(blank)",--('Final Calculation Sheet'!$U$15=""),IF($V$4="(nonblank)",--('Final Calculation Sheet'!$U$15&lt;&gt;""),--ISNUMBER(SEARCH($V$4,'Final Calculation Sheet'!$U$15)))))</f>
        <v/>
      </c>
      <c r="EB17">
        <f>IF($W$4="",1,IF($W$4="(blank)",--('Final Calculation Sheet'!$V$15=""),IF($W$4="(nonblank)",--('Final Calculation Sheet'!$V$15&lt;&gt;""),--ISNUMBER(SEARCH($W$4,'Final Calculation Sheet'!$V$15)))))</f>
        <v/>
      </c>
      <c r="EC17">
        <f>IF($X$4="",1,IF($X$4="(blank)",--('Final Calculation Sheet'!$W$15=""),IF($X$4="(nonblank)",--('Final Calculation Sheet'!$W$15&lt;&gt;""),--ISNUMBER(SEARCH($X$4,'Final Calculation Sheet'!$W$15)))))</f>
        <v/>
      </c>
      <c r="ED17">
        <f>IF($Y$4="",1,IF($Y$4="(blank)",--('Final Calculation Sheet'!$X$15=""),IF($Y$4="(nonblank)",--('Final Calculation Sheet'!$X$15&lt;&gt;""),--ISNUMBER(SEARCH($Y$4,'Final Calculation Sheet'!$X$15)))))</f>
        <v/>
      </c>
      <c r="EE17">
        <f>IF($Z$4="",1,IF($Z$4="(blank)",--('Final Calculation Sheet'!$Y$15=""),IF($Z$4="(nonblank)",--('Final Calculation Sheet'!$Y$15&lt;&gt;""),--ISNUMBER(SEARCH($Z$4,'Final Calculation Sheet'!$Y$15)))))</f>
        <v/>
      </c>
      <c r="EF17">
        <f>IF($AA$4="",1,IF($AA$4="(blank)",--('Final Calculation Sheet'!$Z$15=""),IF($AA$4="(nonblank)",--('Final Calculation Sheet'!$Z$15&lt;&gt;""),--ISNUMBER(SEARCH($AA$4,'Final Calculation Sheet'!$Z$15)))))</f>
        <v/>
      </c>
      <c r="EG17">
        <f>IF($AB$4="",1,IF($AB$4="(blank)",--('Final Calculation Sheet'!$AA$15=""),IF($AB$4="(nonblank)",--('Final Calculation Sheet'!$AA$15&lt;&gt;""),--ISNUMBER(SEARCH($AB$4,'Final Calculation Sheet'!$AA$15)))))</f>
        <v/>
      </c>
      <c r="EH17">
        <f>IF($AC$4="",1,IF($AC$4="(blank)",--('Final Calculation Sheet'!$AB$15=""),IF($AC$4="(nonblank)",--('Final Calculation Sheet'!$AB$15&lt;&gt;""),--ISNUMBER(SEARCH($AC$4,'Final Calculation Sheet'!$AB$15)))))</f>
        <v/>
      </c>
      <c r="EI17">
        <f>IF($AD$4="",1,IF($AD$4="(blank)",--('Final Calculation Sheet'!$AC$15=""),IF($AD$4="(nonblank)",--('Final Calculation Sheet'!$AC$15&lt;&gt;""),--ISNUMBER(SEARCH($AD$4,'Final Calculation Sheet'!$AC$15)))))</f>
        <v/>
      </c>
      <c r="EJ17">
        <f>IF($AE$4="",1,IF($AE$4="(blank)",--('Final Calculation Sheet'!$AD$15=""),IF($AE$4="(nonblank)",--('Final Calculation Sheet'!$AD$15&lt;&gt;""),--ISNUMBER(SEARCH($AE$4,'Final Calculation Sheet'!$AD$15)))))</f>
        <v/>
      </c>
      <c r="EK17">
        <f>IF($AF$4="",1,IF($AF$4="(blank)",--(IF('Final Calculation Sheet'!$AD$15&lt;=5,"SETTLED","OUTSTANDING")=""),IF($AF$4="(nonblank)",--(IF('Final Calculation Sheet'!$AD$15&lt;=5,"SETTLED","OUTSTANDING")&lt;&gt;""),--ISNUMBER(SEARCH($AF$4,IF('Final Calculation Sheet'!$AD$15&lt;=5,"SETTLED","OUTSTANDING"))))))</f>
        <v/>
      </c>
      <c r="EL17">
        <f>IF($AG$4="",1,IF($AG$4="(blank)",--('Final Calculation Sheet'!$AF$15=""),IF($AG$4="(nonblank)",--('Final Calculation Sheet'!$AF$15&lt;&gt;""),--ISNUMBER(SEARCH($AG$4,'Final Calculation Sheet'!$AF$15)))))</f>
        <v/>
      </c>
      <c r="EM17">
        <f>IF($AH$4="",1,IF($AH$4="(blank)",--('Final Calculation Sheet'!$AG$15=""),IF($AH$4="(nonblank)",--('Final Calculation Sheet'!$AG$15&lt;&gt;""),--ISNUMBER(SEARCH($AH$4,'Final Calculation Sheet'!$AG$15)))))</f>
        <v/>
      </c>
      <c r="EN17">
        <f>IF($AI$4="",1,IF($AI$4="(blank)",--('Final Calculation Sheet'!$AH$15=""),IF($AI$4="(nonblank)",--('Final Calculation Sheet'!$AH$15&lt;&gt;""),--ISNUMBER(SEARCH($AI$4,'Final Calculation Sheet'!$AH$15)))))</f>
        <v/>
      </c>
    </row>
    <row r="18" outlineLevel="1" hidden="1">
      <c r="A18" s="128">
        <f>IF($AL$18="","",12)</f>
        <v/>
      </c>
      <c r="B18" s="129">
        <f>IF($AL$18="","",IF(INDEX('Final Calculation Sheet'!$F$4:$F$40,$AL$18)="","",INDEX('Final Calculation Sheet'!$F$4:$F$40,$AL$18)))</f>
        <v/>
      </c>
      <c r="C18" s="129">
        <f>IF($AL$18="","",IF(INDEX('Final Calculation Sheet'!$G$4:$G$40,$AL$18)="","",INDEX('Final Calculation Sheet'!$G$4:$G$40,$AL$18)))</f>
        <v/>
      </c>
      <c r="D18" s="130">
        <f>IF($AL$18="","",IF(INDEX('Final Calculation Sheet'!$B$4:$B$40,$AL$18)="","",INDEX('Final Calculation Sheet'!$B$4:$B$40,$AL$18)))</f>
        <v/>
      </c>
      <c r="E18" s="130">
        <f>IF($AL$18="","",IF(INDEX('Final Calculation Sheet'!$D$4:$D$40,$AL$18)="","",INDEX('Final Calculation Sheet'!$D$4:$D$40,$AL$18)))</f>
        <v/>
      </c>
      <c r="F18" s="130">
        <f>IF($AL$18="","",IF(INDEX('Final Calculation Sheet'!$A$4:$A$40,$AL$18)="","",INDEX('Final Calculation Sheet'!$A$4:$A$40,$AL$18)))</f>
        <v/>
      </c>
      <c r="G18" s="130">
        <f>IF($AL$18="","",IF(INDEX('Final Calculation Sheet'!$E$4:$E$40,$AL$18)="","",INDEX('Final Calculation Sheet'!$E$4:$E$40,$AL$18)))</f>
        <v/>
      </c>
      <c r="H18" s="131">
        <f>IF($AL$18="","",IF(INDEX('Final Calculation Sheet'!$C$4:$C$40,$AL$18)="","",INDEX('Final Calculation Sheet'!$C$4:$C$40,$AL$18)))</f>
        <v/>
      </c>
      <c r="I18" s="131">
        <f>IF($AL$18="","",IF(INDEX('Final Calculation Sheet'!$H$4:$H$40,$AL$18)="","",INDEX('Final Calculation Sheet'!$H$4:$H$40,$AL$18)))</f>
        <v/>
      </c>
      <c r="J18" s="131">
        <f>IF($AL$18="","",IF(INDEX('Final Calculation Sheet'!$I$4:$I$40,$AL$18)="","",INDEX('Final Calculation Sheet'!$I$4:$I$40,$AL$18)))</f>
        <v/>
      </c>
      <c r="K18" s="131">
        <f>IF($AL$18="","",IF(INDEX('Final Calculation Sheet'!$J$4:$J$40,$AL$18)="","",INDEX('Final Calculation Sheet'!$J$4:$J$40,$AL$18)))</f>
        <v/>
      </c>
      <c r="L18" s="131">
        <f>IF($AL$18="","",IF(INDEX('Final Calculation Sheet'!$K$4:$K$40,$AL$18)="","",INDEX('Final Calculation Sheet'!$K$4:$K$40,$AL$18)))</f>
        <v/>
      </c>
      <c r="M18" s="131">
        <f>IF($AL$18="","",IF(INDEX('Final Calculation Sheet'!$L$4:$L$40,$AL$18)="","",INDEX('Final Calculation Sheet'!$L$4:$L$40,$AL$18)))</f>
        <v/>
      </c>
      <c r="N18" s="131">
        <f>IF($AL$18="","",IF(INDEX('Final Calculation Sheet'!$M$4:$M$40,$AL$18)="","",INDEX('Final Calculation Sheet'!$M$4:$M$40,$AL$18)))</f>
        <v/>
      </c>
      <c r="O18" s="132">
        <f>IF($AL$18="","",IF(INDEX('Final Calculation Sheet'!$N$4:$N$40,$AL$18)="","",INDEX('Final Calculation Sheet'!$N$4:$N$40,$AL$18)))</f>
        <v/>
      </c>
      <c r="P18" s="131">
        <f>IF($AL$18="","",IF(INDEX('Final Calculation Sheet'!$O$4:$O$40,$AL$18)="","",INDEX('Final Calculation Sheet'!$O$4:$O$40,$AL$18)))</f>
        <v/>
      </c>
      <c r="Q18" s="131">
        <f>IF($AL$18="","",IF(INDEX('Final Calculation Sheet'!$P$4:$P$40,$AL$18)="","",INDEX('Final Calculation Sheet'!$P$4:$P$40,$AL$18)))</f>
        <v/>
      </c>
      <c r="R18" s="133">
        <f>IF($AL$18="","",IF(INDEX('Final Calculation Sheet'!$Q$4:$Q$40,$AL$18)="","",INDEX('Final Calculation Sheet'!$Q$4:$Q$40,$AL$18)))</f>
        <v/>
      </c>
      <c r="S18" s="131">
        <f>IF($AL$18="","",IF(INDEX('Final Calculation Sheet'!$R$4:$R$40,$AL$18)="","",INDEX('Final Calculation Sheet'!$R$4:$R$40,$AL$18)))</f>
        <v/>
      </c>
      <c r="T18" s="131">
        <f>IF($AL$18="","",IF(INDEX('Final Calculation Sheet'!$S$4:$S$40,$AL$18)="","",INDEX('Final Calculation Sheet'!$S$4:$S$40,$AL$18)))</f>
        <v/>
      </c>
      <c r="U18" s="131">
        <f>IF($AL$18="","",IF(INDEX('Final Calculation Sheet'!$T$4:$T$40,$AL$18)="","",INDEX('Final Calculation Sheet'!$T$4:$T$40,$AL$18)))</f>
        <v/>
      </c>
      <c r="V18" s="134">
        <f>IF($AL$18="","",IF(INDEX('Final Calculation Sheet'!$U$4:$U$40,$AL$18)="","",INDEX('Final Calculation Sheet'!$U$4:$U$40,$AL$18)))</f>
        <v/>
      </c>
      <c r="W18" s="131">
        <f>IF($AL$18="","",IF(INDEX('Final Calculation Sheet'!$V$4:$V$40,$AL$18)="","",INDEX('Final Calculation Sheet'!$V$4:$V$40,$AL$18)))</f>
        <v/>
      </c>
      <c r="X18" s="131">
        <f>IF($AL$18="","",IF(INDEX('Final Calculation Sheet'!$W$4:$W$40,$AL$18)="","",INDEX('Final Calculation Sheet'!$W$4:$W$40,$AL$18)))</f>
        <v/>
      </c>
      <c r="Y18" s="131">
        <f>IF($AL$18="","",IF(INDEX('Final Calculation Sheet'!$X$4:$X$40,$AL$18)="","",INDEX('Final Calculation Sheet'!$X$4:$X$40,$AL$18)))</f>
        <v/>
      </c>
      <c r="Z18" s="131">
        <f>IF($AL$18="","",IF(INDEX('Final Calculation Sheet'!$Y$4:$Y$40,$AL$18)="","",INDEX('Final Calculation Sheet'!$Y$4:$Y$40,$AL$18)))</f>
        <v/>
      </c>
      <c r="AA18" s="131">
        <f>IF($AL$18="","",IF(INDEX('Final Calculation Sheet'!$Z$4:$Z$40,$AL$18)="","",INDEX('Final Calculation Sheet'!$Z$4:$Z$40,$AL$18)))</f>
        <v/>
      </c>
      <c r="AB18" s="131">
        <f>IF($AL$18="","",IF(INDEX('Final Calculation Sheet'!$AA$4:$AA$40,$AL$18)="","",INDEX('Final Calculation Sheet'!$AA$4:$AA$40,$AL$18)))</f>
        <v/>
      </c>
      <c r="AC18" s="131">
        <f>IF($AL$18="","",IF(INDEX('Final Calculation Sheet'!$AB$4:$AB$40,$AL$18)="","",INDEX('Final Calculation Sheet'!$AB$4:$AB$40,$AL$18)))</f>
        <v/>
      </c>
      <c r="AD18" s="131">
        <f>IF($AL$18="","",IF(INDEX('Final Calculation Sheet'!$AC$4:$AC$40,$AL$18)="","",INDEX('Final Calculation Sheet'!$AC$4:$AC$40,$AL$18)))</f>
        <v/>
      </c>
      <c r="AE18" s="131">
        <f>IF($AL$18="","",IF(INDEX('Final Calculation Sheet'!$AD$4:$AD$40,$AL$18)="","",INDEX('Final Calculation Sheet'!$AD$4:$AD$40,$AL$18)))</f>
        <v/>
      </c>
      <c r="AF18" s="136">
        <f>IF($AL$18="","",IF(INDEX('Final Calculation Sheet'!$AD$4:$AD$40,$AL$18)&lt;=5,"SETTLED","OUTSTANDING"))</f>
        <v/>
      </c>
      <c r="AG18" s="131">
        <f>IF($AL$18="","",IF(INDEX('Final Calculation Sheet'!$AF$4:$AF$40,$AL$18)="","",INDEX('Final Calculation Sheet'!$AF$4:$AF$40,$AL$18)))</f>
        <v/>
      </c>
      <c r="AH18" s="135">
        <f>IF($AL$18="","",IF(INDEX('Final Calculation Sheet'!$AG$4:$AG$40,$AL$18)="","",INDEX('Final Calculation Sheet'!$AG$4:$AG$40,$AL$18)))</f>
        <v/>
      </c>
      <c r="AI18" s="131">
        <f>IF($AL$18="","",IF(INDEX('Final Calculation Sheet'!$AH$4:$AH$40,$AL$18)="","",INDEX('Final Calculation Sheet'!$AH$4:$AH$40,$AL$18)))</f>
        <v/>
      </c>
      <c r="AJ18">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18">
        <f>IF(AJ18=1,COUNTIF(AJ$6:AJ18,1),"")</f>
        <v/>
      </c>
      <c r="AL18">
        <f>IF(COUNTIF($B$4:$AI$4,"&lt;&gt;")=0,"",IFERROR(MATCH(12,$AK$6:$AK$42,0),""))</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G18">
        <f>IF($B$4="",1,IF($B$4="(blank)",--('Final Calculation Sheet'!$F$16=""),IF($B$4="(nonblank)",--('Final Calculation Sheet'!$F$16&lt;&gt;""),--ISNUMBER(SEARCH($B$4,'Final Calculation Sheet'!$F$16)))))</f>
        <v/>
      </c>
      <c r="DH18">
        <f>IF($C$4="",1,IF($C$4="(blank)",--('Final Calculation Sheet'!$G$16=""),IF($C$4="(nonblank)",--('Final Calculation Sheet'!$G$16&lt;&gt;""),--ISNUMBER(SEARCH($C$4,'Final Calculation Sheet'!$G$16)))))</f>
        <v/>
      </c>
      <c r="DI18">
        <f>IF($D$4="",1,IF($D$4="(blank)",--('Final Calculation Sheet'!$B$16=""),IF($D$4="(nonblank)",--('Final Calculation Sheet'!$B$16&lt;&gt;""),--ISNUMBER(SEARCH($D$4,'Final Calculation Sheet'!$B$16)))))</f>
        <v/>
      </c>
      <c r="DJ18">
        <f>IF($E$4="",1,IF($E$4="(blank)",--('Final Calculation Sheet'!$D$16=""),IF($E$4="(nonblank)",--('Final Calculation Sheet'!$D$16&lt;&gt;""),--ISNUMBER(SEARCH($E$4,'Final Calculation Sheet'!$D$16)))))</f>
        <v/>
      </c>
      <c r="DK18">
        <f>IF($F$4="",1,IF($F$4="(blank)",--('Final Calculation Sheet'!$A$16=""),IF($F$4="(nonblank)",--('Final Calculation Sheet'!$A$16&lt;&gt;""),--ISNUMBER(SEARCH($F$4,'Final Calculation Sheet'!$A$16)))))</f>
        <v/>
      </c>
      <c r="DL18">
        <f>IF($G$4="",1,IF($G$4="(blank)",--('Final Calculation Sheet'!$E$16=""),IF($G$4="(nonblank)",--('Final Calculation Sheet'!$E$16&lt;&gt;""),--ISNUMBER(SEARCH($G$4,'Final Calculation Sheet'!$E$16)))))</f>
        <v/>
      </c>
      <c r="DM18">
        <f>IF($H$4="",1,IF($H$4="(blank)",--('Final Calculation Sheet'!$C$16=""),IF($H$4="(nonblank)",--('Final Calculation Sheet'!$C$16&lt;&gt;""),--ISNUMBER(SEARCH($H$4,'Final Calculation Sheet'!$C$16)))))</f>
        <v/>
      </c>
      <c r="DN18">
        <f>IF($I$4="",1,IF($I$4="(blank)",--('Final Calculation Sheet'!$H$16=""),IF($I$4="(nonblank)",--('Final Calculation Sheet'!$H$16&lt;&gt;""),--ISNUMBER(SEARCH($I$4,'Final Calculation Sheet'!$H$16)))))</f>
        <v/>
      </c>
      <c r="DO18">
        <f>IF($J$4="",1,IF($J$4="(blank)",--('Final Calculation Sheet'!$I$16=""),IF($J$4="(nonblank)",--('Final Calculation Sheet'!$I$16&lt;&gt;""),--ISNUMBER(SEARCH($J$4,'Final Calculation Sheet'!$I$16)))))</f>
        <v/>
      </c>
      <c r="DP18">
        <f>IF($K$4="",1,IF($K$4="(blank)",--('Final Calculation Sheet'!$J$16=""),IF($K$4="(nonblank)",--('Final Calculation Sheet'!$J$16&lt;&gt;""),--ISNUMBER(SEARCH($K$4,'Final Calculation Sheet'!$J$16)))))</f>
        <v/>
      </c>
      <c r="DQ18">
        <f>IF($L$4="",1,IF($L$4="(blank)",--('Final Calculation Sheet'!$K$16=""),IF($L$4="(nonblank)",--('Final Calculation Sheet'!$K$16&lt;&gt;""),--ISNUMBER(SEARCH($L$4,'Final Calculation Sheet'!$K$16)))))</f>
        <v/>
      </c>
      <c r="DR18">
        <f>IF($M$4="",1,IF($M$4="(blank)",--('Final Calculation Sheet'!$L$16=""),IF($M$4="(nonblank)",--('Final Calculation Sheet'!$L$16&lt;&gt;""),--ISNUMBER(SEARCH($M$4,'Final Calculation Sheet'!$L$16)))))</f>
        <v/>
      </c>
      <c r="DS18">
        <f>IF($N$4="",1,IF($N$4="(blank)",--('Final Calculation Sheet'!$M$16=""),IF($N$4="(nonblank)",--('Final Calculation Sheet'!$M$16&lt;&gt;""),--ISNUMBER(SEARCH($N$4,'Final Calculation Sheet'!$M$16)))))</f>
        <v/>
      </c>
      <c r="DT18">
        <f>IF($O$4="",1,IF($O$4="(blank)",--('Final Calculation Sheet'!$N$16=""),IF($O$4="(nonblank)",--('Final Calculation Sheet'!$N$16&lt;&gt;""),--ISNUMBER(SEARCH($O$4,'Final Calculation Sheet'!$N$16)))))</f>
        <v/>
      </c>
      <c r="DU18">
        <f>IF($P$4="",1,IF($P$4="(blank)",--('Final Calculation Sheet'!$O$16=""),IF($P$4="(nonblank)",--('Final Calculation Sheet'!$O$16&lt;&gt;""),--ISNUMBER(SEARCH($P$4,'Final Calculation Sheet'!$O$16)))))</f>
        <v/>
      </c>
      <c r="DV18">
        <f>IF($Q$4="",1,IF($Q$4="(blank)",--('Final Calculation Sheet'!$P$16=""),IF($Q$4="(nonblank)",--('Final Calculation Sheet'!$P$16&lt;&gt;""),--ISNUMBER(SEARCH($Q$4,'Final Calculation Sheet'!$P$16)))))</f>
        <v/>
      </c>
      <c r="DW18">
        <f>IF($R$4="",1,IF($R$4="(blank)",--('Final Calculation Sheet'!$Q$16=""),IF($R$4="(nonblank)",--('Final Calculation Sheet'!$Q$16&lt;&gt;""),--ISNUMBER(SEARCH($R$4,'Final Calculation Sheet'!$Q$16)))))</f>
        <v/>
      </c>
      <c r="DX18">
        <f>IF($S$4="",1,IF($S$4="(blank)",--('Final Calculation Sheet'!$R$16=""),IF($S$4="(nonblank)",--('Final Calculation Sheet'!$R$16&lt;&gt;""),--ISNUMBER(SEARCH($S$4,'Final Calculation Sheet'!$R$16)))))</f>
        <v/>
      </c>
      <c r="DY18">
        <f>IF($T$4="",1,IF($T$4="(blank)",--('Final Calculation Sheet'!$S$16=""),IF($T$4="(nonblank)",--('Final Calculation Sheet'!$S$16&lt;&gt;""),--ISNUMBER(SEARCH($T$4,'Final Calculation Sheet'!$S$16)))))</f>
        <v/>
      </c>
      <c r="DZ18">
        <f>IF($U$4="",1,IF($U$4="(blank)",--('Final Calculation Sheet'!$T$16=""),IF($U$4="(nonblank)",--('Final Calculation Sheet'!$T$16&lt;&gt;""),--ISNUMBER(SEARCH($U$4,'Final Calculation Sheet'!$T$16)))))</f>
        <v/>
      </c>
      <c r="EA18">
        <f>IF($V$4="",1,IF($V$4="(blank)",--('Final Calculation Sheet'!$U$16=""),IF($V$4="(nonblank)",--('Final Calculation Sheet'!$U$16&lt;&gt;""),--ISNUMBER(SEARCH($V$4,'Final Calculation Sheet'!$U$16)))))</f>
        <v/>
      </c>
      <c r="EB18">
        <f>IF($W$4="",1,IF($W$4="(blank)",--('Final Calculation Sheet'!$V$16=""),IF($W$4="(nonblank)",--('Final Calculation Sheet'!$V$16&lt;&gt;""),--ISNUMBER(SEARCH($W$4,'Final Calculation Sheet'!$V$16)))))</f>
        <v/>
      </c>
      <c r="EC18">
        <f>IF($X$4="",1,IF($X$4="(blank)",--('Final Calculation Sheet'!$W$16=""),IF($X$4="(nonblank)",--('Final Calculation Sheet'!$W$16&lt;&gt;""),--ISNUMBER(SEARCH($X$4,'Final Calculation Sheet'!$W$16)))))</f>
        <v/>
      </c>
      <c r="ED18">
        <f>IF($Y$4="",1,IF($Y$4="(blank)",--('Final Calculation Sheet'!$X$16=""),IF($Y$4="(nonblank)",--('Final Calculation Sheet'!$X$16&lt;&gt;""),--ISNUMBER(SEARCH($Y$4,'Final Calculation Sheet'!$X$16)))))</f>
        <v/>
      </c>
      <c r="EE18">
        <f>IF($Z$4="",1,IF($Z$4="(blank)",--('Final Calculation Sheet'!$Y$16=""),IF($Z$4="(nonblank)",--('Final Calculation Sheet'!$Y$16&lt;&gt;""),--ISNUMBER(SEARCH($Z$4,'Final Calculation Sheet'!$Y$16)))))</f>
        <v/>
      </c>
      <c r="EF18">
        <f>IF($AA$4="",1,IF($AA$4="(blank)",--('Final Calculation Sheet'!$Z$16=""),IF($AA$4="(nonblank)",--('Final Calculation Sheet'!$Z$16&lt;&gt;""),--ISNUMBER(SEARCH($AA$4,'Final Calculation Sheet'!$Z$16)))))</f>
        <v/>
      </c>
      <c r="EG18">
        <f>IF($AB$4="",1,IF($AB$4="(blank)",--('Final Calculation Sheet'!$AA$16=""),IF($AB$4="(nonblank)",--('Final Calculation Sheet'!$AA$16&lt;&gt;""),--ISNUMBER(SEARCH($AB$4,'Final Calculation Sheet'!$AA$16)))))</f>
        <v/>
      </c>
      <c r="EH18">
        <f>IF($AC$4="",1,IF($AC$4="(blank)",--('Final Calculation Sheet'!$AB$16=""),IF($AC$4="(nonblank)",--('Final Calculation Sheet'!$AB$16&lt;&gt;""),--ISNUMBER(SEARCH($AC$4,'Final Calculation Sheet'!$AB$16)))))</f>
        <v/>
      </c>
      <c r="EI18">
        <f>IF($AD$4="",1,IF($AD$4="(blank)",--('Final Calculation Sheet'!$AC$16=""),IF($AD$4="(nonblank)",--('Final Calculation Sheet'!$AC$16&lt;&gt;""),--ISNUMBER(SEARCH($AD$4,'Final Calculation Sheet'!$AC$16)))))</f>
        <v/>
      </c>
      <c r="EJ18">
        <f>IF($AE$4="",1,IF($AE$4="(blank)",--('Final Calculation Sheet'!$AD$16=""),IF($AE$4="(nonblank)",--('Final Calculation Sheet'!$AD$16&lt;&gt;""),--ISNUMBER(SEARCH($AE$4,'Final Calculation Sheet'!$AD$16)))))</f>
        <v/>
      </c>
      <c r="EK18">
        <f>IF($AF$4="",1,IF($AF$4="(blank)",--(IF('Final Calculation Sheet'!$AD$16&lt;=5,"SETTLED","OUTSTANDING")=""),IF($AF$4="(nonblank)",--(IF('Final Calculation Sheet'!$AD$16&lt;=5,"SETTLED","OUTSTANDING")&lt;&gt;""),--ISNUMBER(SEARCH($AF$4,IF('Final Calculation Sheet'!$AD$16&lt;=5,"SETTLED","OUTSTANDING"))))))</f>
        <v/>
      </c>
      <c r="EL18">
        <f>IF($AG$4="",1,IF($AG$4="(blank)",--('Final Calculation Sheet'!$AF$16=""),IF($AG$4="(nonblank)",--('Final Calculation Sheet'!$AF$16&lt;&gt;""),--ISNUMBER(SEARCH($AG$4,'Final Calculation Sheet'!$AF$16)))))</f>
        <v/>
      </c>
      <c r="EM18">
        <f>IF($AH$4="",1,IF($AH$4="(blank)",--('Final Calculation Sheet'!$AG$16=""),IF($AH$4="(nonblank)",--('Final Calculation Sheet'!$AG$16&lt;&gt;""),--ISNUMBER(SEARCH($AH$4,'Final Calculation Sheet'!$AG$16)))))</f>
        <v/>
      </c>
      <c r="EN18">
        <f>IF($AI$4="",1,IF($AI$4="(blank)",--('Final Calculation Sheet'!$AH$16=""),IF($AI$4="(nonblank)",--('Final Calculation Sheet'!$AH$16&lt;&gt;""),--ISNUMBER(SEARCH($AI$4,'Final Calculation Sheet'!$AH$16)))))</f>
        <v/>
      </c>
    </row>
    <row r="19" outlineLevel="1" hidden="1">
      <c r="A19" s="118">
        <f>IF($AL$19="","",13)</f>
        <v/>
      </c>
      <c r="B19" s="119">
        <f>IF($AL$19="","",IF(INDEX('Final Calculation Sheet'!$F$4:$F$40,$AL$19)="","",INDEX('Final Calculation Sheet'!$F$4:$F$40,$AL$19)))</f>
        <v/>
      </c>
      <c r="C19" s="119">
        <f>IF($AL$19="","",IF(INDEX('Final Calculation Sheet'!$G$4:$G$40,$AL$19)="","",INDEX('Final Calculation Sheet'!$G$4:$G$40,$AL$19)))</f>
        <v/>
      </c>
      <c r="D19" s="121">
        <f>IF($AL$19="","",IF(INDEX('Final Calculation Sheet'!$B$4:$B$40,$AL$19)="","",INDEX('Final Calculation Sheet'!$B$4:$B$40,$AL$19)))</f>
        <v/>
      </c>
      <c r="E19" s="121">
        <f>IF($AL$19="","",IF(INDEX('Final Calculation Sheet'!$D$4:$D$40,$AL$19)="","",INDEX('Final Calculation Sheet'!$D$4:$D$40,$AL$19)))</f>
        <v/>
      </c>
      <c r="F19" s="121">
        <f>IF($AL$19="","",IF(INDEX('Final Calculation Sheet'!$A$4:$A$40,$AL$19)="","",INDEX('Final Calculation Sheet'!$A$4:$A$40,$AL$19)))</f>
        <v/>
      </c>
      <c r="G19" s="121">
        <f>IF($AL$19="","",IF(INDEX('Final Calculation Sheet'!$E$4:$E$40,$AL$19)="","",INDEX('Final Calculation Sheet'!$E$4:$E$40,$AL$19)))</f>
        <v/>
      </c>
      <c r="H19" s="122">
        <f>IF($AL$19="","",IF(INDEX('Final Calculation Sheet'!$C$4:$C$40,$AL$19)="","",INDEX('Final Calculation Sheet'!$C$4:$C$40,$AL$19)))</f>
        <v/>
      </c>
      <c r="I19" s="122">
        <f>IF($AL$19="","",IF(INDEX('Final Calculation Sheet'!$H$4:$H$40,$AL$19)="","",INDEX('Final Calculation Sheet'!$H$4:$H$40,$AL$19)))</f>
        <v/>
      </c>
      <c r="J19" s="122">
        <f>IF($AL$19="","",IF(INDEX('Final Calculation Sheet'!$I$4:$I$40,$AL$19)="","",INDEX('Final Calculation Sheet'!$I$4:$I$40,$AL$19)))</f>
        <v/>
      </c>
      <c r="K19" s="122">
        <f>IF($AL$19="","",IF(INDEX('Final Calculation Sheet'!$J$4:$J$40,$AL$19)="","",INDEX('Final Calculation Sheet'!$J$4:$J$40,$AL$19)))</f>
        <v/>
      </c>
      <c r="L19" s="122">
        <f>IF($AL$19="","",IF(INDEX('Final Calculation Sheet'!$K$4:$K$40,$AL$19)="","",INDEX('Final Calculation Sheet'!$K$4:$K$40,$AL$19)))</f>
        <v/>
      </c>
      <c r="M19" s="122">
        <f>IF($AL$19="","",IF(INDEX('Final Calculation Sheet'!$L$4:$L$40,$AL$19)="","",INDEX('Final Calculation Sheet'!$L$4:$L$40,$AL$19)))</f>
        <v/>
      </c>
      <c r="N19" s="122">
        <f>IF($AL$19="","",IF(INDEX('Final Calculation Sheet'!$M$4:$M$40,$AL$19)="","",INDEX('Final Calculation Sheet'!$M$4:$M$40,$AL$19)))</f>
        <v/>
      </c>
      <c r="O19" s="123">
        <f>IF($AL$19="","",IF(INDEX('Final Calculation Sheet'!$N$4:$N$40,$AL$19)="","",INDEX('Final Calculation Sheet'!$N$4:$N$40,$AL$19)))</f>
        <v/>
      </c>
      <c r="P19" s="122">
        <f>IF($AL$19="","",IF(INDEX('Final Calculation Sheet'!$O$4:$O$40,$AL$19)="","",INDEX('Final Calculation Sheet'!$O$4:$O$40,$AL$19)))</f>
        <v/>
      </c>
      <c r="Q19" s="122">
        <f>IF($AL$19="","",IF(INDEX('Final Calculation Sheet'!$P$4:$P$40,$AL$19)="","",INDEX('Final Calculation Sheet'!$P$4:$P$40,$AL$19)))</f>
        <v/>
      </c>
      <c r="R19" s="124">
        <f>IF($AL$19="","",IF(INDEX('Final Calculation Sheet'!$Q$4:$Q$40,$AL$19)="","",INDEX('Final Calculation Sheet'!$Q$4:$Q$40,$AL$19)))</f>
        <v/>
      </c>
      <c r="S19" s="122">
        <f>IF($AL$19="","",IF(INDEX('Final Calculation Sheet'!$R$4:$R$40,$AL$19)="","",INDEX('Final Calculation Sheet'!$R$4:$R$40,$AL$19)))</f>
        <v/>
      </c>
      <c r="T19" s="122">
        <f>IF($AL$19="","",IF(INDEX('Final Calculation Sheet'!$S$4:$S$40,$AL$19)="","",INDEX('Final Calculation Sheet'!$S$4:$S$40,$AL$19)))</f>
        <v/>
      </c>
      <c r="U19" s="122">
        <f>IF($AL$19="","",IF(INDEX('Final Calculation Sheet'!$T$4:$T$40,$AL$19)="","",INDEX('Final Calculation Sheet'!$T$4:$T$40,$AL$19)))</f>
        <v/>
      </c>
      <c r="V19" s="125">
        <f>IF($AL$19="","",IF(INDEX('Final Calculation Sheet'!$U$4:$U$40,$AL$19)="","",INDEX('Final Calculation Sheet'!$U$4:$U$40,$AL$19)))</f>
        <v/>
      </c>
      <c r="W19" s="122">
        <f>IF($AL$19="","",IF(INDEX('Final Calculation Sheet'!$V$4:$V$40,$AL$19)="","",INDEX('Final Calculation Sheet'!$V$4:$V$40,$AL$19)))</f>
        <v/>
      </c>
      <c r="X19" s="122">
        <f>IF($AL$19="","",IF(INDEX('Final Calculation Sheet'!$W$4:$W$40,$AL$19)="","",INDEX('Final Calculation Sheet'!$W$4:$W$40,$AL$19)))</f>
        <v/>
      </c>
      <c r="Y19" s="122">
        <f>IF($AL$19="","",IF(INDEX('Final Calculation Sheet'!$X$4:$X$40,$AL$19)="","",INDEX('Final Calculation Sheet'!$X$4:$X$40,$AL$19)))</f>
        <v/>
      </c>
      <c r="Z19" s="122">
        <f>IF($AL$19="","",IF(INDEX('Final Calculation Sheet'!$Y$4:$Y$40,$AL$19)="","",INDEX('Final Calculation Sheet'!$Y$4:$Y$40,$AL$19)))</f>
        <v/>
      </c>
      <c r="AA19" s="122">
        <f>IF($AL$19="","",IF(INDEX('Final Calculation Sheet'!$Z$4:$Z$40,$AL$19)="","",INDEX('Final Calculation Sheet'!$Z$4:$Z$40,$AL$19)))</f>
        <v/>
      </c>
      <c r="AB19" s="122">
        <f>IF($AL$19="","",IF(INDEX('Final Calculation Sheet'!$AA$4:$AA$40,$AL$19)="","",INDEX('Final Calculation Sheet'!$AA$4:$AA$40,$AL$19)))</f>
        <v/>
      </c>
      <c r="AC19" s="122">
        <f>IF($AL$19="","",IF(INDEX('Final Calculation Sheet'!$AB$4:$AB$40,$AL$19)="","",INDEX('Final Calculation Sheet'!$AB$4:$AB$40,$AL$19)))</f>
        <v/>
      </c>
      <c r="AD19" s="122">
        <f>IF($AL$19="","",IF(INDEX('Final Calculation Sheet'!$AC$4:$AC$40,$AL$19)="","",INDEX('Final Calculation Sheet'!$AC$4:$AC$40,$AL$19)))</f>
        <v/>
      </c>
      <c r="AE19" s="122">
        <f>IF($AL$19="","",IF(INDEX('Final Calculation Sheet'!$AD$4:$AD$40,$AL$19)="","",INDEX('Final Calculation Sheet'!$AD$4:$AD$40,$AL$19)))</f>
        <v/>
      </c>
      <c r="AF19" s="127">
        <f>IF($AL$19="","",IF(INDEX('Final Calculation Sheet'!$AD$4:$AD$40,$AL$19)&lt;=5,"SETTLED","OUTSTANDING"))</f>
        <v/>
      </c>
      <c r="AG19" s="122">
        <f>IF($AL$19="","",IF(INDEX('Final Calculation Sheet'!$AF$4:$AF$40,$AL$19)="","",INDEX('Final Calculation Sheet'!$AF$4:$AF$40,$AL$19)))</f>
        <v/>
      </c>
      <c r="AH19" s="126">
        <f>IF($AL$19="","",IF(INDEX('Final Calculation Sheet'!$AG$4:$AG$40,$AL$19)="","",INDEX('Final Calculation Sheet'!$AG$4:$AG$40,$AL$19)))</f>
        <v/>
      </c>
      <c r="AI19" s="122">
        <f>IF($AL$19="","",IF(INDEX('Final Calculation Sheet'!$AH$4:$AH$40,$AL$19)="","",INDEX('Final Calculation Sheet'!$AH$4:$AH$40,$AL$19)))</f>
        <v/>
      </c>
      <c r="AJ19">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19">
        <f>IF(AJ19=1,COUNTIF(AJ$6:AJ19,1),"")</f>
        <v/>
      </c>
      <c r="AL19">
        <f>IF(COUNTIF($B$4:$AI$4,"&lt;&gt;")=0,"",IFERROR(MATCH(13,$AK$6:$AK$42,0),""))</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G19">
        <f>IF($B$4="",1,IF($B$4="(blank)",--('Final Calculation Sheet'!$F$17=""),IF($B$4="(nonblank)",--('Final Calculation Sheet'!$F$17&lt;&gt;""),--ISNUMBER(SEARCH($B$4,'Final Calculation Sheet'!$F$17)))))</f>
        <v/>
      </c>
      <c r="DH19">
        <f>IF($C$4="",1,IF($C$4="(blank)",--('Final Calculation Sheet'!$G$17=""),IF($C$4="(nonblank)",--('Final Calculation Sheet'!$G$17&lt;&gt;""),--ISNUMBER(SEARCH($C$4,'Final Calculation Sheet'!$G$17)))))</f>
        <v/>
      </c>
      <c r="DI19">
        <f>IF($D$4="",1,IF($D$4="(blank)",--('Final Calculation Sheet'!$B$17=""),IF($D$4="(nonblank)",--('Final Calculation Sheet'!$B$17&lt;&gt;""),--ISNUMBER(SEARCH($D$4,'Final Calculation Sheet'!$B$17)))))</f>
        <v/>
      </c>
      <c r="DJ19">
        <f>IF($E$4="",1,IF($E$4="(blank)",--('Final Calculation Sheet'!$D$17=""),IF($E$4="(nonblank)",--('Final Calculation Sheet'!$D$17&lt;&gt;""),--ISNUMBER(SEARCH($E$4,'Final Calculation Sheet'!$D$17)))))</f>
        <v/>
      </c>
      <c r="DK19">
        <f>IF($F$4="",1,IF($F$4="(blank)",--('Final Calculation Sheet'!$A$17=""),IF($F$4="(nonblank)",--('Final Calculation Sheet'!$A$17&lt;&gt;""),--ISNUMBER(SEARCH($F$4,'Final Calculation Sheet'!$A$17)))))</f>
        <v/>
      </c>
      <c r="DL19">
        <f>IF($G$4="",1,IF($G$4="(blank)",--('Final Calculation Sheet'!$E$17=""),IF($G$4="(nonblank)",--('Final Calculation Sheet'!$E$17&lt;&gt;""),--ISNUMBER(SEARCH($G$4,'Final Calculation Sheet'!$E$17)))))</f>
        <v/>
      </c>
      <c r="DM19">
        <f>IF($H$4="",1,IF($H$4="(blank)",--('Final Calculation Sheet'!$C$17=""),IF($H$4="(nonblank)",--('Final Calculation Sheet'!$C$17&lt;&gt;""),--ISNUMBER(SEARCH($H$4,'Final Calculation Sheet'!$C$17)))))</f>
        <v/>
      </c>
      <c r="DN19">
        <f>IF($I$4="",1,IF($I$4="(blank)",--('Final Calculation Sheet'!$H$17=""),IF($I$4="(nonblank)",--('Final Calculation Sheet'!$H$17&lt;&gt;""),--ISNUMBER(SEARCH($I$4,'Final Calculation Sheet'!$H$17)))))</f>
        <v/>
      </c>
      <c r="DO19">
        <f>IF($J$4="",1,IF($J$4="(blank)",--('Final Calculation Sheet'!$I$17=""),IF($J$4="(nonblank)",--('Final Calculation Sheet'!$I$17&lt;&gt;""),--ISNUMBER(SEARCH($J$4,'Final Calculation Sheet'!$I$17)))))</f>
        <v/>
      </c>
      <c r="DP19">
        <f>IF($K$4="",1,IF($K$4="(blank)",--('Final Calculation Sheet'!$J$17=""),IF($K$4="(nonblank)",--('Final Calculation Sheet'!$J$17&lt;&gt;""),--ISNUMBER(SEARCH($K$4,'Final Calculation Sheet'!$J$17)))))</f>
        <v/>
      </c>
      <c r="DQ19">
        <f>IF($L$4="",1,IF($L$4="(blank)",--('Final Calculation Sheet'!$K$17=""),IF($L$4="(nonblank)",--('Final Calculation Sheet'!$K$17&lt;&gt;""),--ISNUMBER(SEARCH($L$4,'Final Calculation Sheet'!$K$17)))))</f>
        <v/>
      </c>
      <c r="DR19">
        <f>IF($M$4="",1,IF($M$4="(blank)",--('Final Calculation Sheet'!$L$17=""),IF($M$4="(nonblank)",--('Final Calculation Sheet'!$L$17&lt;&gt;""),--ISNUMBER(SEARCH($M$4,'Final Calculation Sheet'!$L$17)))))</f>
        <v/>
      </c>
      <c r="DS19">
        <f>IF($N$4="",1,IF($N$4="(blank)",--('Final Calculation Sheet'!$M$17=""),IF($N$4="(nonblank)",--('Final Calculation Sheet'!$M$17&lt;&gt;""),--ISNUMBER(SEARCH($N$4,'Final Calculation Sheet'!$M$17)))))</f>
        <v/>
      </c>
      <c r="DT19">
        <f>IF($O$4="",1,IF($O$4="(blank)",--('Final Calculation Sheet'!$N$17=""),IF($O$4="(nonblank)",--('Final Calculation Sheet'!$N$17&lt;&gt;""),--ISNUMBER(SEARCH($O$4,'Final Calculation Sheet'!$N$17)))))</f>
        <v/>
      </c>
      <c r="DU19">
        <f>IF($P$4="",1,IF($P$4="(blank)",--('Final Calculation Sheet'!$O$17=""),IF($P$4="(nonblank)",--('Final Calculation Sheet'!$O$17&lt;&gt;""),--ISNUMBER(SEARCH($P$4,'Final Calculation Sheet'!$O$17)))))</f>
        <v/>
      </c>
      <c r="DV19">
        <f>IF($Q$4="",1,IF($Q$4="(blank)",--('Final Calculation Sheet'!$P$17=""),IF($Q$4="(nonblank)",--('Final Calculation Sheet'!$P$17&lt;&gt;""),--ISNUMBER(SEARCH($Q$4,'Final Calculation Sheet'!$P$17)))))</f>
        <v/>
      </c>
      <c r="DW19">
        <f>IF($R$4="",1,IF($R$4="(blank)",--('Final Calculation Sheet'!$Q$17=""),IF($R$4="(nonblank)",--('Final Calculation Sheet'!$Q$17&lt;&gt;""),--ISNUMBER(SEARCH($R$4,'Final Calculation Sheet'!$Q$17)))))</f>
        <v/>
      </c>
      <c r="DX19">
        <f>IF($S$4="",1,IF($S$4="(blank)",--('Final Calculation Sheet'!$R$17=""),IF($S$4="(nonblank)",--('Final Calculation Sheet'!$R$17&lt;&gt;""),--ISNUMBER(SEARCH($S$4,'Final Calculation Sheet'!$R$17)))))</f>
        <v/>
      </c>
      <c r="DY19">
        <f>IF($T$4="",1,IF($T$4="(blank)",--('Final Calculation Sheet'!$S$17=""),IF($T$4="(nonblank)",--('Final Calculation Sheet'!$S$17&lt;&gt;""),--ISNUMBER(SEARCH($T$4,'Final Calculation Sheet'!$S$17)))))</f>
        <v/>
      </c>
      <c r="DZ19">
        <f>IF($U$4="",1,IF($U$4="(blank)",--('Final Calculation Sheet'!$T$17=""),IF($U$4="(nonblank)",--('Final Calculation Sheet'!$T$17&lt;&gt;""),--ISNUMBER(SEARCH($U$4,'Final Calculation Sheet'!$T$17)))))</f>
        <v/>
      </c>
      <c r="EA19">
        <f>IF($V$4="",1,IF($V$4="(blank)",--('Final Calculation Sheet'!$U$17=""),IF($V$4="(nonblank)",--('Final Calculation Sheet'!$U$17&lt;&gt;""),--ISNUMBER(SEARCH($V$4,'Final Calculation Sheet'!$U$17)))))</f>
        <v/>
      </c>
      <c r="EB19">
        <f>IF($W$4="",1,IF($W$4="(blank)",--('Final Calculation Sheet'!$V$17=""),IF($W$4="(nonblank)",--('Final Calculation Sheet'!$V$17&lt;&gt;""),--ISNUMBER(SEARCH($W$4,'Final Calculation Sheet'!$V$17)))))</f>
        <v/>
      </c>
      <c r="EC19">
        <f>IF($X$4="",1,IF($X$4="(blank)",--('Final Calculation Sheet'!$W$17=""),IF($X$4="(nonblank)",--('Final Calculation Sheet'!$W$17&lt;&gt;""),--ISNUMBER(SEARCH($X$4,'Final Calculation Sheet'!$W$17)))))</f>
        <v/>
      </c>
      <c r="ED19">
        <f>IF($Y$4="",1,IF($Y$4="(blank)",--('Final Calculation Sheet'!$X$17=""),IF($Y$4="(nonblank)",--('Final Calculation Sheet'!$X$17&lt;&gt;""),--ISNUMBER(SEARCH($Y$4,'Final Calculation Sheet'!$X$17)))))</f>
        <v/>
      </c>
      <c r="EE19">
        <f>IF($Z$4="",1,IF($Z$4="(blank)",--('Final Calculation Sheet'!$Y$17=""),IF($Z$4="(nonblank)",--('Final Calculation Sheet'!$Y$17&lt;&gt;""),--ISNUMBER(SEARCH($Z$4,'Final Calculation Sheet'!$Y$17)))))</f>
        <v/>
      </c>
      <c r="EF19">
        <f>IF($AA$4="",1,IF($AA$4="(blank)",--('Final Calculation Sheet'!$Z$17=""),IF($AA$4="(nonblank)",--('Final Calculation Sheet'!$Z$17&lt;&gt;""),--ISNUMBER(SEARCH($AA$4,'Final Calculation Sheet'!$Z$17)))))</f>
        <v/>
      </c>
      <c r="EG19">
        <f>IF($AB$4="",1,IF($AB$4="(blank)",--('Final Calculation Sheet'!$AA$17=""),IF($AB$4="(nonblank)",--('Final Calculation Sheet'!$AA$17&lt;&gt;""),--ISNUMBER(SEARCH($AB$4,'Final Calculation Sheet'!$AA$17)))))</f>
        <v/>
      </c>
      <c r="EH19">
        <f>IF($AC$4="",1,IF($AC$4="(blank)",--('Final Calculation Sheet'!$AB$17=""),IF($AC$4="(nonblank)",--('Final Calculation Sheet'!$AB$17&lt;&gt;""),--ISNUMBER(SEARCH($AC$4,'Final Calculation Sheet'!$AB$17)))))</f>
        <v/>
      </c>
      <c r="EI19">
        <f>IF($AD$4="",1,IF($AD$4="(blank)",--('Final Calculation Sheet'!$AC$17=""),IF($AD$4="(nonblank)",--('Final Calculation Sheet'!$AC$17&lt;&gt;""),--ISNUMBER(SEARCH($AD$4,'Final Calculation Sheet'!$AC$17)))))</f>
        <v/>
      </c>
      <c r="EJ19">
        <f>IF($AE$4="",1,IF($AE$4="(blank)",--('Final Calculation Sheet'!$AD$17=""),IF($AE$4="(nonblank)",--('Final Calculation Sheet'!$AD$17&lt;&gt;""),--ISNUMBER(SEARCH($AE$4,'Final Calculation Sheet'!$AD$17)))))</f>
        <v/>
      </c>
      <c r="EK19">
        <f>IF($AF$4="",1,IF($AF$4="(blank)",--(IF('Final Calculation Sheet'!$AD$17&lt;=5,"SETTLED","OUTSTANDING")=""),IF($AF$4="(nonblank)",--(IF('Final Calculation Sheet'!$AD$17&lt;=5,"SETTLED","OUTSTANDING")&lt;&gt;""),--ISNUMBER(SEARCH($AF$4,IF('Final Calculation Sheet'!$AD$17&lt;=5,"SETTLED","OUTSTANDING"))))))</f>
        <v/>
      </c>
      <c r="EL19">
        <f>IF($AG$4="",1,IF($AG$4="(blank)",--('Final Calculation Sheet'!$AF$17=""),IF($AG$4="(nonblank)",--('Final Calculation Sheet'!$AF$17&lt;&gt;""),--ISNUMBER(SEARCH($AG$4,'Final Calculation Sheet'!$AF$17)))))</f>
        <v/>
      </c>
      <c r="EM19">
        <f>IF($AH$4="",1,IF($AH$4="(blank)",--('Final Calculation Sheet'!$AG$17=""),IF($AH$4="(nonblank)",--('Final Calculation Sheet'!$AG$17&lt;&gt;""),--ISNUMBER(SEARCH($AH$4,'Final Calculation Sheet'!$AG$17)))))</f>
        <v/>
      </c>
      <c r="EN19">
        <f>IF($AI$4="",1,IF($AI$4="(blank)",--('Final Calculation Sheet'!$AH$17=""),IF($AI$4="(nonblank)",--('Final Calculation Sheet'!$AH$17&lt;&gt;""),--ISNUMBER(SEARCH($AI$4,'Final Calculation Sheet'!$AH$17)))))</f>
        <v/>
      </c>
    </row>
    <row r="20" outlineLevel="1" hidden="1">
      <c r="A20" s="128">
        <f>IF($AL$20="","",14)</f>
        <v/>
      </c>
      <c r="B20" s="129">
        <f>IF($AL$20="","",IF(INDEX('Final Calculation Sheet'!$F$4:$F$40,$AL$20)="","",INDEX('Final Calculation Sheet'!$F$4:$F$40,$AL$20)))</f>
        <v/>
      </c>
      <c r="C20" s="129">
        <f>IF($AL$20="","",IF(INDEX('Final Calculation Sheet'!$G$4:$G$40,$AL$20)="","",INDEX('Final Calculation Sheet'!$G$4:$G$40,$AL$20)))</f>
        <v/>
      </c>
      <c r="D20" s="130">
        <f>IF($AL$20="","",IF(INDEX('Final Calculation Sheet'!$B$4:$B$40,$AL$20)="","",INDEX('Final Calculation Sheet'!$B$4:$B$40,$AL$20)))</f>
        <v/>
      </c>
      <c r="E20" s="130">
        <f>IF($AL$20="","",IF(INDEX('Final Calculation Sheet'!$D$4:$D$40,$AL$20)="","",INDEX('Final Calculation Sheet'!$D$4:$D$40,$AL$20)))</f>
        <v/>
      </c>
      <c r="F20" s="130">
        <f>IF($AL$20="","",IF(INDEX('Final Calculation Sheet'!$A$4:$A$40,$AL$20)="","",INDEX('Final Calculation Sheet'!$A$4:$A$40,$AL$20)))</f>
        <v/>
      </c>
      <c r="G20" s="130">
        <f>IF($AL$20="","",IF(INDEX('Final Calculation Sheet'!$E$4:$E$40,$AL$20)="","",INDEX('Final Calculation Sheet'!$E$4:$E$40,$AL$20)))</f>
        <v/>
      </c>
      <c r="H20" s="131">
        <f>IF($AL$20="","",IF(INDEX('Final Calculation Sheet'!$C$4:$C$40,$AL$20)="","",INDEX('Final Calculation Sheet'!$C$4:$C$40,$AL$20)))</f>
        <v/>
      </c>
      <c r="I20" s="131">
        <f>IF($AL$20="","",IF(INDEX('Final Calculation Sheet'!$H$4:$H$40,$AL$20)="","",INDEX('Final Calculation Sheet'!$H$4:$H$40,$AL$20)))</f>
        <v/>
      </c>
      <c r="J20" s="131">
        <f>IF($AL$20="","",IF(INDEX('Final Calculation Sheet'!$I$4:$I$40,$AL$20)="","",INDEX('Final Calculation Sheet'!$I$4:$I$40,$AL$20)))</f>
        <v/>
      </c>
      <c r="K20" s="131">
        <f>IF($AL$20="","",IF(INDEX('Final Calculation Sheet'!$J$4:$J$40,$AL$20)="","",INDEX('Final Calculation Sheet'!$J$4:$J$40,$AL$20)))</f>
        <v/>
      </c>
      <c r="L20" s="131">
        <f>IF($AL$20="","",IF(INDEX('Final Calculation Sheet'!$K$4:$K$40,$AL$20)="","",INDEX('Final Calculation Sheet'!$K$4:$K$40,$AL$20)))</f>
        <v/>
      </c>
      <c r="M20" s="131">
        <f>IF($AL$20="","",IF(INDEX('Final Calculation Sheet'!$L$4:$L$40,$AL$20)="","",INDEX('Final Calculation Sheet'!$L$4:$L$40,$AL$20)))</f>
        <v/>
      </c>
      <c r="N20" s="131">
        <f>IF($AL$20="","",IF(INDEX('Final Calculation Sheet'!$M$4:$M$40,$AL$20)="","",INDEX('Final Calculation Sheet'!$M$4:$M$40,$AL$20)))</f>
        <v/>
      </c>
      <c r="O20" s="132">
        <f>IF($AL$20="","",IF(INDEX('Final Calculation Sheet'!$N$4:$N$40,$AL$20)="","",INDEX('Final Calculation Sheet'!$N$4:$N$40,$AL$20)))</f>
        <v/>
      </c>
      <c r="P20" s="131">
        <f>IF($AL$20="","",IF(INDEX('Final Calculation Sheet'!$O$4:$O$40,$AL$20)="","",INDEX('Final Calculation Sheet'!$O$4:$O$40,$AL$20)))</f>
        <v/>
      </c>
      <c r="Q20" s="131">
        <f>IF($AL$20="","",IF(INDEX('Final Calculation Sheet'!$P$4:$P$40,$AL$20)="","",INDEX('Final Calculation Sheet'!$P$4:$P$40,$AL$20)))</f>
        <v/>
      </c>
      <c r="R20" s="133">
        <f>IF($AL$20="","",IF(INDEX('Final Calculation Sheet'!$Q$4:$Q$40,$AL$20)="","",INDEX('Final Calculation Sheet'!$Q$4:$Q$40,$AL$20)))</f>
        <v/>
      </c>
      <c r="S20" s="131">
        <f>IF($AL$20="","",IF(INDEX('Final Calculation Sheet'!$R$4:$R$40,$AL$20)="","",INDEX('Final Calculation Sheet'!$R$4:$R$40,$AL$20)))</f>
        <v/>
      </c>
      <c r="T20" s="131">
        <f>IF($AL$20="","",IF(INDEX('Final Calculation Sheet'!$S$4:$S$40,$AL$20)="","",INDEX('Final Calculation Sheet'!$S$4:$S$40,$AL$20)))</f>
        <v/>
      </c>
      <c r="U20" s="131">
        <f>IF($AL$20="","",IF(INDEX('Final Calculation Sheet'!$T$4:$T$40,$AL$20)="","",INDEX('Final Calculation Sheet'!$T$4:$T$40,$AL$20)))</f>
        <v/>
      </c>
      <c r="V20" s="134">
        <f>IF($AL$20="","",IF(INDEX('Final Calculation Sheet'!$U$4:$U$40,$AL$20)="","",INDEX('Final Calculation Sheet'!$U$4:$U$40,$AL$20)))</f>
        <v/>
      </c>
      <c r="W20" s="131">
        <f>IF($AL$20="","",IF(INDEX('Final Calculation Sheet'!$V$4:$V$40,$AL$20)="","",INDEX('Final Calculation Sheet'!$V$4:$V$40,$AL$20)))</f>
        <v/>
      </c>
      <c r="X20" s="131">
        <f>IF($AL$20="","",IF(INDEX('Final Calculation Sheet'!$W$4:$W$40,$AL$20)="","",INDEX('Final Calculation Sheet'!$W$4:$W$40,$AL$20)))</f>
        <v/>
      </c>
      <c r="Y20" s="131">
        <f>IF($AL$20="","",IF(INDEX('Final Calculation Sheet'!$X$4:$X$40,$AL$20)="","",INDEX('Final Calculation Sheet'!$X$4:$X$40,$AL$20)))</f>
        <v/>
      </c>
      <c r="Z20" s="131">
        <f>IF($AL$20="","",IF(INDEX('Final Calculation Sheet'!$Y$4:$Y$40,$AL$20)="","",INDEX('Final Calculation Sheet'!$Y$4:$Y$40,$AL$20)))</f>
        <v/>
      </c>
      <c r="AA20" s="131">
        <f>IF($AL$20="","",IF(INDEX('Final Calculation Sheet'!$Z$4:$Z$40,$AL$20)="","",INDEX('Final Calculation Sheet'!$Z$4:$Z$40,$AL$20)))</f>
        <v/>
      </c>
      <c r="AB20" s="131">
        <f>IF($AL$20="","",IF(INDEX('Final Calculation Sheet'!$AA$4:$AA$40,$AL$20)="","",INDEX('Final Calculation Sheet'!$AA$4:$AA$40,$AL$20)))</f>
        <v/>
      </c>
      <c r="AC20" s="131">
        <f>IF($AL$20="","",IF(INDEX('Final Calculation Sheet'!$AB$4:$AB$40,$AL$20)="","",INDEX('Final Calculation Sheet'!$AB$4:$AB$40,$AL$20)))</f>
        <v/>
      </c>
      <c r="AD20" s="131">
        <f>IF($AL$20="","",IF(INDEX('Final Calculation Sheet'!$AC$4:$AC$40,$AL$20)="","",INDEX('Final Calculation Sheet'!$AC$4:$AC$40,$AL$20)))</f>
        <v/>
      </c>
      <c r="AE20" s="131">
        <f>IF($AL$20="","",IF(INDEX('Final Calculation Sheet'!$AD$4:$AD$40,$AL$20)="","",INDEX('Final Calculation Sheet'!$AD$4:$AD$40,$AL$20)))</f>
        <v/>
      </c>
      <c r="AF20" s="136">
        <f>IF($AL$20="","",IF(INDEX('Final Calculation Sheet'!$AD$4:$AD$40,$AL$20)&lt;=5,"SETTLED","OUTSTANDING"))</f>
        <v/>
      </c>
      <c r="AG20" s="131">
        <f>IF($AL$20="","",IF(INDEX('Final Calculation Sheet'!$AF$4:$AF$40,$AL$20)="","",INDEX('Final Calculation Sheet'!$AF$4:$AF$40,$AL$20)))</f>
        <v/>
      </c>
      <c r="AH20" s="135">
        <f>IF($AL$20="","",IF(INDEX('Final Calculation Sheet'!$AG$4:$AG$40,$AL$20)="","",INDEX('Final Calculation Sheet'!$AG$4:$AG$40,$AL$20)))</f>
        <v/>
      </c>
      <c r="AI20" s="131">
        <f>IF($AL$20="","",IF(INDEX('Final Calculation Sheet'!$AH$4:$AH$40,$AL$20)="","",INDEX('Final Calculation Sheet'!$AH$4:$AH$40,$AL$20)))</f>
        <v/>
      </c>
      <c r="AJ20">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0">
        <f>IF(AJ20=1,COUNTIF(AJ$6:AJ20,1),"")</f>
        <v/>
      </c>
      <c r="AL20">
        <f>IF(COUNTIF($B$4:$AI$4,"&lt;&gt;")=0,"",IFERROR(MATCH(14,$AK$6:$AK$42,0),""))</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G20">
        <f>IF($B$4="",1,IF($B$4="(blank)",--('Final Calculation Sheet'!$F$18=""),IF($B$4="(nonblank)",--('Final Calculation Sheet'!$F$18&lt;&gt;""),--ISNUMBER(SEARCH($B$4,'Final Calculation Sheet'!$F$18)))))</f>
        <v/>
      </c>
      <c r="DH20">
        <f>IF($C$4="",1,IF($C$4="(blank)",--('Final Calculation Sheet'!$G$18=""),IF($C$4="(nonblank)",--('Final Calculation Sheet'!$G$18&lt;&gt;""),--ISNUMBER(SEARCH($C$4,'Final Calculation Sheet'!$G$18)))))</f>
        <v/>
      </c>
      <c r="DI20">
        <f>IF($D$4="",1,IF($D$4="(blank)",--('Final Calculation Sheet'!$B$18=""),IF($D$4="(nonblank)",--('Final Calculation Sheet'!$B$18&lt;&gt;""),--ISNUMBER(SEARCH($D$4,'Final Calculation Sheet'!$B$18)))))</f>
        <v/>
      </c>
      <c r="DJ20">
        <f>IF($E$4="",1,IF($E$4="(blank)",--('Final Calculation Sheet'!$D$18=""),IF($E$4="(nonblank)",--('Final Calculation Sheet'!$D$18&lt;&gt;""),--ISNUMBER(SEARCH($E$4,'Final Calculation Sheet'!$D$18)))))</f>
        <v/>
      </c>
      <c r="DK20">
        <f>IF($F$4="",1,IF($F$4="(blank)",--('Final Calculation Sheet'!$A$18=""),IF($F$4="(nonblank)",--('Final Calculation Sheet'!$A$18&lt;&gt;""),--ISNUMBER(SEARCH($F$4,'Final Calculation Sheet'!$A$18)))))</f>
        <v/>
      </c>
      <c r="DL20">
        <f>IF($G$4="",1,IF($G$4="(blank)",--('Final Calculation Sheet'!$E$18=""),IF($G$4="(nonblank)",--('Final Calculation Sheet'!$E$18&lt;&gt;""),--ISNUMBER(SEARCH($G$4,'Final Calculation Sheet'!$E$18)))))</f>
        <v/>
      </c>
      <c r="DM20">
        <f>IF($H$4="",1,IF($H$4="(blank)",--('Final Calculation Sheet'!$C$18=""),IF($H$4="(nonblank)",--('Final Calculation Sheet'!$C$18&lt;&gt;""),--ISNUMBER(SEARCH($H$4,'Final Calculation Sheet'!$C$18)))))</f>
        <v/>
      </c>
      <c r="DN20">
        <f>IF($I$4="",1,IF($I$4="(blank)",--('Final Calculation Sheet'!$H$18=""),IF($I$4="(nonblank)",--('Final Calculation Sheet'!$H$18&lt;&gt;""),--ISNUMBER(SEARCH($I$4,'Final Calculation Sheet'!$H$18)))))</f>
        <v/>
      </c>
      <c r="DO20">
        <f>IF($J$4="",1,IF($J$4="(blank)",--('Final Calculation Sheet'!$I$18=""),IF($J$4="(nonblank)",--('Final Calculation Sheet'!$I$18&lt;&gt;""),--ISNUMBER(SEARCH($J$4,'Final Calculation Sheet'!$I$18)))))</f>
        <v/>
      </c>
      <c r="DP20">
        <f>IF($K$4="",1,IF($K$4="(blank)",--('Final Calculation Sheet'!$J$18=""),IF($K$4="(nonblank)",--('Final Calculation Sheet'!$J$18&lt;&gt;""),--ISNUMBER(SEARCH($K$4,'Final Calculation Sheet'!$J$18)))))</f>
        <v/>
      </c>
      <c r="DQ20">
        <f>IF($L$4="",1,IF($L$4="(blank)",--('Final Calculation Sheet'!$K$18=""),IF($L$4="(nonblank)",--('Final Calculation Sheet'!$K$18&lt;&gt;""),--ISNUMBER(SEARCH($L$4,'Final Calculation Sheet'!$K$18)))))</f>
        <v/>
      </c>
      <c r="DR20">
        <f>IF($M$4="",1,IF($M$4="(blank)",--('Final Calculation Sheet'!$L$18=""),IF($M$4="(nonblank)",--('Final Calculation Sheet'!$L$18&lt;&gt;""),--ISNUMBER(SEARCH($M$4,'Final Calculation Sheet'!$L$18)))))</f>
        <v/>
      </c>
      <c r="DS20">
        <f>IF($N$4="",1,IF($N$4="(blank)",--('Final Calculation Sheet'!$M$18=""),IF($N$4="(nonblank)",--('Final Calculation Sheet'!$M$18&lt;&gt;""),--ISNUMBER(SEARCH($N$4,'Final Calculation Sheet'!$M$18)))))</f>
        <v/>
      </c>
      <c r="DT20">
        <f>IF($O$4="",1,IF($O$4="(blank)",--('Final Calculation Sheet'!$N$18=""),IF($O$4="(nonblank)",--('Final Calculation Sheet'!$N$18&lt;&gt;""),--ISNUMBER(SEARCH($O$4,'Final Calculation Sheet'!$N$18)))))</f>
        <v/>
      </c>
      <c r="DU20">
        <f>IF($P$4="",1,IF($P$4="(blank)",--('Final Calculation Sheet'!$O$18=""),IF($P$4="(nonblank)",--('Final Calculation Sheet'!$O$18&lt;&gt;""),--ISNUMBER(SEARCH($P$4,'Final Calculation Sheet'!$O$18)))))</f>
        <v/>
      </c>
      <c r="DV20">
        <f>IF($Q$4="",1,IF($Q$4="(blank)",--('Final Calculation Sheet'!$P$18=""),IF($Q$4="(nonblank)",--('Final Calculation Sheet'!$P$18&lt;&gt;""),--ISNUMBER(SEARCH($Q$4,'Final Calculation Sheet'!$P$18)))))</f>
        <v/>
      </c>
      <c r="DW20">
        <f>IF($R$4="",1,IF($R$4="(blank)",--('Final Calculation Sheet'!$Q$18=""),IF($R$4="(nonblank)",--('Final Calculation Sheet'!$Q$18&lt;&gt;""),--ISNUMBER(SEARCH($R$4,'Final Calculation Sheet'!$Q$18)))))</f>
        <v/>
      </c>
      <c r="DX20">
        <f>IF($S$4="",1,IF($S$4="(blank)",--('Final Calculation Sheet'!$R$18=""),IF($S$4="(nonblank)",--('Final Calculation Sheet'!$R$18&lt;&gt;""),--ISNUMBER(SEARCH($S$4,'Final Calculation Sheet'!$R$18)))))</f>
        <v/>
      </c>
      <c r="DY20">
        <f>IF($T$4="",1,IF($T$4="(blank)",--('Final Calculation Sheet'!$S$18=""),IF($T$4="(nonblank)",--('Final Calculation Sheet'!$S$18&lt;&gt;""),--ISNUMBER(SEARCH($T$4,'Final Calculation Sheet'!$S$18)))))</f>
        <v/>
      </c>
      <c r="DZ20">
        <f>IF($U$4="",1,IF($U$4="(blank)",--('Final Calculation Sheet'!$T$18=""),IF($U$4="(nonblank)",--('Final Calculation Sheet'!$T$18&lt;&gt;""),--ISNUMBER(SEARCH($U$4,'Final Calculation Sheet'!$T$18)))))</f>
        <v/>
      </c>
      <c r="EA20">
        <f>IF($V$4="",1,IF($V$4="(blank)",--('Final Calculation Sheet'!$U$18=""),IF($V$4="(nonblank)",--('Final Calculation Sheet'!$U$18&lt;&gt;""),--ISNUMBER(SEARCH($V$4,'Final Calculation Sheet'!$U$18)))))</f>
        <v/>
      </c>
      <c r="EB20">
        <f>IF($W$4="",1,IF($W$4="(blank)",--('Final Calculation Sheet'!$V$18=""),IF($W$4="(nonblank)",--('Final Calculation Sheet'!$V$18&lt;&gt;""),--ISNUMBER(SEARCH($W$4,'Final Calculation Sheet'!$V$18)))))</f>
        <v/>
      </c>
      <c r="EC20">
        <f>IF($X$4="",1,IF($X$4="(blank)",--('Final Calculation Sheet'!$W$18=""),IF($X$4="(nonblank)",--('Final Calculation Sheet'!$W$18&lt;&gt;""),--ISNUMBER(SEARCH($X$4,'Final Calculation Sheet'!$W$18)))))</f>
        <v/>
      </c>
      <c r="ED20">
        <f>IF($Y$4="",1,IF($Y$4="(blank)",--('Final Calculation Sheet'!$X$18=""),IF($Y$4="(nonblank)",--('Final Calculation Sheet'!$X$18&lt;&gt;""),--ISNUMBER(SEARCH($Y$4,'Final Calculation Sheet'!$X$18)))))</f>
        <v/>
      </c>
      <c r="EE20">
        <f>IF($Z$4="",1,IF($Z$4="(blank)",--('Final Calculation Sheet'!$Y$18=""),IF($Z$4="(nonblank)",--('Final Calculation Sheet'!$Y$18&lt;&gt;""),--ISNUMBER(SEARCH($Z$4,'Final Calculation Sheet'!$Y$18)))))</f>
        <v/>
      </c>
      <c r="EF20">
        <f>IF($AA$4="",1,IF($AA$4="(blank)",--('Final Calculation Sheet'!$Z$18=""),IF($AA$4="(nonblank)",--('Final Calculation Sheet'!$Z$18&lt;&gt;""),--ISNUMBER(SEARCH($AA$4,'Final Calculation Sheet'!$Z$18)))))</f>
        <v/>
      </c>
      <c r="EG20">
        <f>IF($AB$4="",1,IF($AB$4="(blank)",--('Final Calculation Sheet'!$AA$18=""),IF($AB$4="(nonblank)",--('Final Calculation Sheet'!$AA$18&lt;&gt;""),--ISNUMBER(SEARCH($AB$4,'Final Calculation Sheet'!$AA$18)))))</f>
        <v/>
      </c>
      <c r="EH20">
        <f>IF($AC$4="",1,IF($AC$4="(blank)",--('Final Calculation Sheet'!$AB$18=""),IF($AC$4="(nonblank)",--('Final Calculation Sheet'!$AB$18&lt;&gt;""),--ISNUMBER(SEARCH($AC$4,'Final Calculation Sheet'!$AB$18)))))</f>
        <v/>
      </c>
      <c r="EI20">
        <f>IF($AD$4="",1,IF($AD$4="(blank)",--('Final Calculation Sheet'!$AC$18=""),IF($AD$4="(nonblank)",--('Final Calculation Sheet'!$AC$18&lt;&gt;""),--ISNUMBER(SEARCH($AD$4,'Final Calculation Sheet'!$AC$18)))))</f>
        <v/>
      </c>
      <c r="EJ20">
        <f>IF($AE$4="",1,IF($AE$4="(blank)",--('Final Calculation Sheet'!$AD$18=""),IF($AE$4="(nonblank)",--('Final Calculation Sheet'!$AD$18&lt;&gt;""),--ISNUMBER(SEARCH($AE$4,'Final Calculation Sheet'!$AD$18)))))</f>
        <v/>
      </c>
      <c r="EK20">
        <f>IF($AF$4="",1,IF($AF$4="(blank)",--(IF('Final Calculation Sheet'!$AD$18&lt;=5,"SETTLED","OUTSTANDING")=""),IF($AF$4="(nonblank)",--(IF('Final Calculation Sheet'!$AD$18&lt;=5,"SETTLED","OUTSTANDING")&lt;&gt;""),--ISNUMBER(SEARCH($AF$4,IF('Final Calculation Sheet'!$AD$18&lt;=5,"SETTLED","OUTSTANDING"))))))</f>
        <v/>
      </c>
      <c r="EL20">
        <f>IF($AG$4="",1,IF($AG$4="(blank)",--('Final Calculation Sheet'!$AF$18=""),IF($AG$4="(nonblank)",--('Final Calculation Sheet'!$AF$18&lt;&gt;""),--ISNUMBER(SEARCH($AG$4,'Final Calculation Sheet'!$AF$18)))))</f>
        <v/>
      </c>
      <c r="EM20">
        <f>IF($AH$4="",1,IF($AH$4="(blank)",--('Final Calculation Sheet'!$AG$18=""),IF($AH$4="(nonblank)",--('Final Calculation Sheet'!$AG$18&lt;&gt;""),--ISNUMBER(SEARCH($AH$4,'Final Calculation Sheet'!$AG$18)))))</f>
        <v/>
      </c>
      <c r="EN20">
        <f>IF($AI$4="",1,IF($AI$4="(blank)",--('Final Calculation Sheet'!$AH$18=""),IF($AI$4="(nonblank)",--('Final Calculation Sheet'!$AH$18&lt;&gt;""),--ISNUMBER(SEARCH($AI$4,'Final Calculation Sheet'!$AH$18)))))</f>
        <v/>
      </c>
    </row>
    <row r="21" outlineLevel="1" hidden="1">
      <c r="A21" s="118">
        <f>IF($AL$21="","",15)</f>
        <v/>
      </c>
      <c r="B21" s="119">
        <f>IF($AL$21="","",IF(INDEX('Final Calculation Sheet'!$F$4:$F$40,$AL$21)="","",INDEX('Final Calculation Sheet'!$F$4:$F$40,$AL$21)))</f>
        <v/>
      </c>
      <c r="C21" s="119">
        <f>IF($AL$21="","",IF(INDEX('Final Calculation Sheet'!$G$4:$G$40,$AL$21)="","",INDEX('Final Calculation Sheet'!$G$4:$G$40,$AL$21)))</f>
        <v/>
      </c>
      <c r="D21" s="121">
        <f>IF($AL$21="","",IF(INDEX('Final Calculation Sheet'!$B$4:$B$40,$AL$21)="","",INDEX('Final Calculation Sheet'!$B$4:$B$40,$AL$21)))</f>
        <v/>
      </c>
      <c r="E21" s="121">
        <f>IF($AL$21="","",IF(INDEX('Final Calculation Sheet'!$D$4:$D$40,$AL$21)="","",INDEX('Final Calculation Sheet'!$D$4:$D$40,$AL$21)))</f>
        <v/>
      </c>
      <c r="F21" s="121">
        <f>IF($AL$21="","",IF(INDEX('Final Calculation Sheet'!$A$4:$A$40,$AL$21)="","",INDEX('Final Calculation Sheet'!$A$4:$A$40,$AL$21)))</f>
        <v/>
      </c>
      <c r="G21" s="121">
        <f>IF($AL$21="","",IF(INDEX('Final Calculation Sheet'!$E$4:$E$40,$AL$21)="","",INDEX('Final Calculation Sheet'!$E$4:$E$40,$AL$21)))</f>
        <v/>
      </c>
      <c r="H21" s="122">
        <f>IF($AL$21="","",IF(INDEX('Final Calculation Sheet'!$C$4:$C$40,$AL$21)="","",INDEX('Final Calculation Sheet'!$C$4:$C$40,$AL$21)))</f>
        <v/>
      </c>
      <c r="I21" s="122">
        <f>IF($AL$21="","",IF(INDEX('Final Calculation Sheet'!$H$4:$H$40,$AL$21)="","",INDEX('Final Calculation Sheet'!$H$4:$H$40,$AL$21)))</f>
        <v/>
      </c>
      <c r="J21" s="122">
        <f>IF($AL$21="","",IF(INDEX('Final Calculation Sheet'!$I$4:$I$40,$AL$21)="","",INDEX('Final Calculation Sheet'!$I$4:$I$40,$AL$21)))</f>
        <v/>
      </c>
      <c r="K21" s="122">
        <f>IF($AL$21="","",IF(INDEX('Final Calculation Sheet'!$J$4:$J$40,$AL$21)="","",INDEX('Final Calculation Sheet'!$J$4:$J$40,$AL$21)))</f>
        <v/>
      </c>
      <c r="L21" s="122">
        <f>IF($AL$21="","",IF(INDEX('Final Calculation Sheet'!$K$4:$K$40,$AL$21)="","",INDEX('Final Calculation Sheet'!$K$4:$K$40,$AL$21)))</f>
        <v/>
      </c>
      <c r="M21" s="122">
        <f>IF($AL$21="","",IF(INDEX('Final Calculation Sheet'!$L$4:$L$40,$AL$21)="","",INDEX('Final Calculation Sheet'!$L$4:$L$40,$AL$21)))</f>
        <v/>
      </c>
      <c r="N21" s="122">
        <f>IF($AL$21="","",IF(INDEX('Final Calculation Sheet'!$M$4:$M$40,$AL$21)="","",INDEX('Final Calculation Sheet'!$M$4:$M$40,$AL$21)))</f>
        <v/>
      </c>
      <c r="O21" s="123">
        <f>IF($AL$21="","",IF(INDEX('Final Calculation Sheet'!$N$4:$N$40,$AL$21)="","",INDEX('Final Calculation Sheet'!$N$4:$N$40,$AL$21)))</f>
        <v/>
      </c>
      <c r="P21" s="122">
        <f>IF($AL$21="","",IF(INDEX('Final Calculation Sheet'!$O$4:$O$40,$AL$21)="","",INDEX('Final Calculation Sheet'!$O$4:$O$40,$AL$21)))</f>
        <v/>
      </c>
      <c r="Q21" s="122">
        <f>IF($AL$21="","",IF(INDEX('Final Calculation Sheet'!$P$4:$P$40,$AL$21)="","",INDEX('Final Calculation Sheet'!$P$4:$P$40,$AL$21)))</f>
        <v/>
      </c>
      <c r="R21" s="124">
        <f>IF($AL$21="","",IF(INDEX('Final Calculation Sheet'!$Q$4:$Q$40,$AL$21)="","",INDEX('Final Calculation Sheet'!$Q$4:$Q$40,$AL$21)))</f>
        <v/>
      </c>
      <c r="S21" s="122">
        <f>IF($AL$21="","",IF(INDEX('Final Calculation Sheet'!$R$4:$R$40,$AL$21)="","",INDEX('Final Calculation Sheet'!$R$4:$R$40,$AL$21)))</f>
        <v/>
      </c>
      <c r="T21" s="122">
        <f>IF($AL$21="","",IF(INDEX('Final Calculation Sheet'!$S$4:$S$40,$AL$21)="","",INDEX('Final Calculation Sheet'!$S$4:$S$40,$AL$21)))</f>
        <v/>
      </c>
      <c r="U21" s="122">
        <f>IF($AL$21="","",IF(INDEX('Final Calculation Sheet'!$T$4:$T$40,$AL$21)="","",INDEX('Final Calculation Sheet'!$T$4:$T$40,$AL$21)))</f>
        <v/>
      </c>
      <c r="V21" s="125">
        <f>IF($AL$21="","",IF(INDEX('Final Calculation Sheet'!$U$4:$U$40,$AL$21)="","",INDEX('Final Calculation Sheet'!$U$4:$U$40,$AL$21)))</f>
        <v/>
      </c>
      <c r="W21" s="122">
        <f>IF($AL$21="","",IF(INDEX('Final Calculation Sheet'!$V$4:$V$40,$AL$21)="","",INDEX('Final Calculation Sheet'!$V$4:$V$40,$AL$21)))</f>
        <v/>
      </c>
      <c r="X21" s="122">
        <f>IF($AL$21="","",IF(INDEX('Final Calculation Sheet'!$W$4:$W$40,$AL$21)="","",INDEX('Final Calculation Sheet'!$W$4:$W$40,$AL$21)))</f>
        <v/>
      </c>
      <c r="Y21" s="122">
        <f>IF($AL$21="","",IF(INDEX('Final Calculation Sheet'!$X$4:$X$40,$AL$21)="","",INDEX('Final Calculation Sheet'!$X$4:$X$40,$AL$21)))</f>
        <v/>
      </c>
      <c r="Z21" s="122">
        <f>IF($AL$21="","",IF(INDEX('Final Calculation Sheet'!$Y$4:$Y$40,$AL$21)="","",INDEX('Final Calculation Sheet'!$Y$4:$Y$40,$AL$21)))</f>
        <v/>
      </c>
      <c r="AA21" s="122">
        <f>IF($AL$21="","",IF(INDEX('Final Calculation Sheet'!$Z$4:$Z$40,$AL$21)="","",INDEX('Final Calculation Sheet'!$Z$4:$Z$40,$AL$21)))</f>
        <v/>
      </c>
      <c r="AB21" s="122">
        <f>IF($AL$21="","",IF(INDEX('Final Calculation Sheet'!$AA$4:$AA$40,$AL$21)="","",INDEX('Final Calculation Sheet'!$AA$4:$AA$40,$AL$21)))</f>
        <v/>
      </c>
      <c r="AC21" s="122">
        <f>IF($AL$21="","",IF(INDEX('Final Calculation Sheet'!$AB$4:$AB$40,$AL$21)="","",INDEX('Final Calculation Sheet'!$AB$4:$AB$40,$AL$21)))</f>
        <v/>
      </c>
      <c r="AD21" s="122">
        <f>IF($AL$21="","",IF(INDEX('Final Calculation Sheet'!$AC$4:$AC$40,$AL$21)="","",INDEX('Final Calculation Sheet'!$AC$4:$AC$40,$AL$21)))</f>
        <v/>
      </c>
      <c r="AE21" s="122">
        <f>IF($AL$21="","",IF(INDEX('Final Calculation Sheet'!$AD$4:$AD$40,$AL$21)="","",INDEX('Final Calculation Sheet'!$AD$4:$AD$40,$AL$21)))</f>
        <v/>
      </c>
      <c r="AF21" s="127">
        <f>IF($AL$21="","",IF(INDEX('Final Calculation Sheet'!$AD$4:$AD$40,$AL$21)&lt;=5,"SETTLED","OUTSTANDING"))</f>
        <v/>
      </c>
      <c r="AG21" s="122">
        <f>IF($AL$21="","",IF(INDEX('Final Calculation Sheet'!$AF$4:$AF$40,$AL$21)="","",INDEX('Final Calculation Sheet'!$AF$4:$AF$40,$AL$21)))</f>
        <v/>
      </c>
      <c r="AH21" s="126">
        <f>IF($AL$21="","",IF(INDEX('Final Calculation Sheet'!$AG$4:$AG$40,$AL$21)="","",INDEX('Final Calculation Sheet'!$AG$4:$AG$40,$AL$21)))</f>
        <v/>
      </c>
      <c r="AI21" s="122">
        <f>IF($AL$21="","",IF(INDEX('Final Calculation Sheet'!$AH$4:$AH$40,$AL$21)="","",INDEX('Final Calculation Sheet'!$AH$4:$AH$40,$AL$21)))</f>
        <v/>
      </c>
      <c r="AJ21">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1">
        <f>IF(AJ21=1,COUNTIF(AJ$6:AJ21,1),"")</f>
        <v/>
      </c>
      <c r="AL21">
        <f>IF(COUNTIF($B$4:$AI$4,"&lt;&gt;")=0,"",IFERROR(MATCH(15,$AK$6:$AK$42,0),""))</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G21">
        <f>IF($B$4="",1,IF($B$4="(blank)",--('Final Calculation Sheet'!$F$19=""),IF($B$4="(nonblank)",--('Final Calculation Sheet'!$F$19&lt;&gt;""),--ISNUMBER(SEARCH($B$4,'Final Calculation Sheet'!$F$19)))))</f>
        <v/>
      </c>
      <c r="DH21">
        <f>IF($C$4="",1,IF($C$4="(blank)",--('Final Calculation Sheet'!$G$19=""),IF($C$4="(nonblank)",--('Final Calculation Sheet'!$G$19&lt;&gt;""),--ISNUMBER(SEARCH($C$4,'Final Calculation Sheet'!$G$19)))))</f>
        <v/>
      </c>
      <c r="DI21">
        <f>IF($D$4="",1,IF($D$4="(blank)",--('Final Calculation Sheet'!$B$19=""),IF($D$4="(nonblank)",--('Final Calculation Sheet'!$B$19&lt;&gt;""),--ISNUMBER(SEARCH($D$4,'Final Calculation Sheet'!$B$19)))))</f>
        <v/>
      </c>
      <c r="DJ21">
        <f>IF($E$4="",1,IF($E$4="(blank)",--('Final Calculation Sheet'!$D$19=""),IF($E$4="(nonblank)",--('Final Calculation Sheet'!$D$19&lt;&gt;""),--ISNUMBER(SEARCH($E$4,'Final Calculation Sheet'!$D$19)))))</f>
        <v/>
      </c>
      <c r="DK21">
        <f>IF($F$4="",1,IF($F$4="(blank)",--('Final Calculation Sheet'!$A$19=""),IF($F$4="(nonblank)",--('Final Calculation Sheet'!$A$19&lt;&gt;""),--ISNUMBER(SEARCH($F$4,'Final Calculation Sheet'!$A$19)))))</f>
        <v/>
      </c>
      <c r="DL21">
        <f>IF($G$4="",1,IF($G$4="(blank)",--('Final Calculation Sheet'!$E$19=""),IF($G$4="(nonblank)",--('Final Calculation Sheet'!$E$19&lt;&gt;""),--ISNUMBER(SEARCH($G$4,'Final Calculation Sheet'!$E$19)))))</f>
        <v/>
      </c>
      <c r="DM21">
        <f>IF($H$4="",1,IF($H$4="(blank)",--('Final Calculation Sheet'!$C$19=""),IF($H$4="(nonblank)",--('Final Calculation Sheet'!$C$19&lt;&gt;""),--ISNUMBER(SEARCH($H$4,'Final Calculation Sheet'!$C$19)))))</f>
        <v/>
      </c>
      <c r="DN21">
        <f>IF($I$4="",1,IF($I$4="(blank)",--('Final Calculation Sheet'!$H$19=""),IF($I$4="(nonblank)",--('Final Calculation Sheet'!$H$19&lt;&gt;""),--ISNUMBER(SEARCH($I$4,'Final Calculation Sheet'!$H$19)))))</f>
        <v/>
      </c>
      <c r="DO21">
        <f>IF($J$4="",1,IF($J$4="(blank)",--('Final Calculation Sheet'!$I$19=""),IF($J$4="(nonblank)",--('Final Calculation Sheet'!$I$19&lt;&gt;""),--ISNUMBER(SEARCH($J$4,'Final Calculation Sheet'!$I$19)))))</f>
        <v/>
      </c>
      <c r="DP21">
        <f>IF($K$4="",1,IF($K$4="(blank)",--('Final Calculation Sheet'!$J$19=""),IF($K$4="(nonblank)",--('Final Calculation Sheet'!$J$19&lt;&gt;""),--ISNUMBER(SEARCH($K$4,'Final Calculation Sheet'!$J$19)))))</f>
        <v/>
      </c>
      <c r="DQ21">
        <f>IF($L$4="",1,IF($L$4="(blank)",--('Final Calculation Sheet'!$K$19=""),IF($L$4="(nonblank)",--('Final Calculation Sheet'!$K$19&lt;&gt;""),--ISNUMBER(SEARCH($L$4,'Final Calculation Sheet'!$K$19)))))</f>
        <v/>
      </c>
      <c r="DR21">
        <f>IF($M$4="",1,IF($M$4="(blank)",--('Final Calculation Sheet'!$L$19=""),IF($M$4="(nonblank)",--('Final Calculation Sheet'!$L$19&lt;&gt;""),--ISNUMBER(SEARCH($M$4,'Final Calculation Sheet'!$L$19)))))</f>
        <v/>
      </c>
      <c r="DS21">
        <f>IF($N$4="",1,IF($N$4="(blank)",--('Final Calculation Sheet'!$M$19=""),IF($N$4="(nonblank)",--('Final Calculation Sheet'!$M$19&lt;&gt;""),--ISNUMBER(SEARCH($N$4,'Final Calculation Sheet'!$M$19)))))</f>
        <v/>
      </c>
      <c r="DT21">
        <f>IF($O$4="",1,IF($O$4="(blank)",--('Final Calculation Sheet'!$N$19=""),IF($O$4="(nonblank)",--('Final Calculation Sheet'!$N$19&lt;&gt;""),--ISNUMBER(SEARCH($O$4,'Final Calculation Sheet'!$N$19)))))</f>
        <v/>
      </c>
      <c r="DU21">
        <f>IF($P$4="",1,IF($P$4="(blank)",--('Final Calculation Sheet'!$O$19=""),IF($P$4="(nonblank)",--('Final Calculation Sheet'!$O$19&lt;&gt;""),--ISNUMBER(SEARCH($P$4,'Final Calculation Sheet'!$O$19)))))</f>
        <v/>
      </c>
      <c r="DV21">
        <f>IF($Q$4="",1,IF($Q$4="(blank)",--('Final Calculation Sheet'!$P$19=""),IF($Q$4="(nonblank)",--('Final Calculation Sheet'!$P$19&lt;&gt;""),--ISNUMBER(SEARCH($Q$4,'Final Calculation Sheet'!$P$19)))))</f>
        <v/>
      </c>
      <c r="DW21">
        <f>IF($R$4="",1,IF($R$4="(blank)",--('Final Calculation Sheet'!$Q$19=""),IF($R$4="(nonblank)",--('Final Calculation Sheet'!$Q$19&lt;&gt;""),--ISNUMBER(SEARCH($R$4,'Final Calculation Sheet'!$Q$19)))))</f>
        <v/>
      </c>
      <c r="DX21">
        <f>IF($S$4="",1,IF($S$4="(blank)",--('Final Calculation Sheet'!$R$19=""),IF($S$4="(nonblank)",--('Final Calculation Sheet'!$R$19&lt;&gt;""),--ISNUMBER(SEARCH($S$4,'Final Calculation Sheet'!$R$19)))))</f>
        <v/>
      </c>
      <c r="DY21">
        <f>IF($T$4="",1,IF($T$4="(blank)",--('Final Calculation Sheet'!$S$19=""),IF($T$4="(nonblank)",--('Final Calculation Sheet'!$S$19&lt;&gt;""),--ISNUMBER(SEARCH($T$4,'Final Calculation Sheet'!$S$19)))))</f>
        <v/>
      </c>
      <c r="DZ21">
        <f>IF($U$4="",1,IF($U$4="(blank)",--('Final Calculation Sheet'!$T$19=""),IF($U$4="(nonblank)",--('Final Calculation Sheet'!$T$19&lt;&gt;""),--ISNUMBER(SEARCH($U$4,'Final Calculation Sheet'!$T$19)))))</f>
        <v/>
      </c>
      <c r="EA21">
        <f>IF($V$4="",1,IF($V$4="(blank)",--('Final Calculation Sheet'!$U$19=""),IF($V$4="(nonblank)",--('Final Calculation Sheet'!$U$19&lt;&gt;""),--ISNUMBER(SEARCH($V$4,'Final Calculation Sheet'!$U$19)))))</f>
        <v/>
      </c>
      <c r="EB21">
        <f>IF($W$4="",1,IF($W$4="(blank)",--('Final Calculation Sheet'!$V$19=""),IF($W$4="(nonblank)",--('Final Calculation Sheet'!$V$19&lt;&gt;""),--ISNUMBER(SEARCH($W$4,'Final Calculation Sheet'!$V$19)))))</f>
        <v/>
      </c>
      <c r="EC21">
        <f>IF($X$4="",1,IF($X$4="(blank)",--('Final Calculation Sheet'!$W$19=""),IF($X$4="(nonblank)",--('Final Calculation Sheet'!$W$19&lt;&gt;""),--ISNUMBER(SEARCH($X$4,'Final Calculation Sheet'!$W$19)))))</f>
        <v/>
      </c>
      <c r="ED21">
        <f>IF($Y$4="",1,IF($Y$4="(blank)",--('Final Calculation Sheet'!$X$19=""),IF($Y$4="(nonblank)",--('Final Calculation Sheet'!$X$19&lt;&gt;""),--ISNUMBER(SEARCH($Y$4,'Final Calculation Sheet'!$X$19)))))</f>
        <v/>
      </c>
      <c r="EE21">
        <f>IF($Z$4="",1,IF($Z$4="(blank)",--('Final Calculation Sheet'!$Y$19=""),IF($Z$4="(nonblank)",--('Final Calculation Sheet'!$Y$19&lt;&gt;""),--ISNUMBER(SEARCH($Z$4,'Final Calculation Sheet'!$Y$19)))))</f>
        <v/>
      </c>
      <c r="EF21">
        <f>IF($AA$4="",1,IF($AA$4="(blank)",--('Final Calculation Sheet'!$Z$19=""),IF($AA$4="(nonblank)",--('Final Calculation Sheet'!$Z$19&lt;&gt;""),--ISNUMBER(SEARCH($AA$4,'Final Calculation Sheet'!$Z$19)))))</f>
        <v/>
      </c>
      <c r="EG21">
        <f>IF($AB$4="",1,IF($AB$4="(blank)",--('Final Calculation Sheet'!$AA$19=""),IF($AB$4="(nonblank)",--('Final Calculation Sheet'!$AA$19&lt;&gt;""),--ISNUMBER(SEARCH($AB$4,'Final Calculation Sheet'!$AA$19)))))</f>
        <v/>
      </c>
      <c r="EH21">
        <f>IF($AC$4="",1,IF($AC$4="(blank)",--('Final Calculation Sheet'!$AB$19=""),IF($AC$4="(nonblank)",--('Final Calculation Sheet'!$AB$19&lt;&gt;""),--ISNUMBER(SEARCH($AC$4,'Final Calculation Sheet'!$AB$19)))))</f>
        <v/>
      </c>
      <c r="EI21">
        <f>IF($AD$4="",1,IF($AD$4="(blank)",--('Final Calculation Sheet'!$AC$19=""),IF($AD$4="(nonblank)",--('Final Calculation Sheet'!$AC$19&lt;&gt;""),--ISNUMBER(SEARCH($AD$4,'Final Calculation Sheet'!$AC$19)))))</f>
        <v/>
      </c>
      <c r="EJ21">
        <f>IF($AE$4="",1,IF($AE$4="(blank)",--('Final Calculation Sheet'!$AD$19=""),IF($AE$4="(nonblank)",--('Final Calculation Sheet'!$AD$19&lt;&gt;""),--ISNUMBER(SEARCH($AE$4,'Final Calculation Sheet'!$AD$19)))))</f>
        <v/>
      </c>
      <c r="EK21">
        <f>IF($AF$4="",1,IF($AF$4="(blank)",--(IF('Final Calculation Sheet'!$AD$19&lt;=5,"SETTLED","OUTSTANDING")=""),IF($AF$4="(nonblank)",--(IF('Final Calculation Sheet'!$AD$19&lt;=5,"SETTLED","OUTSTANDING")&lt;&gt;""),--ISNUMBER(SEARCH($AF$4,IF('Final Calculation Sheet'!$AD$19&lt;=5,"SETTLED","OUTSTANDING"))))))</f>
        <v/>
      </c>
      <c r="EL21">
        <f>IF($AG$4="",1,IF($AG$4="(blank)",--('Final Calculation Sheet'!$AF$19=""),IF($AG$4="(nonblank)",--('Final Calculation Sheet'!$AF$19&lt;&gt;""),--ISNUMBER(SEARCH($AG$4,'Final Calculation Sheet'!$AF$19)))))</f>
        <v/>
      </c>
      <c r="EM21">
        <f>IF($AH$4="",1,IF($AH$4="(blank)",--('Final Calculation Sheet'!$AG$19=""),IF($AH$4="(nonblank)",--('Final Calculation Sheet'!$AG$19&lt;&gt;""),--ISNUMBER(SEARCH($AH$4,'Final Calculation Sheet'!$AG$19)))))</f>
        <v/>
      </c>
      <c r="EN21">
        <f>IF($AI$4="",1,IF($AI$4="(blank)",--('Final Calculation Sheet'!$AH$19=""),IF($AI$4="(nonblank)",--('Final Calculation Sheet'!$AH$19&lt;&gt;""),--ISNUMBER(SEARCH($AI$4,'Final Calculation Sheet'!$AH$19)))))</f>
        <v/>
      </c>
    </row>
    <row r="22" outlineLevel="1" hidden="1">
      <c r="A22" s="128">
        <f>IF($AL$22="","",16)</f>
        <v/>
      </c>
      <c r="B22" s="129">
        <f>IF($AL$22="","",IF(INDEX('Final Calculation Sheet'!$F$4:$F$40,$AL$22)="","",INDEX('Final Calculation Sheet'!$F$4:$F$40,$AL$22)))</f>
        <v/>
      </c>
      <c r="C22" s="129">
        <f>IF($AL$22="","",IF(INDEX('Final Calculation Sheet'!$G$4:$G$40,$AL$22)="","",INDEX('Final Calculation Sheet'!$G$4:$G$40,$AL$22)))</f>
        <v/>
      </c>
      <c r="D22" s="130">
        <f>IF($AL$22="","",IF(INDEX('Final Calculation Sheet'!$B$4:$B$40,$AL$22)="","",INDEX('Final Calculation Sheet'!$B$4:$B$40,$AL$22)))</f>
        <v/>
      </c>
      <c r="E22" s="130">
        <f>IF($AL$22="","",IF(INDEX('Final Calculation Sheet'!$D$4:$D$40,$AL$22)="","",INDEX('Final Calculation Sheet'!$D$4:$D$40,$AL$22)))</f>
        <v/>
      </c>
      <c r="F22" s="130">
        <f>IF($AL$22="","",IF(INDEX('Final Calculation Sheet'!$A$4:$A$40,$AL$22)="","",INDEX('Final Calculation Sheet'!$A$4:$A$40,$AL$22)))</f>
        <v/>
      </c>
      <c r="G22" s="130">
        <f>IF($AL$22="","",IF(INDEX('Final Calculation Sheet'!$E$4:$E$40,$AL$22)="","",INDEX('Final Calculation Sheet'!$E$4:$E$40,$AL$22)))</f>
        <v/>
      </c>
      <c r="H22" s="131">
        <f>IF($AL$22="","",IF(INDEX('Final Calculation Sheet'!$C$4:$C$40,$AL$22)="","",INDEX('Final Calculation Sheet'!$C$4:$C$40,$AL$22)))</f>
        <v/>
      </c>
      <c r="I22" s="131">
        <f>IF($AL$22="","",IF(INDEX('Final Calculation Sheet'!$H$4:$H$40,$AL$22)="","",INDEX('Final Calculation Sheet'!$H$4:$H$40,$AL$22)))</f>
        <v/>
      </c>
      <c r="J22" s="131">
        <f>IF($AL$22="","",IF(INDEX('Final Calculation Sheet'!$I$4:$I$40,$AL$22)="","",INDEX('Final Calculation Sheet'!$I$4:$I$40,$AL$22)))</f>
        <v/>
      </c>
      <c r="K22" s="131">
        <f>IF($AL$22="","",IF(INDEX('Final Calculation Sheet'!$J$4:$J$40,$AL$22)="","",INDEX('Final Calculation Sheet'!$J$4:$J$40,$AL$22)))</f>
        <v/>
      </c>
      <c r="L22" s="131">
        <f>IF($AL$22="","",IF(INDEX('Final Calculation Sheet'!$K$4:$K$40,$AL$22)="","",INDEX('Final Calculation Sheet'!$K$4:$K$40,$AL$22)))</f>
        <v/>
      </c>
      <c r="M22" s="131">
        <f>IF($AL$22="","",IF(INDEX('Final Calculation Sheet'!$L$4:$L$40,$AL$22)="","",INDEX('Final Calculation Sheet'!$L$4:$L$40,$AL$22)))</f>
        <v/>
      </c>
      <c r="N22" s="131">
        <f>IF($AL$22="","",IF(INDEX('Final Calculation Sheet'!$M$4:$M$40,$AL$22)="","",INDEX('Final Calculation Sheet'!$M$4:$M$40,$AL$22)))</f>
        <v/>
      </c>
      <c r="O22" s="132">
        <f>IF($AL$22="","",IF(INDEX('Final Calculation Sheet'!$N$4:$N$40,$AL$22)="","",INDEX('Final Calculation Sheet'!$N$4:$N$40,$AL$22)))</f>
        <v/>
      </c>
      <c r="P22" s="131">
        <f>IF($AL$22="","",IF(INDEX('Final Calculation Sheet'!$O$4:$O$40,$AL$22)="","",INDEX('Final Calculation Sheet'!$O$4:$O$40,$AL$22)))</f>
        <v/>
      </c>
      <c r="Q22" s="131">
        <f>IF($AL$22="","",IF(INDEX('Final Calculation Sheet'!$P$4:$P$40,$AL$22)="","",INDEX('Final Calculation Sheet'!$P$4:$P$40,$AL$22)))</f>
        <v/>
      </c>
      <c r="R22" s="133">
        <f>IF($AL$22="","",IF(INDEX('Final Calculation Sheet'!$Q$4:$Q$40,$AL$22)="","",INDEX('Final Calculation Sheet'!$Q$4:$Q$40,$AL$22)))</f>
        <v/>
      </c>
      <c r="S22" s="131">
        <f>IF($AL$22="","",IF(INDEX('Final Calculation Sheet'!$R$4:$R$40,$AL$22)="","",INDEX('Final Calculation Sheet'!$R$4:$R$40,$AL$22)))</f>
        <v/>
      </c>
      <c r="T22" s="131">
        <f>IF($AL$22="","",IF(INDEX('Final Calculation Sheet'!$S$4:$S$40,$AL$22)="","",INDEX('Final Calculation Sheet'!$S$4:$S$40,$AL$22)))</f>
        <v/>
      </c>
      <c r="U22" s="131">
        <f>IF($AL$22="","",IF(INDEX('Final Calculation Sheet'!$T$4:$T$40,$AL$22)="","",INDEX('Final Calculation Sheet'!$T$4:$T$40,$AL$22)))</f>
        <v/>
      </c>
      <c r="V22" s="134">
        <f>IF($AL$22="","",IF(INDEX('Final Calculation Sheet'!$U$4:$U$40,$AL$22)="","",INDEX('Final Calculation Sheet'!$U$4:$U$40,$AL$22)))</f>
        <v/>
      </c>
      <c r="W22" s="131">
        <f>IF($AL$22="","",IF(INDEX('Final Calculation Sheet'!$V$4:$V$40,$AL$22)="","",INDEX('Final Calculation Sheet'!$V$4:$V$40,$AL$22)))</f>
        <v/>
      </c>
      <c r="X22" s="131">
        <f>IF($AL$22="","",IF(INDEX('Final Calculation Sheet'!$W$4:$W$40,$AL$22)="","",INDEX('Final Calculation Sheet'!$W$4:$W$40,$AL$22)))</f>
        <v/>
      </c>
      <c r="Y22" s="131">
        <f>IF($AL$22="","",IF(INDEX('Final Calculation Sheet'!$X$4:$X$40,$AL$22)="","",INDEX('Final Calculation Sheet'!$X$4:$X$40,$AL$22)))</f>
        <v/>
      </c>
      <c r="Z22" s="131">
        <f>IF($AL$22="","",IF(INDEX('Final Calculation Sheet'!$Y$4:$Y$40,$AL$22)="","",INDEX('Final Calculation Sheet'!$Y$4:$Y$40,$AL$22)))</f>
        <v/>
      </c>
      <c r="AA22" s="131">
        <f>IF($AL$22="","",IF(INDEX('Final Calculation Sheet'!$Z$4:$Z$40,$AL$22)="","",INDEX('Final Calculation Sheet'!$Z$4:$Z$40,$AL$22)))</f>
        <v/>
      </c>
      <c r="AB22" s="131">
        <f>IF($AL$22="","",IF(INDEX('Final Calculation Sheet'!$AA$4:$AA$40,$AL$22)="","",INDEX('Final Calculation Sheet'!$AA$4:$AA$40,$AL$22)))</f>
        <v/>
      </c>
      <c r="AC22" s="131">
        <f>IF($AL$22="","",IF(INDEX('Final Calculation Sheet'!$AB$4:$AB$40,$AL$22)="","",INDEX('Final Calculation Sheet'!$AB$4:$AB$40,$AL$22)))</f>
        <v/>
      </c>
      <c r="AD22" s="131">
        <f>IF($AL$22="","",IF(INDEX('Final Calculation Sheet'!$AC$4:$AC$40,$AL$22)="","",INDEX('Final Calculation Sheet'!$AC$4:$AC$40,$AL$22)))</f>
        <v/>
      </c>
      <c r="AE22" s="131">
        <f>IF($AL$22="","",IF(INDEX('Final Calculation Sheet'!$AD$4:$AD$40,$AL$22)="","",INDEX('Final Calculation Sheet'!$AD$4:$AD$40,$AL$22)))</f>
        <v/>
      </c>
      <c r="AF22" s="136">
        <f>IF($AL$22="","",IF(INDEX('Final Calculation Sheet'!$AD$4:$AD$40,$AL$22)&lt;=5,"SETTLED","OUTSTANDING"))</f>
        <v/>
      </c>
      <c r="AG22" s="131">
        <f>IF($AL$22="","",IF(INDEX('Final Calculation Sheet'!$AF$4:$AF$40,$AL$22)="","",INDEX('Final Calculation Sheet'!$AF$4:$AF$40,$AL$22)))</f>
        <v/>
      </c>
      <c r="AH22" s="135">
        <f>IF($AL$22="","",IF(INDEX('Final Calculation Sheet'!$AG$4:$AG$40,$AL$22)="","",INDEX('Final Calculation Sheet'!$AG$4:$AG$40,$AL$22)))</f>
        <v/>
      </c>
      <c r="AI22" s="131">
        <f>IF($AL$22="","",IF(INDEX('Final Calculation Sheet'!$AH$4:$AH$40,$AL$22)="","",INDEX('Final Calculation Sheet'!$AH$4:$AH$40,$AL$22)))</f>
        <v/>
      </c>
      <c r="AJ22">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22">
        <f>IF(AJ22=1,COUNTIF(AJ$6:AJ22,1),"")</f>
        <v/>
      </c>
      <c r="AL22">
        <f>IF(COUNTIF($B$4:$AI$4,"&lt;&gt;")=0,"",IFERROR(MATCH(16,$AK$6:$AK$42,0),""))</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G22">
        <f>IF($B$4="",1,IF($B$4="(blank)",--('Final Calculation Sheet'!$F$20=""),IF($B$4="(nonblank)",--('Final Calculation Sheet'!$F$20&lt;&gt;""),--ISNUMBER(SEARCH($B$4,'Final Calculation Sheet'!$F$20)))))</f>
        <v/>
      </c>
      <c r="DH22">
        <f>IF($C$4="",1,IF($C$4="(blank)",--('Final Calculation Sheet'!$G$20=""),IF($C$4="(nonblank)",--('Final Calculation Sheet'!$G$20&lt;&gt;""),--ISNUMBER(SEARCH($C$4,'Final Calculation Sheet'!$G$20)))))</f>
        <v/>
      </c>
      <c r="DI22">
        <f>IF($D$4="",1,IF($D$4="(blank)",--('Final Calculation Sheet'!$B$20=""),IF($D$4="(nonblank)",--('Final Calculation Sheet'!$B$20&lt;&gt;""),--ISNUMBER(SEARCH($D$4,'Final Calculation Sheet'!$B$20)))))</f>
        <v/>
      </c>
      <c r="DJ22">
        <f>IF($E$4="",1,IF($E$4="(blank)",--('Final Calculation Sheet'!$D$20=""),IF($E$4="(nonblank)",--('Final Calculation Sheet'!$D$20&lt;&gt;""),--ISNUMBER(SEARCH($E$4,'Final Calculation Sheet'!$D$20)))))</f>
        <v/>
      </c>
      <c r="DK22">
        <f>IF($F$4="",1,IF($F$4="(blank)",--('Final Calculation Sheet'!$A$20=""),IF($F$4="(nonblank)",--('Final Calculation Sheet'!$A$20&lt;&gt;""),--ISNUMBER(SEARCH($F$4,'Final Calculation Sheet'!$A$20)))))</f>
        <v/>
      </c>
      <c r="DL22">
        <f>IF($G$4="",1,IF($G$4="(blank)",--('Final Calculation Sheet'!$E$20=""),IF($G$4="(nonblank)",--('Final Calculation Sheet'!$E$20&lt;&gt;""),--ISNUMBER(SEARCH($G$4,'Final Calculation Sheet'!$E$20)))))</f>
        <v/>
      </c>
      <c r="DM22">
        <f>IF($H$4="",1,IF($H$4="(blank)",--('Final Calculation Sheet'!$C$20=""),IF($H$4="(nonblank)",--('Final Calculation Sheet'!$C$20&lt;&gt;""),--ISNUMBER(SEARCH($H$4,'Final Calculation Sheet'!$C$20)))))</f>
        <v/>
      </c>
      <c r="DN22">
        <f>IF($I$4="",1,IF($I$4="(blank)",--('Final Calculation Sheet'!$H$20=""),IF($I$4="(nonblank)",--('Final Calculation Sheet'!$H$20&lt;&gt;""),--ISNUMBER(SEARCH($I$4,'Final Calculation Sheet'!$H$20)))))</f>
        <v/>
      </c>
      <c r="DO22">
        <f>IF($J$4="",1,IF($J$4="(blank)",--('Final Calculation Sheet'!$I$20=""),IF($J$4="(nonblank)",--('Final Calculation Sheet'!$I$20&lt;&gt;""),--ISNUMBER(SEARCH($J$4,'Final Calculation Sheet'!$I$20)))))</f>
        <v/>
      </c>
      <c r="DP22">
        <f>IF($K$4="",1,IF($K$4="(blank)",--('Final Calculation Sheet'!$J$20=""),IF($K$4="(nonblank)",--('Final Calculation Sheet'!$J$20&lt;&gt;""),--ISNUMBER(SEARCH($K$4,'Final Calculation Sheet'!$J$20)))))</f>
        <v/>
      </c>
      <c r="DQ22">
        <f>IF($L$4="",1,IF($L$4="(blank)",--('Final Calculation Sheet'!$K$20=""),IF($L$4="(nonblank)",--('Final Calculation Sheet'!$K$20&lt;&gt;""),--ISNUMBER(SEARCH($L$4,'Final Calculation Sheet'!$K$20)))))</f>
        <v/>
      </c>
      <c r="DR22">
        <f>IF($M$4="",1,IF($M$4="(blank)",--('Final Calculation Sheet'!$L$20=""),IF($M$4="(nonblank)",--('Final Calculation Sheet'!$L$20&lt;&gt;""),--ISNUMBER(SEARCH($M$4,'Final Calculation Sheet'!$L$20)))))</f>
        <v/>
      </c>
      <c r="DS22">
        <f>IF($N$4="",1,IF($N$4="(blank)",--('Final Calculation Sheet'!$M$20=""),IF($N$4="(nonblank)",--('Final Calculation Sheet'!$M$20&lt;&gt;""),--ISNUMBER(SEARCH($N$4,'Final Calculation Sheet'!$M$20)))))</f>
        <v/>
      </c>
      <c r="DT22">
        <f>IF($O$4="",1,IF($O$4="(blank)",--('Final Calculation Sheet'!$N$20=""),IF($O$4="(nonblank)",--('Final Calculation Sheet'!$N$20&lt;&gt;""),--ISNUMBER(SEARCH($O$4,'Final Calculation Sheet'!$N$20)))))</f>
        <v/>
      </c>
      <c r="DU22">
        <f>IF($P$4="",1,IF($P$4="(blank)",--('Final Calculation Sheet'!$O$20=""),IF($P$4="(nonblank)",--('Final Calculation Sheet'!$O$20&lt;&gt;""),--ISNUMBER(SEARCH($P$4,'Final Calculation Sheet'!$O$20)))))</f>
        <v/>
      </c>
      <c r="DV22">
        <f>IF($Q$4="",1,IF($Q$4="(blank)",--('Final Calculation Sheet'!$P$20=""),IF($Q$4="(nonblank)",--('Final Calculation Sheet'!$P$20&lt;&gt;""),--ISNUMBER(SEARCH($Q$4,'Final Calculation Sheet'!$P$20)))))</f>
        <v/>
      </c>
      <c r="DW22">
        <f>IF($R$4="",1,IF($R$4="(blank)",--('Final Calculation Sheet'!$Q$20=""),IF($R$4="(nonblank)",--('Final Calculation Sheet'!$Q$20&lt;&gt;""),--ISNUMBER(SEARCH($R$4,'Final Calculation Sheet'!$Q$20)))))</f>
        <v/>
      </c>
      <c r="DX22">
        <f>IF($S$4="",1,IF($S$4="(blank)",--('Final Calculation Sheet'!$R$20=""),IF($S$4="(nonblank)",--('Final Calculation Sheet'!$R$20&lt;&gt;""),--ISNUMBER(SEARCH($S$4,'Final Calculation Sheet'!$R$20)))))</f>
        <v/>
      </c>
      <c r="DY22">
        <f>IF($T$4="",1,IF($T$4="(blank)",--('Final Calculation Sheet'!$S$20=""),IF($T$4="(nonblank)",--('Final Calculation Sheet'!$S$20&lt;&gt;""),--ISNUMBER(SEARCH($T$4,'Final Calculation Sheet'!$S$20)))))</f>
        <v/>
      </c>
      <c r="DZ22">
        <f>IF($U$4="",1,IF($U$4="(blank)",--('Final Calculation Sheet'!$T$20=""),IF($U$4="(nonblank)",--('Final Calculation Sheet'!$T$20&lt;&gt;""),--ISNUMBER(SEARCH($U$4,'Final Calculation Sheet'!$T$20)))))</f>
        <v/>
      </c>
      <c r="EA22">
        <f>IF($V$4="",1,IF($V$4="(blank)",--('Final Calculation Sheet'!$U$20=""),IF($V$4="(nonblank)",--('Final Calculation Sheet'!$U$20&lt;&gt;""),--ISNUMBER(SEARCH($V$4,'Final Calculation Sheet'!$U$20)))))</f>
        <v/>
      </c>
      <c r="EB22">
        <f>IF($W$4="",1,IF($W$4="(blank)",--('Final Calculation Sheet'!$V$20=""),IF($W$4="(nonblank)",--('Final Calculation Sheet'!$V$20&lt;&gt;""),--ISNUMBER(SEARCH($W$4,'Final Calculation Sheet'!$V$20)))))</f>
        <v/>
      </c>
      <c r="EC22">
        <f>IF($X$4="",1,IF($X$4="(blank)",--('Final Calculation Sheet'!$W$20=""),IF($X$4="(nonblank)",--('Final Calculation Sheet'!$W$20&lt;&gt;""),--ISNUMBER(SEARCH($X$4,'Final Calculation Sheet'!$W$20)))))</f>
        <v/>
      </c>
      <c r="ED22">
        <f>IF($Y$4="",1,IF($Y$4="(blank)",--('Final Calculation Sheet'!$X$20=""),IF($Y$4="(nonblank)",--('Final Calculation Sheet'!$X$20&lt;&gt;""),--ISNUMBER(SEARCH($Y$4,'Final Calculation Sheet'!$X$20)))))</f>
        <v/>
      </c>
      <c r="EE22">
        <f>IF($Z$4="",1,IF($Z$4="(blank)",--('Final Calculation Sheet'!$Y$20=""),IF($Z$4="(nonblank)",--('Final Calculation Sheet'!$Y$20&lt;&gt;""),--ISNUMBER(SEARCH($Z$4,'Final Calculation Sheet'!$Y$20)))))</f>
        <v/>
      </c>
      <c r="EF22">
        <f>IF($AA$4="",1,IF($AA$4="(blank)",--('Final Calculation Sheet'!$Z$20=""),IF($AA$4="(nonblank)",--('Final Calculation Sheet'!$Z$20&lt;&gt;""),--ISNUMBER(SEARCH($AA$4,'Final Calculation Sheet'!$Z$20)))))</f>
        <v/>
      </c>
      <c r="EG22">
        <f>IF($AB$4="",1,IF($AB$4="(blank)",--('Final Calculation Sheet'!$AA$20=""),IF($AB$4="(nonblank)",--('Final Calculation Sheet'!$AA$20&lt;&gt;""),--ISNUMBER(SEARCH($AB$4,'Final Calculation Sheet'!$AA$20)))))</f>
        <v/>
      </c>
      <c r="EH22">
        <f>IF($AC$4="",1,IF($AC$4="(blank)",--('Final Calculation Sheet'!$AB$20=""),IF($AC$4="(nonblank)",--('Final Calculation Sheet'!$AB$20&lt;&gt;""),--ISNUMBER(SEARCH($AC$4,'Final Calculation Sheet'!$AB$20)))))</f>
        <v/>
      </c>
      <c r="EI22">
        <f>IF($AD$4="",1,IF($AD$4="(blank)",--('Final Calculation Sheet'!$AC$20=""),IF($AD$4="(nonblank)",--('Final Calculation Sheet'!$AC$20&lt;&gt;""),--ISNUMBER(SEARCH($AD$4,'Final Calculation Sheet'!$AC$20)))))</f>
        <v/>
      </c>
      <c r="EJ22">
        <f>IF($AE$4="",1,IF($AE$4="(blank)",--('Final Calculation Sheet'!$AD$20=""),IF($AE$4="(nonblank)",--('Final Calculation Sheet'!$AD$20&lt;&gt;""),--ISNUMBER(SEARCH($AE$4,'Final Calculation Sheet'!$AD$20)))))</f>
        <v/>
      </c>
      <c r="EK22">
        <f>IF($AF$4="",1,IF($AF$4="(blank)",--(IF('Final Calculation Sheet'!$AD$20&lt;=5,"SETTLED","OUTSTANDING")=""),IF($AF$4="(nonblank)",--(IF('Final Calculation Sheet'!$AD$20&lt;=5,"SETTLED","OUTSTANDING")&lt;&gt;""),--ISNUMBER(SEARCH($AF$4,IF('Final Calculation Sheet'!$AD$20&lt;=5,"SETTLED","OUTSTANDING"))))))</f>
        <v/>
      </c>
      <c r="EL22">
        <f>IF($AG$4="",1,IF($AG$4="(blank)",--('Final Calculation Sheet'!$AF$20=""),IF($AG$4="(nonblank)",--('Final Calculation Sheet'!$AF$20&lt;&gt;""),--ISNUMBER(SEARCH($AG$4,'Final Calculation Sheet'!$AF$20)))))</f>
        <v/>
      </c>
      <c r="EM22">
        <f>IF($AH$4="",1,IF($AH$4="(blank)",--('Final Calculation Sheet'!$AG$20=""),IF($AH$4="(nonblank)",--('Final Calculation Sheet'!$AG$20&lt;&gt;""),--ISNUMBER(SEARCH($AH$4,'Final Calculation Sheet'!$AG$20)))))</f>
        <v/>
      </c>
      <c r="EN22">
        <f>IF($AI$4="",1,IF($AI$4="(blank)",--('Final Calculation Sheet'!$AH$20=""),IF($AI$4="(nonblank)",--('Final Calculation Sheet'!$AH$20&lt;&gt;""),--ISNUMBER(SEARCH($AI$4,'Final Calculation Sheet'!$AH$20)))))</f>
        <v/>
      </c>
    </row>
    <row r="23" outlineLevel="1" hidden="1">
      <c r="A23" s="118">
        <f>IF($AL$23="","",17)</f>
        <v/>
      </c>
      <c r="B23" s="119">
        <f>IF($AL$23="","",IF(INDEX('Final Calculation Sheet'!$F$4:$F$40,$AL$23)="","",INDEX('Final Calculation Sheet'!$F$4:$F$40,$AL$23)))</f>
        <v/>
      </c>
      <c r="C23" s="119">
        <f>IF($AL$23="","",IF(INDEX('Final Calculation Sheet'!$G$4:$G$40,$AL$23)="","",INDEX('Final Calculation Sheet'!$G$4:$G$40,$AL$23)))</f>
        <v/>
      </c>
      <c r="D23" s="121">
        <f>IF($AL$23="","",IF(INDEX('Final Calculation Sheet'!$B$4:$B$40,$AL$23)="","",INDEX('Final Calculation Sheet'!$B$4:$B$40,$AL$23)))</f>
        <v/>
      </c>
      <c r="E23" s="121">
        <f>IF($AL$23="","",IF(INDEX('Final Calculation Sheet'!$D$4:$D$40,$AL$23)="","",INDEX('Final Calculation Sheet'!$D$4:$D$40,$AL$23)))</f>
        <v/>
      </c>
      <c r="F23" s="121">
        <f>IF($AL$23="","",IF(INDEX('Final Calculation Sheet'!$A$4:$A$40,$AL$23)="","",INDEX('Final Calculation Sheet'!$A$4:$A$40,$AL$23)))</f>
        <v/>
      </c>
      <c r="G23" s="121">
        <f>IF($AL$23="","",IF(INDEX('Final Calculation Sheet'!$E$4:$E$40,$AL$23)="","",INDEX('Final Calculation Sheet'!$E$4:$E$40,$AL$23)))</f>
        <v/>
      </c>
      <c r="H23" s="122">
        <f>IF($AL$23="","",IF(INDEX('Final Calculation Sheet'!$C$4:$C$40,$AL$23)="","",INDEX('Final Calculation Sheet'!$C$4:$C$40,$AL$23)))</f>
        <v/>
      </c>
      <c r="I23" s="122">
        <f>IF($AL$23="","",IF(INDEX('Final Calculation Sheet'!$H$4:$H$40,$AL$23)="","",INDEX('Final Calculation Sheet'!$H$4:$H$40,$AL$23)))</f>
        <v/>
      </c>
      <c r="J23" s="122">
        <f>IF($AL$23="","",IF(INDEX('Final Calculation Sheet'!$I$4:$I$40,$AL$23)="","",INDEX('Final Calculation Sheet'!$I$4:$I$40,$AL$23)))</f>
        <v/>
      </c>
      <c r="K23" s="122">
        <f>IF($AL$23="","",IF(INDEX('Final Calculation Sheet'!$J$4:$J$40,$AL$23)="","",INDEX('Final Calculation Sheet'!$J$4:$J$40,$AL$23)))</f>
        <v/>
      </c>
      <c r="L23" s="122">
        <f>IF($AL$23="","",IF(INDEX('Final Calculation Sheet'!$K$4:$K$40,$AL$23)="","",INDEX('Final Calculation Sheet'!$K$4:$K$40,$AL$23)))</f>
        <v/>
      </c>
      <c r="M23" s="122">
        <f>IF($AL$23="","",IF(INDEX('Final Calculation Sheet'!$L$4:$L$40,$AL$23)="","",INDEX('Final Calculation Sheet'!$L$4:$L$40,$AL$23)))</f>
        <v/>
      </c>
      <c r="N23" s="122">
        <f>IF($AL$23="","",IF(INDEX('Final Calculation Sheet'!$M$4:$M$40,$AL$23)="","",INDEX('Final Calculation Sheet'!$M$4:$M$40,$AL$23)))</f>
        <v/>
      </c>
      <c r="O23" s="123">
        <f>IF($AL$23="","",IF(INDEX('Final Calculation Sheet'!$N$4:$N$40,$AL$23)="","",INDEX('Final Calculation Sheet'!$N$4:$N$40,$AL$23)))</f>
        <v/>
      </c>
      <c r="P23" s="122">
        <f>IF($AL$23="","",IF(INDEX('Final Calculation Sheet'!$O$4:$O$40,$AL$23)="","",INDEX('Final Calculation Sheet'!$O$4:$O$40,$AL$23)))</f>
        <v/>
      </c>
      <c r="Q23" s="122">
        <f>IF($AL$23="","",IF(INDEX('Final Calculation Sheet'!$P$4:$P$40,$AL$23)="","",INDEX('Final Calculation Sheet'!$P$4:$P$40,$AL$23)))</f>
        <v/>
      </c>
      <c r="R23" s="124">
        <f>IF($AL$23="","",IF(INDEX('Final Calculation Sheet'!$Q$4:$Q$40,$AL$23)="","",INDEX('Final Calculation Sheet'!$Q$4:$Q$40,$AL$23)))</f>
        <v/>
      </c>
      <c r="S23" s="122">
        <f>IF($AL$23="","",IF(INDEX('Final Calculation Sheet'!$R$4:$R$40,$AL$23)="","",INDEX('Final Calculation Sheet'!$R$4:$R$40,$AL$23)))</f>
        <v/>
      </c>
      <c r="T23" s="122">
        <f>IF($AL$23="","",IF(INDEX('Final Calculation Sheet'!$S$4:$S$40,$AL$23)="","",INDEX('Final Calculation Sheet'!$S$4:$S$40,$AL$23)))</f>
        <v/>
      </c>
      <c r="U23" s="122">
        <f>IF($AL$23="","",IF(INDEX('Final Calculation Sheet'!$T$4:$T$40,$AL$23)="","",INDEX('Final Calculation Sheet'!$T$4:$T$40,$AL$23)))</f>
        <v/>
      </c>
      <c r="V23" s="125">
        <f>IF($AL$23="","",IF(INDEX('Final Calculation Sheet'!$U$4:$U$40,$AL$23)="","",INDEX('Final Calculation Sheet'!$U$4:$U$40,$AL$23)))</f>
        <v/>
      </c>
      <c r="W23" s="122">
        <f>IF($AL$23="","",IF(INDEX('Final Calculation Sheet'!$V$4:$V$40,$AL$23)="","",INDEX('Final Calculation Sheet'!$V$4:$V$40,$AL$23)))</f>
        <v/>
      </c>
      <c r="X23" s="122">
        <f>IF($AL$23="","",IF(INDEX('Final Calculation Sheet'!$W$4:$W$40,$AL$23)="","",INDEX('Final Calculation Sheet'!$W$4:$W$40,$AL$23)))</f>
        <v/>
      </c>
      <c r="Y23" s="122">
        <f>IF($AL$23="","",IF(INDEX('Final Calculation Sheet'!$X$4:$X$40,$AL$23)="","",INDEX('Final Calculation Sheet'!$X$4:$X$40,$AL$23)))</f>
        <v/>
      </c>
      <c r="Z23" s="122">
        <f>IF($AL$23="","",IF(INDEX('Final Calculation Sheet'!$Y$4:$Y$40,$AL$23)="","",INDEX('Final Calculation Sheet'!$Y$4:$Y$40,$AL$23)))</f>
        <v/>
      </c>
      <c r="AA23" s="122">
        <f>IF($AL$23="","",IF(INDEX('Final Calculation Sheet'!$Z$4:$Z$40,$AL$23)="","",INDEX('Final Calculation Sheet'!$Z$4:$Z$40,$AL$23)))</f>
        <v/>
      </c>
      <c r="AB23" s="122">
        <f>IF($AL$23="","",IF(INDEX('Final Calculation Sheet'!$AA$4:$AA$40,$AL$23)="","",INDEX('Final Calculation Sheet'!$AA$4:$AA$40,$AL$23)))</f>
        <v/>
      </c>
      <c r="AC23" s="122">
        <f>IF($AL$23="","",IF(INDEX('Final Calculation Sheet'!$AB$4:$AB$40,$AL$23)="","",INDEX('Final Calculation Sheet'!$AB$4:$AB$40,$AL$23)))</f>
        <v/>
      </c>
      <c r="AD23" s="122">
        <f>IF($AL$23="","",IF(INDEX('Final Calculation Sheet'!$AC$4:$AC$40,$AL$23)="","",INDEX('Final Calculation Sheet'!$AC$4:$AC$40,$AL$23)))</f>
        <v/>
      </c>
      <c r="AE23" s="122">
        <f>IF($AL$23="","",IF(INDEX('Final Calculation Sheet'!$AD$4:$AD$40,$AL$23)="","",INDEX('Final Calculation Sheet'!$AD$4:$AD$40,$AL$23)))</f>
        <v/>
      </c>
      <c r="AF23" s="127">
        <f>IF($AL$23="","",IF(INDEX('Final Calculation Sheet'!$AD$4:$AD$40,$AL$23)&lt;=5,"SETTLED","OUTSTANDING"))</f>
        <v/>
      </c>
      <c r="AG23" s="122">
        <f>IF($AL$23="","",IF(INDEX('Final Calculation Sheet'!$AF$4:$AF$40,$AL$23)="","",INDEX('Final Calculation Sheet'!$AF$4:$AF$40,$AL$23)))</f>
        <v/>
      </c>
      <c r="AH23" s="126">
        <f>IF($AL$23="","",IF(INDEX('Final Calculation Sheet'!$AG$4:$AG$40,$AL$23)="","",INDEX('Final Calculation Sheet'!$AG$4:$AG$40,$AL$23)))</f>
        <v/>
      </c>
      <c r="AI23" s="122">
        <f>IF($AL$23="","",IF(INDEX('Final Calculation Sheet'!$AH$4:$AH$40,$AL$23)="","",INDEX('Final Calculation Sheet'!$AH$4:$AH$40,$AL$23)))</f>
        <v/>
      </c>
      <c r="AJ23">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23">
        <f>IF(AJ23=1,COUNTIF(AJ$6:AJ23,1),"")</f>
        <v/>
      </c>
      <c r="AL23">
        <f>IF(COUNTIF($B$4:$AI$4,"&lt;&gt;")=0,"",IFERROR(MATCH(17,$AK$6:$AK$42,0),""))</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G23">
        <f>IF($B$4="",1,IF($B$4="(blank)",--('Final Calculation Sheet'!$F$21=""),IF($B$4="(nonblank)",--('Final Calculation Sheet'!$F$21&lt;&gt;""),--ISNUMBER(SEARCH($B$4,'Final Calculation Sheet'!$F$21)))))</f>
        <v/>
      </c>
      <c r="DH23">
        <f>IF($C$4="",1,IF($C$4="(blank)",--('Final Calculation Sheet'!$G$21=""),IF($C$4="(nonblank)",--('Final Calculation Sheet'!$G$21&lt;&gt;""),--ISNUMBER(SEARCH($C$4,'Final Calculation Sheet'!$G$21)))))</f>
        <v/>
      </c>
      <c r="DI23">
        <f>IF($D$4="",1,IF($D$4="(blank)",--('Final Calculation Sheet'!$B$21=""),IF($D$4="(nonblank)",--('Final Calculation Sheet'!$B$21&lt;&gt;""),--ISNUMBER(SEARCH($D$4,'Final Calculation Sheet'!$B$21)))))</f>
        <v/>
      </c>
      <c r="DJ23">
        <f>IF($E$4="",1,IF($E$4="(blank)",--('Final Calculation Sheet'!$D$21=""),IF($E$4="(nonblank)",--('Final Calculation Sheet'!$D$21&lt;&gt;""),--ISNUMBER(SEARCH($E$4,'Final Calculation Sheet'!$D$21)))))</f>
        <v/>
      </c>
      <c r="DK23">
        <f>IF($F$4="",1,IF($F$4="(blank)",--('Final Calculation Sheet'!$A$21=""),IF($F$4="(nonblank)",--('Final Calculation Sheet'!$A$21&lt;&gt;""),--ISNUMBER(SEARCH($F$4,'Final Calculation Sheet'!$A$21)))))</f>
        <v/>
      </c>
      <c r="DL23">
        <f>IF($G$4="",1,IF($G$4="(blank)",--('Final Calculation Sheet'!$E$21=""),IF($G$4="(nonblank)",--('Final Calculation Sheet'!$E$21&lt;&gt;""),--ISNUMBER(SEARCH($G$4,'Final Calculation Sheet'!$E$21)))))</f>
        <v/>
      </c>
      <c r="DM23">
        <f>IF($H$4="",1,IF($H$4="(blank)",--('Final Calculation Sheet'!$C$21=""),IF($H$4="(nonblank)",--('Final Calculation Sheet'!$C$21&lt;&gt;""),--ISNUMBER(SEARCH($H$4,'Final Calculation Sheet'!$C$21)))))</f>
        <v/>
      </c>
      <c r="DN23">
        <f>IF($I$4="",1,IF($I$4="(blank)",--('Final Calculation Sheet'!$H$21=""),IF($I$4="(nonblank)",--('Final Calculation Sheet'!$H$21&lt;&gt;""),--ISNUMBER(SEARCH($I$4,'Final Calculation Sheet'!$H$21)))))</f>
        <v/>
      </c>
      <c r="DO23">
        <f>IF($J$4="",1,IF($J$4="(blank)",--('Final Calculation Sheet'!$I$21=""),IF($J$4="(nonblank)",--('Final Calculation Sheet'!$I$21&lt;&gt;""),--ISNUMBER(SEARCH($J$4,'Final Calculation Sheet'!$I$21)))))</f>
        <v/>
      </c>
      <c r="DP23">
        <f>IF($K$4="",1,IF($K$4="(blank)",--('Final Calculation Sheet'!$J$21=""),IF($K$4="(nonblank)",--('Final Calculation Sheet'!$J$21&lt;&gt;""),--ISNUMBER(SEARCH($K$4,'Final Calculation Sheet'!$J$21)))))</f>
        <v/>
      </c>
      <c r="DQ23">
        <f>IF($L$4="",1,IF($L$4="(blank)",--('Final Calculation Sheet'!$K$21=""),IF($L$4="(nonblank)",--('Final Calculation Sheet'!$K$21&lt;&gt;""),--ISNUMBER(SEARCH($L$4,'Final Calculation Sheet'!$K$21)))))</f>
        <v/>
      </c>
      <c r="DR23">
        <f>IF($M$4="",1,IF($M$4="(blank)",--('Final Calculation Sheet'!$L$21=""),IF($M$4="(nonblank)",--('Final Calculation Sheet'!$L$21&lt;&gt;""),--ISNUMBER(SEARCH($M$4,'Final Calculation Sheet'!$L$21)))))</f>
        <v/>
      </c>
      <c r="DS23">
        <f>IF($N$4="",1,IF($N$4="(blank)",--('Final Calculation Sheet'!$M$21=""),IF($N$4="(nonblank)",--('Final Calculation Sheet'!$M$21&lt;&gt;""),--ISNUMBER(SEARCH($N$4,'Final Calculation Sheet'!$M$21)))))</f>
        <v/>
      </c>
      <c r="DT23">
        <f>IF($O$4="",1,IF($O$4="(blank)",--('Final Calculation Sheet'!$N$21=""),IF($O$4="(nonblank)",--('Final Calculation Sheet'!$N$21&lt;&gt;""),--ISNUMBER(SEARCH($O$4,'Final Calculation Sheet'!$N$21)))))</f>
        <v/>
      </c>
      <c r="DU23">
        <f>IF($P$4="",1,IF($P$4="(blank)",--('Final Calculation Sheet'!$O$21=""),IF($P$4="(nonblank)",--('Final Calculation Sheet'!$O$21&lt;&gt;""),--ISNUMBER(SEARCH($P$4,'Final Calculation Sheet'!$O$21)))))</f>
        <v/>
      </c>
      <c r="DV23">
        <f>IF($Q$4="",1,IF($Q$4="(blank)",--('Final Calculation Sheet'!$P$21=""),IF($Q$4="(nonblank)",--('Final Calculation Sheet'!$P$21&lt;&gt;""),--ISNUMBER(SEARCH($Q$4,'Final Calculation Sheet'!$P$21)))))</f>
        <v/>
      </c>
      <c r="DW23">
        <f>IF($R$4="",1,IF($R$4="(blank)",--('Final Calculation Sheet'!$Q$21=""),IF($R$4="(nonblank)",--('Final Calculation Sheet'!$Q$21&lt;&gt;""),--ISNUMBER(SEARCH($R$4,'Final Calculation Sheet'!$Q$21)))))</f>
        <v/>
      </c>
      <c r="DX23">
        <f>IF($S$4="",1,IF($S$4="(blank)",--('Final Calculation Sheet'!$R$21=""),IF($S$4="(nonblank)",--('Final Calculation Sheet'!$R$21&lt;&gt;""),--ISNUMBER(SEARCH($S$4,'Final Calculation Sheet'!$R$21)))))</f>
        <v/>
      </c>
      <c r="DY23">
        <f>IF($T$4="",1,IF($T$4="(blank)",--('Final Calculation Sheet'!$S$21=""),IF($T$4="(nonblank)",--('Final Calculation Sheet'!$S$21&lt;&gt;""),--ISNUMBER(SEARCH($T$4,'Final Calculation Sheet'!$S$21)))))</f>
        <v/>
      </c>
      <c r="DZ23">
        <f>IF($U$4="",1,IF($U$4="(blank)",--('Final Calculation Sheet'!$T$21=""),IF($U$4="(nonblank)",--('Final Calculation Sheet'!$T$21&lt;&gt;""),--ISNUMBER(SEARCH($U$4,'Final Calculation Sheet'!$T$21)))))</f>
        <v/>
      </c>
      <c r="EA23">
        <f>IF($V$4="",1,IF($V$4="(blank)",--('Final Calculation Sheet'!$U$21=""),IF($V$4="(nonblank)",--('Final Calculation Sheet'!$U$21&lt;&gt;""),--ISNUMBER(SEARCH($V$4,'Final Calculation Sheet'!$U$21)))))</f>
        <v/>
      </c>
      <c r="EB23">
        <f>IF($W$4="",1,IF($W$4="(blank)",--('Final Calculation Sheet'!$V$21=""),IF($W$4="(nonblank)",--('Final Calculation Sheet'!$V$21&lt;&gt;""),--ISNUMBER(SEARCH($W$4,'Final Calculation Sheet'!$V$21)))))</f>
        <v/>
      </c>
      <c r="EC23">
        <f>IF($X$4="",1,IF($X$4="(blank)",--('Final Calculation Sheet'!$W$21=""),IF($X$4="(nonblank)",--('Final Calculation Sheet'!$W$21&lt;&gt;""),--ISNUMBER(SEARCH($X$4,'Final Calculation Sheet'!$W$21)))))</f>
        <v/>
      </c>
      <c r="ED23">
        <f>IF($Y$4="",1,IF($Y$4="(blank)",--('Final Calculation Sheet'!$X$21=""),IF($Y$4="(nonblank)",--('Final Calculation Sheet'!$X$21&lt;&gt;""),--ISNUMBER(SEARCH($Y$4,'Final Calculation Sheet'!$X$21)))))</f>
        <v/>
      </c>
      <c r="EE23">
        <f>IF($Z$4="",1,IF($Z$4="(blank)",--('Final Calculation Sheet'!$Y$21=""),IF($Z$4="(nonblank)",--('Final Calculation Sheet'!$Y$21&lt;&gt;""),--ISNUMBER(SEARCH($Z$4,'Final Calculation Sheet'!$Y$21)))))</f>
        <v/>
      </c>
      <c r="EF23">
        <f>IF($AA$4="",1,IF($AA$4="(blank)",--('Final Calculation Sheet'!$Z$21=""),IF($AA$4="(nonblank)",--('Final Calculation Sheet'!$Z$21&lt;&gt;""),--ISNUMBER(SEARCH($AA$4,'Final Calculation Sheet'!$Z$21)))))</f>
        <v/>
      </c>
      <c r="EG23">
        <f>IF($AB$4="",1,IF($AB$4="(blank)",--('Final Calculation Sheet'!$AA$21=""),IF($AB$4="(nonblank)",--('Final Calculation Sheet'!$AA$21&lt;&gt;""),--ISNUMBER(SEARCH($AB$4,'Final Calculation Sheet'!$AA$21)))))</f>
        <v/>
      </c>
      <c r="EH23">
        <f>IF($AC$4="",1,IF($AC$4="(blank)",--('Final Calculation Sheet'!$AB$21=""),IF($AC$4="(nonblank)",--('Final Calculation Sheet'!$AB$21&lt;&gt;""),--ISNUMBER(SEARCH($AC$4,'Final Calculation Sheet'!$AB$21)))))</f>
        <v/>
      </c>
      <c r="EI23">
        <f>IF($AD$4="",1,IF($AD$4="(blank)",--('Final Calculation Sheet'!$AC$21=""),IF($AD$4="(nonblank)",--('Final Calculation Sheet'!$AC$21&lt;&gt;""),--ISNUMBER(SEARCH($AD$4,'Final Calculation Sheet'!$AC$21)))))</f>
        <v/>
      </c>
      <c r="EJ23">
        <f>IF($AE$4="",1,IF($AE$4="(blank)",--('Final Calculation Sheet'!$AD$21=""),IF($AE$4="(nonblank)",--('Final Calculation Sheet'!$AD$21&lt;&gt;""),--ISNUMBER(SEARCH($AE$4,'Final Calculation Sheet'!$AD$21)))))</f>
        <v/>
      </c>
      <c r="EK23">
        <f>IF($AF$4="",1,IF($AF$4="(blank)",--(IF('Final Calculation Sheet'!$AD$21&lt;=5,"SETTLED","OUTSTANDING")=""),IF($AF$4="(nonblank)",--(IF('Final Calculation Sheet'!$AD$21&lt;=5,"SETTLED","OUTSTANDING")&lt;&gt;""),--ISNUMBER(SEARCH($AF$4,IF('Final Calculation Sheet'!$AD$21&lt;=5,"SETTLED","OUTSTANDING"))))))</f>
        <v/>
      </c>
      <c r="EL23">
        <f>IF($AG$4="",1,IF($AG$4="(blank)",--('Final Calculation Sheet'!$AF$21=""),IF($AG$4="(nonblank)",--('Final Calculation Sheet'!$AF$21&lt;&gt;""),--ISNUMBER(SEARCH($AG$4,'Final Calculation Sheet'!$AF$21)))))</f>
        <v/>
      </c>
      <c r="EM23">
        <f>IF($AH$4="",1,IF($AH$4="(blank)",--('Final Calculation Sheet'!$AG$21=""),IF($AH$4="(nonblank)",--('Final Calculation Sheet'!$AG$21&lt;&gt;""),--ISNUMBER(SEARCH($AH$4,'Final Calculation Sheet'!$AG$21)))))</f>
        <v/>
      </c>
      <c r="EN23">
        <f>IF($AI$4="",1,IF($AI$4="(blank)",--('Final Calculation Sheet'!$AH$21=""),IF($AI$4="(nonblank)",--('Final Calculation Sheet'!$AH$21&lt;&gt;""),--ISNUMBER(SEARCH($AI$4,'Final Calculation Sheet'!$AH$21)))))</f>
        <v/>
      </c>
    </row>
    <row r="24" outlineLevel="1" hidden="1">
      <c r="A24" s="128">
        <f>IF($AL$24="","",18)</f>
        <v/>
      </c>
      <c r="B24" s="129">
        <f>IF($AL$24="","",IF(INDEX('Final Calculation Sheet'!$F$4:$F$40,$AL$24)="","",INDEX('Final Calculation Sheet'!$F$4:$F$40,$AL$24)))</f>
        <v/>
      </c>
      <c r="C24" s="129">
        <f>IF($AL$24="","",IF(INDEX('Final Calculation Sheet'!$G$4:$G$40,$AL$24)="","",INDEX('Final Calculation Sheet'!$G$4:$G$40,$AL$24)))</f>
        <v/>
      </c>
      <c r="D24" s="130">
        <f>IF($AL$24="","",IF(INDEX('Final Calculation Sheet'!$B$4:$B$40,$AL$24)="","",INDEX('Final Calculation Sheet'!$B$4:$B$40,$AL$24)))</f>
        <v/>
      </c>
      <c r="E24" s="130">
        <f>IF($AL$24="","",IF(INDEX('Final Calculation Sheet'!$D$4:$D$40,$AL$24)="","",INDEX('Final Calculation Sheet'!$D$4:$D$40,$AL$24)))</f>
        <v/>
      </c>
      <c r="F24" s="130">
        <f>IF($AL$24="","",IF(INDEX('Final Calculation Sheet'!$A$4:$A$40,$AL$24)="","",INDEX('Final Calculation Sheet'!$A$4:$A$40,$AL$24)))</f>
        <v/>
      </c>
      <c r="G24" s="130">
        <f>IF($AL$24="","",IF(INDEX('Final Calculation Sheet'!$E$4:$E$40,$AL$24)="","",INDEX('Final Calculation Sheet'!$E$4:$E$40,$AL$24)))</f>
        <v/>
      </c>
      <c r="H24" s="131">
        <f>IF($AL$24="","",IF(INDEX('Final Calculation Sheet'!$C$4:$C$40,$AL$24)="","",INDEX('Final Calculation Sheet'!$C$4:$C$40,$AL$24)))</f>
        <v/>
      </c>
      <c r="I24" s="131">
        <f>IF($AL$24="","",IF(INDEX('Final Calculation Sheet'!$H$4:$H$40,$AL$24)="","",INDEX('Final Calculation Sheet'!$H$4:$H$40,$AL$24)))</f>
        <v/>
      </c>
      <c r="J24" s="131">
        <f>IF($AL$24="","",IF(INDEX('Final Calculation Sheet'!$I$4:$I$40,$AL$24)="","",INDEX('Final Calculation Sheet'!$I$4:$I$40,$AL$24)))</f>
        <v/>
      </c>
      <c r="K24" s="131">
        <f>IF($AL$24="","",IF(INDEX('Final Calculation Sheet'!$J$4:$J$40,$AL$24)="","",INDEX('Final Calculation Sheet'!$J$4:$J$40,$AL$24)))</f>
        <v/>
      </c>
      <c r="L24" s="131">
        <f>IF($AL$24="","",IF(INDEX('Final Calculation Sheet'!$K$4:$K$40,$AL$24)="","",INDEX('Final Calculation Sheet'!$K$4:$K$40,$AL$24)))</f>
        <v/>
      </c>
      <c r="M24" s="131">
        <f>IF($AL$24="","",IF(INDEX('Final Calculation Sheet'!$L$4:$L$40,$AL$24)="","",INDEX('Final Calculation Sheet'!$L$4:$L$40,$AL$24)))</f>
        <v/>
      </c>
      <c r="N24" s="131">
        <f>IF($AL$24="","",IF(INDEX('Final Calculation Sheet'!$M$4:$M$40,$AL$24)="","",INDEX('Final Calculation Sheet'!$M$4:$M$40,$AL$24)))</f>
        <v/>
      </c>
      <c r="O24" s="132">
        <f>IF($AL$24="","",IF(INDEX('Final Calculation Sheet'!$N$4:$N$40,$AL$24)="","",INDEX('Final Calculation Sheet'!$N$4:$N$40,$AL$24)))</f>
        <v/>
      </c>
      <c r="P24" s="131">
        <f>IF($AL$24="","",IF(INDEX('Final Calculation Sheet'!$O$4:$O$40,$AL$24)="","",INDEX('Final Calculation Sheet'!$O$4:$O$40,$AL$24)))</f>
        <v/>
      </c>
      <c r="Q24" s="131">
        <f>IF($AL$24="","",IF(INDEX('Final Calculation Sheet'!$P$4:$P$40,$AL$24)="","",INDEX('Final Calculation Sheet'!$P$4:$P$40,$AL$24)))</f>
        <v/>
      </c>
      <c r="R24" s="133">
        <f>IF($AL$24="","",IF(INDEX('Final Calculation Sheet'!$Q$4:$Q$40,$AL$24)="","",INDEX('Final Calculation Sheet'!$Q$4:$Q$40,$AL$24)))</f>
        <v/>
      </c>
      <c r="S24" s="131">
        <f>IF($AL$24="","",IF(INDEX('Final Calculation Sheet'!$R$4:$R$40,$AL$24)="","",INDEX('Final Calculation Sheet'!$R$4:$R$40,$AL$24)))</f>
        <v/>
      </c>
      <c r="T24" s="131">
        <f>IF($AL$24="","",IF(INDEX('Final Calculation Sheet'!$S$4:$S$40,$AL$24)="","",INDEX('Final Calculation Sheet'!$S$4:$S$40,$AL$24)))</f>
        <v/>
      </c>
      <c r="U24" s="131">
        <f>IF($AL$24="","",IF(INDEX('Final Calculation Sheet'!$T$4:$T$40,$AL$24)="","",INDEX('Final Calculation Sheet'!$T$4:$T$40,$AL$24)))</f>
        <v/>
      </c>
      <c r="V24" s="134">
        <f>IF($AL$24="","",IF(INDEX('Final Calculation Sheet'!$U$4:$U$40,$AL$24)="","",INDEX('Final Calculation Sheet'!$U$4:$U$40,$AL$24)))</f>
        <v/>
      </c>
      <c r="W24" s="131">
        <f>IF($AL$24="","",IF(INDEX('Final Calculation Sheet'!$V$4:$V$40,$AL$24)="","",INDEX('Final Calculation Sheet'!$V$4:$V$40,$AL$24)))</f>
        <v/>
      </c>
      <c r="X24" s="131">
        <f>IF($AL$24="","",IF(INDEX('Final Calculation Sheet'!$W$4:$W$40,$AL$24)="","",INDEX('Final Calculation Sheet'!$W$4:$W$40,$AL$24)))</f>
        <v/>
      </c>
      <c r="Y24" s="131">
        <f>IF($AL$24="","",IF(INDEX('Final Calculation Sheet'!$X$4:$X$40,$AL$24)="","",INDEX('Final Calculation Sheet'!$X$4:$X$40,$AL$24)))</f>
        <v/>
      </c>
      <c r="Z24" s="131">
        <f>IF($AL$24="","",IF(INDEX('Final Calculation Sheet'!$Y$4:$Y$40,$AL$24)="","",INDEX('Final Calculation Sheet'!$Y$4:$Y$40,$AL$24)))</f>
        <v/>
      </c>
      <c r="AA24" s="131">
        <f>IF($AL$24="","",IF(INDEX('Final Calculation Sheet'!$Z$4:$Z$40,$AL$24)="","",INDEX('Final Calculation Sheet'!$Z$4:$Z$40,$AL$24)))</f>
        <v/>
      </c>
      <c r="AB24" s="131">
        <f>IF($AL$24="","",IF(INDEX('Final Calculation Sheet'!$AA$4:$AA$40,$AL$24)="","",INDEX('Final Calculation Sheet'!$AA$4:$AA$40,$AL$24)))</f>
        <v/>
      </c>
      <c r="AC24" s="131">
        <f>IF($AL$24="","",IF(INDEX('Final Calculation Sheet'!$AB$4:$AB$40,$AL$24)="","",INDEX('Final Calculation Sheet'!$AB$4:$AB$40,$AL$24)))</f>
        <v/>
      </c>
      <c r="AD24" s="131">
        <f>IF($AL$24="","",IF(INDEX('Final Calculation Sheet'!$AC$4:$AC$40,$AL$24)="","",INDEX('Final Calculation Sheet'!$AC$4:$AC$40,$AL$24)))</f>
        <v/>
      </c>
      <c r="AE24" s="131">
        <f>IF($AL$24="","",IF(INDEX('Final Calculation Sheet'!$AD$4:$AD$40,$AL$24)="","",INDEX('Final Calculation Sheet'!$AD$4:$AD$40,$AL$24)))</f>
        <v/>
      </c>
      <c r="AF24" s="136">
        <f>IF($AL$24="","",IF(INDEX('Final Calculation Sheet'!$AD$4:$AD$40,$AL$24)&lt;=5,"SETTLED","OUTSTANDING"))</f>
        <v/>
      </c>
      <c r="AG24" s="131">
        <f>IF($AL$24="","",IF(INDEX('Final Calculation Sheet'!$AF$4:$AF$40,$AL$24)="","",INDEX('Final Calculation Sheet'!$AF$4:$AF$40,$AL$24)))</f>
        <v/>
      </c>
      <c r="AH24" s="135">
        <f>IF($AL$24="","",IF(INDEX('Final Calculation Sheet'!$AG$4:$AG$40,$AL$24)="","",INDEX('Final Calculation Sheet'!$AG$4:$AG$40,$AL$24)))</f>
        <v/>
      </c>
      <c r="AI24" s="131">
        <f>IF($AL$24="","",IF(INDEX('Final Calculation Sheet'!$AH$4:$AH$40,$AL$24)="","",INDEX('Final Calculation Sheet'!$AH$4:$AH$40,$AL$24)))</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IF(AJ24=1,COUNTIF(AJ$6:AJ24,1),"")</f>
        <v/>
      </c>
      <c r="AL24">
        <f>IF(COUNTIF($B$4:$AI$4,"&lt;&gt;")=0,"",IFERROR(MATCH(18,$AK$6:$AK$42,0),""))</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G24">
        <f>IF($B$4="",1,IF($B$4="(blank)",--('Final Calculation Sheet'!$F$22=""),IF($B$4="(nonblank)",--('Final Calculation Sheet'!$F$22&lt;&gt;""),--ISNUMBER(SEARCH($B$4,'Final Calculation Sheet'!$F$22)))))</f>
        <v/>
      </c>
      <c r="DH24">
        <f>IF($C$4="",1,IF($C$4="(blank)",--('Final Calculation Sheet'!$G$22=""),IF($C$4="(nonblank)",--('Final Calculation Sheet'!$G$22&lt;&gt;""),--ISNUMBER(SEARCH($C$4,'Final Calculation Sheet'!$G$22)))))</f>
        <v/>
      </c>
      <c r="DI24">
        <f>IF($D$4="",1,IF($D$4="(blank)",--('Final Calculation Sheet'!$B$22=""),IF($D$4="(nonblank)",--('Final Calculation Sheet'!$B$22&lt;&gt;""),--ISNUMBER(SEARCH($D$4,'Final Calculation Sheet'!$B$22)))))</f>
        <v/>
      </c>
      <c r="DJ24">
        <f>IF($E$4="",1,IF($E$4="(blank)",--('Final Calculation Sheet'!$D$22=""),IF($E$4="(nonblank)",--('Final Calculation Sheet'!$D$22&lt;&gt;""),--ISNUMBER(SEARCH($E$4,'Final Calculation Sheet'!$D$22)))))</f>
        <v/>
      </c>
      <c r="DK24">
        <f>IF($F$4="",1,IF($F$4="(blank)",--('Final Calculation Sheet'!$A$22=""),IF($F$4="(nonblank)",--('Final Calculation Sheet'!$A$22&lt;&gt;""),--ISNUMBER(SEARCH($F$4,'Final Calculation Sheet'!$A$22)))))</f>
        <v/>
      </c>
      <c r="DL24">
        <f>IF($G$4="",1,IF($G$4="(blank)",--('Final Calculation Sheet'!$E$22=""),IF($G$4="(nonblank)",--('Final Calculation Sheet'!$E$22&lt;&gt;""),--ISNUMBER(SEARCH($G$4,'Final Calculation Sheet'!$E$22)))))</f>
        <v/>
      </c>
      <c r="DM24">
        <f>IF($H$4="",1,IF($H$4="(blank)",--('Final Calculation Sheet'!$C$22=""),IF($H$4="(nonblank)",--('Final Calculation Sheet'!$C$22&lt;&gt;""),--ISNUMBER(SEARCH($H$4,'Final Calculation Sheet'!$C$22)))))</f>
        <v/>
      </c>
      <c r="DN24">
        <f>IF($I$4="",1,IF($I$4="(blank)",--('Final Calculation Sheet'!$H$22=""),IF($I$4="(nonblank)",--('Final Calculation Sheet'!$H$22&lt;&gt;""),--ISNUMBER(SEARCH($I$4,'Final Calculation Sheet'!$H$22)))))</f>
        <v/>
      </c>
      <c r="DO24">
        <f>IF($J$4="",1,IF($J$4="(blank)",--('Final Calculation Sheet'!$I$22=""),IF($J$4="(nonblank)",--('Final Calculation Sheet'!$I$22&lt;&gt;""),--ISNUMBER(SEARCH($J$4,'Final Calculation Sheet'!$I$22)))))</f>
        <v/>
      </c>
      <c r="DP24">
        <f>IF($K$4="",1,IF($K$4="(blank)",--('Final Calculation Sheet'!$J$22=""),IF($K$4="(nonblank)",--('Final Calculation Sheet'!$J$22&lt;&gt;""),--ISNUMBER(SEARCH($K$4,'Final Calculation Sheet'!$J$22)))))</f>
        <v/>
      </c>
      <c r="DQ24">
        <f>IF($L$4="",1,IF($L$4="(blank)",--('Final Calculation Sheet'!$K$22=""),IF($L$4="(nonblank)",--('Final Calculation Sheet'!$K$22&lt;&gt;""),--ISNUMBER(SEARCH($L$4,'Final Calculation Sheet'!$K$22)))))</f>
        <v/>
      </c>
      <c r="DR24">
        <f>IF($M$4="",1,IF($M$4="(blank)",--('Final Calculation Sheet'!$L$22=""),IF($M$4="(nonblank)",--('Final Calculation Sheet'!$L$22&lt;&gt;""),--ISNUMBER(SEARCH($M$4,'Final Calculation Sheet'!$L$22)))))</f>
        <v/>
      </c>
      <c r="DS24">
        <f>IF($N$4="",1,IF($N$4="(blank)",--('Final Calculation Sheet'!$M$22=""),IF($N$4="(nonblank)",--('Final Calculation Sheet'!$M$22&lt;&gt;""),--ISNUMBER(SEARCH($N$4,'Final Calculation Sheet'!$M$22)))))</f>
        <v/>
      </c>
      <c r="DT24">
        <f>IF($O$4="",1,IF($O$4="(blank)",--('Final Calculation Sheet'!$N$22=""),IF($O$4="(nonblank)",--('Final Calculation Sheet'!$N$22&lt;&gt;""),--ISNUMBER(SEARCH($O$4,'Final Calculation Sheet'!$N$22)))))</f>
        <v/>
      </c>
      <c r="DU24">
        <f>IF($P$4="",1,IF($P$4="(blank)",--('Final Calculation Sheet'!$O$22=""),IF($P$4="(nonblank)",--('Final Calculation Sheet'!$O$22&lt;&gt;""),--ISNUMBER(SEARCH($P$4,'Final Calculation Sheet'!$O$22)))))</f>
        <v/>
      </c>
      <c r="DV24">
        <f>IF($Q$4="",1,IF($Q$4="(blank)",--('Final Calculation Sheet'!$P$22=""),IF($Q$4="(nonblank)",--('Final Calculation Sheet'!$P$22&lt;&gt;""),--ISNUMBER(SEARCH($Q$4,'Final Calculation Sheet'!$P$22)))))</f>
        <v/>
      </c>
      <c r="DW24">
        <f>IF($R$4="",1,IF($R$4="(blank)",--('Final Calculation Sheet'!$Q$22=""),IF($R$4="(nonblank)",--('Final Calculation Sheet'!$Q$22&lt;&gt;""),--ISNUMBER(SEARCH($R$4,'Final Calculation Sheet'!$Q$22)))))</f>
        <v/>
      </c>
      <c r="DX24">
        <f>IF($S$4="",1,IF($S$4="(blank)",--('Final Calculation Sheet'!$R$22=""),IF($S$4="(nonblank)",--('Final Calculation Sheet'!$R$22&lt;&gt;""),--ISNUMBER(SEARCH($S$4,'Final Calculation Sheet'!$R$22)))))</f>
        <v/>
      </c>
      <c r="DY24">
        <f>IF($T$4="",1,IF($T$4="(blank)",--('Final Calculation Sheet'!$S$22=""),IF($T$4="(nonblank)",--('Final Calculation Sheet'!$S$22&lt;&gt;""),--ISNUMBER(SEARCH($T$4,'Final Calculation Sheet'!$S$22)))))</f>
        <v/>
      </c>
      <c r="DZ24">
        <f>IF($U$4="",1,IF($U$4="(blank)",--('Final Calculation Sheet'!$T$22=""),IF($U$4="(nonblank)",--('Final Calculation Sheet'!$T$22&lt;&gt;""),--ISNUMBER(SEARCH($U$4,'Final Calculation Sheet'!$T$22)))))</f>
        <v/>
      </c>
      <c r="EA24">
        <f>IF($V$4="",1,IF($V$4="(blank)",--('Final Calculation Sheet'!$U$22=""),IF($V$4="(nonblank)",--('Final Calculation Sheet'!$U$22&lt;&gt;""),--ISNUMBER(SEARCH($V$4,'Final Calculation Sheet'!$U$22)))))</f>
        <v/>
      </c>
      <c r="EB24">
        <f>IF($W$4="",1,IF($W$4="(blank)",--('Final Calculation Sheet'!$V$22=""),IF($W$4="(nonblank)",--('Final Calculation Sheet'!$V$22&lt;&gt;""),--ISNUMBER(SEARCH($W$4,'Final Calculation Sheet'!$V$22)))))</f>
        <v/>
      </c>
      <c r="EC24">
        <f>IF($X$4="",1,IF($X$4="(blank)",--('Final Calculation Sheet'!$W$22=""),IF($X$4="(nonblank)",--('Final Calculation Sheet'!$W$22&lt;&gt;""),--ISNUMBER(SEARCH($X$4,'Final Calculation Sheet'!$W$22)))))</f>
        <v/>
      </c>
      <c r="ED24">
        <f>IF($Y$4="",1,IF($Y$4="(blank)",--('Final Calculation Sheet'!$X$22=""),IF($Y$4="(nonblank)",--('Final Calculation Sheet'!$X$22&lt;&gt;""),--ISNUMBER(SEARCH($Y$4,'Final Calculation Sheet'!$X$22)))))</f>
        <v/>
      </c>
      <c r="EE24">
        <f>IF($Z$4="",1,IF($Z$4="(blank)",--('Final Calculation Sheet'!$Y$22=""),IF($Z$4="(nonblank)",--('Final Calculation Sheet'!$Y$22&lt;&gt;""),--ISNUMBER(SEARCH($Z$4,'Final Calculation Sheet'!$Y$22)))))</f>
        <v/>
      </c>
      <c r="EF24">
        <f>IF($AA$4="",1,IF($AA$4="(blank)",--('Final Calculation Sheet'!$Z$22=""),IF($AA$4="(nonblank)",--('Final Calculation Sheet'!$Z$22&lt;&gt;""),--ISNUMBER(SEARCH($AA$4,'Final Calculation Sheet'!$Z$22)))))</f>
        <v/>
      </c>
      <c r="EG24">
        <f>IF($AB$4="",1,IF($AB$4="(blank)",--('Final Calculation Sheet'!$AA$22=""),IF($AB$4="(nonblank)",--('Final Calculation Sheet'!$AA$22&lt;&gt;""),--ISNUMBER(SEARCH($AB$4,'Final Calculation Sheet'!$AA$22)))))</f>
        <v/>
      </c>
      <c r="EH24">
        <f>IF($AC$4="",1,IF($AC$4="(blank)",--('Final Calculation Sheet'!$AB$22=""),IF($AC$4="(nonblank)",--('Final Calculation Sheet'!$AB$22&lt;&gt;""),--ISNUMBER(SEARCH($AC$4,'Final Calculation Sheet'!$AB$22)))))</f>
        <v/>
      </c>
      <c r="EI24">
        <f>IF($AD$4="",1,IF($AD$4="(blank)",--('Final Calculation Sheet'!$AC$22=""),IF($AD$4="(nonblank)",--('Final Calculation Sheet'!$AC$22&lt;&gt;""),--ISNUMBER(SEARCH($AD$4,'Final Calculation Sheet'!$AC$22)))))</f>
        <v/>
      </c>
      <c r="EJ24">
        <f>IF($AE$4="",1,IF($AE$4="(blank)",--('Final Calculation Sheet'!$AD$22=""),IF($AE$4="(nonblank)",--('Final Calculation Sheet'!$AD$22&lt;&gt;""),--ISNUMBER(SEARCH($AE$4,'Final Calculation Sheet'!$AD$22)))))</f>
        <v/>
      </c>
      <c r="EK24">
        <f>IF($AF$4="",1,IF($AF$4="(blank)",--(IF('Final Calculation Sheet'!$AD$22&lt;=5,"SETTLED","OUTSTANDING")=""),IF($AF$4="(nonblank)",--(IF('Final Calculation Sheet'!$AD$22&lt;=5,"SETTLED","OUTSTANDING")&lt;&gt;""),--ISNUMBER(SEARCH($AF$4,IF('Final Calculation Sheet'!$AD$22&lt;=5,"SETTLED","OUTSTANDING"))))))</f>
        <v/>
      </c>
      <c r="EL24">
        <f>IF($AG$4="",1,IF($AG$4="(blank)",--('Final Calculation Sheet'!$AF$22=""),IF($AG$4="(nonblank)",--('Final Calculation Sheet'!$AF$22&lt;&gt;""),--ISNUMBER(SEARCH($AG$4,'Final Calculation Sheet'!$AF$22)))))</f>
        <v/>
      </c>
      <c r="EM24">
        <f>IF($AH$4="",1,IF($AH$4="(blank)",--('Final Calculation Sheet'!$AG$22=""),IF($AH$4="(nonblank)",--('Final Calculation Sheet'!$AG$22&lt;&gt;""),--ISNUMBER(SEARCH($AH$4,'Final Calculation Sheet'!$AG$22)))))</f>
        <v/>
      </c>
      <c r="EN24">
        <f>IF($AI$4="",1,IF($AI$4="(blank)",--('Final Calculation Sheet'!$AH$22=""),IF($AI$4="(nonblank)",--('Final Calculation Sheet'!$AH$22&lt;&gt;""),--ISNUMBER(SEARCH($AI$4,'Final Calculation Sheet'!$AH$22)))))</f>
        <v/>
      </c>
    </row>
    <row r="25" outlineLevel="1" hidden="1">
      <c r="A25" s="118">
        <f>IF($AL$25="","",19)</f>
        <v/>
      </c>
      <c r="B25" s="119">
        <f>IF($AL$25="","",IF(INDEX('Final Calculation Sheet'!$F$4:$F$40,$AL$25)="","",INDEX('Final Calculation Sheet'!$F$4:$F$40,$AL$25)))</f>
        <v/>
      </c>
      <c r="C25" s="119">
        <f>IF($AL$25="","",IF(INDEX('Final Calculation Sheet'!$G$4:$G$40,$AL$25)="","",INDEX('Final Calculation Sheet'!$G$4:$G$40,$AL$25)))</f>
        <v/>
      </c>
      <c r="D25" s="121">
        <f>IF($AL$25="","",IF(INDEX('Final Calculation Sheet'!$B$4:$B$40,$AL$25)="","",INDEX('Final Calculation Sheet'!$B$4:$B$40,$AL$25)))</f>
        <v/>
      </c>
      <c r="E25" s="121">
        <f>IF($AL$25="","",IF(INDEX('Final Calculation Sheet'!$D$4:$D$40,$AL$25)="","",INDEX('Final Calculation Sheet'!$D$4:$D$40,$AL$25)))</f>
        <v/>
      </c>
      <c r="F25" s="121">
        <f>IF($AL$25="","",IF(INDEX('Final Calculation Sheet'!$A$4:$A$40,$AL$25)="","",INDEX('Final Calculation Sheet'!$A$4:$A$40,$AL$25)))</f>
        <v/>
      </c>
      <c r="G25" s="121">
        <f>IF($AL$25="","",IF(INDEX('Final Calculation Sheet'!$E$4:$E$40,$AL$25)="","",INDEX('Final Calculation Sheet'!$E$4:$E$40,$AL$25)))</f>
        <v/>
      </c>
      <c r="H25" s="122">
        <f>IF($AL$25="","",IF(INDEX('Final Calculation Sheet'!$C$4:$C$40,$AL$25)="","",INDEX('Final Calculation Sheet'!$C$4:$C$40,$AL$25)))</f>
        <v/>
      </c>
      <c r="I25" s="122">
        <f>IF($AL$25="","",IF(INDEX('Final Calculation Sheet'!$H$4:$H$40,$AL$25)="","",INDEX('Final Calculation Sheet'!$H$4:$H$40,$AL$25)))</f>
        <v/>
      </c>
      <c r="J25" s="122">
        <f>IF($AL$25="","",IF(INDEX('Final Calculation Sheet'!$I$4:$I$40,$AL$25)="","",INDEX('Final Calculation Sheet'!$I$4:$I$40,$AL$25)))</f>
        <v/>
      </c>
      <c r="K25" s="122">
        <f>IF($AL$25="","",IF(INDEX('Final Calculation Sheet'!$J$4:$J$40,$AL$25)="","",INDEX('Final Calculation Sheet'!$J$4:$J$40,$AL$25)))</f>
        <v/>
      </c>
      <c r="L25" s="122">
        <f>IF($AL$25="","",IF(INDEX('Final Calculation Sheet'!$K$4:$K$40,$AL$25)="","",INDEX('Final Calculation Sheet'!$K$4:$K$40,$AL$25)))</f>
        <v/>
      </c>
      <c r="M25" s="122">
        <f>IF($AL$25="","",IF(INDEX('Final Calculation Sheet'!$L$4:$L$40,$AL$25)="","",INDEX('Final Calculation Sheet'!$L$4:$L$40,$AL$25)))</f>
        <v/>
      </c>
      <c r="N25" s="122">
        <f>IF($AL$25="","",IF(INDEX('Final Calculation Sheet'!$M$4:$M$40,$AL$25)="","",INDEX('Final Calculation Sheet'!$M$4:$M$40,$AL$25)))</f>
        <v/>
      </c>
      <c r="O25" s="123">
        <f>IF($AL$25="","",IF(INDEX('Final Calculation Sheet'!$N$4:$N$40,$AL$25)="","",INDEX('Final Calculation Sheet'!$N$4:$N$40,$AL$25)))</f>
        <v/>
      </c>
      <c r="P25" s="122">
        <f>IF($AL$25="","",IF(INDEX('Final Calculation Sheet'!$O$4:$O$40,$AL$25)="","",INDEX('Final Calculation Sheet'!$O$4:$O$40,$AL$25)))</f>
        <v/>
      </c>
      <c r="Q25" s="122">
        <f>IF($AL$25="","",IF(INDEX('Final Calculation Sheet'!$P$4:$P$40,$AL$25)="","",INDEX('Final Calculation Sheet'!$P$4:$P$40,$AL$25)))</f>
        <v/>
      </c>
      <c r="R25" s="124">
        <f>IF($AL$25="","",IF(INDEX('Final Calculation Sheet'!$Q$4:$Q$40,$AL$25)="","",INDEX('Final Calculation Sheet'!$Q$4:$Q$40,$AL$25)))</f>
        <v/>
      </c>
      <c r="S25" s="122">
        <f>IF($AL$25="","",IF(INDEX('Final Calculation Sheet'!$R$4:$R$40,$AL$25)="","",INDEX('Final Calculation Sheet'!$R$4:$R$40,$AL$25)))</f>
        <v/>
      </c>
      <c r="T25" s="122">
        <f>IF($AL$25="","",IF(INDEX('Final Calculation Sheet'!$S$4:$S$40,$AL$25)="","",INDEX('Final Calculation Sheet'!$S$4:$S$40,$AL$25)))</f>
        <v/>
      </c>
      <c r="U25" s="122">
        <f>IF($AL$25="","",IF(INDEX('Final Calculation Sheet'!$T$4:$T$40,$AL$25)="","",INDEX('Final Calculation Sheet'!$T$4:$T$40,$AL$25)))</f>
        <v/>
      </c>
      <c r="V25" s="125">
        <f>IF($AL$25="","",IF(INDEX('Final Calculation Sheet'!$U$4:$U$40,$AL$25)="","",INDEX('Final Calculation Sheet'!$U$4:$U$40,$AL$25)))</f>
        <v/>
      </c>
      <c r="W25" s="122">
        <f>IF($AL$25="","",IF(INDEX('Final Calculation Sheet'!$V$4:$V$40,$AL$25)="","",INDEX('Final Calculation Sheet'!$V$4:$V$40,$AL$25)))</f>
        <v/>
      </c>
      <c r="X25" s="122">
        <f>IF($AL$25="","",IF(INDEX('Final Calculation Sheet'!$W$4:$W$40,$AL$25)="","",INDEX('Final Calculation Sheet'!$W$4:$W$40,$AL$25)))</f>
        <v/>
      </c>
      <c r="Y25" s="122">
        <f>IF($AL$25="","",IF(INDEX('Final Calculation Sheet'!$X$4:$X$40,$AL$25)="","",INDEX('Final Calculation Sheet'!$X$4:$X$40,$AL$25)))</f>
        <v/>
      </c>
      <c r="Z25" s="122">
        <f>IF($AL$25="","",IF(INDEX('Final Calculation Sheet'!$Y$4:$Y$40,$AL$25)="","",INDEX('Final Calculation Sheet'!$Y$4:$Y$40,$AL$25)))</f>
        <v/>
      </c>
      <c r="AA25" s="122">
        <f>IF($AL$25="","",IF(INDEX('Final Calculation Sheet'!$Z$4:$Z$40,$AL$25)="","",INDEX('Final Calculation Sheet'!$Z$4:$Z$40,$AL$25)))</f>
        <v/>
      </c>
      <c r="AB25" s="122">
        <f>IF($AL$25="","",IF(INDEX('Final Calculation Sheet'!$AA$4:$AA$40,$AL$25)="","",INDEX('Final Calculation Sheet'!$AA$4:$AA$40,$AL$25)))</f>
        <v/>
      </c>
      <c r="AC25" s="122">
        <f>IF($AL$25="","",IF(INDEX('Final Calculation Sheet'!$AB$4:$AB$40,$AL$25)="","",INDEX('Final Calculation Sheet'!$AB$4:$AB$40,$AL$25)))</f>
        <v/>
      </c>
      <c r="AD25" s="122">
        <f>IF($AL$25="","",IF(INDEX('Final Calculation Sheet'!$AC$4:$AC$40,$AL$25)="","",INDEX('Final Calculation Sheet'!$AC$4:$AC$40,$AL$25)))</f>
        <v/>
      </c>
      <c r="AE25" s="122">
        <f>IF($AL$25="","",IF(INDEX('Final Calculation Sheet'!$AD$4:$AD$40,$AL$25)="","",INDEX('Final Calculation Sheet'!$AD$4:$AD$40,$AL$25)))</f>
        <v/>
      </c>
      <c r="AF25" s="127">
        <f>IF($AL$25="","",IF(INDEX('Final Calculation Sheet'!$AD$4:$AD$40,$AL$25)&lt;=5,"SETTLED","OUTSTANDING"))</f>
        <v/>
      </c>
      <c r="AG25" s="122">
        <f>IF($AL$25="","",IF(INDEX('Final Calculation Sheet'!$AF$4:$AF$40,$AL$25)="","",INDEX('Final Calculation Sheet'!$AF$4:$AF$40,$AL$25)))</f>
        <v/>
      </c>
      <c r="AH25" s="126">
        <f>IF($AL$25="","",IF(INDEX('Final Calculation Sheet'!$AG$4:$AG$40,$AL$25)="","",INDEX('Final Calculation Sheet'!$AG$4:$AG$40,$AL$25)))</f>
        <v/>
      </c>
      <c r="AI25" s="122">
        <f>IF($AL$25="","",IF(INDEX('Final Calculation Sheet'!$AH$4:$AH$40,$AL$25)="","",INDEX('Final Calculation Sheet'!$AH$4:$AH$40,$AL$25)))</f>
        <v/>
      </c>
      <c r="AJ25">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25">
        <f>IF(AJ25=1,COUNTIF(AJ$6:AJ25,1),"")</f>
        <v/>
      </c>
      <c r="AL25">
        <f>IF(COUNTIF($B$4:$AI$4,"&lt;&gt;")=0,"",IFERROR(MATCH(19,$AK$6:$AK$42,0),""))</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G25">
        <f>IF($B$4="",1,IF($B$4="(blank)",--('Final Calculation Sheet'!$F$23=""),IF($B$4="(nonblank)",--('Final Calculation Sheet'!$F$23&lt;&gt;""),--ISNUMBER(SEARCH($B$4,'Final Calculation Sheet'!$F$23)))))</f>
        <v/>
      </c>
      <c r="DH25">
        <f>IF($C$4="",1,IF($C$4="(blank)",--('Final Calculation Sheet'!$G$23=""),IF($C$4="(nonblank)",--('Final Calculation Sheet'!$G$23&lt;&gt;""),--ISNUMBER(SEARCH($C$4,'Final Calculation Sheet'!$G$23)))))</f>
        <v/>
      </c>
      <c r="DI25">
        <f>IF($D$4="",1,IF($D$4="(blank)",--('Final Calculation Sheet'!$B$23=""),IF($D$4="(nonblank)",--('Final Calculation Sheet'!$B$23&lt;&gt;""),--ISNUMBER(SEARCH($D$4,'Final Calculation Sheet'!$B$23)))))</f>
        <v/>
      </c>
      <c r="DJ25">
        <f>IF($E$4="",1,IF($E$4="(blank)",--('Final Calculation Sheet'!$D$23=""),IF($E$4="(nonblank)",--('Final Calculation Sheet'!$D$23&lt;&gt;""),--ISNUMBER(SEARCH($E$4,'Final Calculation Sheet'!$D$23)))))</f>
        <v/>
      </c>
      <c r="DK25">
        <f>IF($F$4="",1,IF($F$4="(blank)",--('Final Calculation Sheet'!$A$23=""),IF($F$4="(nonblank)",--('Final Calculation Sheet'!$A$23&lt;&gt;""),--ISNUMBER(SEARCH($F$4,'Final Calculation Sheet'!$A$23)))))</f>
        <v/>
      </c>
      <c r="DL25">
        <f>IF($G$4="",1,IF($G$4="(blank)",--('Final Calculation Sheet'!$E$23=""),IF($G$4="(nonblank)",--('Final Calculation Sheet'!$E$23&lt;&gt;""),--ISNUMBER(SEARCH($G$4,'Final Calculation Sheet'!$E$23)))))</f>
        <v/>
      </c>
      <c r="DM25">
        <f>IF($H$4="",1,IF($H$4="(blank)",--('Final Calculation Sheet'!$C$23=""),IF($H$4="(nonblank)",--('Final Calculation Sheet'!$C$23&lt;&gt;""),--ISNUMBER(SEARCH($H$4,'Final Calculation Sheet'!$C$23)))))</f>
        <v/>
      </c>
      <c r="DN25">
        <f>IF($I$4="",1,IF($I$4="(blank)",--('Final Calculation Sheet'!$H$23=""),IF($I$4="(nonblank)",--('Final Calculation Sheet'!$H$23&lt;&gt;""),--ISNUMBER(SEARCH($I$4,'Final Calculation Sheet'!$H$23)))))</f>
        <v/>
      </c>
      <c r="DO25">
        <f>IF($J$4="",1,IF($J$4="(blank)",--('Final Calculation Sheet'!$I$23=""),IF($J$4="(nonblank)",--('Final Calculation Sheet'!$I$23&lt;&gt;""),--ISNUMBER(SEARCH($J$4,'Final Calculation Sheet'!$I$23)))))</f>
        <v/>
      </c>
      <c r="DP25">
        <f>IF($K$4="",1,IF($K$4="(blank)",--('Final Calculation Sheet'!$J$23=""),IF($K$4="(nonblank)",--('Final Calculation Sheet'!$J$23&lt;&gt;""),--ISNUMBER(SEARCH($K$4,'Final Calculation Sheet'!$J$23)))))</f>
        <v/>
      </c>
      <c r="DQ25">
        <f>IF($L$4="",1,IF($L$4="(blank)",--('Final Calculation Sheet'!$K$23=""),IF($L$4="(nonblank)",--('Final Calculation Sheet'!$K$23&lt;&gt;""),--ISNUMBER(SEARCH($L$4,'Final Calculation Sheet'!$K$23)))))</f>
        <v/>
      </c>
      <c r="DR25">
        <f>IF($M$4="",1,IF($M$4="(blank)",--('Final Calculation Sheet'!$L$23=""),IF($M$4="(nonblank)",--('Final Calculation Sheet'!$L$23&lt;&gt;""),--ISNUMBER(SEARCH($M$4,'Final Calculation Sheet'!$L$23)))))</f>
        <v/>
      </c>
      <c r="DS25">
        <f>IF($N$4="",1,IF($N$4="(blank)",--('Final Calculation Sheet'!$M$23=""),IF($N$4="(nonblank)",--('Final Calculation Sheet'!$M$23&lt;&gt;""),--ISNUMBER(SEARCH($N$4,'Final Calculation Sheet'!$M$23)))))</f>
        <v/>
      </c>
      <c r="DT25">
        <f>IF($O$4="",1,IF($O$4="(blank)",--('Final Calculation Sheet'!$N$23=""),IF($O$4="(nonblank)",--('Final Calculation Sheet'!$N$23&lt;&gt;""),--ISNUMBER(SEARCH($O$4,'Final Calculation Sheet'!$N$23)))))</f>
        <v/>
      </c>
      <c r="DU25">
        <f>IF($P$4="",1,IF($P$4="(blank)",--('Final Calculation Sheet'!$O$23=""),IF($P$4="(nonblank)",--('Final Calculation Sheet'!$O$23&lt;&gt;""),--ISNUMBER(SEARCH($P$4,'Final Calculation Sheet'!$O$23)))))</f>
        <v/>
      </c>
      <c r="DV25">
        <f>IF($Q$4="",1,IF($Q$4="(blank)",--('Final Calculation Sheet'!$P$23=""),IF($Q$4="(nonblank)",--('Final Calculation Sheet'!$P$23&lt;&gt;""),--ISNUMBER(SEARCH($Q$4,'Final Calculation Sheet'!$P$23)))))</f>
        <v/>
      </c>
      <c r="DW25">
        <f>IF($R$4="",1,IF($R$4="(blank)",--('Final Calculation Sheet'!$Q$23=""),IF($R$4="(nonblank)",--('Final Calculation Sheet'!$Q$23&lt;&gt;""),--ISNUMBER(SEARCH($R$4,'Final Calculation Sheet'!$Q$23)))))</f>
        <v/>
      </c>
      <c r="DX25">
        <f>IF($S$4="",1,IF($S$4="(blank)",--('Final Calculation Sheet'!$R$23=""),IF($S$4="(nonblank)",--('Final Calculation Sheet'!$R$23&lt;&gt;""),--ISNUMBER(SEARCH($S$4,'Final Calculation Sheet'!$R$23)))))</f>
        <v/>
      </c>
      <c r="DY25">
        <f>IF($T$4="",1,IF($T$4="(blank)",--('Final Calculation Sheet'!$S$23=""),IF($T$4="(nonblank)",--('Final Calculation Sheet'!$S$23&lt;&gt;""),--ISNUMBER(SEARCH($T$4,'Final Calculation Sheet'!$S$23)))))</f>
        <v/>
      </c>
      <c r="DZ25">
        <f>IF($U$4="",1,IF($U$4="(blank)",--('Final Calculation Sheet'!$T$23=""),IF($U$4="(nonblank)",--('Final Calculation Sheet'!$T$23&lt;&gt;""),--ISNUMBER(SEARCH($U$4,'Final Calculation Sheet'!$T$23)))))</f>
        <v/>
      </c>
      <c r="EA25">
        <f>IF($V$4="",1,IF($V$4="(blank)",--('Final Calculation Sheet'!$U$23=""),IF($V$4="(nonblank)",--('Final Calculation Sheet'!$U$23&lt;&gt;""),--ISNUMBER(SEARCH($V$4,'Final Calculation Sheet'!$U$23)))))</f>
        <v/>
      </c>
      <c r="EB25">
        <f>IF($W$4="",1,IF($W$4="(blank)",--('Final Calculation Sheet'!$V$23=""),IF($W$4="(nonblank)",--('Final Calculation Sheet'!$V$23&lt;&gt;""),--ISNUMBER(SEARCH($W$4,'Final Calculation Sheet'!$V$23)))))</f>
        <v/>
      </c>
      <c r="EC25">
        <f>IF($X$4="",1,IF($X$4="(blank)",--('Final Calculation Sheet'!$W$23=""),IF($X$4="(nonblank)",--('Final Calculation Sheet'!$W$23&lt;&gt;""),--ISNUMBER(SEARCH($X$4,'Final Calculation Sheet'!$W$23)))))</f>
        <v/>
      </c>
      <c r="ED25">
        <f>IF($Y$4="",1,IF($Y$4="(blank)",--('Final Calculation Sheet'!$X$23=""),IF($Y$4="(nonblank)",--('Final Calculation Sheet'!$X$23&lt;&gt;""),--ISNUMBER(SEARCH($Y$4,'Final Calculation Sheet'!$X$23)))))</f>
        <v/>
      </c>
      <c r="EE25">
        <f>IF($Z$4="",1,IF($Z$4="(blank)",--('Final Calculation Sheet'!$Y$23=""),IF($Z$4="(nonblank)",--('Final Calculation Sheet'!$Y$23&lt;&gt;""),--ISNUMBER(SEARCH($Z$4,'Final Calculation Sheet'!$Y$23)))))</f>
        <v/>
      </c>
      <c r="EF25">
        <f>IF($AA$4="",1,IF($AA$4="(blank)",--('Final Calculation Sheet'!$Z$23=""),IF($AA$4="(nonblank)",--('Final Calculation Sheet'!$Z$23&lt;&gt;""),--ISNUMBER(SEARCH($AA$4,'Final Calculation Sheet'!$Z$23)))))</f>
        <v/>
      </c>
      <c r="EG25">
        <f>IF($AB$4="",1,IF($AB$4="(blank)",--('Final Calculation Sheet'!$AA$23=""),IF($AB$4="(nonblank)",--('Final Calculation Sheet'!$AA$23&lt;&gt;""),--ISNUMBER(SEARCH($AB$4,'Final Calculation Sheet'!$AA$23)))))</f>
        <v/>
      </c>
      <c r="EH25">
        <f>IF($AC$4="",1,IF($AC$4="(blank)",--('Final Calculation Sheet'!$AB$23=""),IF($AC$4="(nonblank)",--('Final Calculation Sheet'!$AB$23&lt;&gt;""),--ISNUMBER(SEARCH($AC$4,'Final Calculation Sheet'!$AB$23)))))</f>
        <v/>
      </c>
      <c r="EI25">
        <f>IF($AD$4="",1,IF($AD$4="(blank)",--('Final Calculation Sheet'!$AC$23=""),IF($AD$4="(nonblank)",--('Final Calculation Sheet'!$AC$23&lt;&gt;""),--ISNUMBER(SEARCH($AD$4,'Final Calculation Sheet'!$AC$23)))))</f>
        <v/>
      </c>
      <c r="EJ25">
        <f>IF($AE$4="",1,IF($AE$4="(blank)",--('Final Calculation Sheet'!$AD$23=""),IF($AE$4="(nonblank)",--('Final Calculation Sheet'!$AD$23&lt;&gt;""),--ISNUMBER(SEARCH($AE$4,'Final Calculation Sheet'!$AD$23)))))</f>
        <v/>
      </c>
      <c r="EK25">
        <f>IF($AF$4="",1,IF($AF$4="(blank)",--(IF('Final Calculation Sheet'!$AD$23&lt;=5,"SETTLED","OUTSTANDING")=""),IF($AF$4="(nonblank)",--(IF('Final Calculation Sheet'!$AD$23&lt;=5,"SETTLED","OUTSTANDING")&lt;&gt;""),--ISNUMBER(SEARCH($AF$4,IF('Final Calculation Sheet'!$AD$23&lt;=5,"SETTLED","OUTSTANDING"))))))</f>
        <v/>
      </c>
      <c r="EL25">
        <f>IF($AG$4="",1,IF($AG$4="(blank)",--('Final Calculation Sheet'!$AF$23=""),IF($AG$4="(nonblank)",--('Final Calculation Sheet'!$AF$23&lt;&gt;""),--ISNUMBER(SEARCH($AG$4,'Final Calculation Sheet'!$AF$23)))))</f>
        <v/>
      </c>
      <c r="EM25">
        <f>IF($AH$4="",1,IF($AH$4="(blank)",--('Final Calculation Sheet'!$AG$23=""),IF($AH$4="(nonblank)",--('Final Calculation Sheet'!$AG$23&lt;&gt;""),--ISNUMBER(SEARCH($AH$4,'Final Calculation Sheet'!$AG$23)))))</f>
        <v/>
      </c>
      <c r="EN25">
        <f>IF($AI$4="",1,IF($AI$4="(blank)",--('Final Calculation Sheet'!$AH$23=""),IF($AI$4="(nonblank)",--('Final Calculation Sheet'!$AH$23&lt;&gt;""),--ISNUMBER(SEARCH($AI$4,'Final Calculation Sheet'!$AH$23)))))</f>
        <v/>
      </c>
    </row>
    <row r="26" outlineLevel="1" hidden="1">
      <c r="A26" s="128">
        <f>IF($AL$26="","",20)</f>
        <v/>
      </c>
      <c r="B26" s="129">
        <f>IF($AL$26="","",IF(INDEX('Final Calculation Sheet'!$F$4:$F$40,$AL$26)="","",INDEX('Final Calculation Sheet'!$F$4:$F$40,$AL$26)))</f>
        <v/>
      </c>
      <c r="C26" s="129">
        <f>IF($AL$26="","",IF(INDEX('Final Calculation Sheet'!$G$4:$G$40,$AL$26)="","",INDEX('Final Calculation Sheet'!$G$4:$G$40,$AL$26)))</f>
        <v/>
      </c>
      <c r="D26" s="130">
        <f>IF($AL$26="","",IF(INDEX('Final Calculation Sheet'!$B$4:$B$40,$AL$26)="","",INDEX('Final Calculation Sheet'!$B$4:$B$40,$AL$26)))</f>
        <v/>
      </c>
      <c r="E26" s="130">
        <f>IF($AL$26="","",IF(INDEX('Final Calculation Sheet'!$D$4:$D$40,$AL$26)="","",INDEX('Final Calculation Sheet'!$D$4:$D$40,$AL$26)))</f>
        <v/>
      </c>
      <c r="F26" s="130">
        <f>IF($AL$26="","",IF(INDEX('Final Calculation Sheet'!$A$4:$A$40,$AL$26)="","",INDEX('Final Calculation Sheet'!$A$4:$A$40,$AL$26)))</f>
        <v/>
      </c>
      <c r="G26" s="130">
        <f>IF($AL$26="","",IF(INDEX('Final Calculation Sheet'!$E$4:$E$40,$AL$26)="","",INDEX('Final Calculation Sheet'!$E$4:$E$40,$AL$26)))</f>
        <v/>
      </c>
      <c r="H26" s="131">
        <f>IF($AL$26="","",IF(INDEX('Final Calculation Sheet'!$C$4:$C$40,$AL$26)="","",INDEX('Final Calculation Sheet'!$C$4:$C$40,$AL$26)))</f>
        <v/>
      </c>
      <c r="I26" s="131">
        <f>IF($AL$26="","",IF(INDEX('Final Calculation Sheet'!$H$4:$H$40,$AL$26)="","",INDEX('Final Calculation Sheet'!$H$4:$H$40,$AL$26)))</f>
        <v/>
      </c>
      <c r="J26" s="131">
        <f>IF($AL$26="","",IF(INDEX('Final Calculation Sheet'!$I$4:$I$40,$AL$26)="","",INDEX('Final Calculation Sheet'!$I$4:$I$40,$AL$26)))</f>
        <v/>
      </c>
      <c r="K26" s="131">
        <f>IF($AL$26="","",IF(INDEX('Final Calculation Sheet'!$J$4:$J$40,$AL$26)="","",INDEX('Final Calculation Sheet'!$J$4:$J$40,$AL$26)))</f>
        <v/>
      </c>
      <c r="L26" s="131">
        <f>IF($AL$26="","",IF(INDEX('Final Calculation Sheet'!$K$4:$K$40,$AL$26)="","",INDEX('Final Calculation Sheet'!$K$4:$K$40,$AL$26)))</f>
        <v/>
      </c>
      <c r="M26" s="131">
        <f>IF($AL$26="","",IF(INDEX('Final Calculation Sheet'!$L$4:$L$40,$AL$26)="","",INDEX('Final Calculation Sheet'!$L$4:$L$40,$AL$26)))</f>
        <v/>
      </c>
      <c r="N26" s="131">
        <f>IF($AL$26="","",IF(INDEX('Final Calculation Sheet'!$M$4:$M$40,$AL$26)="","",INDEX('Final Calculation Sheet'!$M$4:$M$40,$AL$26)))</f>
        <v/>
      </c>
      <c r="O26" s="132">
        <f>IF($AL$26="","",IF(INDEX('Final Calculation Sheet'!$N$4:$N$40,$AL$26)="","",INDEX('Final Calculation Sheet'!$N$4:$N$40,$AL$26)))</f>
        <v/>
      </c>
      <c r="P26" s="131">
        <f>IF($AL$26="","",IF(INDEX('Final Calculation Sheet'!$O$4:$O$40,$AL$26)="","",INDEX('Final Calculation Sheet'!$O$4:$O$40,$AL$26)))</f>
        <v/>
      </c>
      <c r="Q26" s="131">
        <f>IF($AL$26="","",IF(INDEX('Final Calculation Sheet'!$P$4:$P$40,$AL$26)="","",INDEX('Final Calculation Sheet'!$P$4:$P$40,$AL$26)))</f>
        <v/>
      </c>
      <c r="R26" s="133">
        <f>IF($AL$26="","",IF(INDEX('Final Calculation Sheet'!$Q$4:$Q$40,$AL$26)="","",INDEX('Final Calculation Sheet'!$Q$4:$Q$40,$AL$26)))</f>
        <v/>
      </c>
      <c r="S26" s="131">
        <f>IF($AL$26="","",IF(INDEX('Final Calculation Sheet'!$R$4:$R$40,$AL$26)="","",INDEX('Final Calculation Sheet'!$R$4:$R$40,$AL$26)))</f>
        <v/>
      </c>
      <c r="T26" s="131">
        <f>IF($AL$26="","",IF(INDEX('Final Calculation Sheet'!$S$4:$S$40,$AL$26)="","",INDEX('Final Calculation Sheet'!$S$4:$S$40,$AL$26)))</f>
        <v/>
      </c>
      <c r="U26" s="131">
        <f>IF($AL$26="","",IF(INDEX('Final Calculation Sheet'!$T$4:$T$40,$AL$26)="","",INDEX('Final Calculation Sheet'!$T$4:$T$40,$AL$26)))</f>
        <v/>
      </c>
      <c r="V26" s="134">
        <f>IF($AL$26="","",IF(INDEX('Final Calculation Sheet'!$U$4:$U$40,$AL$26)="","",INDEX('Final Calculation Sheet'!$U$4:$U$40,$AL$26)))</f>
        <v/>
      </c>
      <c r="W26" s="131">
        <f>IF($AL$26="","",IF(INDEX('Final Calculation Sheet'!$V$4:$V$40,$AL$26)="","",INDEX('Final Calculation Sheet'!$V$4:$V$40,$AL$26)))</f>
        <v/>
      </c>
      <c r="X26" s="131">
        <f>IF($AL$26="","",IF(INDEX('Final Calculation Sheet'!$W$4:$W$40,$AL$26)="","",INDEX('Final Calculation Sheet'!$W$4:$W$40,$AL$26)))</f>
        <v/>
      </c>
      <c r="Y26" s="131">
        <f>IF($AL$26="","",IF(INDEX('Final Calculation Sheet'!$X$4:$X$40,$AL$26)="","",INDEX('Final Calculation Sheet'!$X$4:$X$40,$AL$26)))</f>
        <v/>
      </c>
      <c r="Z26" s="131">
        <f>IF($AL$26="","",IF(INDEX('Final Calculation Sheet'!$Y$4:$Y$40,$AL$26)="","",INDEX('Final Calculation Sheet'!$Y$4:$Y$40,$AL$26)))</f>
        <v/>
      </c>
      <c r="AA26" s="131">
        <f>IF($AL$26="","",IF(INDEX('Final Calculation Sheet'!$Z$4:$Z$40,$AL$26)="","",INDEX('Final Calculation Sheet'!$Z$4:$Z$40,$AL$26)))</f>
        <v/>
      </c>
      <c r="AB26" s="131">
        <f>IF($AL$26="","",IF(INDEX('Final Calculation Sheet'!$AA$4:$AA$40,$AL$26)="","",INDEX('Final Calculation Sheet'!$AA$4:$AA$40,$AL$26)))</f>
        <v/>
      </c>
      <c r="AC26" s="131">
        <f>IF($AL$26="","",IF(INDEX('Final Calculation Sheet'!$AB$4:$AB$40,$AL$26)="","",INDEX('Final Calculation Sheet'!$AB$4:$AB$40,$AL$26)))</f>
        <v/>
      </c>
      <c r="AD26" s="131">
        <f>IF($AL$26="","",IF(INDEX('Final Calculation Sheet'!$AC$4:$AC$40,$AL$26)="","",INDEX('Final Calculation Sheet'!$AC$4:$AC$40,$AL$26)))</f>
        <v/>
      </c>
      <c r="AE26" s="131">
        <f>IF($AL$26="","",IF(INDEX('Final Calculation Sheet'!$AD$4:$AD$40,$AL$26)="","",INDEX('Final Calculation Sheet'!$AD$4:$AD$40,$AL$26)))</f>
        <v/>
      </c>
      <c r="AF26" s="136">
        <f>IF($AL$26="","",IF(INDEX('Final Calculation Sheet'!$AD$4:$AD$40,$AL$26)&lt;=5,"SETTLED","OUTSTANDING"))</f>
        <v/>
      </c>
      <c r="AG26" s="131">
        <f>IF($AL$26="","",IF(INDEX('Final Calculation Sheet'!$AF$4:$AF$40,$AL$26)="","",INDEX('Final Calculation Sheet'!$AF$4:$AF$40,$AL$26)))</f>
        <v/>
      </c>
      <c r="AH26" s="135">
        <f>IF($AL$26="","",IF(INDEX('Final Calculation Sheet'!$AG$4:$AG$40,$AL$26)="","",INDEX('Final Calculation Sheet'!$AG$4:$AG$40,$AL$26)))</f>
        <v/>
      </c>
      <c r="AI26" s="131">
        <f>IF($AL$26="","",IF(INDEX('Final Calculation Sheet'!$AH$4:$AH$40,$AL$26)="","",INDEX('Final Calculation Sheet'!$AH$4:$AH$40,$AL$26)))</f>
        <v/>
      </c>
      <c r="AJ26">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6">
        <f>IF(AJ26=1,COUNTIF(AJ$6:AJ26,1),"")</f>
        <v/>
      </c>
      <c r="AL26">
        <f>IF(COUNTIF($B$4:$AI$4,"&lt;&gt;")=0,"",IFERROR(MATCH(20,$AK$6:$AK$42,0),""))</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G26">
        <f>IF($B$4="",1,IF($B$4="(blank)",--('Final Calculation Sheet'!$F$24=""),IF($B$4="(nonblank)",--('Final Calculation Sheet'!$F$24&lt;&gt;""),--ISNUMBER(SEARCH($B$4,'Final Calculation Sheet'!$F$24)))))</f>
        <v/>
      </c>
      <c r="DH26">
        <f>IF($C$4="",1,IF($C$4="(blank)",--('Final Calculation Sheet'!$G$24=""),IF($C$4="(nonblank)",--('Final Calculation Sheet'!$G$24&lt;&gt;""),--ISNUMBER(SEARCH($C$4,'Final Calculation Sheet'!$G$24)))))</f>
        <v/>
      </c>
      <c r="DI26">
        <f>IF($D$4="",1,IF($D$4="(blank)",--('Final Calculation Sheet'!$B$24=""),IF($D$4="(nonblank)",--('Final Calculation Sheet'!$B$24&lt;&gt;""),--ISNUMBER(SEARCH($D$4,'Final Calculation Sheet'!$B$24)))))</f>
        <v/>
      </c>
      <c r="DJ26">
        <f>IF($E$4="",1,IF($E$4="(blank)",--('Final Calculation Sheet'!$D$24=""),IF($E$4="(nonblank)",--('Final Calculation Sheet'!$D$24&lt;&gt;""),--ISNUMBER(SEARCH($E$4,'Final Calculation Sheet'!$D$24)))))</f>
        <v/>
      </c>
      <c r="DK26">
        <f>IF($F$4="",1,IF($F$4="(blank)",--('Final Calculation Sheet'!$A$24=""),IF($F$4="(nonblank)",--('Final Calculation Sheet'!$A$24&lt;&gt;""),--ISNUMBER(SEARCH($F$4,'Final Calculation Sheet'!$A$24)))))</f>
        <v/>
      </c>
      <c r="DL26">
        <f>IF($G$4="",1,IF($G$4="(blank)",--('Final Calculation Sheet'!$E$24=""),IF($G$4="(nonblank)",--('Final Calculation Sheet'!$E$24&lt;&gt;""),--ISNUMBER(SEARCH($G$4,'Final Calculation Sheet'!$E$24)))))</f>
        <v/>
      </c>
      <c r="DM26">
        <f>IF($H$4="",1,IF($H$4="(blank)",--('Final Calculation Sheet'!$C$24=""),IF($H$4="(nonblank)",--('Final Calculation Sheet'!$C$24&lt;&gt;""),--ISNUMBER(SEARCH($H$4,'Final Calculation Sheet'!$C$24)))))</f>
        <v/>
      </c>
      <c r="DN26">
        <f>IF($I$4="",1,IF($I$4="(blank)",--('Final Calculation Sheet'!$H$24=""),IF($I$4="(nonblank)",--('Final Calculation Sheet'!$H$24&lt;&gt;""),--ISNUMBER(SEARCH($I$4,'Final Calculation Sheet'!$H$24)))))</f>
        <v/>
      </c>
      <c r="DO26">
        <f>IF($J$4="",1,IF($J$4="(blank)",--('Final Calculation Sheet'!$I$24=""),IF($J$4="(nonblank)",--('Final Calculation Sheet'!$I$24&lt;&gt;""),--ISNUMBER(SEARCH($J$4,'Final Calculation Sheet'!$I$24)))))</f>
        <v/>
      </c>
      <c r="DP26">
        <f>IF($K$4="",1,IF($K$4="(blank)",--('Final Calculation Sheet'!$J$24=""),IF($K$4="(nonblank)",--('Final Calculation Sheet'!$J$24&lt;&gt;""),--ISNUMBER(SEARCH($K$4,'Final Calculation Sheet'!$J$24)))))</f>
        <v/>
      </c>
      <c r="DQ26">
        <f>IF($L$4="",1,IF($L$4="(blank)",--('Final Calculation Sheet'!$K$24=""),IF($L$4="(nonblank)",--('Final Calculation Sheet'!$K$24&lt;&gt;""),--ISNUMBER(SEARCH($L$4,'Final Calculation Sheet'!$K$24)))))</f>
        <v/>
      </c>
      <c r="DR26">
        <f>IF($M$4="",1,IF($M$4="(blank)",--('Final Calculation Sheet'!$L$24=""),IF($M$4="(nonblank)",--('Final Calculation Sheet'!$L$24&lt;&gt;""),--ISNUMBER(SEARCH($M$4,'Final Calculation Sheet'!$L$24)))))</f>
        <v/>
      </c>
      <c r="DS26">
        <f>IF($N$4="",1,IF($N$4="(blank)",--('Final Calculation Sheet'!$M$24=""),IF($N$4="(nonblank)",--('Final Calculation Sheet'!$M$24&lt;&gt;""),--ISNUMBER(SEARCH($N$4,'Final Calculation Sheet'!$M$24)))))</f>
        <v/>
      </c>
      <c r="DT26">
        <f>IF($O$4="",1,IF($O$4="(blank)",--('Final Calculation Sheet'!$N$24=""),IF($O$4="(nonblank)",--('Final Calculation Sheet'!$N$24&lt;&gt;""),--ISNUMBER(SEARCH($O$4,'Final Calculation Sheet'!$N$24)))))</f>
        <v/>
      </c>
      <c r="DU26">
        <f>IF($P$4="",1,IF($P$4="(blank)",--('Final Calculation Sheet'!$O$24=""),IF($P$4="(nonblank)",--('Final Calculation Sheet'!$O$24&lt;&gt;""),--ISNUMBER(SEARCH($P$4,'Final Calculation Sheet'!$O$24)))))</f>
        <v/>
      </c>
      <c r="DV26">
        <f>IF($Q$4="",1,IF($Q$4="(blank)",--('Final Calculation Sheet'!$P$24=""),IF($Q$4="(nonblank)",--('Final Calculation Sheet'!$P$24&lt;&gt;""),--ISNUMBER(SEARCH($Q$4,'Final Calculation Sheet'!$P$24)))))</f>
        <v/>
      </c>
      <c r="DW26">
        <f>IF($R$4="",1,IF($R$4="(blank)",--('Final Calculation Sheet'!$Q$24=""),IF($R$4="(nonblank)",--('Final Calculation Sheet'!$Q$24&lt;&gt;""),--ISNUMBER(SEARCH($R$4,'Final Calculation Sheet'!$Q$24)))))</f>
        <v/>
      </c>
      <c r="DX26">
        <f>IF($S$4="",1,IF($S$4="(blank)",--('Final Calculation Sheet'!$R$24=""),IF($S$4="(nonblank)",--('Final Calculation Sheet'!$R$24&lt;&gt;""),--ISNUMBER(SEARCH($S$4,'Final Calculation Sheet'!$R$24)))))</f>
        <v/>
      </c>
      <c r="DY26">
        <f>IF($T$4="",1,IF($T$4="(blank)",--('Final Calculation Sheet'!$S$24=""),IF($T$4="(nonblank)",--('Final Calculation Sheet'!$S$24&lt;&gt;""),--ISNUMBER(SEARCH($T$4,'Final Calculation Sheet'!$S$24)))))</f>
        <v/>
      </c>
      <c r="DZ26">
        <f>IF($U$4="",1,IF($U$4="(blank)",--('Final Calculation Sheet'!$T$24=""),IF($U$4="(nonblank)",--('Final Calculation Sheet'!$T$24&lt;&gt;""),--ISNUMBER(SEARCH($U$4,'Final Calculation Sheet'!$T$24)))))</f>
        <v/>
      </c>
      <c r="EA26">
        <f>IF($V$4="",1,IF($V$4="(blank)",--('Final Calculation Sheet'!$U$24=""),IF($V$4="(nonblank)",--('Final Calculation Sheet'!$U$24&lt;&gt;""),--ISNUMBER(SEARCH($V$4,'Final Calculation Sheet'!$U$24)))))</f>
        <v/>
      </c>
      <c r="EB26">
        <f>IF($W$4="",1,IF($W$4="(blank)",--('Final Calculation Sheet'!$V$24=""),IF($W$4="(nonblank)",--('Final Calculation Sheet'!$V$24&lt;&gt;""),--ISNUMBER(SEARCH($W$4,'Final Calculation Sheet'!$V$24)))))</f>
        <v/>
      </c>
      <c r="EC26">
        <f>IF($X$4="",1,IF($X$4="(blank)",--('Final Calculation Sheet'!$W$24=""),IF($X$4="(nonblank)",--('Final Calculation Sheet'!$W$24&lt;&gt;""),--ISNUMBER(SEARCH($X$4,'Final Calculation Sheet'!$W$24)))))</f>
        <v/>
      </c>
      <c r="ED26">
        <f>IF($Y$4="",1,IF($Y$4="(blank)",--('Final Calculation Sheet'!$X$24=""),IF($Y$4="(nonblank)",--('Final Calculation Sheet'!$X$24&lt;&gt;""),--ISNUMBER(SEARCH($Y$4,'Final Calculation Sheet'!$X$24)))))</f>
        <v/>
      </c>
      <c r="EE26">
        <f>IF($Z$4="",1,IF($Z$4="(blank)",--('Final Calculation Sheet'!$Y$24=""),IF($Z$4="(nonblank)",--('Final Calculation Sheet'!$Y$24&lt;&gt;""),--ISNUMBER(SEARCH($Z$4,'Final Calculation Sheet'!$Y$24)))))</f>
        <v/>
      </c>
      <c r="EF26">
        <f>IF($AA$4="",1,IF($AA$4="(blank)",--('Final Calculation Sheet'!$Z$24=""),IF($AA$4="(nonblank)",--('Final Calculation Sheet'!$Z$24&lt;&gt;""),--ISNUMBER(SEARCH($AA$4,'Final Calculation Sheet'!$Z$24)))))</f>
        <v/>
      </c>
      <c r="EG26">
        <f>IF($AB$4="",1,IF($AB$4="(blank)",--('Final Calculation Sheet'!$AA$24=""),IF($AB$4="(nonblank)",--('Final Calculation Sheet'!$AA$24&lt;&gt;""),--ISNUMBER(SEARCH($AB$4,'Final Calculation Sheet'!$AA$24)))))</f>
        <v/>
      </c>
      <c r="EH26">
        <f>IF($AC$4="",1,IF($AC$4="(blank)",--('Final Calculation Sheet'!$AB$24=""),IF($AC$4="(nonblank)",--('Final Calculation Sheet'!$AB$24&lt;&gt;""),--ISNUMBER(SEARCH($AC$4,'Final Calculation Sheet'!$AB$24)))))</f>
        <v/>
      </c>
      <c r="EI26">
        <f>IF($AD$4="",1,IF($AD$4="(blank)",--('Final Calculation Sheet'!$AC$24=""),IF($AD$4="(nonblank)",--('Final Calculation Sheet'!$AC$24&lt;&gt;""),--ISNUMBER(SEARCH($AD$4,'Final Calculation Sheet'!$AC$24)))))</f>
        <v/>
      </c>
      <c r="EJ26">
        <f>IF($AE$4="",1,IF($AE$4="(blank)",--('Final Calculation Sheet'!$AD$24=""),IF($AE$4="(nonblank)",--('Final Calculation Sheet'!$AD$24&lt;&gt;""),--ISNUMBER(SEARCH($AE$4,'Final Calculation Sheet'!$AD$24)))))</f>
        <v/>
      </c>
      <c r="EK26">
        <f>IF($AF$4="",1,IF($AF$4="(blank)",--(IF('Final Calculation Sheet'!$AD$24&lt;=5,"SETTLED","OUTSTANDING")=""),IF($AF$4="(nonblank)",--(IF('Final Calculation Sheet'!$AD$24&lt;=5,"SETTLED","OUTSTANDING")&lt;&gt;""),--ISNUMBER(SEARCH($AF$4,IF('Final Calculation Sheet'!$AD$24&lt;=5,"SETTLED","OUTSTANDING"))))))</f>
        <v/>
      </c>
      <c r="EL26">
        <f>IF($AG$4="",1,IF($AG$4="(blank)",--('Final Calculation Sheet'!$AF$24=""),IF($AG$4="(nonblank)",--('Final Calculation Sheet'!$AF$24&lt;&gt;""),--ISNUMBER(SEARCH($AG$4,'Final Calculation Sheet'!$AF$24)))))</f>
        <v/>
      </c>
      <c r="EM26">
        <f>IF($AH$4="",1,IF($AH$4="(blank)",--('Final Calculation Sheet'!$AG$24=""),IF($AH$4="(nonblank)",--('Final Calculation Sheet'!$AG$24&lt;&gt;""),--ISNUMBER(SEARCH($AH$4,'Final Calculation Sheet'!$AG$24)))))</f>
        <v/>
      </c>
      <c r="EN26">
        <f>IF($AI$4="",1,IF($AI$4="(blank)",--('Final Calculation Sheet'!$AH$24=""),IF($AI$4="(nonblank)",--('Final Calculation Sheet'!$AH$24&lt;&gt;""),--ISNUMBER(SEARCH($AI$4,'Final Calculation Sheet'!$AH$24)))))</f>
        <v/>
      </c>
    </row>
    <row r="27" outlineLevel="1" hidden="1">
      <c r="A27" s="118">
        <f>IF($AL$27="","",21)</f>
        <v/>
      </c>
      <c r="B27" s="119">
        <f>IF($AL$27="","",IF(INDEX('Final Calculation Sheet'!$F$4:$F$40,$AL$27)="","",INDEX('Final Calculation Sheet'!$F$4:$F$40,$AL$27)))</f>
        <v/>
      </c>
      <c r="C27" s="119">
        <f>IF($AL$27="","",IF(INDEX('Final Calculation Sheet'!$G$4:$G$40,$AL$27)="","",INDEX('Final Calculation Sheet'!$G$4:$G$40,$AL$27)))</f>
        <v/>
      </c>
      <c r="D27" s="121">
        <f>IF($AL$27="","",IF(INDEX('Final Calculation Sheet'!$B$4:$B$40,$AL$27)="","",INDEX('Final Calculation Sheet'!$B$4:$B$40,$AL$27)))</f>
        <v/>
      </c>
      <c r="E27" s="121">
        <f>IF($AL$27="","",IF(INDEX('Final Calculation Sheet'!$D$4:$D$40,$AL$27)="","",INDEX('Final Calculation Sheet'!$D$4:$D$40,$AL$27)))</f>
        <v/>
      </c>
      <c r="F27" s="121">
        <f>IF($AL$27="","",IF(INDEX('Final Calculation Sheet'!$A$4:$A$40,$AL$27)="","",INDEX('Final Calculation Sheet'!$A$4:$A$40,$AL$27)))</f>
        <v/>
      </c>
      <c r="G27" s="121">
        <f>IF($AL$27="","",IF(INDEX('Final Calculation Sheet'!$E$4:$E$40,$AL$27)="","",INDEX('Final Calculation Sheet'!$E$4:$E$40,$AL$27)))</f>
        <v/>
      </c>
      <c r="H27" s="122">
        <f>IF($AL$27="","",IF(INDEX('Final Calculation Sheet'!$C$4:$C$40,$AL$27)="","",INDEX('Final Calculation Sheet'!$C$4:$C$40,$AL$27)))</f>
        <v/>
      </c>
      <c r="I27" s="122">
        <f>IF($AL$27="","",IF(INDEX('Final Calculation Sheet'!$H$4:$H$40,$AL$27)="","",INDEX('Final Calculation Sheet'!$H$4:$H$40,$AL$27)))</f>
        <v/>
      </c>
      <c r="J27" s="122">
        <f>IF($AL$27="","",IF(INDEX('Final Calculation Sheet'!$I$4:$I$40,$AL$27)="","",INDEX('Final Calculation Sheet'!$I$4:$I$40,$AL$27)))</f>
        <v/>
      </c>
      <c r="K27" s="122">
        <f>IF($AL$27="","",IF(INDEX('Final Calculation Sheet'!$J$4:$J$40,$AL$27)="","",INDEX('Final Calculation Sheet'!$J$4:$J$40,$AL$27)))</f>
        <v/>
      </c>
      <c r="L27" s="122">
        <f>IF($AL$27="","",IF(INDEX('Final Calculation Sheet'!$K$4:$K$40,$AL$27)="","",INDEX('Final Calculation Sheet'!$K$4:$K$40,$AL$27)))</f>
        <v/>
      </c>
      <c r="M27" s="122">
        <f>IF($AL$27="","",IF(INDEX('Final Calculation Sheet'!$L$4:$L$40,$AL$27)="","",INDEX('Final Calculation Sheet'!$L$4:$L$40,$AL$27)))</f>
        <v/>
      </c>
      <c r="N27" s="122">
        <f>IF($AL$27="","",IF(INDEX('Final Calculation Sheet'!$M$4:$M$40,$AL$27)="","",INDEX('Final Calculation Sheet'!$M$4:$M$40,$AL$27)))</f>
        <v/>
      </c>
      <c r="O27" s="123">
        <f>IF($AL$27="","",IF(INDEX('Final Calculation Sheet'!$N$4:$N$40,$AL$27)="","",INDEX('Final Calculation Sheet'!$N$4:$N$40,$AL$27)))</f>
        <v/>
      </c>
      <c r="P27" s="122">
        <f>IF($AL$27="","",IF(INDEX('Final Calculation Sheet'!$O$4:$O$40,$AL$27)="","",INDEX('Final Calculation Sheet'!$O$4:$O$40,$AL$27)))</f>
        <v/>
      </c>
      <c r="Q27" s="122">
        <f>IF($AL$27="","",IF(INDEX('Final Calculation Sheet'!$P$4:$P$40,$AL$27)="","",INDEX('Final Calculation Sheet'!$P$4:$P$40,$AL$27)))</f>
        <v/>
      </c>
      <c r="R27" s="124">
        <f>IF($AL$27="","",IF(INDEX('Final Calculation Sheet'!$Q$4:$Q$40,$AL$27)="","",INDEX('Final Calculation Sheet'!$Q$4:$Q$40,$AL$27)))</f>
        <v/>
      </c>
      <c r="S27" s="122">
        <f>IF($AL$27="","",IF(INDEX('Final Calculation Sheet'!$R$4:$R$40,$AL$27)="","",INDEX('Final Calculation Sheet'!$R$4:$R$40,$AL$27)))</f>
        <v/>
      </c>
      <c r="T27" s="122">
        <f>IF($AL$27="","",IF(INDEX('Final Calculation Sheet'!$S$4:$S$40,$AL$27)="","",INDEX('Final Calculation Sheet'!$S$4:$S$40,$AL$27)))</f>
        <v/>
      </c>
      <c r="U27" s="122">
        <f>IF($AL$27="","",IF(INDEX('Final Calculation Sheet'!$T$4:$T$40,$AL$27)="","",INDEX('Final Calculation Sheet'!$T$4:$T$40,$AL$27)))</f>
        <v/>
      </c>
      <c r="V27" s="125">
        <f>IF($AL$27="","",IF(INDEX('Final Calculation Sheet'!$U$4:$U$40,$AL$27)="","",INDEX('Final Calculation Sheet'!$U$4:$U$40,$AL$27)))</f>
        <v/>
      </c>
      <c r="W27" s="122">
        <f>IF($AL$27="","",IF(INDEX('Final Calculation Sheet'!$V$4:$V$40,$AL$27)="","",INDEX('Final Calculation Sheet'!$V$4:$V$40,$AL$27)))</f>
        <v/>
      </c>
      <c r="X27" s="122">
        <f>IF($AL$27="","",IF(INDEX('Final Calculation Sheet'!$W$4:$W$40,$AL$27)="","",INDEX('Final Calculation Sheet'!$W$4:$W$40,$AL$27)))</f>
        <v/>
      </c>
      <c r="Y27" s="122">
        <f>IF($AL$27="","",IF(INDEX('Final Calculation Sheet'!$X$4:$X$40,$AL$27)="","",INDEX('Final Calculation Sheet'!$X$4:$X$40,$AL$27)))</f>
        <v/>
      </c>
      <c r="Z27" s="122">
        <f>IF($AL$27="","",IF(INDEX('Final Calculation Sheet'!$Y$4:$Y$40,$AL$27)="","",INDEX('Final Calculation Sheet'!$Y$4:$Y$40,$AL$27)))</f>
        <v/>
      </c>
      <c r="AA27" s="122">
        <f>IF($AL$27="","",IF(INDEX('Final Calculation Sheet'!$Z$4:$Z$40,$AL$27)="","",INDEX('Final Calculation Sheet'!$Z$4:$Z$40,$AL$27)))</f>
        <v/>
      </c>
      <c r="AB27" s="122">
        <f>IF($AL$27="","",IF(INDEX('Final Calculation Sheet'!$AA$4:$AA$40,$AL$27)="","",INDEX('Final Calculation Sheet'!$AA$4:$AA$40,$AL$27)))</f>
        <v/>
      </c>
      <c r="AC27" s="122">
        <f>IF($AL$27="","",IF(INDEX('Final Calculation Sheet'!$AB$4:$AB$40,$AL$27)="","",INDEX('Final Calculation Sheet'!$AB$4:$AB$40,$AL$27)))</f>
        <v/>
      </c>
      <c r="AD27" s="122">
        <f>IF($AL$27="","",IF(INDEX('Final Calculation Sheet'!$AC$4:$AC$40,$AL$27)="","",INDEX('Final Calculation Sheet'!$AC$4:$AC$40,$AL$27)))</f>
        <v/>
      </c>
      <c r="AE27" s="122">
        <f>IF($AL$27="","",IF(INDEX('Final Calculation Sheet'!$AD$4:$AD$40,$AL$27)="","",INDEX('Final Calculation Sheet'!$AD$4:$AD$40,$AL$27)))</f>
        <v/>
      </c>
      <c r="AF27" s="127">
        <f>IF($AL$27="","",IF(INDEX('Final Calculation Sheet'!$AD$4:$AD$40,$AL$27)&lt;=5,"SETTLED","OUTSTANDING"))</f>
        <v/>
      </c>
      <c r="AG27" s="122">
        <f>IF($AL$27="","",IF(INDEX('Final Calculation Sheet'!$AF$4:$AF$40,$AL$27)="","",INDEX('Final Calculation Sheet'!$AF$4:$AF$40,$AL$27)))</f>
        <v/>
      </c>
      <c r="AH27" s="126">
        <f>IF($AL$27="","",IF(INDEX('Final Calculation Sheet'!$AG$4:$AG$40,$AL$27)="","",INDEX('Final Calculation Sheet'!$AG$4:$AG$40,$AL$27)))</f>
        <v/>
      </c>
      <c r="AI27" s="122">
        <f>IF($AL$27="","",IF(INDEX('Final Calculation Sheet'!$AH$4:$AH$40,$AL$27)="","",INDEX('Final Calculation Sheet'!$AH$4:$AH$40,$AL$27)))</f>
        <v/>
      </c>
      <c r="AJ27">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27">
        <f>IF(AJ27=1,COUNTIF(AJ$6:AJ27,1),"")</f>
        <v/>
      </c>
      <c r="AL27">
        <f>IF(COUNTIF($B$4:$AI$4,"&lt;&gt;")=0,"",IFERROR(MATCH(21,$AK$6:$AK$42,0),""))</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G27">
        <f>IF($B$4="",1,IF($B$4="(blank)",--('Final Calculation Sheet'!$F$25=""),IF($B$4="(nonblank)",--('Final Calculation Sheet'!$F$25&lt;&gt;""),--ISNUMBER(SEARCH($B$4,'Final Calculation Sheet'!$F$25)))))</f>
        <v/>
      </c>
      <c r="DH27">
        <f>IF($C$4="",1,IF($C$4="(blank)",--('Final Calculation Sheet'!$G$25=""),IF($C$4="(nonblank)",--('Final Calculation Sheet'!$G$25&lt;&gt;""),--ISNUMBER(SEARCH($C$4,'Final Calculation Sheet'!$G$25)))))</f>
        <v/>
      </c>
      <c r="DI27">
        <f>IF($D$4="",1,IF($D$4="(blank)",--('Final Calculation Sheet'!$B$25=""),IF($D$4="(nonblank)",--('Final Calculation Sheet'!$B$25&lt;&gt;""),--ISNUMBER(SEARCH($D$4,'Final Calculation Sheet'!$B$25)))))</f>
        <v/>
      </c>
      <c r="DJ27">
        <f>IF($E$4="",1,IF($E$4="(blank)",--('Final Calculation Sheet'!$D$25=""),IF($E$4="(nonblank)",--('Final Calculation Sheet'!$D$25&lt;&gt;""),--ISNUMBER(SEARCH($E$4,'Final Calculation Sheet'!$D$25)))))</f>
        <v/>
      </c>
      <c r="DK27">
        <f>IF($F$4="",1,IF($F$4="(blank)",--('Final Calculation Sheet'!$A$25=""),IF($F$4="(nonblank)",--('Final Calculation Sheet'!$A$25&lt;&gt;""),--ISNUMBER(SEARCH($F$4,'Final Calculation Sheet'!$A$25)))))</f>
        <v/>
      </c>
      <c r="DL27">
        <f>IF($G$4="",1,IF($G$4="(blank)",--('Final Calculation Sheet'!$E$25=""),IF($G$4="(nonblank)",--('Final Calculation Sheet'!$E$25&lt;&gt;""),--ISNUMBER(SEARCH($G$4,'Final Calculation Sheet'!$E$25)))))</f>
        <v/>
      </c>
      <c r="DM27">
        <f>IF($H$4="",1,IF($H$4="(blank)",--('Final Calculation Sheet'!$C$25=""),IF($H$4="(nonblank)",--('Final Calculation Sheet'!$C$25&lt;&gt;""),--ISNUMBER(SEARCH($H$4,'Final Calculation Sheet'!$C$25)))))</f>
        <v/>
      </c>
      <c r="DN27">
        <f>IF($I$4="",1,IF($I$4="(blank)",--('Final Calculation Sheet'!$H$25=""),IF($I$4="(nonblank)",--('Final Calculation Sheet'!$H$25&lt;&gt;""),--ISNUMBER(SEARCH($I$4,'Final Calculation Sheet'!$H$25)))))</f>
        <v/>
      </c>
      <c r="DO27">
        <f>IF($J$4="",1,IF($J$4="(blank)",--('Final Calculation Sheet'!$I$25=""),IF($J$4="(nonblank)",--('Final Calculation Sheet'!$I$25&lt;&gt;""),--ISNUMBER(SEARCH($J$4,'Final Calculation Sheet'!$I$25)))))</f>
        <v/>
      </c>
      <c r="DP27">
        <f>IF($K$4="",1,IF($K$4="(blank)",--('Final Calculation Sheet'!$J$25=""),IF($K$4="(nonblank)",--('Final Calculation Sheet'!$J$25&lt;&gt;""),--ISNUMBER(SEARCH($K$4,'Final Calculation Sheet'!$J$25)))))</f>
        <v/>
      </c>
      <c r="DQ27">
        <f>IF($L$4="",1,IF($L$4="(blank)",--('Final Calculation Sheet'!$K$25=""),IF($L$4="(nonblank)",--('Final Calculation Sheet'!$K$25&lt;&gt;""),--ISNUMBER(SEARCH($L$4,'Final Calculation Sheet'!$K$25)))))</f>
        <v/>
      </c>
      <c r="DR27">
        <f>IF($M$4="",1,IF($M$4="(blank)",--('Final Calculation Sheet'!$L$25=""),IF($M$4="(nonblank)",--('Final Calculation Sheet'!$L$25&lt;&gt;""),--ISNUMBER(SEARCH($M$4,'Final Calculation Sheet'!$L$25)))))</f>
        <v/>
      </c>
      <c r="DS27">
        <f>IF($N$4="",1,IF($N$4="(blank)",--('Final Calculation Sheet'!$M$25=""),IF($N$4="(nonblank)",--('Final Calculation Sheet'!$M$25&lt;&gt;""),--ISNUMBER(SEARCH($N$4,'Final Calculation Sheet'!$M$25)))))</f>
        <v/>
      </c>
      <c r="DT27">
        <f>IF($O$4="",1,IF($O$4="(blank)",--('Final Calculation Sheet'!$N$25=""),IF($O$4="(nonblank)",--('Final Calculation Sheet'!$N$25&lt;&gt;""),--ISNUMBER(SEARCH($O$4,'Final Calculation Sheet'!$N$25)))))</f>
        <v/>
      </c>
      <c r="DU27">
        <f>IF($P$4="",1,IF($P$4="(blank)",--('Final Calculation Sheet'!$O$25=""),IF($P$4="(nonblank)",--('Final Calculation Sheet'!$O$25&lt;&gt;""),--ISNUMBER(SEARCH($P$4,'Final Calculation Sheet'!$O$25)))))</f>
        <v/>
      </c>
      <c r="DV27">
        <f>IF($Q$4="",1,IF($Q$4="(blank)",--('Final Calculation Sheet'!$P$25=""),IF($Q$4="(nonblank)",--('Final Calculation Sheet'!$P$25&lt;&gt;""),--ISNUMBER(SEARCH($Q$4,'Final Calculation Sheet'!$P$25)))))</f>
        <v/>
      </c>
      <c r="DW27">
        <f>IF($R$4="",1,IF($R$4="(blank)",--('Final Calculation Sheet'!$Q$25=""),IF($R$4="(nonblank)",--('Final Calculation Sheet'!$Q$25&lt;&gt;""),--ISNUMBER(SEARCH($R$4,'Final Calculation Sheet'!$Q$25)))))</f>
        <v/>
      </c>
      <c r="DX27">
        <f>IF($S$4="",1,IF($S$4="(blank)",--('Final Calculation Sheet'!$R$25=""),IF($S$4="(nonblank)",--('Final Calculation Sheet'!$R$25&lt;&gt;""),--ISNUMBER(SEARCH($S$4,'Final Calculation Sheet'!$R$25)))))</f>
        <v/>
      </c>
      <c r="DY27">
        <f>IF($T$4="",1,IF($T$4="(blank)",--('Final Calculation Sheet'!$S$25=""),IF($T$4="(nonblank)",--('Final Calculation Sheet'!$S$25&lt;&gt;""),--ISNUMBER(SEARCH($T$4,'Final Calculation Sheet'!$S$25)))))</f>
        <v/>
      </c>
      <c r="DZ27">
        <f>IF($U$4="",1,IF($U$4="(blank)",--('Final Calculation Sheet'!$T$25=""),IF($U$4="(nonblank)",--('Final Calculation Sheet'!$T$25&lt;&gt;""),--ISNUMBER(SEARCH($U$4,'Final Calculation Sheet'!$T$25)))))</f>
        <v/>
      </c>
      <c r="EA27">
        <f>IF($V$4="",1,IF($V$4="(blank)",--('Final Calculation Sheet'!$U$25=""),IF($V$4="(nonblank)",--('Final Calculation Sheet'!$U$25&lt;&gt;""),--ISNUMBER(SEARCH($V$4,'Final Calculation Sheet'!$U$25)))))</f>
        <v/>
      </c>
      <c r="EB27">
        <f>IF($W$4="",1,IF($W$4="(blank)",--('Final Calculation Sheet'!$V$25=""),IF($W$4="(nonblank)",--('Final Calculation Sheet'!$V$25&lt;&gt;""),--ISNUMBER(SEARCH($W$4,'Final Calculation Sheet'!$V$25)))))</f>
        <v/>
      </c>
      <c r="EC27">
        <f>IF($X$4="",1,IF($X$4="(blank)",--('Final Calculation Sheet'!$W$25=""),IF($X$4="(nonblank)",--('Final Calculation Sheet'!$W$25&lt;&gt;""),--ISNUMBER(SEARCH($X$4,'Final Calculation Sheet'!$W$25)))))</f>
        <v/>
      </c>
      <c r="ED27">
        <f>IF($Y$4="",1,IF($Y$4="(blank)",--('Final Calculation Sheet'!$X$25=""),IF($Y$4="(nonblank)",--('Final Calculation Sheet'!$X$25&lt;&gt;""),--ISNUMBER(SEARCH($Y$4,'Final Calculation Sheet'!$X$25)))))</f>
        <v/>
      </c>
      <c r="EE27">
        <f>IF($Z$4="",1,IF($Z$4="(blank)",--('Final Calculation Sheet'!$Y$25=""),IF($Z$4="(nonblank)",--('Final Calculation Sheet'!$Y$25&lt;&gt;""),--ISNUMBER(SEARCH($Z$4,'Final Calculation Sheet'!$Y$25)))))</f>
        <v/>
      </c>
      <c r="EF27">
        <f>IF($AA$4="",1,IF($AA$4="(blank)",--('Final Calculation Sheet'!$Z$25=""),IF($AA$4="(nonblank)",--('Final Calculation Sheet'!$Z$25&lt;&gt;""),--ISNUMBER(SEARCH($AA$4,'Final Calculation Sheet'!$Z$25)))))</f>
        <v/>
      </c>
      <c r="EG27">
        <f>IF($AB$4="",1,IF($AB$4="(blank)",--('Final Calculation Sheet'!$AA$25=""),IF($AB$4="(nonblank)",--('Final Calculation Sheet'!$AA$25&lt;&gt;""),--ISNUMBER(SEARCH($AB$4,'Final Calculation Sheet'!$AA$25)))))</f>
        <v/>
      </c>
      <c r="EH27">
        <f>IF($AC$4="",1,IF($AC$4="(blank)",--('Final Calculation Sheet'!$AB$25=""),IF($AC$4="(nonblank)",--('Final Calculation Sheet'!$AB$25&lt;&gt;""),--ISNUMBER(SEARCH($AC$4,'Final Calculation Sheet'!$AB$25)))))</f>
        <v/>
      </c>
      <c r="EI27">
        <f>IF($AD$4="",1,IF($AD$4="(blank)",--('Final Calculation Sheet'!$AC$25=""),IF($AD$4="(nonblank)",--('Final Calculation Sheet'!$AC$25&lt;&gt;""),--ISNUMBER(SEARCH($AD$4,'Final Calculation Sheet'!$AC$25)))))</f>
        <v/>
      </c>
      <c r="EJ27">
        <f>IF($AE$4="",1,IF($AE$4="(blank)",--('Final Calculation Sheet'!$AD$25=""),IF($AE$4="(nonblank)",--('Final Calculation Sheet'!$AD$25&lt;&gt;""),--ISNUMBER(SEARCH($AE$4,'Final Calculation Sheet'!$AD$25)))))</f>
        <v/>
      </c>
      <c r="EK27">
        <f>IF($AF$4="",1,IF($AF$4="(blank)",--(IF('Final Calculation Sheet'!$AD$25&lt;=5,"SETTLED","OUTSTANDING")=""),IF($AF$4="(nonblank)",--(IF('Final Calculation Sheet'!$AD$25&lt;=5,"SETTLED","OUTSTANDING")&lt;&gt;""),--ISNUMBER(SEARCH($AF$4,IF('Final Calculation Sheet'!$AD$25&lt;=5,"SETTLED","OUTSTANDING"))))))</f>
        <v/>
      </c>
      <c r="EL27">
        <f>IF($AG$4="",1,IF($AG$4="(blank)",--('Final Calculation Sheet'!$AF$25=""),IF($AG$4="(nonblank)",--('Final Calculation Sheet'!$AF$25&lt;&gt;""),--ISNUMBER(SEARCH($AG$4,'Final Calculation Sheet'!$AF$25)))))</f>
        <v/>
      </c>
      <c r="EM27">
        <f>IF($AH$4="",1,IF($AH$4="(blank)",--('Final Calculation Sheet'!$AG$25=""),IF($AH$4="(nonblank)",--('Final Calculation Sheet'!$AG$25&lt;&gt;""),--ISNUMBER(SEARCH($AH$4,'Final Calculation Sheet'!$AG$25)))))</f>
        <v/>
      </c>
      <c r="EN27">
        <f>IF($AI$4="",1,IF($AI$4="(blank)",--('Final Calculation Sheet'!$AH$25=""),IF($AI$4="(nonblank)",--('Final Calculation Sheet'!$AH$25&lt;&gt;""),--ISNUMBER(SEARCH($AI$4,'Final Calculation Sheet'!$AH$25)))))</f>
        <v/>
      </c>
    </row>
    <row r="28" outlineLevel="1" hidden="1">
      <c r="A28" s="128">
        <f>IF($AL$28="","",22)</f>
        <v/>
      </c>
      <c r="B28" s="129">
        <f>IF($AL$28="","",IF(INDEX('Final Calculation Sheet'!$F$4:$F$40,$AL$28)="","",INDEX('Final Calculation Sheet'!$F$4:$F$40,$AL$28)))</f>
        <v/>
      </c>
      <c r="C28" s="129">
        <f>IF($AL$28="","",IF(INDEX('Final Calculation Sheet'!$G$4:$G$40,$AL$28)="","",INDEX('Final Calculation Sheet'!$G$4:$G$40,$AL$28)))</f>
        <v/>
      </c>
      <c r="D28" s="130">
        <f>IF($AL$28="","",IF(INDEX('Final Calculation Sheet'!$B$4:$B$40,$AL$28)="","",INDEX('Final Calculation Sheet'!$B$4:$B$40,$AL$28)))</f>
        <v/>
      </c>
      <c r="E28" s="130">
        <f>IF($AL$28="","",IF(INDEX('Final Calculation Sheet'!$D$4:$D$40,$AL$28)="","",INDEX('Final Calculation Sheet'!$D$4:$D$40,$AL$28)))</f>
        <v/>
      </c>
      <c r="F28" s="130">
        <f>IF($AL$28="","",IF(INDEX('Final Calculation Sheet'!$A$4:$A$40,$AL$28)="","",INDEX('Final Calculation Sheet'!$A$4:$A$40,$AL$28)))</f>
        <v/>
      </c>
      <c r="G28" s="130">
        <f>IF($AL$28="","",IF(INDEX('Final Calculation Sheet'!$E$4:$E$40,$AL$28)="","",INDEX('Final Calculation Sheet'!$E$4:$E$40,$AL$28)))</f>
        <v/>
      </c>
      <c r="H28" s="131">
        <f>IF($AL$28="","",IF(INDEX('Final Calculation Sheet'!$C$4:$C$40,$AL$28)="","",INDEX('Final Calculation Sheet'!$C$4:$C$40,$AL$28)))</f>
        <v/>
      </c>
      <c r="I28" s="131">
        <f>IF($AL$28="","",IF(INDEX('Final Calculation Sheet'!$H$4:$H$40,$AL$28)="","",INDEX('Final Calculation Sheet'!$H$4:$H$40,$AL$28)))</f>
        <v/>
      </c>
      <c r="J28" s="131">
        <f>IF($AL$28="","",IF(INDEX('Final Calculation Sheet'!$I$4:$I$40,$AL$28)="","",INDEX('Final Calculation Sheet'!$I$4:$I$40,$AL$28)))</f>
        <v/>
      </c>
      <c r="K28" s="131">
        <f>IF($AL$28="","",IF(INDEX('Final Calculation Sheet'!$J$4:$J$40,$AL$28)="","",INDEX('Final Calculation Sheet'!$J$4:$J$40,$AL$28)))</f>
        <v/>
      </c>
      <c r="L28" s="131">
        <f>IF($AL$28="","",IF(INDEX('Final Calculation Sheet'!$K$4:$K$40,$AL$28)="","",INDEX('Final Calculation Sheet'!$K$4:$K$40,$AL$28)))</f>
        <v/>
      </c>
      <c r="M28" s="131">
        <f>IF($AL$28="","",IF(INDEX('Final Calculation Sheet'!$L$4:$L$40,$AL$28)="","",INDEX('Final Calculation Sheet'!$L$4:$L$40,$AL$28)))</f>
        <v/>
      </c>
      <c r="N28" s="131">
        <f>IF($AL$28="","",IF(INDEX('Final Calculation Sheet'!$M$4:$M$40,$AL$28)="","",INDEX('Final Calculation Sheet'!$M$4:$M$40,$AL$28)))</f>
        <v/>
      </c>
      <c r="O28" s="132">
        <f>IF($AL$28="","",IF(INDEX('Final Calculation Sheet'!$N$4:$N$40,$AL$28)="","",INDEX('Final Calculation Sheet'!$N$4:$N$40,$AL$28)))</f>
        <v/>
      </c>
      <c r="P28" s="131">
        <f>IF($AL$28="","",IF(INDEX('Final Calculation Sheet'!$O$4:$O$40,$AL$28)="","",INDEX('Final Calculation Sheet'!$O$4:$O$40,$AL$28)))</f>
        <v/>
      </c>
      <c r="Q28" s="131">
        <f>IF($AL$28="","",IF(INDEX('Final Calculation Sheet'!$P$4:$P$40,$AL$28)="","",INDEX('Final Calculation Sheet'!$P$4:$P$40,$AL$28)))</f>
        <v/>
      </c>
      <c r="R28" s="133">
        <f>IF($AL$28="","",IF(INDEX('Final Calculation Sheet'!$Q$4:$Q$40,$AL$28)="","",INDEX('Final Calculation Sheet'!$Q$4:$Q$40,$AL$28)))</f>
        <v/>
      </c>
      <c r="S28" s="131">
        <f>IF($AL$28="","",IF(INDEX('Final Calculation Sheet'!$R$4:$R$40,$AL$28)="","",INDEX('Final Calculation Sheet'!$R$4:$R$40,$AL$28)))</f>
        <v/>
      </c>
      <c r="T28" s="131">
        <f>IF($AL$28="","",IF(INDEX('Final Calculation Sheet'!$S$4:$S$40,$AL$28)="","",INDEX('Final Calculation Sheet'!$S$4:$S$40,$AL$28)))</f>
        <v/>
      </c>
      <c r="U28" s="131">
        <f>IF($AL$28="","",IF(INDEX('Final Calculation Sheet'!$T$4:$T$40,$AL$28)="","",INDEX('Final Calculation Sheet'!$T$4:$T$40,$AL$28)))</f>
        <v/>
      </c>
      <c r="V28" s="134">
        <f>IF($AL$28="","",IF(INDEX('Final Calculation Sheet'!$U$4:$U$40,$AL$28)="","",INDEX('Final Calculation Sheet'!$U$4:$U$40,$AL$28)))</f>
        <v/>
      </c>
      <c r="W28" s="131">
        <f>IF($AL$28="","",IF(INDEX('Final Calculation Sheet'!$V$4:$V$40,$AL$28)="","",INDEX('Final Calculation Sheet'!$V$4:$V$40,$AL$28)))</f>
        <v/>
      </c>
      <c r="X28" s="131">
        <f>IF($AL$28="","",IF(INDEX('Final Calculation Sheet'!$W$4:$W$40,$AL$28)="","",INDEX('Final Calculation Sheet'!$W$4:$W$40,$AL$28)))</f>
        <v/>
      </c>
      <c r="Y28" s="131">
        <f>IF($AL$28="","",IF(INDEX('Final Calculation Sheet'!$X$4:$X$40,$AL$28)="","",INDEX('Final Calculation Sheet'!$X$4:$X$40,$AL$28)))</f>
        <v/>
      </c>
      <c r="Z28" s="131">
        <f>IF($AL$28="","",IF(INDEX('Final Calculation Sheet'!$Y$4:$Y$40,$AL$28)="","",INDEX('Final Calculation Sheet'!$Y$4:$Y$40,$AL$28)))</f>
        <v/>
      </c>
      <c r="AA28" s="131">
        <f>IF($AL$28="","",IF(INDEX('Final Calculation Sheet'!$Z$4:$Z$40,$AL$28)="","",INDEX('Final Calculation Sheet'!$Z$4:$Z$40,$AL$28)))</f>
        <v/>
      </c>
      <c r="AB28" s="131">
        <f>IF($AL$28="","",IF(INDEX('Final Calculation Sheet'!$AA$4:$AA$40,$AL$28)="","",INDEX('Final Calculation Sheet'!$AA$4:$AA$40,$AL$28)))</f>
        <v/>
      </c>
      <c r="AC28" s="131">
        <f>IF($AL$28="","",IF(INDEX('Final Calculation Sheet'!$AB$4:$AB$40,$AL$28)="","",INDEX('Final Calculation Sheet'!$AB$4:$AB$40,$AL$28)))</f>
        <v/>
      </c>
      <c r="AD28" s="131">
        <f>IF($AL$28="","",IF(INDEX('Final Calculation Sheet'!$AC$4:$AC$40,$AL$28)="","",INDEX('Final Calculation Sheet'!$AC$4:$AC$40,$AL$28)))</f>
        <v/>
      </c>
      <c r="AE28" s="131">
        <f>IF($AL$28="","",IF(INDEX('Final Calculation Sheet'!$AD$4:$AD$40,$AL$28)="","",INDEX('Final Calculation Sheet'!$AD$4:$AD$40,$AL$28)))</f>
        <v/>
      </c>
      <c r="AF28" s="136">
        <f>IF($AL$28="","",IF(INDEX('Final Calculation Sheet'!$AD$4:$AD$40,$AL$28)&lt;=5,"SETTLED","OUTSTANDING"))</f>
        <v/>
      </c>
      <c r="AG28" s="131">
        <f>IF($AL$28="","",IF(INDEX('Final Calculation Sheet'!$AF$4:$AF$40,$AL$28)="","",INDEX('Final Calculation Sheet'!$AF$4:$AF$40,$AL$28)))</f>
        <v/>
      </c>
      <c r="AH28" s="135">
        <f>IF($AL$28="","",IF(INDEX('Final Calculation Sheet'!$AG$4:$AG$40,$AL$28)="","",INDEX('Final Calculation Sheet'!$AG$4:$AG$40,$AL$28)))</f>
        <v/>
      </c>
      <c r="AI28" s="131">
        <f>IF($AL$28="","",IF(INDEX('Final Calculation Sheet'!$AH$4:$AH$40,$AL$28)="","",INDEX('Final Calculation Sheet'!$AH$4:$AH$40,$AL$28)))</f>
        <v/>
      </c>
      <c r="AJ28">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8">
        <f>IF(AJ28=1,COUNTIF(AJ$6:AJ28,1),"")</f>
        <v/>
      </c>
      <c r="AL28">
        <f>IF(COUNTIF($B$4:$AI$4,"&lt;&gt;")=0,"",IFERROR(MATCH(22,$AK$6:$AK$42,0),""))</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G28">
        <f>IF($B$4="",1,IF($B$4="(blank)",--('Final Calculation Sheet'!$F$26=""),IF($B$4="(nonblank)",--('Final Calculation Sheet'!$F$26&lt;&gt;""),--ISNUMBER(SEARCH($B$4,'Final Calculation Sheet'!$F$26)))))</f>
        <v/>
      </c>
      <c r="DH28">
        <f>IF($C$4="",1,IF($C$4="(blank)",--('Final Calculation Sheet'!$G$26=""),IF($C$4="(nonblank)",--('Final Calculation Sheet'!$G$26&lt;&gt;""),--ISNUMBER(SEARCH($C$4,'Final Calculation Sheet'!$G$26)))))</f>
        <v/>
      </c>
      <c r="DI28">
        <f>IF($D$4="",1,IF($D$4="(blank)",--('Final Calculation Sheet'!$B$26=""),IF($D$4="(nonblank)",--('Final Calculation Sheet'!$B$26&lt;&gt;""),--ISNUMBER(SEARCH($D$4,'Final Calculation Sheet'!$B$26)))))</f>
        <v/>
      </c>
      <c r="DJ28">
        <f>IF($E$4="",1,IF($E$4="(blank)",--('Final Calculation Sheet'!$D$26=""),IF($E$4="(nonblank)",--('Final Calculation Sheet'!$D$26&lt;&gt;""),--ISNUMBER(SEARCH($E$4,'Final Calculation Sheet'!$D$26)))))</f>
        <v/>
      </c>
      <c r="DK28">
        <f>IF($F$4="",1,IF($F$4="(blank)",--('Final Calculation Sheet'!$A$26=""),IF($F$4="(nonblank)",--('Final Calculation Sheet'!$A$26&lt;&gt;""),--ISNUMBER(SEARCH($F$4,'Final Calculation Sheet'!$A$26)))))</f>
        <v/>
      </c>
      <c r="DL28">
        <f>IF($G$4="",1,IF($G$4="(blank)",--('Final Calculation Sheet'!$E$26=""),IF($G$4="(nonblank)",--('Final Calculation Sheet'!$E$26&lt;&gt;""),--ISNUMBER(SEARCH($G$4,'Final Calculation Sheet'!$E$26)))))</f>
        <v/>
      </c>
      <c r="DM28">
        <f>IF($H$4="",1,IF($H$4="(blank)",--('Final Calculation Sheet'!$C$26=""),IF($H$4="(nonblank)",--('Final Calculation Sheet'!$C$26&lt;&gt;""),--ISNUMBER(SEARCH($H$4,'Final Calculation Sheet'!$C$26)))))</f>
        <v/>
      </c>
      <c r="DN28">
        <f>IF($I$4="",1,IF($I$4="(blank)",--('Final Calculation Sheet'!$H$26=""),IF($I$4="(nonblank)",--('Final Calculation Sheet'!$H$26&lt;&gt;""),--ISNUMBER(SEARCH($I$4,'Final Calculation Sheet'!$H$26)))))</f>
        <v/>
      </c>
      <c r="DO28">
        <f>IF($J$4="",1,IF($J$4="(blank)",--('Final Calculation Sheet'!$I$26=""),IF($J$4="(nonblank)",--('Final Calculation Sheet'!$I$26&lt;&gt;""),--ISNUMBER(SEARCH($J$4,'Final Calculation Sheet'!$I$26)))))</f>
        <v/>
      </c>
      <c r="DP28">
        <f>IF($K$4="",1,IF($K$4="(blank)",--('Final Calculation Sheet'!$J$26=""),IF($K$4="(nonblank)",--('Final Calculation Sheet'!$J$26&lt;&gt;""),--ISNUMBER(SEARCH($K$4,'Final Calculation Sheet'!$J$26)))))</f>
        <v/>
      </c>
      <c r="DQ28">
        <f>IF($L$4="",1,IF($L$4="(blank)",--('Final Calculation Sheet'!$K$26=""),IF($L$4="(nonblank)",--('Final Calculation Sheet'!$K$26&lt;&gt;""),--ISNUMBER(SEARCH($L$4,'Final Calculation Sheet'!$K$26)))))</f>
        <v/>
      </c>
      <c r="DR28">
        <f>IF($M$4="",1,IF($M$4="(blank)",--('Final Calculation Sheet'!$L$26=""),IF($M$4="(nonblank)",--('Final Calculation Sheet'!$L$26&lt;&gt;""),--ISNUMBER(SEARCH($M$4,'Final Calculation Sheet'!$L$26)))))</f>
        <v/>
      </c>
      <c r="DS28">
        <f>IF($N$4="",1,IF($N$4="(blank)",--('Final Calculation Sheet'!$M$26=""),IF($N$4="(nonblank)",--('Final Calculation Sheet'!$M$26&lt;&gt;""),--ISNUMBER(SEARCH($N$4,'Final Calculation Sheet'!$M$26)))))</f>
        <v/>
      </c>
      <c r="DT28">
        <f>IF($O$4="",1,IF($O$4="(blank)",--('Final Calculation Sheet'!$N$26=""),IF($O$4="(nonblank)",--('Final Calculation Sheet'!$N$26&lt;&gt;""),--ISNUMBER(SEARCH($O$4,'Final Calculation Sheet'!$N$26)))))</f>
        <v/>
      </c>
      <c r="DU28">
        <f>IF($P$4="",1,IF($P$4="(blank)",--('Final Calculation Sheet'!$O$26=""),IF($P$4="(nonblank)",--('Final Calculation Sheet'!$O$26&lt;&gt;""),--ISNUMBER(SEARCH($P$4,'Final Calculation Sheet'!$O$26)))))</f>
        <v/>
      </c>
      <c r="DV28">
        <f>IF($Q$4="",1,IF($Q$4="(blank)",--('Final Calculation Sheet'!$P$26=""),IF($Q$4="(nonblank)",--('Final Calculation Sheet'!$P$26&lt;&gt;""),--ISNUMBER(SEARCH($Q$4,'Final Calculation Sheet'!$P$26)))))</f>
        <v/>
      </c>
      <c r="DW28">
        <f>IF($R$4="",1,IF($R$4="(blank)",--('Final Calculation Sheet'!$Q$26=""),IF($R$4="(nonblank)",--('Final Calculation Sheet'!$Q$26&lt;&gt;""),--ISNUMBER(SEARCH($R$4,'Final Calculation Sheet'!$Q$26)))))</f>
        <v/>
      </c>
      <c r="DX28">
        <f>IF($S$4="",1,IF($S$4="(blank)",--('Final Calculation Sheet'!$R$26=""),IF($S$4="(nonblank)",--('Final Calculation Sheet'!$R$26&lt;&gt;""),--ISNUMBER(SEARCH($S$4,'Final Calculation Sheet'!$R$26)))))</f>
        <v/>
      </c>
      <c r="DY28">
        <f>IF($T$4="",1,IF($T$4="(blank)",--('Final Calculation Sheet'!$S$26=""),IF($T$4="(nonblank)",--('Final Calculation Sheet'!$S$26&lt;&gt;""),--ISNUMBER(SEARCH($T$4,'Final Calculation Sheet'!$S$26)))))</f>
        <v/>
      </c>
      <c r="DZ28">
        <f>IF($U$4="",1,IF($U$4="(blank)",--('Final Calculation Sheet'!$T$26=""),IF($U$4="(nonblank)",--('Final Calculation Sheet'!$T$26&lt;&gt;""),--ISNUMBER(SEARCH($U$4,'Final Calculation Sheet'!$T$26)))))</f>
        <v/>
      </c>
      <c r="EA28">
        <f>IF($V$4="",1,IF($V$4="(blank)",--('Final Calculation Sheet'!$U$26=""),IF($V$4="(nonblank)",--('Final Calculation Sheet'!$U$26&lt;&gt;""),--ISNUMBER(SEARCH($V$4,'Final Calculation Sheet'!$U$26)))))</f>
        <v/>
      </c>
      <c r="EB28">
        <f>IF($W$4="",1,IF($W$4="(blank)",--('Final Calculation Sheet'!$V$26=""),IF($W$4="(nonblank)",--('Final Calculation Sheet'!$V$26&lt;&gt;""),--ISNUMBER(SEARCH($W$4,'Final Calculation Sheet'!$V$26)))))</f>
        <v/>
      </c>
      <c r="EC28">
        <f>IF($X$4="",1,IF($X$4="(blank)",--('Final Calculation Sheet'!$W$26=""),IF($X$4="(nonblank)",--('Final Calculation Sheet'!$W$26&lt;&gt;""),--ISNUMBER(SEARCH($X$4,'Final Calculation Sheet'!$W$26)))))</f>
        <v/>
      </c>
      <c r="ED28">
        <f>IF($Y$4="",1,IF($Y$4="(blank)",--('Final Calculation Sheet'!$X$26=""),IF($Y$4="(nonblank)",--('Final Calculation Sheet'!$X$26&lt;&gt;""),--ISNUMBER(SEARCH($Y$4,'Final Calculation Sheet'!$X$26)))))</f>
        <v/>
      </c>
      <c r="EE28">
        <f>IF($Z$4="",1,IF($Z$4="(blank)",--('Final Calculation Sheet'!$Y$26=""),IF($Z$4="(nonblank)",--('Final Calculation Sheet'!$Y$26&lt;&gt;""),--ISNUMBER(SEARCH($Z$4,'Final Calculation Sheet'!$Y$26)))))</f>
        <v/>
      </c>
      <c r="EF28">
        <f>IF($AA$4="",1,IF($AA$4="(blank)",--('Final Calculation Sheet'!$Z$26=""),IF($AA$4="(nonblank)",--('Final Calculation Sheet'!$Z$26&lt;&gt;""),--ISNUMBER(SEARCH($AA$4,'Final Calculation Sheet'!$Z$26)))))</f>
        <v/>
      </c>
      <c r="EG28">
        <f>IF($AB$4="",1,IF($AB$4="(blank)",--('Final Calculation Sheet'!$AA$26=""),IF($AB$4="(nonblank)",--('Final Calculation Sheet'!$AA$26&lt;&gt;""),--ISNUMBER(SEARCH($AB$4,'Final Calculation Sheet'!$AA$26)))))</f>
        <v/>
      </c>
      <c r="EH28">
        <f>IF($AC$4="",1,IF($AC$4="(blank)",--('Final Calculation Sheet'!$AB$26=""),IF($AC$4="(nonblank)",--('Final Calculation Sheet'!$AB$26&lt;&gt;""),--ISNUMBER(SEARCH($AC$4,'Final Calculation Sheet'!$AB$26)))))</f>
        <v/>
      </c>
      <c r="EI28">
        <f>IF($AD$4="",1,IF($AD$4="(blank)",--('Final Calculation Sheet'!$AC$26=""),IF($AD$4="(nonblank)",--('Final Calculation Sheet'!$AC$26&lt;&gt;""),--ISNUMBER(SEARCH($AD$4,'Final Calculation Sheet'!$AC$26)))))</f>
        <v/>
      </c>
      <c r="EJ28">
        <f>IF($AE$4="",1,IF($AE$4="(blank)",--('Final Calculation Sheet'!$AD$26=""),IF($AE$4="(nonblank)",--('Final Calculation Sheet'!$AD$26&lt;&gt;""),--ISNUMBER(SEARCH($AE$4,'Final Calculation Sheet'!$AD$26)))))</f>
        <v/>
      </c>
      <c r="EK28">
        <f>IF($AF$4="",1,IF($AF$4="(blank)",--(IF('Final Calculation Sheet'!$AD$26&lt;=5,"SETTLED","OUTSTANDING")=""),IF($AF$4="(nonblank)",--(IF('Final Calculation Sheet'!$AD$26&lt;=5,"SETTLED","OUTSTANDING")&lt;&gt;""),--ISNUMBER(SEARCH($AF$4,IF('Final Calculation Sheet'!$AD$26&lt;=5,"SETTLED","OUTSTANDING"))))))</f>
        <v/>
      </c>
      <c r="EL28">
        <f>IF($AG$4="",1,IF($AG$4="(blank)",--('Final Calculation Sheet'!$AF$26=""),IF($AG$4="(nonblank)",--('Final Calculation Sheet'!$AF$26&lt;&gt;""),--ISNUMBER(SEARCH($AG$4,'Final Calculation Sheet'!$AF$26)))))</f>
        <v/>
      </c>
      <c r="EM28">
        <f>IF($AH$4="",1,IF($AH$4="(blank)",--('Final Calculation Sheet'!$AG$26=""),IF($AH$4="(nonblank)",--('Final Calculation Sheet'!$AG$26&lt;&gt;""),--ISNUMBER(SEARCH($AH$4,'Final Calculation Sheet'!$AG$26)))))</f>
        <v/>
      </c>
      <c r="EN28">
        <f>IF($AI$4="",1,IF($AI$4="(blank)",--('Final Calculation Sheet'!$AH$26=""),IF($AI$4="(nonblank)",--('Final Calculation Sheet'!$AH$26&lt;&gt;""),--ISNUMBER(SEARCH($AI$4,'Final Calculation Sheet'!$AH$26)))))</f>
        <v/>
      </c>
    </row>
    <row r="29" outlineLevel="1" hidden="1">
      <c r="A29" s="118">
        <f>IF($AL$29="","",23)</f>
        <v/>
      </c>
      <c r="B29" s="119">
        <f>IF($AL$29="","",IF(INDEX('Final Calculation Sheet'!$F$4:$F$40,$AL$29)="","",INDEX('Final Calculation Sheet'!$F$4:$F$40,$AL$29)))</f>
        <v/>
      </c>
      <c r="C29" s="119">
        <f>IF($AL$29="","",IF(INDEX('Final Calculation Sheet'!$G$4:$G$40,$AL$29)="","",INDEX('Final Calculation Sheet'!$G$4:$G$40,$AL$29)))</f>
        <v/>
      </c>
      <c r="D29" s="121">
        <f>IF($AL$29="","",IF(INDEX('Final Calculation Sheet'!$B$4:$B$40,$AL$29)="","",INDEX('Final Calculation Sheet'!$B$4:$B$40,$AL$29)))</f>
        <v/>
      </c>
      <c r="E29" s="121">
        <f>IF($AL$29="","",IF(INDEX('Final Calculation Sheet'!$D$4:$D$40,$AL$29)="","",INDEX('Final Calculation Sheet'!$D$4:$D$40,$AL$29)))</f>
        <v/>
      </c>
      <c r="F29" s="121">
        <f>IF($AL$29="","",IF(INDEX('Final Calculation Sheet'!$A$4:$A$40,$AL$29)="","",INDEX('Final Calculation Sheet'!$A$4:$A$40,$AL$29)))</f>
        <v/>
      </c>
      <c r="G29" s="121">
        <f>IF($AL$29="","",IF(INDEX('Final Calculation Sheet'!$E$4:$E$40,$AL$29)="","",INDEX('Final Calculation Sheet'!$E$4:$E$40,$AL$29)))</f>
        <v/>
      </c>
      <c r="H29" s="122">
        <f>IF($AL$29="","",IF(INDEX('Final Calculation Sheet'!$C$4:$C$40,$AL$29)="","",INDEX('Final Calculation Sheet'!$C$4:$C$40,$AL$29)))</f>
        <v/>
      </c>
      <c r="I29" s="122">
        <f>IF($AL$29="","",IF(INDEX('Final Calculation Sheet'!$H$4:$H$40,$AL$29)="","",INDEX('Final Calculation Sheet'!$H$4:$H$40,$AL$29)))</f>
        <v/>
      </c>
      <c r="J29" s="122">
        <f>IF($AL$29="","",IF(INDEX('Final Calculation Sheet'!$I$4:$I$40,$AL$29)="","",INDEX('Final Calculation Sheet'!$I$4:$I$40,$AL$29)))</f>
        <v/>
      </c>
      <c r="K29" s="122">
        <f>IF($AL$29="","",IF(INDEX('Final Calculation Sheet'!$J$4:$J$40,$AL$29)="","",INDEX('Final Calculation Sheet'!$J$4:$J$40,$AL$29)))</f>
        <v/>
      </c>
      <c r="L29" s="122">
        <f>IF($AL$29="","",IF(INDEX('Final Calculation Sheet'!$K$4:$K$40,$AL$29)="","",INDEX('Final Calculation Sheet'!$K$4:$K$40,$AL$29)))</f>
        <v/>
      </c>
      <c r="M29" s="122">
        <f>IF($AL$29="","",IF(INDEX('Final Calculation Sheet'!$L$4:$L$40,$AL$29)="","",INDEX('Final Calculation Sheet'!$L$4:$L$40,$AL$29)))</f>
        <v/>
      </c>
      <c r="N29" s="122">
        <f>IF($AL$29="","",IF(INDEX('Final Calculation Sheet'!$M$4:$M$40,$AL$29)="","",INDEX('Final Calculation Sheet'!$M$4:$M$40,$AL$29)))</f>
        <v/>
      </c>
      <c r="O29" s="123">
        <f>IF($AL$29="","",IF(INDEX('Final Calculation Sheet'!$N$4:$N$40,$AL$29)="","",INDEX('Final Calculation Sheet'!$N$4:$N$40,$AL$29)))</f>
        <v/>
      </c>
      <c r="P29" s="122">
        <f>IF($AL$29="","",IF(INDEX('Final Calculation Sheet'!$O$4:$O$40,$AL$29)="","",INDEX('Final Calculation Sheet'!$O$4:$O$40,$AL$29)))</f>
        <v/>
      </c>
      <c r="Q29" s="122">
        <f>IF($AL$29="","",IF(INDEX('Final Calculation Sheet'!$P$4:$P$40,$AL$29)="","",INDEX('Final Calculation Sheet'!$P$4:$P$40,$AL$29)))</f>
        <v/>
      </c>
      <c r="R29" s="124">
        <f>IF($AL$29="","",IF(INDEX('Final Calculation Sheet'!$Q$4:$Q$40,$AL$29)="","",INDEX('Final Calculation Sheet'!$Q$4:$Q$40,$AL$29)))</f>
        <v/>
      </c>
      <c r="S29" s="122">
        <f>IF($AL$29="","",IF(INDEX('Final Calculation Sheet'!$R$4:$R$40,$AL$29)="","",INDEX('Final Calculation Sheet'!$R$4:$R$40,$AL$29)))</f>
        <v/>
      </c>
      <c r="T29" s="122">
        <f>IF($AL$29="","",IF(INDEX('Final Calculation Sheet'!$S$4:$S$40,$AL$29)="","",INDEX('Final Calculation Sheet'!$S$4:$S$40,$AL$29)))</f>
        <v/>
      </c>
      <c r="U29" s="122">
        <f>IF($AL$29="","",IF(INDEX('Final Calculation Sheet'!$T$4:$T$40,$AL$29)="","",INDEX('Final Calculation Sheet'!$T$4:$T$40,$AL$29)))</f>
        <v/>
      </c>
      <c r="V29" s="125">
        <f>IF($AL$29="","",IF(INDEX('Final Calculation Sheet'!$U$4:$U$40,$AL$29)="","",INDEX('Final Calculation Sheet'!$U$4:$U$40,$AL$29)))</f>
        <v/>
      </c>
      <c r="W29" s="122">
        <f>IF($AL$29="","",IF(INDEX('Final Calculation Sheet'!$V$4:$V$40,$AL$29)="","",INDEX('Final Calculation Sheet'!$V$4:$V$40,$AL$29)))</f>
        <v/>
      </c>
      <c r="X29" s="122">
        <f>IF($AL$29="","",IF(INDEX('Final Calculation Sheet'!$W$4:$W$40,$AL$29)="","",INDEX('Final Calculation Sheet'!$W$4:$W$40,$AL$29)))</f>
        <v/>
      </c>
      <c r="Y29" s="122">
        <f>IF($AL$29="","",IF(INDEX('Final Calculation Sheet'!$X$4:$X$40,$AL$29)="","",INDEX('Final Calculation Sheet'!$X$4:$X$40,$AL$29)))</f>
        <v/>
      </c>
      <c r="Z29" s="122">
        <f>IF($AL$29="","",IF(INDEX('Final Calculation Sheet'!$Y$4:$Y$40,$AL$29)="","",INDEX('Final Calculation Sheet'!$Y$4:$Y$40,$AL$29)))</f>
        <v/>
      </c>
      <c r="AA29" s="122">
        <f>IF($AL$29="","",IF(INDEX('Final Calculation Sheet'!$Z$4:$Z$40,$AL$29)="","",INDEX('Final Calculation Sheet'!$Z$4:$Z$40,$AL$29)))</f>
        <v/>
      </c>
      <c r="AB29" s="122">
        <f>IF($AL$29="","",IF(INDEX('Final Calculation Sheet'!$AA$4:$AA$40,$AL$29)="","",INDEX('Final Calculation Sheet'!$AA$4:$AA$40,$AL$29)))</f>
        <v/>
      </c>
      <c r="AC29" s="122">
        <f>IF($AL$29="","",IF(INDEX('Final Calculation Sheet'!$AB$4:$AB$40,$AL$29)="","",INDEX('Final Calculation Sheet'!$AB$4:$AB$40,$AL$29)))</f>
        <v/>
      </c>
      <c r="AD29" s="122">
        <f>IF($AL$29="","",IF(INDEX('Final Calculation Sheet'!$AC$4:$AC$40,$AL$29)="","",INDEX('Final Calculation Sheet'!$AC$4:$AC$40,$AL$29)))</f>
        <v/>
      </c>
      <c r="AE29" s="122">
        <f>IF($AL$29="","",IF(INDEX('Final Calculation Sheet'!$AD$4:$AD$40,$AL$29)="","",INDEX('Final Calculation Sheet'!$AD$4:$AD$40,$AL$29)))</f>
        <v/>
      </c>
      <c r="AF29" s="127">
        <f>IF($AL$29="","",IF(INDEX('Final Calculation Sheet'!$AD$4:$AD$40,$AL$29)&lt;=5,"SETTLED","OUTSTANDING"))</f>
        <v/>
      </c>
      <c r="AG29" s="122">
        <f>IF($AL$29="","",IF(INDEX('Final Calculation Sheet'!$AF$4:$AF$40,$AL$29)="","",INDEX('Final Calculation Sheet'!$AF$4:$AF$40,$AL$29)))</f>
        <v/>
      </c>
      <c r="AH29" s="126">
        <f>IF($AL$29="","",IF(INDEX('Final Calculation Sheet'!$AG$4:$AG$40,$AL$29)="","",INDEX('Final Calculation Sheet'!$AG$4:$AG$40,$AL$29)))</f>
        <v/>
      </c>
      <c r="AI29" s="122">
        <f>IF($AL$29="","",IF(INDEX('Final Calculation Sheet'!$AH$4:$AH$40,$AL$29)="","",INDEX('Final Calculation Sheet'!$AH$4:$AH$40,$AL$29)))</f>
        <v/>
      </c>
      <c r="AJ29">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29">
        <f>IF(AJ29=1,COUNTIF(AJ$6:AJ29,1),"")</f>
        <v/>
      </c>
      <c r="AL29">
        <f>IF(COUNTIF($B$4:$AI$4,"&lt;&gt;")=0,"",IFERROR(MATCH(23,$AK$6:$AK$42,0),""))</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G29">
        <f>IF($B$4="",1,IF($B$4="(blank)",--('Final Calculation Sheet'!$F$27=""),IF($B$4="(nonblank)",--('Final Calculation Sheet'!$F$27&lt;&gt;""),--ISNUMBER(SEARCH($B$4,'Final Calculation Sheet'!$F$27)))))</f>
        <v/>
      </c>
      <c r="DH29">
        <f>IF($C$4="",1,IF($C$4="(blank)",--('Final Calculation Sheet'!$G$27=""),IF($C$4="(nonblank)",--('Final Calculation Sheet'!$G$27&lt;&gt;""),--ISNUMBER(SEARCH($C$4,'Final Calculation Sheet'!$G$27)))))</f>
        <v/>
      </c>
      <c r="DI29">
        <f>IF($D$4="",1,IF($D$4="(blank)",--('Final Calculation Sheet'!$B$27=""),IF($D$4="(nonblank)",--('Final Calculation Sheet'!$B$27&lt;&gt;""),--ISNUMBER(SEARCH($D$4,'Final Calculation Sheet'!$B$27)))))</f>
        <v/>
      </c>
      <c r="DJ29">
        <f>IF($E$4="",1,IF($E$4="(blank)",--('Final Calculation Sheet'!$D$27=""),IF($E$4="(nonblank)",--('Final Calculation Sheet'!$D$27&lt;&gt;""),--ISNUMBER(SEARCH($E$4,'Final Calculation Sheet'!$D$27)))))</f>
        <v/>
      </c>
      <c r="DK29">
        <f>IF($F$4="",1,IF($F$4="(blank)",--('Final Calculation Sheet'!$A$27=""),IF($F$4="(nonblank)",--('Final Calculation Sheet'!$A$27&lt;&gt;""),--ISNUMBER(SEARCH($F$4,'Final Calculation Sheet'!$A$27)))))</f>
        <v/>
      </c>
      <c r="DL29">
        <f>IF($G$4="",1,IF($G$4="(blank)",--('Final Calculation Sheet'!$E$27=""),IF($G$4="(nonblank)",--('Final Calculation Sheet'!$E$27&lt;&gt;""),--ISNUMBER(SEARCH($G$4,'Final Calculation Sheet'!$E$27)))))</f>
        <v/>
      </c>
      <c r="DM29">
        <f>IF($H$4="",1,IF($H$4="(blank)",--('Final Calculation Sheet'!$C$27=""),IF($H$4="(nonblank)",--('Final Calculation Sheet'!$C$27&lt;&gt;""),--ISNUMBER(SEARCH($H$4,'Final Calculation Sheet'!$C$27)))))</f>
        <v/>
      </c>
      <c r="DN29">
        <f>IF($I$4="",1,IF($I$4="(blank)",--('Final Calculation Sheet'!$H$27=""),IF($I$4="(nonblank)",--('Final Calculation Sheet'!$H$27&lt;&gt;""),--ISNUMBER(SEARCH($I$4,'Final Calculation Sheet'!$H$27)))))</f>
        <v/>
      </c>
      <c r="DO29">
        <f>IF($J$4="",1,IF($J$4="(blank)",--('Final Calculation Sheet'!$I$27=""),IF($J$4="(nonblank)",--('Final Calculation Sheet'!$I$27&lt;&gt;""),--ISNUMBER(SEARCH($J$4,'Final Calculation Sheet'!$I$27)))))</f>
        <v/>
      </c>
      <c r="DP29">
        <f>IF($K$4="",1,IF($K$4="(blank)",--('Final Calculation Sheet'!$J$27=""),IF($K$4="(nonblank)",--('Final Calculation Sheet'!$J$27&lt;&gt;""),--ISNUMBER(SEARCH($K$4,'Final Calculation Sheet'!$J$27)))))</f>
        <v/>
      </c>
      <c r="DQ29">
        <f>IF($L$4="",1,IF($L$4="(blank)",--('Final Calculation Sheet'!$K$27=""),IF($L$4="(nonblank)",--('Final Calculation Sheet'!$K$27&lt;&gt;""),--ISNUMBER(SEARCH($L$4,'Final Calculation Sheet'!$K$27)))))</f>
        <v/>
      </c>
      <c r="DR29">
        <f>IF($M$4="",1,IF($M$4="(blank)",--('Final Calculation Sheet'!$L$27=""),IF($M$4="(nonblank)",--('Final Calculation Sheet'!$L$27&lt;&gt;""),--ISNUMBER(SEARCH($M$4,'Final Calculation Sheet'!$L$27)))))</f>
        <v/>
      </c>
      <c r="DS29">
        <f>IF($N$4="",1,IF($N$4="(blank)",--('Final Calculation Sheet'!$M$27=""),IF($N$4="(nonblank)",--('Final Calculation Sheet'!$M$27&lt;&gt;""),--ISNUMBER(SEARCH($N$4,'Final Calculation Sheet'!$M$27)))))</f>
        <v/>
      </c>
      <c r="DT29">
        <f>IF($O$4="",1,IF($O$4="(blank)",--('Final Calculation Sheet'!$N$27=""),IF($O$4="(nonblank)",--('Final Calculation Sheet'!$N$27&lt;&gt;""),--ISNUMBER(SEARCH($O$4,'Final Calculation Sheet'!$N$27)))))</f>
        <v/>
      </c>
      <c r="DU29">
        <f>IF($P$4="",1,IF($P$4="(blank)",--('Final Calculation Sheet'!$O$27=""),IF($P$4="(nonblank)",--('Final Calculation Sheet'!$O$27&lt;&gt;""),--ISNUMBER(SEARCH($P$4,'Final Calculation Sheet'!$O$27)))))</f>
        <v/>
      </c>
      <c r="DV29">
        <f>IF($Q$4="",1,IF($Q$4="(blank)",--('Final Calculation Sheet'!$P$27=""),IF($Q$4="(nonblank)",--('Final Calculation Sheet'!$P$27&lt;&gt;""),--ISNUMBER(SEARCH($Q$4,'Final Calculation Sheet'!$P$27)))))</f>
        <v/>
      </c>
      <c r="DW29">
        <f>IF($R$4="",1,IF($R$4="(blank)",--('Final Calculation Sheet'!$Q$27=""),IF($R$4="(nonblank)",--('Final Calculation Sheet'!$Q$27&lt;&gt;""),--ISNUMBER(SEARCH($R$4,'Final Calculation Sheet'!$Q$27)))))</f>
        <v/>
      </c>
      <c r="DX29">
        <f>IF($S$4="",1,IF($S$4="(blank)",--('Final Calculation Sheet'!$R$27=""),IF($S$4="(nonblank)",--('Final Calculation Sheet'!$R$27&lt;&gt;""),--ISNUMBER(SEARCH($S$4,'Final Calculation Sheet'!$R$27)))))</f>
        <v/>
      </c>
      <c r="DY29">
        <f>IF($T$4="",1,IF($T$4="(blank)",--('Final Calculation Sheet'!$S$27=""),IF($T$4="(nonblank)",--('Final Calculation Sheet'!$S$27&lt;&gt;""),--ISNUMBER(SEARCH($T$4,'Final Calculation Sheet'!$S$27)))))</f>
        <v/>
      </c>
      <c r="DZ29">
        <f>IF($U$4="",1,IF($U$4="(blank)",--('Final Calculation Sheet'!$T$27=""),IF($U$4="(nonblank)",--('Final Calculation Sheet'!$T$27&lt;&gt;""),--ISNUMBER(SEARCH($U$4,'Final Calculation Sheet'!$T$27)))))</f>
        <v/>
      </c>
      <c r="EA29">
        <f>IF($V$4="",1,IF($V$4="(blank)",--('Final Calculation Sheet'!$U$27=""),IF($V$4="(nonblank)",--('Final Calculation Sheet'!$U$27&lt;&gt;""),--ISNUMBER(SEARCH($V$4,'Final Calculation Sheet'!$U$27)))))</f>
        <v/>
      </c>
      <c r="EB29">
        <f>IF($W$4="",1,IF($W$4="(blank)",--('Final Calculation Sheet'!$V$27=""),IF($W$4="(nonblank)",--('Final Calculation Sheet'!$V$27&lt;&gt;""),--ISNUMBER(SEARCH($W$4,'Final Calculation Sheet'!$V$27)))))</f>
        <v/>
      </c>
      <c r="EC29">
        <f>IF($X$4="",1,IF($X$4="(blank)",--('Final Calculation Sheet'!$W$27=""),IF($X$4="(nonblank)",--('Final Calculation Sheet'!$W$27&lt;&gt;""),--ISNUMBER(SEARCH($X$4,'Final Calculation Sheet'!$W$27)))))</f>
        <v/>
      </c>
      <c r="ED29">
        <f>IF($Y$4="",1,IF($Y$4="(blank)",--('Final Calculation Sheet'!$X$27=""),IF($Y$4="(nonblank)",--('Final Calculation Sheet'!$X$27&lt;&gt;""),--ISNUMBER(SEARCH($Y$4,'Final Calculation Sheet'!$X$27)))))</f>
        <v/>
      </c>
      <c r="EE29">
        <f>IF($Z$4="",1,IF($Z$4="(blank)",--('Final Calculation Sheet'!$Y$27=""),IF($Z$4="(nonblank)",--('Final Calculation Sheet'!$Y$27&lt;&gt;""),--ISNUMBER(SEARCH($Z$4,'Final Calculation Sheet'!$Y$27)))))</f>
        <v/>
      </c>
      <c r="EF29">
        <f>IF($AA$4="",1,IF($AA$4="(blank)",--('Final Calculation Sheet'!$Z$27=""),IF($AA$4="(nonblank)",--('Final Calculation Sheet'!$Z$27&lt;&gt;""),--ISNUMBER(SEARCH($AA$4,'Final Calculation Sheet'!$Z$27)))))</f>
        <v/>
      </c>
      <c r="EG29">
        <f>IF($AB$4="",1,IF($AB$4="(blank)",--('Final Calculation Sheet'!$AA$27=""),IF($AB$4="(nonblank)",--('Final Calculation Sheet'!$AA$27&lt;&gt;""),--ISNUMBER(SEARCH($AB$4,'Final Calculation Sheet'!$AA$27)))))</f>
        <v/>
      </c>
      <c r="EH29">
        <f>IF($AC$4="",1,IF($AC$4="(blank)",--('Final Calculation Sheet'!$AB$27=""),IF($AC$4="(nonblank)",--('Final Calculation Sheet'!$AB$27&lt;&gt;""),--ISNUMBER(SEARCH($AC$4,'Final Calculation Sheet'!$AB$27)))))</f>
        <v/>
      </c>
      <c r="EI29">
        <f>IF($AD$4="",1,IF($AD$4="(blank)",--('Final Calculation Sheet'!$AC$27=""),IF($AD$4="(nonblank)",--('Final Calculation Sheet'!$AC$27&lt;&gt;""),--ISNUMBER(SEARCH($AD$4,'Final Calculation Sheet'!$AC$27)))))</f>
        <v/>
      </c>
      <c r="EJ29">
        <f>IF($AE$4="",1,IF($AE$4="(blank)",--('Final Calculation Sheet'!$AD$27=""),IF($AE$4="(nonblank)",--('Final Calculation Sheet'!$AD$27&lt;&gt;""),--ISNUMBER(SEARCH($AE$4,'Final Calculation Sheet'!$AD$27)))))</f>
        <v/>
      </c>
      <c r="EK29">
        <f>IF($AF$4="",1,IF($AF$4="(blank)",--(IF('Final Calculation Sheet'!$AD$27&lt;=5,"SETTLED","OUTSTANDING")=""),IF($AF$4="(nonblank)",--(IF('Final Calculation Sheet'!$AD$27&lt;=5,"SETTLED","OUTSTANDING")&lt;&gt;""),--ISNUMBER(SEARCH($AF$4,IF('Final Calculation Sheet'!$AD$27&lt;=5,"SETTLED","OUTSTANDING"))))))</f>
        <v/>
      </c>
      <c r="EL29">
        <f>IF($AG$4="",1,IF($AG$4="(blank)",--('Final Calculation Sheet'!$AF$27=""),IF($AG$4="(nonblank)",--('Final Calculation Sheet'!$AF$27&lt;&gt;""),--ISNUMBER(SEARCH($AG$4,'Final Calculation Sheet'!$AF$27)))))</f>
        <v/>
      </c>
      <c r="EM29">
        <f>IF($AH$4="",1,IF($AH$4="(blank)",--('Final Calculation Sheet'!$AG$27=""),IF($AH$4="(nonblank)",--('Final Calculation Sheet'!$AG$27&lt;&gt;""),--ISNUMBER(SEARCH($AH$4,'Final Calculation Sheet'!$AG$27)))))</f>
        <v/>
      </c>
      <c r="EN29">
        <f>IF($AI$4="",1,IF($AI$4="(blank)",--('Final Calculation Sheet'!$AH$27=""),IF($AI$4="(nonblank)",--('Final Calculation Sheet'!$AH$27&lt;&gt;""),--ISNUMBER(SEARCH($AI$4,'Final Calculation Sheet'!$AH$27)))))</f>
        <v/>
      </c>
    </row>
    <row r="30" outlineLevel="1" hidden="1">
      <c r="A30" s="128">
        <f>IF($AL$30="","",24)</f>
        <v/>
      </c>
      <c r="B30" s="129">
        <f>IF($AL$30="","",IF(INDEX('Final Calculation Sheet'!$F$4:$F$40,$AL$30)="","",INDEX('Final Calculation Sheet'!$F$4:$F$40,$AL$30)))</f>
        <v/>
      </c>
      <c r="C30" s="129">
        <f>IF($AL$30="","",IF(INDEX('Final Calculation Sheet'!$G$4:$G$40,$AL$30)="","",INDEX('Final Calculation Sheet'!$G$4:$G$40,$AL$30)))</f>
        <v/>
      </c>
      <c r="D30" s="130">
        <f>IF($AL$30="","",IF(INDEX('Final Calculation Sheet'!$B$4:$B$40,$AL$30)="","",INDEX('Final Calculation Sheet'!$B$4:$B$40,$AL$30)))</f>
        <v/>
      </c>
      <c r="E30" s="130">
        <f>IF($AL$30="","",IF(INDEX('Final Calculation Sheet'!$D$4:$D$40,$AL$30)="","",INDEX('Final Calculation Sheet'!$D$4:$D$40,$AL$30)))</f>
        <v/>
      </c>
      <c r="F30" s="130">
        <f>IF($AL$30="","",IF(INDEX('Final Calculation Sheet'!$A$4:$A$40,$AL$30)="","",INDEX('Final Calculation Sheet'!$A$4:$A$40,$AL$30)))</f>
        <v/>
      </c>
      <c r="G30" s="130">
        <f>IF($AL$30="","",IF(INDEX('Final Calculation Sheet'!$E$4:$E$40,$AL$30)="","",INDEX('Final Calculation Sheet'!$E$4:$E$40,$AL$30)))</f>
        <v/>
      </c>
      <c r="H30" s="131">
        <f>IF($AL$30="","",IF(INDEX('Final Calculation Sheet'!$C$4:$C$40,$AL$30)="","",INDEX('Final Calculation Sheet'!$C$4:$C$40,$AL$30)))</f>
        <v/>
      </c>
      <c r="I30" s="131">
        <f>IF($AL$30="","",IF(INDEX('Final Calculation Sheet'!$H$4:$H$40,$AL$30)="","",INDEX('Final Calculation Sheet'!$H$4:$H$40,$AL$30)))</f>
        <v/>
      </c>
      <c r="J30" s="131">
        <f>IF($AL$30="","",IF(INDEX('Final Calculation Sheet'!$I$4:$I$40,$AL$30)="","",INDEX('Final Calculation Sheet'!$I$4:$I$40,$AL$30)))</f>
        <v/>
      </c>
      <c r="K30" s="131">
        <f>IF($AL$30="","",IF(INDEX('Final Calculation Sheet'!$J$4:$J$40,$AL$30)="","",INDEX('Final Calculation Sheet'!$J$4:$J$40,$AL$30)))</f>
        <v/>
      </c>
      <c r="L30" s="131">
        <f>IF($AL$30="","",IF(INDEX('Final Calculation Sheet'!$K$4:$K$40,$AL$30)="","",INDEX('Final Calculation Sheet'!$K$4:$K$40,$AL$30)))</f>
        <v/>
      </c>
      <c r="M30" s="131">
        <f>IF($AL$30="","",IF(INDEX('Final Calculation Sheet'!$L$4:$L$40,$AL$30)="","",INDEX('Final Calculation Sheet'!$L$4:$L$40,$AL$30)))</f>
        <v/>
      </c>
      <c r="N30" s="131">
        <f>IF($AL$30="","",IF(INDEX('Final Calculation Sheet'!$M$4:$M$40,$AL$30)="","",INDEX('Final Calculation Sheet'!$M$4:$M$40,$AL$30)))</f>
        <v/>
      </c>
      <c r="O30" s="132">
        <f>IF($AL$30="","",IF(INDEX('Final Calculation Sheet'!$N$4:$N$40,$AL$30)="","",INDEX('Final Calculation Sheet'!$N$4:$N$40,$AL$30)))</f>
        <v/>
      </c>
      <c r="P30" s="131">
        <f>IF($AL$30="","",IF(INDEX('Final Calculation Sheet'!$O$4:$O$40,$AL$30)="","",INDEX('Final Calculation Sheet'!$O$4:$O$40,$AL$30)))</f>
        <v/>
      </c>
      <c r="Q30" s="131">
        <f>IF($AL$30="","",IF(INDEX('Final Calculation Sheet'!$P$4:$P$40,$AL$30)="","",INDEX('Final Calculation Sheet'!$P$4:$P$40,$AL$30)))</f>
        <v/>
      </c>
      <c r="R30" s="133">
        <f>IF($AL$30="","",IF(INDEX('Final Calculation Sheet'!$Q$4:$Q$40,$AL$30)="","",INDEX('Final Calculation Sheet'!$Q$4:$Q$40,$AL$30)))</f>
        <v/>
      </c>
      <c r="S30" s="131">
        <f>IF($AL$30="","",IF(INDEX('Final Calculation Sheet'!$R$4:$R$40,$AL$30)="","",INDEX('Final Calculation Sheet'!$R$4:$R$40,$AL$30)))</f>
        <v/>
      </c>
      <c r="T30" s="131">
        <f>IF($AL$30="","",IF(INDEX('Final Calculation Sheet'!$S$4:$S$40,$AL$30)="","",INDEX('Final Calculation Sheet'!$S$4:$S$40,$AL$30)))</f>
        <v/>
      </c>
      <c r="U30" s="131">
        <f>IF($AL$30="","",IF(INDEX('Final Calculation Sheet'!$T$4:$T$40,$AL$30)="","",INDEX('Final Calculation Sheet'!$T$4:$T$40,$AL$30)))</f>
        <v/>
      </c>
      <c r="V30" s="134">
        <f>IF($AL$30="","",IF(INDEX('Final Calculation Sheet'!$U$4:$U$40,$AL$30)="","",INDEX('Final Calculation Sheet'!$U$4:$U$40,$AL$30)))</f>
        <v/>
      </c>
      <c r="W30" s="131">
        <f>IF($AL$30="","",IF(INDEX('Final Calculation Sheet'!$V$4:$V$40,$AL$30)="","",INDEX('Final Calculation Sheet'!$V$4:$V$40,$AL$30)))</f>
        <v/>
      </c>
      <c r="X30" s="131">
        <f>IF($AL$30="","",IF(INDEX('Final Calculation Sheet'!$W$4:$W$40,$AL$30)="","",INDEX('Final Calculation Sheet'!$W$4:$W$40,$AL$30)))</f>
        <v/>
      </c>
      <c r="Y30" s="131">
        <f>IF($AL$30="","",IF(INDEX('Final Calculation Sheet'!$X$4:$X$40,$AL$30)="","",INDEX('Final Calculation Sheet'!$X$4:$X$40,$AL$30)))</f>
        <v/>
      </c>
      <c r="Z30" s="131">
        <f>IF($AL$30="","",IF(INDEX('Final Calculation Sheet'!$Y$4:$Y$40,$AL$30)="","",INDEX('Final Calculation Sheet'!$Y$4:$Y$40,$AL$30)))</f>
        <v/>
      </c>
      <c r="AA30" s="131">
        <f>IF($AL$30="","",IF(INDEX('Final Calculation Sheet'!$Z$4:$Z$40,$AL$30)="","",INDEX('Final Calculation Sheet'!$Z$4:$Z$40,$AL$30)))</f>
        <v/>
      </c>
      <c r="AB30" s="131">
        <f>IF($AL$30="","",IF(INDEX('Final Calculation Sheet'!$AA$4:$AA$40,$AL$30)="","",INDEX('Final Calculation Sheet'!$AA$4:$AA$40,$AL$30)))</f>
        <v/>
      </c>
      <c r="AC30" s="131">
        <f>IF($AL$30="","",IF(INDEX('Final Calculation Sheet'!$AB$4:$AB$40,$AL$30)="","",INDEX('Final Calculation Sheet'!$AB$4:$AB$40,$AL$30)))</f>
        <v/>
      </c>
      <c r="AD30" s="131">
        <f>IF($AL$30="","",IF(INDEX('Final Calculation Sheet'!$AC$4:$AC$40,$AL$30)="","",INDEX('Final Calculation Sheet'!$AC$4:$AC$40,$AL$30)))</f>
        <v/>
      </c>
      <c r="AE30" s="131">
        <f>IF($AL$30="","",IF(INDEX('Final Calculation Sheet'!$AD$4:$AD$40,$AL$30)="","",INDEX('Final Calculation Sheet'!$AD$4:$AD$40,$AL$30)))</f>
        <v/>
      </c>
      <c r="AF30" s="136">
        <f>IF($AL$30="","",IF(INDEX('Final Calculation Sheet'!$AD$4:$AD$40,$AL$30)&lt;=5,"SETTLED","OUTSTANDING"))</f>
        <v/>
      </c>
      <c r="AG30" s="131">
        <f>IF($AL$30="","",IF(INDEX('Final Calculation Sheet'!$AF$4:$AF$40,$AL$30)="","",INDEX('Final Calculation Sheet'!$AF$4:$AF$40,$AL$30)))</f>
        <v/>
      </c>
      <c r="AH30" s="135">
        <f>IF($AL$30="","",IF(INDEX('Final Calculation Sheet'!$AG$4:$AG$40,$AL$30)="","",INDEX('Final Calculation Sheet'!$AG$4:$AG$40,$AL$30)))</f>
        <v/>
      </c>
      <c r="AI30" s="131">
        <f>IF($AL$30="","",IF(INDEX('Final Calculation Sheet'!$AH$4:$AH$40,$AL$30)="","",INDEX('Final Calculation Sheet'!$AH$4:$AH$40,$AL$30)))</f>
        <v/>
      </c>
      <c r="AJ30">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30">
        <f>IF(AJ30=1,COUNTIF(AJ$6:AJ30,1),"")</f>
        <v/>
      </c>
      <c r="AL30">
        <f>IF(COUNTIF($B$4:$AI$4,"&lt;&gt;")=0,"",IFERROR(MATCH(24,$AK$6:$AK$42,0),""))</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G30">
        <f>IF($B$4="",1,IF($B$4="(blank)",--('Final Calculation Sheet'!$F$28=""),IF($B$4="(nonblank)",--('Final Calculation Sheet'!$F$28&lt;&gt;""),--ISNUMBER(SEARCH($B$4,'Final Calculation Sheet'!$F$28)))))</f>
        <v/>
      </c>
      <c r="DH30">
        <f>IF($C$4="",1,IF($C$4="(blank)",--('Final Calculation Sheet'!$G$28=""),IF($C$4="(nonblank)",--('Final Calculation Sheet'!$G$28&lt;&gt;""),--ISNUMBER(SEARCH($C$4,'Final Calculation Sheet'!$G$28)))))</f>
        <v/>
      </c>
      <c r="DI30">
        <f>IF($D$4="",1,IF($D$4="(blank)",--('Final Calculation Sheet'!$B$28=""),IF($D$4="(nonblank)",--('Final Calculation Sheet'!$B$28&lt;&gt;""),--ISNUMBER(SEARCH($D$4,'Final Calculation Sheet'!$B$28)))))</f>
        <v/>
      </c>
      <c r="DJ30">
        <f>IF($E$4="",1,IF($E$4="(blank)",--('Final Calculation Sheet'!$D$28=""),IF($E$4="(nonblank)",--('Final Calculation Sheet'!$D$28&lt;&gt;""),--ISNUMBER(SEARCH($E$4,'Final Calculation Sheet'!$D$28)))))</f>
        <v/>
      </c>
      <c r="DK30">
        <f>IF($F$4="",1,IF($F$4="(blank)",--('Final Calculation Sheet'!$A$28=""),IF($F$4="(nonblank)",--('Final Calculation Sheet'!$A$28&lt;&gt;""),--ISNUMBER(SEARCH($F$4,'Final Calculation Sheet'!$A$28)))))</f>
        <v/>
      </c>
      <c r="DL30">
        <f>IF($G$4="",1,IF($G$4="(blank)",--('Final Calculation Sheet'!$E$28=""),IF($G$4="(nonblank)",--('Final Calculation Sheet'!$E$28&lt;&gt;""),--ISNUMBER(SEARCH($G$4,'Final Calculation Sheet'!$E$28)))))</f>
        <v/>
      </c>
      <c r="DM30">
        <f>IF($H$4="",1,IF($H$4="(blank)",--('Final Calculation Sheet'!$C$28=""),IF($H$4="(nonblank)",--('Final Calculation Sheet'!$C$28&lt;&gt;""),--ISNUMBER(SEARCH($H$4,'Final Calculation Sheet'!$C$28)))))</f>
        <v/>
      </c>
      <c r="DN30">
        <f>IF($I$4="",1,IF($I$4="(blank)",--('Final Calculation Sheet'!$H$28=""),IF($I$4="(nonblank)",--('Final Calculation Sheet'!$H$28&lt;&gt;""),--ISNUMBER(SEARCH($I$4,'Final Calculation Sheet'!$H$28)))))</f>
        <v/>
      </c>
      <c r="DO30">
        <f>IF($J$4="",1,IF($J$4="(blank)",--('Final Calculation Sheet'!$I$28=""),IF($J$4="(nonblank)",--('Final Calculation Sheet'!$I$28&lt;&gt;""),--ISNUMBER(SEARCH($J$4,'Final Calculation Sheet'!$I$28)))))</f>
        <v/>
      </c>
      <c r="DP30">
        <f>IF($K$4="",1,IF($K$4="(blank)",--('Final Calculation Sheet'!$J$28=""),IF($K$4="(nonblank)",--('Final Calculation Sheet'!$J$28&lt;&gt;""),--ISNUMBER(SEARCH($K$4,'Final Calculation Sheet'!$J$28)))))</f>
        <v/>
      </c>
      <c r="DQ30">
        <f>IF($L$4="",1,IF($L$4="(blank)",--('Final Calculation Sheet'!$K$28=""),IF($L$4="(nonblank)",--('Final Calculation Sheet'!$K$28&lt;&gt;""),--ISNUMBER(SEARCH($L$4,'Final Calculation Sheet'!$K$28)))))</f>
        <v/>
      </c>
      <c r="DR30">
        <f>IF($M$4="",1,IF($M$4="(blank)",--('Final Calculation Sheet'!$L$28=""),IF($M$4="(nonblank)",--('Final Calculation Sheet'!$L$28&lt;&gt;""),--ISNUMBER(SEARCH($M$4,'Final Calculation Sheet'!$L$28)))))</f>
        <v/>
      </c>
      <c r="DS30">
        <f>IF($N$4="",1,IF($N$4="(blank)",--('Final Calculation Sheet'!$M$28=""),IF($N$4="(nonblank)",--('Final Calculation Sheet'!$M$28&lt;&gt;""),--ISNUMBER(SEARCH($N$4,'Final Calculation Sheet'!$M$28)))))</f>
        <v/>
      </c>
      <c r="DT30">
        <f>IF($O$4="",1,IF($O$4="(blank)",--('Final Calculation Sheet'!$N$28=""),IF($O$4="(nonblank)",--('Final Calculation Sheet'!$N$28&lt;&gt;""),--ISNUMBER(SEARCH($O$4,'Final Calculation Sheet'!$N$28)))))</f>
        <v/>
      </c>
      <c r="DU30">
        <f>IF($P$4="",1,IF($P$4="(blank)",--('Final Calculation Sheet'!$O$28=""),IF($P$4="(nonblank)",--('Final Calculation Sheet'!$O$28&lt;&gt;""),--ISNUMBER(SEARCH($P$4,'Final Calculation Sheet'!$O$28)))))</f>
        <v/>
      </c>
      <c r="DV30">
        <f>IF($Q$4="",1,IF($Q$4="(blank)",--('Final Calculation Sheet'!$P$28=""),IF($Q$4="(nonblank)",--('Final Calculation Sheet'!$P$28&lt;&gt;""),--ISNUMBER(SEARCH($Q$4,'Final Calculation Sheet'!$P$28)))))</f>
        <v/>
      </c>
      <c r="DW30">
        <f>IF($R$4="",1,IF($R$4="(blank)",--('Final Calculation Sheet'!$Q$28=""),IF($R$4="(nonblank)",--('Final Calculation Sheet'!$Q$28&lt;&gt;""),--ISNUMBER(SEARCH($R$4,'Final Calculation Sheet'!$Q$28)))))</f>
        <v/>
      </c>
      <c r="DX30">
        <f>IF($S$4="",1,IF($S$4="(blank)",--('Final Calculation Sheet'!$R$28=""),IF($S$4="(nonblank)",--('Final Calculation Sheet'!$R$28&lt;&gt;""),--ISNUMBER(SEARCH($S$4,'Final Calculation Sheet'!$R$28)))))</f>
        <v/>
      </c>
      <c r="DY30">
        <f>IF($T$4="",1,IF($T$4="(blank)",--('Final Calculation Sheet'!$S$28=""),IF($T$4="(nonblank)",--('Final Calculation Sheet'!$S$28&lt;&gt;""),--ISNUMBER(SEARCH($T$4,'Final Calculation Sheet'!$S$28)))))</f>
        <v/>
      </c>
      <c r="DZ30">
        <f>IF($U$4="",1,IF($U$4="(blank)",--('Final Calculation Sheet'!$T$28=""),IF($U$4="(nonblank)",--('Final Calculation Sheet'!$T$28&lt;&gt;""),--ISNUMBER(SEARCH($U$4,'Final Calculation Sheet'!$T$28)))))</f>
        <v/>
      </c>
      <c r="EA30">
        <f>IF($V$4="",1,IF($V$4="(blank)",--('Final Calculation Sheet'!$U$28=""),IF($V$4="(nonblank)",--('Final Calculation Sheet'!$U$28&lt;&gt;""),--ISNUMBER(SEARCH($V$4,'Final Calculation Sheet'!$U$28)))))</f>
        <v/>
      </c>
      <c r="EB30">
        <f>IF($W$4="",1,IF($W$4="(blank)",--('Final Calculation Sheet'!$V$28=""),IF($W$4="(nonblank)",--('Final Calculation Sheet'!$V$28&lt;&gt;""),--ISNUMBER(SEARCH($W$4,'Final Calculation Sheet'!$V$28)))))</f>
        <v/>
      </c>
      <c r="EC30">
        <f>IF($X$4="",1,IF($X$4="(blank)",--('Final Calculation Sheet'!$W$28=""),IF($X$4="(nonblank)",--('Final Calculation Sheet'!$W$28&lt;&gt;""),--ISNUMBER(SEARCH($X$4,'Final Calculation Sheet'!$W$28)))))</f>
        <v/>
      </c>
      <c r="ED30">
        <f>IF($Y$4="",1,IF($Y$4="(blank)",--('Final Calculation Sheet'!$X$28=""),IF($Y$4="(nonblank)",--('Final Calculation Sheet'!$X$28&lt;&gt;""),--ISNUMBER(SEARCH($Y$4,'Final Calculation Sheet'!$X$28)))))</f>
        <v/>
      </c>
      <c r="EE30">
        <f>IF($Z$4="",1,IF($Z$4="(blank)",--('Final Calculation Sheet'!$Y$28=""),IF($Z$4="(nonblank)",--('Final Calculation Sheet'!$Y$28&lt;&gt;""),--ISNUMBER(SEARCH($Z$4,'Final Calculation Sheet'!$Y$28)))))</f>
        <v/>
      </c>
      <c r="EF30">
        <f>IF($AA$4="",1,IF($AA$4="(blank)",--('Final Calculation Sheet'!$Z$28=""),IF($AA$4="(nonblank)",--('Final Calculation Sheet'!$Z$28&lt;&gt;""),--ISNUMBER(SEARCH($AA$4,'Final Calculation Sheet'!$Z$28)))))</f>
        <v/>
      </c>
      <c r="EG30">
        <f>IF($AB$4="",1,IF($AB$4="(blank)",--('Final Calculation Sheet'!$AA$28=""),IF($AB$4="(nonblank)",--('Final Calculation Sheet'!$AA$28&lt;&gt;""),--ISNUMBER(SEARCH($AB$4,'Final Calculation Sheet'!$AA$28)))))</f>
        <v/>
      </c>
      <c r="EH30">
        <f>IF($AC$4="",1,IF($AC$4="(blank)",--('Final Calculation Sheet'!$AB$28=""),IF($AC$4="(nonblank)",--('Final Calculation Sheet'!$AB$28&lt;&gt;""),--ISNUMBER(SEARCH($AC$4,'Final Calculation Sheet'!$AB$28)))))</f>
        <v/>
      </c>
      <c r="EI30">
        <f>IF($AD$4="",1,IF($AD$4="(blank)",--('Final Calculation Sheet'!$AC$28=""),IF($AD$4="(nonblank)",--('Final Calculation Sheet'!$AC$28&lt;&gt;""),--ISNUMBER(SEARCH($AD$4,'Final Calculation Sheet'!$AC$28)))))</f>
        <v/>
      </c>
      <c r="EJ30">
        <f>IF($AE$4="",1,IF($AE$4="(blank)",--('Final Calculation Sheet'!$AD$28=""),IF($AE$4="(nonblank)",--('Final Calculation Sheet'!$AD$28&lt;&gt;""),--ISNUMBER(SEARCH($AE$4,'Final Calculation Sheet'!$AD$28)))))</f>
        <v/>
      </c>
      <c r="EK30">
        <f>IF($AF$4="",1,IF($AF$4="(blank)",--(IF('Final Calculation Sheet'!$AD$28&lt;=5,"SETTLED","OUTSTANDING")=""),IF($AF$4="(nonblank)",--(IF('Final Calculation Sheet'!$AD$28&lt;=5,"SETTLED","OUTSTANDING")&lt;&gt;""),--ISNUMBER(SEARCH($AF$4,IF('Final Calculation Sheet'!$AD$28&lt;=5,"SETTLED","OUTSTANDING"))))))</f>
        <v/>
      </c>
      <c r="EL30">
        <f>IF($AG$4="",1,IF($AG$4="(blank)",--('Final Calculation Sheet'!$AF$28=""),IF($AG$4="(nonblank)",--('Final Calculation Sheet'!$AF$28&lt;&gt;""),--ISNUMBER(SEARCH($AG$4,'Final Calculation Sheet'!$AF$28)))))</f>
        <v/>
      </c>
      <c r="EM30">
        <f>IF($AH$4="",1,IF($AH$4="(blank)",--('Final Calculation Sheet'!$AG$28=""),IF($AH$4="(nonblank)",--('Final Calculation Sheet'!$AG$28&lt;&gt;""),--ISNUMBER(SEARCH($AH$4,'Final Calculation Sheet'!$AG$28)))))</f>
        <v/>
      </c>
      <c r="EN30">
        <f>IF($AI$4="",1,IF($AI$4="(blank)",--('Final Calculation Sheet'!$AH$28=""),IF($AI$4="(nonblank)",--('Final Calculation Sheet'!$AH$28&lt;&gt;""),--ISNUMBER(SEARCH($AI$4,'Final Calculation Sheet'!$AH$28)))))</f>
        <v/>
      </c>
    </row>
    <row r="31" outlineLevel="1" hidden="1">
      <c r="A31" s="118">
        <f>IF($AL$31="","",25)</f>
        <v/>
      </c>
      <c r="B31" s="119">
        <f>IF($AL$31="","",IF(INDEX('Final Calculation Sheet'!$F$4:$F$40,$AL$31)="","",INDEX('Final Calculation Sheet'!$F$4:$F$40,$AL$31)))</f>
        <v/>
      </c>
      <c r="C31" s="119">
        <f>IF($AL$31="","",IF(INDEX('Final Calculation Sheet'!$G$4:$G$40,$AL$31)="","",INDEX('Final Calculation Sheet'!$G$4:$G$40,$AL$31)))</f>
        <v/>
      </c>
      <c r="D31" s="121">
        <f>IF($AL$31="","",IF(INDEX('Final Calculation Sheet'!$B$4:$B$40,$AL$31)="","",INDEX('Final Calculation Sheet'!$B$4:$B$40,$AL$31)))</f>
        <v/>
      </c>
      <c r="E31" s="121">
        <f>IF($AL$31="","",IF(INDEX('Final Calculation Sheet'!$D$4:$D$40,$AL$31)="","",INDEX('Final Calculation Sheet'!$D$4:$D$40,$AL$31)))</f>
        <v/>
      </c>
      <c r="F31" s="121">
        <f>IF($AL$31="","",IF(INDEX('Final Calculation Sheet'!$A$4:$A$40,$AL$31)="","",INDEX('Final Calculation Sheet'!$A$4:$A$40,$AL$31)))</f>
        <v/>
      </c>
      <c r="G31" s="121">
        <f>IF($AL$31="","",IF(INDEX('Final Calculation Sheet'!$E$4:$E$40,$AL$31)="","",INDEX('Final Calculation Sheet'!$E$4:$E$40,$AL$31)))</f>
        <v/>
      </c>
      <c r="H31" s="122">
        <f>IF($AL$31="","",IF(INDEX('Final Calculation Sheet'!$C$4:$C$40,$AL$31)="","",INDEX('Final Calculation Sheet'!$C$4:$C$40,$AL$31)))</f>
        <v/>
      </c>
      <c r="I31" s="122">
        <f>IF($AL$31="","",IF(INDEX('Final Calculation Sheet'!$H$4:$H$40,$AL$31)="","",INDEX('Final Calculation Sheet'!$H$4:$H$40,$AL$31)))</f>
        <v/>
      </c>
      <c r="J31" s="122">
        <f>IF($AL$31="","",IF(INDEX('Final Calculation Sheet'!$I$4:$I$40,$AL$31)="","",INDEX('Final Calculation Sheet'!$I$4:$I$40,$AL$31)))</f>
        <v/>
      </c>
      <c r="K31" s="122">
        <f>IF($AL$31="","",IF(INDEX('Final Calculation Sheet'!$J$4:$J$40,$AL$31)="","",INDEX('Final Calculation Sheet'!$J$4:$J$40,$AL$31)))</f>
        <v/>
      </c>
      <c r="L31" s="122">
        <f>IF($AL$31="","",IF(INDEX('Final Calculation Sheet'!$K$4:$K$40,$AL$31)="","",INDEX('Final Calculation Sheet'!$K$4:$K$40,$AL$31)))</f>
        <v/>
      </c>
      <c r="M31" s="122">
        <f>IF($AL$31="","",IF(INDEX('Final Calculation Sheet'!$L$4:$L$40,$AL$31)="","",INDEX('Final Calculation Sheet'!$L$4:$L$40,$AL$31)))</f>
        <v/>
      </c>
      <c r="N31" s="122">
        <f>IF($AL$31="","",IF(INDEX('Final Calculation Sheet'!$M$4:$M$40,$AL$31)="","",INDEX('Final Calculation Sheet'!$M$4:$M$40,$AL$31)))</f>
        <v/>
      </c>
      <c r="O31" s="123">
        <f>IF($AL$31="","",IF(INDEX('Final Calculation Sheet'!$N$4:$N$40,$AL$31)="","",INDEX('Final Calculation Sheet'!$N$4:$N$40,$AL$31)))</f>
        <v/>
      </c>
      <c r="P31" s="122">
        <f>IF($AL$31="","",IF(INDEX('Final Calculation Sheet'!$O$4:$O$40,$AL$31)="","",INDEX('Final Calculation Sheet'!$O$4:$O$40,$AL$31)))</f>
        <v/>
      </c>
      <c r="Q31" s="122">
        <f>IF($AL$31="","",IF(INDEX('Final Calculation Sheet'!$P$4:$P$40,$AL$31)="","",INDEX('Final Calculation Sheet'!$P$4:$P$40,$AL$31)))</f>
        <v/>
      </c>
      <c r="R31" s="124">
        <f>IF($AL$31="","",IF(INDEX('Final Calculation Sheet'!$Q$4:$Q$40,$AL$31)="","",INDEX('Final Calculation Sheet'!$Q$4:$Q$40,$AL$31)))</f>
        <v/>
      </c>
      <c r="S31" s="122">
        <f>IF($AL$31="","",IF(INDEX('Final Calculation Sheet'!$R$4:$R$40,$AL$31)="","",INDEX('Final Calculation Sheet'!$R$4:$R$40,$AL$31)))</f>
        <v/>
      </c>
      <c r="T31" s="122">
        <f>IF($AL$31="","",IF(INDEX('Final Calculation Sheet'!$S$4:$S$40,$AL$31)="","",INDEX('Final Calculation Sheet'!$S$4:$S$40,$AL$31)))</f>
        <v/>
      </c>
      <c r="U31" s="122">
        <f>IF($AL$31="","",IF(INDEX('Final Calculation Sheet'!$T$4:$T$40,$AL$31)="","",INDEX('Final Calculation Sheet'!$T$4:$T$40,$AL$31)))</f>
        <v/>
      </c>
      <c r="V31" s="125">
        <f>IF($AL$31="","",IF(INDEX('Final Calculation Sheet'!$U$4:$U$40,$AL$31)="","",INDEX('Final Calculation Sheet'!$U$4:$U$40,$AL$31)))</f>
        <v/>
      </c>
      <c r="W31" s="122">
        <f>IF($AL$31="","",IF(INDEX('Final Calculation Sheet'!$V$4:$V$40,$AL$31)="","",INDEX('Final Calculation Sheet'!$V$4:$V$40,$AL$31)))</f>
        <v/>
      </c>
      <c r="X31" s="122">
        <f>IF($AL$31="","",IF(INDEX('Final Calculation Sheet'!$W$4:$W$40,$AL$31)="","",INDEX('Final Calculation Sheet'!$W$4:$W$40,$AL$31)))</f>
        <v/>
      </c>
      <c r="Y31" s="122">
        <f>IF($AL$31="","",IF(INDEX('Final Calculation Sheet'!$X$4:$X$40,$AL$31)="","",INDEX('Final Calculation Sheet'!$X$4:$X$40,$AL$31)))</f>
        <v/>
      </c>
      <c r="Z31" s="122">
        <f>IF($AL$31="","",IF(INDEX('Final Calculation Sheet'!$Y$4:$Y$40,$AL$31)="","",INDEX('Final Calculation Sheet'!$Y$4:$Y$40,$AL$31)))</f>
        <v/>
      </c>
      <c r="AA31" s="122">
        <f>IF($AL$31="","",IF(INDEX('Final Calculation Sheet'!$Z$4:$Z$40,$AL$31)="","",INDEX('Final Calculation Sheet'!$Z$4:$Z$40,$AL$31)))</f>
        <v/>
      </c>
      <c r="AB31" s="122">
        <f>IF($AL$31="","",IF(INDEX('Final Calculation Sheet'!$AA$4:$AA$40,$AL$31)="","",INDEX('Final Calculation Sheet'!$AA$4:$AA$40,$AL$31)))</f>
        <v/>
      </c>
      <c r="AC31" s="122">
        <f>IF($AL$31="","",IF(INDEX('Final Calculation Sheet'!$AB$4:$AB$40,$AL$31)="","",INDEX('Final Calculation Sheet'!$AB$4:$AB$40,$AL$31)))</f>
        <v/>
      </c>
      <c r="AD31" s="122">
        <f>IF($AL$31="","",IF(INDEX('Final Calculation Sheet'!$AC$4:$AC$40,$AL$31)="","",INDEX('Final Calculation Sheet'!$AC$4:$AC$40,$AL$31)))</f>
        <v/>
      </c>
      <c r="AE31" s="122">
        <f>IF($AL$31="","",IF(INDEX('Final Calculation Sheet'!$AD$4:$AD$40,$AL$31)="","",INDEX('Final Calculation Sheet'!$AD$4:$AD$40,$AL$31)))</f>
        <v/>
      </c>
      <c r="AF31" s="127">
        <f>IF($AL$31="","",IF(INDEX('Final Calculation Sheet'!$AD$4:$AD$40,$AL$31)&lt;=5,"SETTLED","OUTSTANDING"))</f>
        <v/>
      </c>
      <c r="AG31" s="122">
        <f>IF($AL$31="","",IF(INDEX('Final Calculation Sheet'!$AF$4:$AF$40,$AL$31)="","",INDEX('Final Calculation Sheet'!$AF$4:$AF$40,$AL$31)))</f>
        <v/>
      </c>
      <c r="AH31" s="126">
        <f>IF($AL$31="","",IF(INDEX('Final Calculation Sheet'!$AG$4:$AG$40,$AL$31)="","",INDEX('Final Calculation Sheet'!$AG$4:$AG$40,$AL$31)))</f>
        <v/>
      </c>
      <c r="AI31" s="122">
        <f>IF($AL$31="","",IF(INDEX('Final Calculation Sheet'!$AH$4:$AH$40,$AL$31)="","",INDEX('Final Calculation Sheet'!$AH$4:$AH$40,$AL$31)))</f>
        <v/>
      </c>
      <c r="AJ31">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31">
        <f>IF(AJ31=1,COUNTIF(AJ$6:AJ31,1),"")</f>
        <v/>
      </c>
      <c r="AL31">
        <f>IF(COUNTIF($B$4:$AI$4,"&lt;&gt;")=0,"",IFERROR(MATCH(25,$AK$6:$AK$42,0),""))</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G31">
        <f>IF($B$4="",1,IF($B$4="(blank)",--('Final Calculation Sheet'!$F$29=""),IF($B$4="(nonblank)",--('Final Calculation Sheet'!$F$29&lt;&gt;""),--ISNUMBER(SEARCH($B$4,'Final Calculation Sheet'!$F$29)))))</f>
        <v/>
      </c>
      <c r="DH31">
        <f>IF($C$4="",1,IF($C$4="(blank)",--('Final Calculation Sheet'!$G$29=""),IF($C$4="(nonblank)",--('Final Calculation Sheet'!$G$29&lt;&gt;""),--ISNUMBER(SEARCH($C$4,'Final Calculation Sheet'!$G$29)))))</f>
        <v/>
      </c>
      <c r="DI31">
        <f>IF($D$4="",1,IF($D$4="(blank)",--('Final Calculation Sheet'!$B$29=""),IF($D$4="(nonblank)",--('Final Calculation Sheet'!$B$29&lt;&gt;""),--ISNUMBER(SEARCH($D$4,'Final Calculation Sheet'!$B$29)))))</f>
        <v/>
      </c>
      <c r="DJ31">
        <f>IF($E$4="",1,IF($E$4="(blank)",--('Final Calculation Sheet'!$D$29=""),IF($E$4="(nonblank)",--('Final Calculation Sheet'!$D$29&lt;&gt;""),--ISNUMBER(SEARCH($E$4,'Final Calculation Sheet'!$D$29)))))</f>
        <v/>
      </c>
      <c r="DK31">
        <f>IF($F$4="",1,IF($F$4="(blank)",--('Final Calculation Sheet'!$A$29=""),IF($F$4="(nonblank)",--('Final Calculation Sheet'!$A$29&lt;&gt;""),--ISNUMBER(SEARCH($F$4,'Final Calculation Sheet'!$A$29)))))</f>
        <v/>
      </c>
      <c r="DL31">
        <f>IF($G$4="",1,IF($G$4="(blank)",--('Final Calculation Sheet'!$E$29=""),IF($G$4="(nonblank)",--('Final Calculation Sheet'!$E$29&lt;&gt;""),--ISNUMBER(SEARCH($G$4,'Final Calculation Sheet'!$E$29)))))</f>
        <v/>
      </c>
      <c r="DM31">
        <f>IF($H$4="",1,IF($H$4="(blank)",--('Final Calculation Sheet'!$C$29=""),IF($H$4="(nonblank)",--('Final Calculation Sheet'!$C$29&lt;&gt;""),--ISNUMBER(SEARCH($H$4,'Final Calculation Sheet'!$C$29)))))</f>
        <v/>
      </c>
      <c r="DN31">
        <f>IF($I$4="",1,IF($I$4="(blank)",--('Final Calculation Sheet'!$H$29=""),IF($I$4="(nonblank)",--('Final Calculation Sheet'!$H$29&lt;&gt;""),--ISNUMBER(SEARCH($I$4,'Final Calculation Sheet'!$H$29)))))</f>
        <v/>
      </c>
      <c r="DO31">
        <f>IF($J$4="",1,IF($J$4="(blank)",--('Final Calculation Sheet'!$I$29=""),IF($J$4="(nonblank)",--('Final Calculation Sheet'!$I$29&lt;&gt;""),--ISNUMBER(SEARCH($J$4,'Final Calculation Sheet'!$I$29)))))</f>
        <v/>
      </c>
      <c r="DP31">
        <f>IF($K$4="",1,IF($K$4="(blank)",--('Final Calculation Sheet'!$J$29=""),IF($K$4="(nonblank)",--('Final Calculation Sheet'!$J$29&lt;&gt;""),--ISNUMBER(SEARCH($K$4,'Final Calculation Sheet'!$J$29)))))</f>
        <v/>
      </c>
      <c r="DQ31">
        <f>IF($L$4="",1,IF($L$4="(blank)",--('Final Calculation Sheet'!$K$29=""),IF($L$4="(nonblank)",--('Final Calculation Sheet'!$K$29&lt;&gt;""),--ISNUMBER(SEARCH($L$4,'Final Calculation Sheet'!$K$29)))))</f>
        <v/>
      </c>
      <c r="DR31">
        <f>IF($M$4="",1,IF($M$4="(blank)",--('Final Calculation Sheet'!$L$29=""),IF($M$4="(nonblank)",--('Final Calculation Sheet'!$L$29&lt;&gt;""),--ISNUMBER(SEARCH($M$4,'Final Calculation Sheet'!$L$29)))))</f>
        <v/>
      </c>
      <c r="DS31">
        <f>IF($N$4="",1,IF($N$4="(blank)",--('Final Calculation Sheet'!$M$29=""),IF($N$4="(nonblank)",--('Final Calculation Sheet'!$M$29&lt;&gt;""),--ISNUMBER(SEARCH($N$4,'Final Calculation Sheet'!$M$29)))))</f>
        <v/>
      </c>
      <c r="DT31">
        <f>IF($O$4="",1,IF($O$4="(blank)",--('Final Calculation Sheet'!$N$29=""),IF($O$4="(nonblank)",--('Final Calculation Sheet'!$N$29&lt;&gt;""),--ISNUMBER(SEARCH($O$4,'Final Calculation Sheet'!$N$29)))))</f>
        <v/>
      </c>
      <c r="DU31">
        <f>IF($P$4="",1,IF($P$4="(blank)",--('Final Calculation Sheet'!$O$29=""),IF($P$4="(nonblank)",--('Final Calculation Sheet'!$O$29&lt;&gt;""),--ISNUMBER(SEARCH($P$4,'Final Calculation Sheet'!$O$29)))))</f>
        <v/>
      </c>
      <c r="DV31">
        <f>IF($Q$4="",1,IF($Q$4="(blank)",--('Final Calculation Sheet'!$P$29=""),IF($Q$4="(nonblank)",--('Final Calculation Sheet'!$P$29&lt;&gt;""),--ISNUMBER(SEARCH($Q$4,'Final Calculation Sheet'!$P$29)))))</f>
        <v/>
      </c>
      <c r="DW31">
        <f>IF($R$4="",1,IF($R$4="(blank)",--('Final Calculation Sheet'!$Q$29=""),IF($R$4="(nonblank)",--('Final Calculation Sheet'!$Q$29&lt;&gt;""),--ISNUMBER(SEARCH($R$4,'Final Calculation Sheet'!$Q$29)))))</f>
        <v/>
      </c>
      <c r="DX31">
        <f>IF($S$4="",1,IF($S$4="(blank)",--('Final Calculation Sheet'!$R$29=""),IF($S$4="(nonblank)",--('Final Calculation Sheet'!$R$29&lt;&gt;""),--ISNUMBER(SEARCH($S$4,'Final Calculation Sheet'!$R$29)))))</f>
        <v/>
      </c>
      <c r="DY31">
        <f>IF($T$4="",1,IF($T$4="(blank)",--('Final Calculation Sheet'!$S$29=""),IF($T$4="(nonblank)",--('Final Calculation Sheet'!$S$29&lt;&gt;""),--ISNUMBER(SEARCH($T$4,'Final Calculation Sheet'!$S$29)))))</f>
        <v/>
      </c>
      <c r="DZ31">
        <f>IF($U$4="",1,IF($U$4="(blank)",--('Final Calculation Sheet'!$T$29=""),IF($U$4="(nonblank)",--('Final Calculation Sheet'!$T$29&lt;&gt;""),--ISNUMBER(SEARCH($U$4,'Final Calculation Sheet'!$T$29)))))</f>
        <v/>
      </c>
      <c r="EA31">
        <f>IF($V$4="",1,IF($V$4="(blank)",--('Final Calculation Sheet'!$U$29=""),IF($V$4="(nonblank)",--('Final Calculation Sheet'!$U$29&lt;&gt;""),--ISNUMBER(SEARCH($V$4,'Final Calculation Sheet'!$U$29)))))</f>
        <v/>
      </c>
      <c r="EB31">
        <f>IF($W$4="",1,IF($W$4="(blank)",--('Final Calculation Sheet'!$V$29=""),IF($W$4="(nonblank)",--('Final Calculation Sheet'!$V$29&lt;&gt;""),--ISNUMBER(SEARCH($W$4,'Final Calculation Sheet'!$V$29)))))</f>
        <v/>
      </c>
      <c r="EC31">
        <f>IF($X$4="",1,IF($X$4="(blank)",--('Final Calculation Sheet'!$W$29=""),IF($X$4="(nonblank)",--('Final Calculation Sheet'!$W$29&lt;&gt;""),--ISNUMBER(SEARCH($X$4,'Final Calculation Sheet'!$W$29)))))</f>
        <v/>
      </c>
      <c r="ED31">
        <f>IF($Y$4="",1,IF($Y$4="(blank)",--('Final Calculation Sheet'!$X$29=""),IF($Y$4="(nonblank)",--('Final Calculation Sheet'!$X$29&lt;&gt;""),--ISNUMBER(SEARCH($Y$4,'Final Calculation Sheet'!$X$29)))))</f>
        <v/>
      </c>
      <c r="EE31">
        <f>IF($Z$4="",1,IF($Z$4="(blank)",--('Final Calculation Sheet'!$Y$29=""),IF($Z$4="(nonblank)",--('Final Calculation Sheet'!$Y$29&lt;&gt;""),--ISNUMBER(SEARCH($Z$4,'Final Calculation Sheet'!$Y$29)))))</f>
        <v/>
      </c>
      <c r="EF31">
        <f>IF($AA$4="",1,IF($AA$4="(blank)",--('Final Calculation Sheet'!$Z$29=""),IF($AA$4="(nonblank)",--('Final Calculation Sheet'!$Z$29&lt;&gt;""),--ISNUMBER(SEARCH($AA$4,'Final Calculation Sheet'!$Z$29)))))</f>
        <v/>
      </c>
      <c r="EG31">
        <f>IF($AB$4="",1,IF($AB$4="(blank)",--('Final Calculation Sheet'!$AA$29=""),IF($AB$4="(nonblank)",--('Final Calculation Sheet'!$AA$29&lt;&gt;""),--ISNUMBER(SEARCH($AB$4,'Final Calculation Sheet'!$AA$29)))))</f>
        <v/>
      </c>
      <c r="EH31">
        <f>IF($AC$4="",1,IF($AC$4="(blank)",--('Final Calculation Sheet'!$AB$29=""),IF($AC$4="(nonblank)",--('Final Calculation Sheet'!$AB$29&lt;&gt;""),--ISNUMBER(SEARCH($AC$4,'Final Calculation Sheet'!$AB$29)))))</f>
        <v/>
      </c>
      <c r="EI31">
        <f>IF($AD$4="",1,IF($AD$4="(blank)",--('Final Calculation Sheet'!$AC$29=""),IF($AD$4="(nonblank)",--('Final Calculation Sheet'!$AC$29&lt;&gt;""),--ISNUMBER(SEARCH($AD$4,'Final Calculation Sheet'!$AC$29)))))</f>
        <v/>
      </c>
      <c r="EJ31">
        <f>IF($AE$4="",1,IF($AE$4="(blank)",--('Final Calculation Sheet'!$AD$29=""),IF($AE$4="(nonblank)",--('Final Calculation Sheet'!$AD$29&lt;&gt;""),--ISNUMBER(SEARCH($AE$4,'Final Calculation Sheet'!$AD$29)))))</f>
        <v/>
      </c>
      <c r="EK31">
        <f>IF($AF$4="",1,IF($AF$4="(blank)",--(IF('Final Calculation Sheet'!$AD$29&lt;=5,"SETTLED","OUTSTANDING")=""),IF($AF$4="(nonblank)",--(IF('Final Calculation Sheet'!$AD$29&lt;=5,"SETTLED","OUTSTANDING")&lt;&gt;""),--ISNUMBER(SEARCH($AF$4,IF('Final Calculation Sheet'!$AD$29&lt;=5,"SETTLED","OUTSTANDING"))))))</f>
        <v/>
      </c>
      <c r="EL31">
        <f>IF($AG$4="",1,IF($AG$4="(blank)",--('Final Calculation Sheet'!$AF$29=""),IF($AG$4="(nonblank)",--('Final Calculation Sheet'!$AF$29&lt;&gt;""),--ISNUMBER(SEARCH($AG$4,'Final Calculation Sheet'!$AF$29)))))</f>
        <v/>
      </c>
      <c r="EM31">
        <f>IF($AH$4="",1,IF($AH$4="(blank)",--('Final Calculation Sheet'!$AG$29=""),IF($AH$4="(nonblank)",--('Final Calculation Sheet'!$AG$29&lt;&gt;""),--ISNUMBER(SEARCH($AH$4,'Final Calculation Sheet'!$AG$29)))))</f>
        <v/>
      </c>
      <c r="EN31">
        <f>IF($AI$4="",1,IF($AI$4="(blank)",--('Final Calculation Sheet'!$AH$29=""),IF($AI$4="(nonblank)",--('Final Calculation Sheet'!$AH$29&lt;&gt;""),--ISNUMBER(SEARCH($AI$4,'Final Calculation Sheet'!$AH$29)))))</f>
        <v/>
      </c>
    </row>
    <row r="32" outlineLevel="1" hidden="1">
      <c r="A32" s="128">
        <f>IF($AL$32="","",26)</f>
        <v/>
      </c>
      <c r="B32" s="129">
        <f>IF($AL$32="","",IF(INDEX('Final Calculation Sheet'!$F$4:$F$40,$AL$32)="","",INDEX('Final Calculation Sheet'!$F$4:$F$40,$AL$32)))</f>
        <v/>
      </c>
      <c r="C32" s="129">
        <f>IF($AL$32="","",IF(INDEX('Final Calculation Sheet'!$G$4:$G$40,$AL$32)="","",INDEX('Final Calculation Sheet'!$G$4:$G$40,$AL$32)))</f>
        <v/>
      </c>
      <c r="D32" s="130">
        <f>IF($AL$32="","",IF(INDEX('Final Calculation Sheet'!$B$4:$B$40,$AL$32)="","",INDEX('Final Calculation Sheet'!$B$4:$B$40,$AL$32)))</f>
        <v/>
      </c>
      <c r="E32" s="130">
        <f>IF($AL$32="","",IF(INDEX('Final Calculation Sheet'!$D$4:$D$40,$AL$32)="","",INDEX('Final Calculation Sheet'!$D$4:$D$40,$AL$32)))</f>
        <v/>
      </c>
      <c r="F32" s="130">
        <f>IF($AL$32="","",IF(INDEX('Final Calculation Sheet'!$A$4:$A$40,$AL$32)="","",INDEX('Final Calculation Sheet'!$A$4:$A$40,$AL$32)))</f>
        <v/>
      </c>
      <c r="G32" s="130">
        <f>IF($AL$32="","",IF(INDEX('Final Calculation Sheet'!$E$4:$E$40,$AL$32)="","",INDEX('Final Calculation Sheet'!$E$4:$E$40,$AL$32)))</f>
        <v/>
      </c>
      <c r="H32" s="131">
        <f>IF($AL$32="","",IF(INDEX('Final Calculation Sheet'!$C$4:$C$40,$AL$32)="","",INDEX('Final Calculation Sheet'!$C$4:$C$40,$AL$32)))</f>
        <v/>
      </c>
      <c r="I32" s="131">
        <f>IF($AL$32="","",IF(INDEX('Final Calculation Sheet'!$H$4:$H$40,$AL$32)="","",INDEX('Final Calculation Sheet'!$H$4:$H$40,$AL$32)))</f>
        <v/>
      </c>
      <c r="J32" s="131">
        <f>IF($AL$32="","",IF(INDEX('Final Calculation Sheet'!$I$4:$I$40,$AL$32)="","",INDEX('Final Calculation Sheet'!$I$4:$I$40,$AL$32)))</f>
        <v/>
      </c>
      <c r="K32" s="131">
        <f>IF($AL$32="","",IF(INDEX('Final Calculation Sheet'!$J$4:$J$40,$AL$32)="","",INDEX('Final Calculation Sheet'!$J$4:$J$40,$AL$32)))</f>
        <v/>
      </c>
      <c r="L32" s="131">
        <f>IF($AL$32="","",IF(INDEX('Final Calculation Sheet'!$K$4:$K$40,$AL$32)="","",INDEX('Final Calculation Sheet'!$K$4:$K$40,$AL$32)))</f>
        <v/>
      </c>
      <c r="M32" s="131">
        <f>IF($AL$32="","",IF(INDEX('Final Calculation Sheet'!$L$4:$L$40,$AL$32)="","",INDEX('Final Calculation Sheet'!$L$4:$L$40,$AL$32)))</f>
        <v/>
      </c>
      <c r="N32" s="131">
        <f>IF($AL$32="","",IF(INDEX('Final Calculation Sheet'!$M$4:$M$40,$AL$32)="","",INDEX('Final Calculation Sheet'!$M$4:$M$40,$AL$32)))</f>
        <v/>
      </c>
      <c r="O32" s="132">
        <f>IF($AL$32="","",IF(INDEX('Final Calculation Sheet'!$N$4:$N$40,$AL$32)="","",INDEX('Final Calculation Sheet'!$N$4:$N$40,$AL$32)))</f>
        <v/>
      </c>
      <c r="P32" s="131">
        <f>IF($AL$32="","",IF(INDEX('Final Calculation Sheet'!$O$4:$O$40,$AL$32)="","",INDEX('Final Calculation Sheet'!$O$4:$O$40,$AL$32)))</f>
        <v/>
      </c>
      <c r="Q32" s="131">
        <f>IF($AL$32="","",IF(INDEX('Final Calculation Sheet'!$P$4:$P$40,$AL$32)="","",INDEX('Final Calculation Sheet'!$P$4:$P$40,$AL$32)))</f>
        <v/>
      </c>
      <c r="R32" s="133">
        <f>IF($AL$32="","",IF(INDEX('Final Calculation Sheet'!$Q$4:$Q$40,$AL$32)="","",INDEX('Final Calculation Sheet'!$Q$4:$Q$40,$AL$32)))</f>
        <v/>
      </c>
      <c r="S32" s="131">
        <f>IF($AL$32="","",IF(INDEX('Final Calculation Sheet'!$R$4:$R$40,$AL$32)="","",INDEX('Final Calculation Sheet'!$R$4:$R$40,$AL$32)))</f>
        <v/>
      </c>
      <c r="T32" s="131">
        <f>IF($AL$32="","",IF(INDEX('Final Calculation Sheet'!$S$4:$S$40,$AL$32)="","",INDEX('Final Calculation Sheet'!$S$4:$S$40,$AL$32)))</f>
        <v/>
      </c>
      <c r="U32" s="131">
        <f>IF($AL$32="","",IF(INDEX('Final Calculation Sheet'!$T$4:$T$40,$AL$32)="","",INDEX('Final Calculation Sheet'!$T$4:$T$40,$AL$32)))</f>
        <v/>
      </c>
      <c r="V32" s="134">
        <f>IF($AL$32="","",IF(INDEX('Final Calculation Sheet'!$U$4:$U$40,$AL$32)="","",INDEX('Final Calculation Sheet'!$U$4:$U$40,$AL$32)))</f>
        <v/>
      </c>
      <c r="W32" s="131">
        <f>IF($AL$32="","",IF(INDEX('Final Calculation Sheet'!$V$4:$V$40,$AL$32)="","",INDEX('Final Calculation Sheet'!$V$4:$V$40,$AL$32)))</f>
        <v/>
      </c>
      <c r="X32" s="131">
        <f>IF($AL$32="","",IF(INDEX('Final Calculation Sheet'!$W$4:$W$40,$AL$32)="","",INDEX('Final Calculation Sheet'!$W$4:$W$40,$AL$32)))</f>
        <v/>
      </c>
      <c r="Y32" s="131">
        <f>IF($AL$32="","",IF(INDEX('Final Calculation Sheet'!$X$4:$X$40,$AL$32)="","",INDEX('Final Calculation Sheet'!$X$4:$X$40,$AL$32)))</f>
        <v/>
      </c>
      <c r="Z32" s="131">
        <f>IF($AL$32="","",IF(INDEX('Final Calculation Sheet'!$Y$4:$Y$40,$AL$32)="","",INDEX('Final Calculation Sheet'!$Y$4:$Y$40,$AL$32)))</f>
        <v/>
      </c>
      <c r="AA32" s="131">
        <f>IF($AL$32="","",IF(INDEX('Final Calculation Sheet'!$Z$4:$Z$40,$AL$32)="","",INDEX('Final Calculation Sheet'!$Z$4:$Z$40,$AL$32)))</f>
        <v/>
      </c>
      <c r="AB32" s="131">
        <f>IF($AL$32="","",IF(INDEX('Final Calculation Sheet'!$AA$4:$AA$40,$AL$32)="","",INDEX('Final Calculation Sheet'!$AA$4:$AA$40,$AL$32)))</f>
        <v/>
      </c>
      <c r="AC32" s="131">
        <f>IF($AL$32="","",IF(INDEX('Final Calculation Sheet'!$AB$4:$AB$40,$AL$32)="","",INDEX('Final Calculation Sheet'!$AB$4:$AB$40,$AL$32)))</f>
        <v/>
      </c>
      <c r="AD32" s="131">
        <f>IF($AL$32="","",IF(INDEX('Final Calculation Sheet'!$AC$4:$AC$40,$AL$32)="","",INDEX('Final Calculation Sheet'!$AC$4:$AC$40,$AL$32)))</f>
        <v/>
      </c>
      <c r="AE32" s="131">
        <f>IF($AL$32="","",IF(INDEX('Final Calculation Sheet'!$AD$4:$AD$40,$AL$32)="","",INDEX('Final Calculation Sheet'!$AD$4:$AD$40,$AL$32)))</f>
        <v/>
      </c>
      <c r="AF32" s="136">
        <f>IF($AL$32="","",IF(INDEX('Final Calculation Sheet'!$AD$4:$AD$40,$AL$32)&lt;=5,"SETTLED","OUTSTANDING"))</f>
        <v/>
      </c>
      <c r="AG32" s="131">
        <f>IF($AL$32="","",IF(INDEX('Final Calculation Sheet'!$AF$4:$AF$40,$AL$32)="","",INDEX('Final Calculation Sheet'!$AF$4:$AF$40,$AL$32)))</f>
        <v/>
      </c>
      <c r="AH32" s="135">
        <f>IF($AL$32="","",IF(INDEX('Final Calculation Sheet'!$AG$4:$AG$40,$AL$32)="","",INDEX('Final Calculation Sheet'!$AG$4:$AG$40,$AL$32)))</f>
        <v/>
      </c>
      <c r="AI32" s="131">
        <f>IF($AL$32="","",IF(INDEX('Final Calculation Sheet'!$AH$4:$AH$40,$AL$32)="","",INDEX('Final Calculation Sheet'!$AH$4:$AH$40,$AL$32)))</f>
        <v/>
      </c>
      <c r="AJ32">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32">
        <f>IF(AJ32=1,COUNTIF(AJ$6:AJ32,1),"")</f>
        <v/>
      </c>
      <c r="AL32">
        <f>IF(COUNTIF($B$4:$AI$4,"&lt;&gt;")=0,"",IFERROR(MATCH(26,$AK$6:$AK$42,0),""))</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G32">
        <f>IF($B$4="",1,IF($B$4="(blank)",--('Final Calculation Sheet'!$F$30=""),IF($B$4="(nonblank)",--('Final Calculation Sheet'!$F$30&lt;&gt;""),--ISNUMBER(SEARCH($B$4,'Final Calculation Sheet'!$F$30)))))</f>
        <v/>
      </c>
      <c r="DH32">
        <f>IF($C$4="",1,IF($C$4="(blank)",--('Final Calculation Sheet'!$G$30=""),IF($C$4="(nonblank)",--('Final Calculation Sheet'!$G$30&lt;&gt;""),--ISNUMBER(SEARCH($C$4,'Final Calculation Sheet'!$G$30)))))</f>
        <v/>
      </c>
      <c r="DI32">
        <f>IF($D$4="",1,IF($D$4="(blank)",--('Final Calculation Sheet'!$B$30=""),IF($D$4="(nonblank)",--('Final Calculation Sheet'!$B$30&lt;&gt;""),--ISNUMBER(SEARCH($D$4,'Final Calculation Sheet'!$B$30)))))</f>
        <v/>
      </c>
      <c r="DJ32">
        <f>IF($E$4="",1,IF($E$4="(blank)",--('Final Calculation Sheet'!$D$30=""),IF($E$4="(nonblank)",--('Final Calculation Sheet'!$D$30&lt;&gt;""),--ISNUMBER(SEARCH($E$4,'Final Calculation Sheet'!$D$30)))))</f>
        <v/>
      </c>
      <c r="DK32">
        <f>IF($F$4="",1,IF($F$4="(blank)",--('Final Calculation Sheet'!$A$30=""),IF($F$4="(nonblank)",--('Final Calculation Sheet'!$A$30&lt;&gt;""),--ISNUMBER(SEARCH($F$4,'Final Calculation Sheet'!$A$30)))))</f>
        <v/>
      </c>
      <c r="DL32">
        <f>IF($G$4="",1,IF($G$4="(blank)",--('Final Calculation Sheet'!$E$30=""),IF($G$4="(nonblank)",--('Final Calculation Sheet'!$E$30&lt;&gt;""),--ISNUMBER(SEARCH($G$4,'Final Calculation Sheet'!$E$30)))))</f>
        <v/>
      </c>
      <c r="DM32">
        <f>IF($H$4="",1,IF($H$4="(blank)",--('Final Calculation Sheet'!$C$30=""),IF($H$4="(nonblank)",--('Final Calculation Sheet'!$C$30&lt;&gt;""),--ISNUMBER(SEARCH($H$4,'Final Calculation Sheet'!$C$30)))))</f>
        <v/>
      </c>
      <c r="DN32">
        <f>IF($I$4="",1,IF($I$4="(blank)",--('Final Calculation Sheet'!$H$30=""),IF($I$4="(nonblank)",--('Final Calculation Sheet'!$H$30&lt;&gt;""),--ISNUMBER(SEARCH($I$4,'Final Calculation Sheet'!$H$30)))))</f>
        <v/>
      </c>
      <c r="DO32">
        <f>IF($J$4="",1,IF($J$4="(blank)",--('Final Calculation Sheet'!$I$30=""),IF($J$4="(nonblank)",--('Final Calculation Sheet'!$I$30&lt;&gt;""),--ISNUMBER(SEARCH($J$4,'Final Calculation Sheet'!$I$30)))))</f>
        <v/>
      </c>
      <c r="DP32">
        <f>IF($K$4="",1,IF($K$4="(blank)",--('Final Calculation Sheet'!$J$30=""),IF($K$4="(nonblank)",--('Final Calculation Sheet'!$J$30&lt;&gt;""),--ISNUMBER(SEARCH($K$4,'Final Calculation Sheet'!$J$30)))))</f>
        <v/>
      </c>
      <c r="DQ32">
        <f>IF($L$4="",1,IF($L$4="(blank)",--('Final Calculation Sheet'!$K$30=""),IF($L$4="(nonblank)",--('Final Calculation Sheet'!$K$30&lt;&gt;""),--ISNUMBER(SEARCH($L$4,'Final Calculation Sheet'!$K$30)))))</f>
        <v/>
      </c>
      <c r="DR32">
        <f>IF($M$4="",1,IF($M$4="(blank)",--('Final Calculation Sheet'!$L$30=""),IF($M$4="(nonblank)",--('Final Calculation Sheet'!$L$30&lt;&gt;""),--ISNUMBER(SEARCH($M$4,'Final Calculation Sheet'!$L$30)))))</f>
        <v/>
      </c>
      <c r="DS32">
        <f>IF($N$4="",1,IF($N$4="(blank)",--('Final Calculation Sheet'!$M$30=""),IF($N$4="(nonblank)",--('Final Calculation Sheet'!$M$30&lt;&gt;""),--ISNUMBER(SEARCH($N$4,'Final Calculation Sheet'!$M$30)))))</f>
        <v/>
      </c>
      <c r="DT32">
        <f>IF($O$4="",1,IF($O$4="(blank)",--('Final Calculation Sheet'!$N$30=""),IF($O$4="(nonblank)",--('Final Calculation Sheet'!$N$30&lt;&gt;""),--ISNUMBER(SEARCH($O$4,'Final Calculation Sheet'!$N$30)))))</f>
        <v/>
      </c>
      <c r="DU32">
        <f>IF($P$4="",1,IF($P$4="(blank)",--('Final Calculation Sheet'!$O$30=""),IF($P$4="(nonblank)",--('Final Calculation Sheet'!$O$30&lt;&gt;""),--ISNUMBER(SEARCH($P$4,'Final Calculation Sheet'!$O$30)))))</f>
        <v/>
      </c>
      <c r="DV32">
        <f>IF($Q$4="",1,IF($Q$4="(blank)",--('Final Calculation Sheet'!$P$30=""),IF($Q$4="(nonblank)",--('Final Calculation Sheet'!$P$30&lt;&gt;""),--ISNUMBER(SEARCH($Q$4,'Final Calculation Sheet'!$P$30)))))</f>
        <v/>
      </c>
      <c r="DW32">
        <f>IF($R$4="",1,IF($R$4="(blank)",--('Final Calculation Sheet'!$Q$30=""),IF($R$4="(nonblank)",--('Final Calculation Sheet'!$Q$30&lt;&gt;""),--ISNUMBER(SEARCH($R$4,'Final Calculation Sheet'!$Q$30)))))</f>
        <v/>
      </c>
      <c r="DX32">
        <f>IF($S$4="",1,IF($S$4="(blank)",--('Final Calculation Sheet'!$R$30=""),IF($S$4="(nonblank)",--('Final Calculation Sheet'!$R$30&lt;&gt;""),--ISNUMBER(SEARCH($S$4,'Final Calculation Sheet'!$R$30)))))</f>
        <v/>
      </c>
      <c r="DY32">
        <f>IF($T$4="",1,IF($T$4="(blank)",--('Final Calculation Sheet'!$S$30=""),IF($T$4="(nonblank)",--('Final Calculation Sheet'!$S$30&lt;&gt;""),--ISNUMBER(SEARCH($T$4,'Final Calculation Sheet'!$S$30)))))</f>
        <v/>
      </c>
      <c r="DZ32">
        <f>IF($U$4="",1,IF($U$4="(blank)",--('Final Calculation Sheet'!$T$30=""),IF($U$4="(nonblank)",--('Final Calculation Sheet'!$T$30&lt;&gt;""),--ISNUMBER(SEARCH($U$4,'Final Calculation Sheet'!$T$30)))))</f>
        <v/>
      </c>
      <c r="EA32">
        <f>IF($V$4="",1,IF($V$4="(blank)",--('Final Calculation Sheet'!$U$30=""),IF($V$4="(nonblank)",--('Final Calculation Sheet'!$U$30&lt;&gt;""),--ISNUMBER(SEARCH($V$4,'Final Calculation Sheet'!$U$30)))))</f>
        <v/>
      </c>
      <c r="EB32">
        <f>IF($W$4="",1,IF($W$4="(blank)",--('Final Calculation Sheet'!$V$30=""),IF($W$4="(nonblank)",--('Final Calculation Sheet'!$V$30&lt;&gt;""),--ISNUMBER(SEARCH($W$4,'Final Calculation Sheet'!$V$30)))))</f>
        <v/>
      </c>
      <c r="EC32">
        <f>IF($X$4="",1,IF($X$4="(blank)",--('Final Calculation Sheet'!$W$30=""),IF($X$4="(nonblank)",--('Final Calculation Sheet'!$W$30&lt;&gt;""),--ISNUMBER(SEARCH($X$4,'Final Calculation Sheet'!$W$30)))))</f>
        <v/>
      </c>
      <c r="ED32">
        <f>IF($Y$4="",1,IF($Y$4="(blank)",--('Final Calculation Sheet'!$X$30=""),IF($Y$4="(nonblank)",--('Final Calculation Sheet'!$X$30&lt;&gt;""),--ISNUMBER(SEARCH($Y$4,'Final Calculation Sheet'!$X$30)))))</f>
        <v/>
      </c>
      <c r="EE32">
        <f>IF($Z$4="",1,IF($Z$4="(blank)",--('Final Calculation Sheet'!$Y$30=""),IF($Z$4="(nonblank)",--('Final Calculation Sheet'!$Y$30&lt;&gt;""),--ISNUMBER(SEARCH($Z$4,'Final Calculation Sheet'!$Y$30)))))</f>
        <v/>
      </c>
      <c r="EF32">
        <f>IF($AA$4="",1,IF($AA$4="(blank)",--('Final Calculation Sheet'!$Z$30=""),IF($AA$4="(nonblank)",--('Final Calculation Sheet'!$Z$30&lt;&gt;""),--ISNUMBER(SEARCH($AA$4,'Final Calculation Sheet'!$Z$30)))))</f>
        <v/>
      </c>
      <c r="EG32">
        <f>IF($AB$4="",1,IF($AB$4="(blank)",--('Final Calculation Sheet'!$AA$30=""),IF($AB$4="(nonblank)",--('Final Calculation Sheet'!$AA$30&lt;&gt;""),--ISNUMBER(SEARCH($AB$4,'Final Calculation Sheet'!$AA$30)))))</f>
        <v/>
      </c>
      <c r="EH32">
        <f>IF($AC$4="",1,IF($AC$4="(blank)",--('Final Calculation Sheet'!$AB$30=""),IF($AC$4="(nonblank)",--('Final Calculation Sheet'!$AB$30&lt;&gt;""),--ISNUMBER(SEARCH($AC$4,'Final Calculation Sheet'!$AB$30)))))</f>
        <v/>
      </c>
      <c r="EI32">
        <f>IF($AD$4="",1,IF($AD$4="(blank)",--('Final Calculation Sheet'!$AC$30=""),IF($AD$4="(nonblank)",--('Final Calculation Sheet'!$AC$30&lt;&gt;""),--ISNUMBER(SEARCH($AD$4,'Final Calculation Sheet'!$AC$30)))))</f>
        <v/>
      </c>
      <c r="EJ32">
        <f>IF($AE$4="",1,IF($AE$4="(blank)",--('Final Calculation Sheet'!$AD$30=""),IF($AE$4="(nonblank)",--('Final Calculation Sheet'!$AD$30&lt;&gt;""),--ISNUMBER(SEARCH($AE$4,'Final Calculation Sheet'!$AD$30)))))</f>
        <v/>
      </c>
      <c r="EK32">
        <f>IF($AF$4="",1,IF($AF$4="(blank)",--(IF('Final Calculation Sheet'!$AD$30&lt;=5,"SETTLED","OUTSTANDING")=""),IF($AF$4="(nonblank)",--(IF('Final Calculation Sheet'!$AD$30&lt;=5,"SETTLED","OUTSTANDING")&lt;&gt;""),--ISNUMBER(SEARCH($AF$4,IF('Final Calculation Sheet'!$AD$30&lt;=5,"SETTLED","OUTSTANDING"))))))</f>
        <v/>
      </c>
      <c r="EL32">
        <f>IF($AG$4="",1,IF($AG$4="(blank)",--('Final Calculation Sheet'!$AF$30=""),IF($AG$4="(nonblank)",--('Final Calculation Sheet'!$AF$30&lt;&gt;""),--ISNUMBER(SEARCH($AG$4,'Final Calculation Sheet'!$AF$30)))))</f>
        <v/>
      </c>
      <c r="EM32">
        <f>IF($AH$4="",1,IF($AH$4="(blank)",--('Final Calculation Sheet'!$AG$30=""),IF($AH$4="(nonblank)",--('Final Calculation Sheet'!$AG$30&lt;&gt;""),--ISNUMBER(SEARCH($AH$4,'Final Calculation Sheet'!$AG$30)))))</f>
        <v/>
      </c>
      <c r="EN32">
        <f>IF($AI$4="",1,IF($AI$4="(blank)",--('Final Calculation Sheet'!$AH$30=""),IF($AI$4="(nonblank)",--('Final Calculation Sheet'!$AH$30&lt;&gt;""),--ISNUMBER(SEARCH($AI$4,'Final Calculation Sheet'!$AH$30)))))</f>
        <v/>
      </c>
    </row>
    <row r="33" outlineLevel="1" hidden="1">
      <c r="A33" s="118">
        <f>IF($AL$33="","",27)</f>
        <v/>
      </c>
      <c r="B33" s="119">
        <f>IF($AL$33="","",IF(INDEX('Final Calculation Sheet'!$F$4:$F$40,$AL$33)="","",INDEX('Final Calculation Sheet'!$F$4:$F$40,$AL$33)))</f>
        <v/>
      </c>
      <c r="C33" s="119">
        <f>IF($AL$33="","",IF(INDEX('Final Calculation Sheet'!$G$4:$G$40,$AL$33)="","",INDEX('Final Calculation Sheet'!$G$4:$G$40,$AL$33)))</f>
        <v/>
      </c>
      <c r="D33" s="121">
        <f>IF($AL$33="","",IF(INDEX('Final Calculation Sheet'!$B$4:$B$40,$AL$33)="","",INDEX('Final Calculation Sheet'!$B$4:$B$40,$AL$33)))</f>
        <v/>
      </c>
      <c r="E33" s="121">
        <f>IF($AL$33="","",IF(INDEX('Final Calculation Sheet'!$D$4:$D$40,$AL$33)="","",INDEX('Final Calculation Sheet'!$D$4:$D$40,$AL$33)))</f>
        <v/>
      </c>
      <c r="F33" s="121">
        <f>IF($AL$33="","",IF(INDEX('Final Calculation Sheet'!$A$4:$A$40,$AL$33)="","",INDEX('Final Calculation Sheet'!$A$4:$A$40,$AL$33)))</f>
        <v/>
      </c>
      <c r="G33" s="121">
        <f>IF($AL$33="","",IF(INDEX('Final Calculation Sheet'!$E$4:$E$40,$AL$33)="","",INDEX('Final Calculation Sheet'!$E$4:$E$40,$AL$33)))</f>
        <v/>
      </c>
      <c r="H33" s="122">
        <f>IF($AL$33="","",IF(INDEX('Final Calculation Sheet'!$C$4:$C$40,$AL$33)="","",INDEX('Final Calculation Sheet'!$C$4:$C$40,$AL$33)))</f>
        <v/>
      </c>
      <c r="I33" s="122">
        <f>IF($AL$33="","",IF(INDEX('Final Calculation Sheet'!$H$4:$H$40,$AL$33)="","",INDEX('Final Calculation Sheet'!$H$4:$H$40,$AL$33)))</f>
        <v/>
      </c>
      <c r="J33" s="122">
        <f>IF($AL$33="","",IF(INDEX('Final Calculation Sheet'!$I$4:$I$40,$AL$33)="","",INDEX('Final Calculation Sheet'!$I$4:$I$40,$AL$33)))</f>
        <v/>
      </c>
      <c r="K33" s="122">
        <f>IF($AL$33="","",IF(INDEX('Final Calculation Sheet'!$J$4:$J$40,$AL$33)="","",INDEX('Final Calculation Sheet'!$J$4:$J$40,$AL$33)))</f>
        <v/>
      </c>
      <c r="L33" s="122">
        <f>IF($AL$33="","",IF(INDEX('Final Calculation Sheet'!$K$4:$K$40,$AL$33)="","",INDEX('Final Calculation Sheet'!$K$4:$K$40,$AL$33)))</f>
        <v/>
      </c>
      <c r="M33" s="122">
        <f>IF($AL$33="","",IF(INDEX('Final Calculation Sheet'!$L$4:$L$40,$AL$33)="","",INDEX('Final Calculation Sheet'!$L$4:$L$40,$AL$33)))</f>
        <v/>
      </c>
      <c r="N33" s="122">
        <f>IF($AL$33="","",IF(INDEX('Final Calculation Sheet'!$M$4:$M$40,$AL$33)="","",INDEX('Final Calculation Sheet'!$M$4:$M$40,$AL$33)))</f>
        <v/>
      </c>
      <c r="O33" s="123">
        <f>IF($AL$33="","",IF(INDEX('Final Calculation Sheet'!$N$4:$N$40,$AL$33)="","",INDEX('Final Calculation Sheet'!$N$4:$N$40,$AL$33)))</f>
        <v/>
      </c>
      <c r="P33" s="122">
        <f>IF($AL$33="","",IF(INDEX('Final Calculation Sheet'!$O$4:$O$40,$AL$33)="","",INDEX('Final Calculation Sheet'!$O$4:$O$40,$AL$33)))</f>
        <v/>
      </c>
      <c r="Q33" s="122">
        <f>IF($AL$33="","",IF(INDEX('Final Calculation Sheet'!$P$4:$P$40,$AL$33)="","",INDEX('Final Calculation Sheet'!$P$4:$P$40,$AL$33)))</f>
        <v/>
      </c>
      <c r="R33" s="124">
        <f>IF($AL$33="","",IF(INDEX('Final Calculation Sheet'!$Q$4:$Q$40,$AL$33)="","",INDEX('Final Calculation Sheet'!$Q$4:$Q$40,$AL$33)))</f>
        <v/>
      </c>
      <c r="S33" s="122">
        <f>IF($AL$33="","",IF(INDEX('Final Calculation Sheet'!$R$4:$R$40,$AL$33)="","",INDEX('Final Calculation Sheet'!$R$4:$R$40,$AL$33)))</f>
        <v/>
      </c>
      <c r="T33" s="122">
        <f>IF($AL$33="","",IF(INDEX('Final Calculation Sheet'!$S$4:$S$40,$AL$33)="","",INDEX('Final Calculation Sheet'!$S$4:$S$40,$AL$33)))</f>
        <v/>
      </c>
      <c r="U33" s="122">
        <f>IF($AL$33="","",IF(INDEX('Final Calculation Sheet'!$T$4:$T$40,$AL$33)="","",INDEX('Final Calculation Sheet'!$T$4:$T$40,$AL$33)))</f>
        <v/>
      </c>
      <c r="V33" s="125">
        <f>IF($AL$33="","",IF(INDEX('Final Calculation Sheet'!$U$4:$U$40,$AL$33)="","",INDEX('Final Calculation Sheet'!$U$4:$U$40,$AL$33)))</f>
        <v/>
      </c>
      <c r="W33" s="122">
        <f>IF($AL$33="","",IF(INDEX('Final Calculation Sheet'!$V$4:$V$40,$AL$33)="","",INDEX('Final Calculation Sheet'!$V$4:$V$40,$AL$33)))</f>
        <v/>
      </c>
      <c r="X33" s="122">
        <f>IF($AL$33="","",IF(INDEX('Final Calculation Sheet'!$W$4:$W$40,$AL$33)="","",INDEX('Final Calculation Sheet'!$W$4:$W$40,$AL$33)))</f>
        <v/>
      </c>
      <c r="Y33" s="122">
        <f>IF($AL$33="","",IF(INDEX('Final Calculation Sheet'!$X$4:$X$40,$AL$33)="","",INDEX('Final Calculation Sheet'!$X$4:$X$40,$AL$33)))</f>
        <v/>
      </c>
      <c r="Z33" s="122">
        <f>IF($AL$33="","",IF(INDEX('Final Calculation Sheet'!$Y$4:$Y$40,$AL$33)="","",INDEX('Final Calculation Sheet'!$Y$4:$Y$40,$AL$33)))</f>
        <v/>
      </c>
      <c r="AA33" s="122">
        <f>IF($AL$33="","",IF(INDEX('Final Calculation Sheet'!$Z$4:$Z$40,$AL$33)="","",INDEX('Final Calculation Sheet'!$Z$4:$Z$40,$AL$33)))</f>
        <v/>
      </c>
      <c r="AB33" s="122">
        <f>IF($AL$33="","",IF(INDEX('Final Calculation Sheet'!$AA$4:$AA$40,$AL$33)="","",INDEX('Final Calculation Sheet'!$AA$4:$AA$40,$AL$33)))</f>
        <v/>
      </c>
      <c r="AC33" s="122">
        <f>IF($AL$33="","",IF(INDEX('Final Calculation Sheet'!$AB$4:$AB$40,$AL$33)="","",INDEX('Final Calculation Sheet'!$AB$4:$AB$40,$AL$33)))</f>
        <v/>
      </c>
      <c r="AD33" s="122">
        <f>IF($AL$33="","",IF(INDEX('Final Calculation Sheet'!$AC$4:$AC$40,$AL$33)="","",INDEX('Final Calculation Sheet'!$AC$4:$AC$40,$AL$33)))</f>
        <v/>
      </c>
      <c r="AE33" s="122">
        <f>IF($AL$33="","",IF(INDEX('Final Calculation Sheet'!$AD$4:$AD$40,$AL$33)="","",INDEX('Final Calculation Sheet'!$AD$4:$AD$40,$AL$33)))</f>
        <v/>
      </c>
      <c r="AF33" s="127">
        <f>IF($AL$33="","",IF(INDEX('Final Calculation Sheet'!$AD$4:$AD$40,$AL$33)&lt;=5,"SETTLED","OUTSTANDING"))</f>
        <v/>
      </c>
      <c r="AG33" s="122">
        <f>IF($AL$33="","",IF(INDEX('Final Calculation Sheet'!$AF$4:$AF$40,$AL$33)="","",INDEX('Final Calculation Sheet'!$AF$4:$AF$40,$AL$33)))</f>
        <v/>
      </c>
      <c r="AH33" s="126">
        <f>IF($AL$33="","",IF(INDEX('Final Calculation Sheet'!$AG$4:$AG$40,$AL$33)="","",INDEX('Final Calculation Sheet'!$AG$4:$AG$40,$AL$33)))</f>
        <v/>
      </c>
      <c r="AI33" s="122">
        <f>IF($AL$33="","",IF(INDEX('Final Calculation Sheet'!$AH$4:$AH$40,$AL$33)="","",INDEX('Final Calculation Sheet'!$AH$4:$AH$40,$AL$33)))</f>
        <v/>
      </c>
      <c r="AJ33">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33">
        <f>IF(AJ33=1,COUNTIF(AJ$6:AJ33,1),"")</f>
        <v/>
      </c>
      <c r="AL33">
        <f>IF(COUNTIF($B$4:$AI$4,"&lt;&gt;")=0,"",IFERROR(MATCH(27,$AK$6:$AK$42,0),""))</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G33">
        <f>IF($B$4="",1,IF($B$4="(blank)",--('Final Calculation Sheet'!$F$31=""),IF($B$4="(nonblank)",--('Final Calculation Sheet'!$F$31&lt;&gt;""),--ISNUMBER(SEARCH($B$4,'Final Calculation Sheet'!$F$31)))))</f>
        <v/>
      </c>
      <c r="DH33">
        <f>IF($C$4="",1,IF($C$4="(blank)",--('Final Calculation Sheet'!$G$31=""),IF($C$4="(nonblank)",--('Final Calculation Sheet'!$G$31&lt;&gt;""),--ISNUMBER(SEARCH($C$4,'Final Calculation Sheet'!$G$31)))))</f>
        <v/>
      </c>
      <c r="DI33">
        <f>IF($D$4="",1,IF($D$4="(blank)",--('Final Calculation Sheet'!$B$31=""),IF($D$4="(nonblank)",--('Final Calculation Sheet'!$B$31&lt;&gt;""),--ISNUMBER(SEARCH($D$4,'Final Calculation Sheet'!$B$31)))))</f>
        <v/>
      </c>
      <c r="DJ33">
        <f>IF($E$4="",1,IF($E$4="(blank)",--('Final Calculation Sheet'!$D$31=""),IF($E$4="(nonblank)",--('Final Calculation Sheet'!$D$31&lt;&gt;""),--ISNUMBER(SEARCH($E$4,'Final Calculation Sheet'!$D$31)))))</f>
        <v/>
      </c>
      <c r="DK33">
        <f>IF($F$4="",1,IF($F$4="(blank)",--('Final Calculation Sheet'!$A$31=""),IF($F$4="(nonblank)",--('Final Calculation Sheet'!$A$31&lt;&gt;""),--ISNUMBER(SEARCH($F$4,'Final Calculation Sheet'!$A$31)))))</f>
        <v/>
      </c>
      <c r="DL33">
        <f>IF($G$4="",1,IF($G$4="(blank)",--('Final Calculation Sheet'!$E$31=""),IF($G$4="(nonblank)",--('Final Calculation Sheet'!$E$31&lt;&gt;""),--ISNUMBER(SEARCH($G$4,'Final Calculation Sheet'!$E$31)))))</f>
        <v/>
      </c>
      <c r="DM33">
        <f>IF($H$4="",1,IF($H$4="(blank)",--('Final Calculation Sheet'!$C$31=""),IF($H$4="(nonblank)",--('Final Calculation Sheet'!$C$31&lt;&gt;""),--ISNUMBER(SEARCH($H$4,'Final Calculation Sheet'!$C$31)))))</f>
        <v/>
      </c>
      <c r="DN33">
        <f>IF($I$4="",1,IF($I$4="(blank)",--('Final Calculation Sheet'!$H$31=""),IF($I$4="(nonblank)",--('Final Calculation Sheet'!$H$31&lt;&gt;""),--ISNUMBER(SEARCH($I$4,'Final Calculation Sheet'!$H$31)))))</f>
        <v/>
      </c>
      <c r="DO33">
        <f>IF($J$4="",1,IF($J$4="(blank)",--('Final Calculation Sheet'!$I$31=""),IF($J$4="(nonblank)",--('Final Calculation Sheet'!$I$31&lt;&gt;""),--ISNUMBER(SEARCH($J$4,'Final Calculation Sheet'!$I$31)))))</f>
        <v/>
      </c>
      <c r="DP33">
        <f>IF($K$4="",1,IF($K$4="(blank)",--('Final Calculation Sheet'!$J$31=""),IF($K$4="(nonblank)",--('Final Calculation Sheet'!$J$31&lt;&gt;""),--ISNUMBER(SEARCH($K$4,'Final Calculation Sheet'!$J$31)))))</f>
        <v/>
      </c>
      <c r="DQ33">
        <f>IF($L$4="",1,IF($L$4="(blank)",--('Final Calculation Sheet'!$K$31=""),IF($L$4="(nonblank)",--('Final Calculation Sheet'!$K$31&lt;&gt;""),--ISNUMBER(SEARCH($L$4,'Final Calculation Sheet'!$K$31)))))</f>
        <v/>
      </c>
      <c r="DR33">
        <f>IF($M$4="",1,IF($M$4="(blank)",--('Final Calculation Sheet'!$L$31=""),IF($M$4="(nonblank)",--('Final Calculation Sheet'!$L$31&lt;&gt;""),--ISNUMBER(SEARCH($M$4,'Final Calculation Sheet'!$L$31)))))</f>
        <v/>
      </c>
      <c r="DS33">
        <f>IF($N$4="",1,IF($N$4="(blank)",--('Final Calculation Sheet'!$M$31=""),IF($N$4="(nonblank)",--('Final Calculation Sheet'!$M$31&lt;&gt;""),--ISNUMBER(SEARCH($N$4,'Final Calculation Sheet'!$M$31)))))</f>
        <v/>
      </c>
      <c r="DT33">
        <f>IF($O$4="",1,IF($O$4="(blank)",--('Final Calculation Sheet'!$N$31=""),IF($O$4="(nonblank)",--('Final Calculation Sheet'!$N$31&lt;&gt;""),--ISNUMBER(SEARCH($O$4,'Final Calculation Sheet'!$N$31)))))</f>
        <v/>
      </c>
      <c r="DU33">
        <f>IF($P$4="",1,IF($P$4="(blank)",--('Final Calculation Sheet'!$O$31=""),IF($P$4="(nonblank)",--('Final Calculation Sheet'!$O$31&lt;&gt;""),--ISNUMBER(SEARCH($P$4,'Final Calculation Sheet'!$O$31)))))</f>
        <v/>
      </c>
      <c r="DV33">
        <f>IF($Q$4="",1,IF($Q$4="(blank)",--('Final Calculation Sheet'!$P$31=""),IF($Q$4="(nonblank)",--('Final Calculation Sheet'!$P$31&lt;&gt;""),--ISNUMBER(SEARCH($Q$4,'Final Calculation Sheet'!$P$31)))))</f>
        <v/>
      </c>
      <c r="DW33">
        <f>IF($R$4="",1,IF($R$4="(blank)",--('Final Calculation Sheet'!$Q$31=""),IF($R$4="(nonblank)",--('Final Calculation Sheet'!$Q$31&lt;&gt;""),--ISNUMBER(SEARCH($R$4,'Final Calculation Sheet'!$Q$31)))))</f>
        <v/>
      </c>
      <c r="DX33">
        <f>IF($S$4="",1,IF($S$4="(blank)",--('Final Calculation Sheet'!$R$31=""),IF($S$4="(nonblank)",--('Final Calculation Sheet'!$R$31&lt;&gt;""),--ISNUMBER(SEARCH($S$4,'Final Calculation Sheet'!$R$31)))))</f>
        <v/>
      </c>
      <c r="DY33">
        <f>IF($T$4="",1,IF($T$4="(blank)",--('Final Calculation Sheet'!$S$31=""),IF($T$4="(nonblank)",--('Final Calculation Sheet'!$S$31&lt;&gt;""),--ISNUMBER(SEARCH($T$4,'Final Calculation Sheet'!$S$31)))))</f>
        <v/>
      </c>
      <c r="DZ33">
        <f>IF($U$4="",1,IF($U$4="(blank)",--('Final Calculation Sheet'!$T$31=""),IF($U$4="(nonblank)",--('Final Calculation Sheet'!$T$31&lt;&gt;""),--ISNUMBER(SEARCH($U$4,'Final Calculation Sheet'!$T$31)))))</f>
        <v/>
      </c>
      <c r="EA33">
        <f>IF($V$4="",1,IF($V$4="(blank)",--('Final Calculation Sheet'!$U$31=""),IF($V$4="(nonblank)",--('Final Calculation Sheet'!$U$31&lt;&gt;""),--ISNUMBER(SEARCH($V$4,'Final Calculation Sheet'!$U$31)))))</f>
        <v/>
      </c>
      <c r="EB33">
        <f>IF($W$4="",1,IF($W$4="(blank)",--('Final Calculation Sheet'!$V$31=""),IF($W$4="(nonblank)",--('Final Calculation Sheet'!$V$31&lt;&gt;""),--ISNUMBER(SEARCH($W$4,'Final Calculation Sheet'!$V$31)))))</f>
        <v/>
      </c>
      <c r="EC33">
        <f>IF($X$4="",1,IF($X$4="(blank)",--('Final Calculation Sheet'!$W$31=""),IF($X$4="(nonblank)",--('Final Calculation Sheet'!$W$31&lt;&gt;""),--ISNUMBER(SEARCH($X$4,'Final Calculation Sheet'!$W$31)))))</f>
        <v/>
      </c>
      <c r="ED33">
        <f>IF($Y$4="",1,IF($Y$4="(blank)",--('Final Calculation Sheet'!$X$31=""),IF($Y$4="(nonblank)",--('Final Calculation Sheet'!$X$31&lt;&gt;""),--ISNUMBER(SEARCH($Y$4,'Final Calculation Sheet'!$X$31)))))</f>
        <v/>
      </c>
      <c r="EE33">
        <f>IF($Z$4="",1,IF($Z$4="(blank)",--('Final Calculation Sheet'!$Y$31=""),IF($Z$4="(nonblank)",--('Final Calculation Sheet'!$Y$31&lt;&gt;""),--ISNUMBER(SEARCH($Z$4,'Final Calculation Sheet'!$Y$31)))))</f>
        <v/>
      </c>
      <c r="EF33">
        <f>IF($AA$4="",1,IF($AA$4="(blank)",--('Final Calculation Sheet'!$Z$31=""),IF($AA$4="(nonblank)",--('Final Calculation Sheet'!$Z$31&lt;&gt;""),--ISNUMBER(SEARCH($AA$4,'Final Calculation Sheet'!$Z$31)))))</f>
        <v/>
      </c>
      <c r="EG33">
        <f>IF($AB$4="",1,IF($AB$4="(blank)",--('Final Calculation Sheet'!$AA$31=""),IF($AB$4="(nonblank)",--('Final Calculation Sheet'!$AA$31&lt;&gt;""),--ISNUMBER(SEARCH($AB$4,'Final Calculation Sheet'!$AA$31)))))</f>
        <v/>
      </c>
      <c r="EH33">
        <f>IF($AC$4="",1,IF($AC$4="(blank)",--('Final Calculation Sheet'!$AB$31=""),IF($AC$4="(nonblank)",--('Final Calculation Sheet'!$AB$31&lt;&gt;""),--ISNUMBER(SEARCH($AC$4,'Final Calculation Sheet'!$AB$31)))))</f>
        <v/>
      </c>
      <c r="EI33">
        <f>IF($AD$4="",1,IF($AD$4="(blank)",--('Final Calculation Sheet'!$AC$31=""),IF($AD$4="(nonblank)",--('Final Calculation Sheet'!$AC$31&lt;&gt;""),--ISNUMBER(SEARCH($AD$4,'Final Calculation Sheet'!$AC$31)))))</f>
        <v/>
      </c>
      <c r="EJ33">
        <f>IF($AE$4="",1,IF($AE$4="(blank)",--('Final Calculation Sheet'!$AD$31=""),IF($AE$4="(nonblank)",--('Final Calculation Sheet'!$AD$31&lt;&gt;""),--ISNUMBER(SEARCH($AE$4,'Final Calculation Sheet'!$AD$31)))))</f>
        <v/>
      </c>
      <c r="EK33">
        <f>IF($AF$4="",1,IF($AF$4="(blank)",--(IF('Final Calculation Sheet'!$AD$31&lt;=5,"SETTLED","OUTSTANDING")=""),IF($AF$4="(nonblank)",--(IF('Final Calculation Sheet'!$AD$31&lt;=5,"SETTLED","OUTSTANDING")&lt;&gt;""),--ISNUMBER(SEARCH($AF$4,IF('Final Calculation Sheet'!$AD$31&lt;=5,"SETTLED","OUTSTANDING"))))))</f>
        <v/>
      </c>
      <c r="EL33">
        <f>IF($AG$4="",1,IF($AG$4="(blank)",--('Final Calculation Sheet'!$AF$31=""),IF($AG$4="(nonblank)",--('Final Calculation Sheet'!$AF$31&lt;&gt;""),--ISNUMBER(SEARCH($AG$4,'Final Calculation Sheet'!$AF$31)))))</f>
        <v/>
      </c>
      <c r="EM33">
        <f>IF($AH$4="",1,IF($AH$4="(blank)",--('Final Calculation Sheet'!$AG$31=""),IF($AH$4="(nonblank)",--('Final Calculation Sheet'!$AG$31&lt;&gt;""),--ISNUMBER(SEARCH($AH$4,'Final Calculation Sheet'!$AG$31)))))</f>
        <v/>
      </c>
      <c r="EN33">
        <f>IF($AI$4="",1,IF($AI$4="(blank)",--('Final Calculation Sheet'!$AH$31=""),IF($AI$4="(nonblank)",--('Final Calculation Sheet'!$AH$31&lt;&gt;""),--ISNUMBER(SEARCH($AI$4,'Final Calculation Sheet'!$AH$31)))))</f>
        <v/>
      </c>
    </row>
    <row r="34" outlineLevel="1" hidden="1">
      <c r="A34" s="128">
        <f>IF($AL$34="","",28)</f>
        <v/>
      </c>
      <c r="B34" s="129">
        <f>IF($AL$34="","",IF(INDEX('Final Calculation Sheet'!$F$4:$F$40,$AL$34)="","",INDEX('Final Calculation Sheet'!$F$4:$F$40,$AL$34)))</f>
        <v/>
      </c>
      <c r="C34" s="129">
        <f>IF($AL$34="","",IF(INDEX('Final Calculation Sheet'!$G$4:$G$40,$AL$34)="","",INDEX('Final Calculation Sheet'!$G$4:$G$40,$AL$34)))</f>
        <v/>
      </c>
      <c r="D34" s="130">
        <f>IF($AL$34="","",IF(INDEX('Final Calculation Sheet'!$B$4:$B$40,$AL$34)="","",INDEX('Final Calculation Sheet'!$B$4:$B$40,$AL$34)))</f>
        <v/>
      </c>
      <c r="E34" s="130">
        <f>IF($AL$34="","",IF(INDEX('Final Calculation Sheet'!$D$4:$D$40,$AL$34)="","",INDEX('Final Calculation Sheet'!$D$4:$D$40,$AL$34)))</f>
        <v/>
      </c>
      <c r="F34" s="130">
        <f>IF($AL$34="","",IF(INDEX('Final Calculation Sheet'!$A$4:$A$40,$AL$34)="","",INDEX('Final Calculation Sheet'!$A$4:$A$40,$AL$34)))</f>
        <v/>
      </c>
      <c r="G34" s="130">
        <f>IF($AL$34="","",IF(INDEX('Final Calculation Sheet'!$E$4:$E$40,$AL$34)="","",INDEX('Final Calculation Sheet'!$E$4:$E$40,$AL$34)))</f>
        <v/>
      </c>
      <c r="H34" s="131">
        <f>IF($AL$34="","",IF(INDEX('Final Calculation Sheet'!$C$4:$C$40,$AL$34)="","",INDEX('Final Calculation Sheet'!$C$4:$C$40,$AL$34)))</f>
        <v/>
      </c>
      <c r="I34" s="131">
        <f>IF($AL$34="","",IF(INDEX('Final Calculation Sheet'!$H$4:$H$40,$AL$34)="","",INDEX('Final Calculation Sheet'!$H$4:$H$40,$AL$34)))</f>
        <v/>
      </c>
      <c r="J34" s="131">
        <f>IF($AL$34="","",IF(INDEX('Final Calculation Sheet'!$I$4:$I$40,$AL$34)="","",INDEX('Final Calculation Sheet'!$I$4:$I$40,$AL$34)))</f>
        <v/>
      </c>
      <c r="K34" s="131">
        <f>IF($AL$34="","",IF(INDEX('Final Calculation Sheet'!$J$4:$J$40,$AL$34)="","",INDEX('Final Calculation Sheet'!$J$4:$J$40,$AL$34)))</f>
        <v/>
      </c>
      <c r="L34" s="131">
        <f>IF($AL$34="","",IF(INDEX('Final Calculation Sheet'!$K$4:$K$40,$AL$34)="","",INDEX('Final Calculation Sheet'!$K$4:$K$40,$AL$34)))</f>
        <v/>
      </c>
      <c r="M34" s="131">
        <f>IF($AL$34="","",IF(INDEX('Final Calculation Sheet'!$L$4:$L$40,$AL$34)="","",INDEX('Final Calculation Sheet'!$L$4:$L$40,$AL$34)))</f>
        <v/>
      </c>
      <c r="N34" s="131">
        <f>IF($AL$34="","",IF(INDEX('Final Calculation Sheet'!$M$4:$M$40,$AL$34)="","",INDEX('Final Calculation Sheet'!$M$4:$M$40,$AL$34)))</f>
        <v/>
      </c>
      <c r="O34" s="132">
        <f>IF($AL$34="","",IF(INDEX('Final Calculation Sheet'!$N$4:$N$40,$AL$34)="","",INDEX('Final Calculation Sheet'!$N$4:$N$40,$AL$34)))</f>
        <v/>
      </c>
      <c r="P34" s="131">
        <f>IF($AL$34="","",IF(INDEX('Final Calculation Sheet'!$O$4:$O$40,$AL$34)="","",INDEX('Final Calculation Sheet'!$O$4:$O$40,$AL$34)))</f>
        <v/>
      </c>
      <c r="Q34" s="131">
        <f>IF($AL$34="","",IF(INDEX('Final Calculation Sheet'!$P$4:$P$40,$AL$34)="","",INDEX('Final Calculation Sheet'!$P$4:$P$40,$AL$34)))</f>
        <v/>
      </c>
      <c r="R34" s="133">
        <f>IF($AL$34="","",IF(INDEX('Final Calculation Sheet'!$Q$4:$Q$40,$AL$34)="","",INDEX('Final Calculation Sheet'!$Q$4:$Q$40,$AL$34)))</f>
        <v/>
      </c>
      <c r="S34" s="131">
        <f>IF($AL$34="","",IF(INDEX('Final Calculation Sheet'!$R$4:$R$40,$AL$34)="","",INDEX('Final Calculation Sheet'!$R$4:$R$40,$AL$34)))</f>
        <v/>
      </c>
      <c r="T34" s="131">
        <f>IF($AL$34="","",IF(INDEX('Final Calculation Sheet'!$S$4:$S$40,$AL$34)="","",INDEX('Final Calculation Sheet'!$S$4:$S$40,$AL$34)))</f>
        <v/>
      </c>
      <c r="U34" s="131">
        <f>IF($AL$34="","",IF(INDEX('Final Calculation Sheet'!$T$4:$T$40,$AL$34)="","",INDEX('Final Calculation Sheet'!$T$4:$T$40,$AL$34)))</f>
        <v/>
      </c>
      <c r="V34" s="134">
        <f>IF($AL$34="","",IF(INDEX('Final Calculation Sheet'!$U$4:$U$40,$AL$34)="","",INDEX('Final Calculation Sheet'!$U$4:$U$40,$AL$34)))</f>
        <v/>
      </c>
      <c r="W34" s="131">
        <f>IF($AL$34="","",IF(INDEX('Final Calculation Sheet'!$V$4:$V$40,$AL$34)="","",INDEX('Final Calculation Sheet'!$V$4:$V$40,$AL$34)))</f>
        <v/>
      </c>
      <c r="X34" s="131">
        <f>IF($AL$34="","",IF(INDEX('Final Calculation Sheet'!$W$4:$W$40,$AL$34)="","",INDEX('Final Calculation Sheet'!$W$4:$W$40,$AL$34)))</f>
        <v/>
      </c>
      <c r="Y34" s="131">
        <f>IF($AL$34="","",IF(INDEX('Final Calculation Sheet'!$X$4:$X$40,$AL$34)="","",INDEX('Final Calculation Sheet'!$X$4:$X$40,$AL$34)))</f>
        <v/>
      </c>
      <c r="Z34" s="131">
        <f>IF($AL$34="","",IF(INDEX('Final Calculation Sheet'!$Y$4:$Y$40,$AL$34)="","",INDEX('Final Calculation Sheet'!$Y$4:$Y$40,$AL$34)))</f>
        <v/>
      </c>
      <c r="AA34" s="131">
        <f>IF($AL$34="","",IF(INDEX('Final Calculation Sheet'!$Z$4:$Z$40,$AL$34)="","",INDEX('Final Calculation Sheet'!$Z$4:$Z$40,$AL$34)))</f>
        <v/>
      </c>
      <c r="AB34" s="131">
        <f>IF($AL$34="","",IF(INDEX('Final Calculation Sheet'!$AA$4:$AA$40,$AL$34)="","",INDEX('Final Calculation Sheet'!$AA$4:$AA$40,$AL$34)))</f>
        <v/>
      </c>
      <c r="AC34" s="131">
        <f>IF($AL$34="","",IF(INDEX('Final Calculation Sheet'!$AB$4:$AB$40,$AL$34)="","",INDEX('Final Calculation Sheet'!$AB$4:$AB$40,$AL$34)))</f>
        <v/>
      </c>
      <c r="AD34" s="131">
        <f>IF($AL$34="","",IF(INDEX('Final Calculation Sheet'!$AC$4:$AC$40,$AL$34)="","",INDEX('Final Calculation Sheet'!$AC$4:$AC$40,$AL$34)))</f>
        <v/>
      </c>
      <c r="AE34" s="131">
        <f>IF($AL$34="","",IF(INDEX('Final Calculation Sheet'!$AD$4:$AD$40,$AL$34)="","",INDEX('Final Calculation Sheet'!$AD$4:$AD$40,$AL$34)))</f>
        <v/>
      </c>
      <c r="AF34" s="136">
        <f>IF($AL$34="","",IF(INDEX('Final Calculation Sheet'!$AD$4:$AD$40,$AL$34)&lt;=5,"SETTLED","OUTSTANDING"))</f>
        <v/>
      </c>
      <c r="AG34" s="131">
        <f>IF($AL$34="","",IF(INDEX('Final Calculation Sheet'!$AF$4:$AF$40,$AL$34)="","",INDEX('Final Calculation Sheet'!$AF$4:$AF$40,$AL$34)))</f>
        <v/>
      </c>
      <c r="AH34" s="135">
        <f>IF($AL$34="","",IF(INDEX('Final Calculation Sheet'!$AG$4:$AG$40,$AL$34)="","",INDEX('Final Calculation Sheet'!$AG$4:$AG$40,$AL$34)))</f>
        <v/>
      </c>
      <c r="AI34" s="131">
        <f>IF($AL$34="","",IF(INDEX('Final Calculation Sheet'!$AH$4:$AH$40,$AL$34)="","",INDEX('Final Calculation Sheet'!$AH$4:$AH$40,$AL$34)))</f>
        <v/>
      </c>
      <c r="AJ34">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34">
        <f>IF(AJ34=1,COUNTIF(AJ$6:AJ34,1),"")</f>
        <v/>
      </c>
      <c r="AL34">
        <f>IF(COUNTIF($B$4:$AI$4,"&lt;&gt;")=0,"",IFERROR(MATCH(28,$AK$6:$AK$42,0),""))</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G34">
        <f>IF($B$4="",1,IF($B$4="(blank)",--('Final Calculation Sheet'!$F$32=""),IF($B$4="(nonblank)",--('Final Calculation Sheet'!$F$32&lt;&gt;""),--ISNUMBER(SEARCH($B$4,'Final Calculation Sheet'!$F$32)))))</f>
        <v/>
      </c>
      <c r="DH34">
        <f>IF($C$4="",1,IF($C$4="(blank)",--('Final Calculation Sheet'!$G$32=""),IF($C$4="(nonblank)",--('Final Calculation Sheet'!$G$32&lt;&gt;""),--ISNUMBER(SEARCH($C$4,'Final Calculation Sheet'!$G$32)))))</f>
        <v/>
      </c>
      <c r="DI34">
        <f>IF($D$4="",1,IF($D$4="(blank)",--('Final Calculation Sheet'!$B$32=""),IF($D$4="(nonblank)",--('Final Calculation Sheet'!$B$32&lt;&gt;""),--ISNUMBER(SEARCH($D$4,'Final Calculation Sheet'!$B$32)))))</f>
        <v/>
      </c>
      <c r="DJ34">
        <f>IF($E$4="",1,IF($E$4="(blank)",--('Final Calculation Sheet'!$D$32=""),IF($E$4="(nonblank)",--('Final Calculation Sheet'!$D$32&lt;&gt;""),--ISNUMBER(SEARCH($E$4,'Final Calculation Sheet'!$D$32)))))</f>
        <v/>
      </c>
      <c r="DK34">
        <f>IF($F$4="",1,IF($F$4="(blank)",--('Final Calculation Sheet'!$A$32=""),IF($F$4="(nonblank)",--('Final Calculation Sheet'!$A$32&lt;&gt;""),--ISNUMBER(SEARCH($F$4,'Final Calculation Sheet'!$A$32)))))</f>
        <v/>
      </c>
      <c r="DL34">
        <f>IF($G$4="",1,IF($G$4="(blank)",--('Final Calculation Sheet'!$E$32=""),IF($G$4="(nonblank)",--('Final Calculation Sheet'!$E$32&lt;&gt;""),--ISNUMBER(SEARCH($G$4,'Final Calculation Sheet'!$E$32)))))</f>
        <v/>
      </c>
      <c r="DM34">
        <f>IF($H$4="",1,IF($H$4="(blank)",--('Final Calculation Sheet'!$C$32=""),IF($H$4="(nonblank)",--('Final Calculation Sheet'!$C$32&lt;&gt;""),--ISNUMBER(SEARCH($H$4,'Final Calculation Sheet'!$C$32)))))</f>
        <v/>
      </c>
      <c r="DN34">
        <f>IF($I$4="",1,IF($I$4="(blank)",--('Final Calculation Sheet'!$H$32=""),IF($I$4="(nonblank)",--('Final Calculation Sheet'!$H$32&lt;&gt;""),--ISNUMBER(SEARCH($I$4,'Final Calculation Sheet'!$H$32)))))</f>
        <v/>
      </c>
      <c r="DO34">
        <f>IF($J$4="",1,IF($J$4="(blank)",--('Final Calculation Sheet'!$I$32=""),IF($J$4="(nonblank)",--('Final Calculation Sheet'!$I$32&lt;&gt;""),--ISNUMBER(SEARCH($J$4,'Final Calculation Sheet'!$I$32)))))</f>
        <v/>
      </c>
      <c r="DP34">
        <f>IF($K$4="",1,IF($K$4="(blank)",--('Final Calculation Sheet'!$J$32=""),IF($K$4="(nonblank)",--('Final Calculation Sheet'!$J$32&lt;&gt;""),--ISNUMBER(SEARCH($K$4,'Final Calculation Sheet'!$J$32)))))</f>
        <v/>
      </c>
      <c r="DQ34">
        <f>IF($L$4="",1,IF($L$4="(blank)",--('Final Calculation Sheet'!$K$32=""),IF($L$4="(nonblank)",--('Final Calculation Sheet'!$K$32&lt;&gt;""),--ISNUMBER(SEARCH($L$4,'Final Calculation Sheet'!$K$32)))))</f>
        <v/>
      </c>
      <c r="DR34">
        <f>IF($M$4="",1,IF($M$4="(blank)",--('Final Calculation Sheet'!$L$32=""),IF($M$4="(nonblank)",--('Final Calculation Sheet'!$L$32&lt;&gt;""),--ISNUMBER(SEARCH($M$4,'Final Calculation Sheet'!$L$32)))))</f>
        <v/>
      </c>
      <c r="DS34">
        <f>IF($N$4="",1,IF($N$4="(blank)",--('Final Calculation Sheet'!$M$32=""),IF($N$4="(nonblank)",--('Final Calculation Sheet'!$M$32&lt;&gt;""),--ISNUMBER(SEARCH($N$4,'Final Calculation Sheet'!$M$32)))))</f>
        <v/>
      </c>
      <c r="DT34">
        <f>IF($O$4="",1,IF($O$4="(blank)",--('Final Calculation Sheet'!$N$32=""),IF($O$4="(nonblank)",--('Final Calculation Sheet'!$N$32&lt;&gt;""),--ISNUMBER(SEARCH($O$4,'Final Calculation Sheet'!$N$32)))))</f>
        <v/>
      </c>
      <c r="DU34">
        <f>IF($P$4="",1,IF($P$4="(blank)",--('Final Calculation Sheet'!$O$32=""),IF($P$4="(nonblank)",--('Final Calculation Sheet'!$O$32&lt;&gt;""),--ISNUMBER(SEARCH($P$4,'Final Calculation Sheet'!$O$32)))))</f>
        <v/>
      </c>
      <c r="DV34">
        <f>IF($Q$4="",1,IF($Q$4="(blank)",--('Final Calculation Sheet'!$P$32=""),IF($Q$4="(nonblank)",--('Final Calculation Sheet'!$P$32&lt;&gt;""),--ISNUMBER(SEARCH($Q$4,'Final Calculation Sheet'!$P$32)))))</f>
        <v/>
      </c>
      <c r="DW34">
        <f>IF($R$4="",1,IF($R$4="(blank)",--('Final Calculation Sheet'!$Q$32=""),IF($R$4="(nonblank)",--('Final Calculation Sheet'!$Q$32&lt;&gt;""),--ISNUMBER(SEARCH($R$4,'Final Calculation Sheet'!$Q$32)))))</f>
        <v/>
      </c>
      <c r="DX34">
        <f>IF($S$4="",1,IF($S$4="(blank)",--('Final Calculation Sheet'!$R$32=""),IF($S$4="(nonblank)",--('Final Calculation Sheet'!$R$32&lt;&gt;""),--ISNUMBER(SEARCH($S$4,'Final Calculation Sheet'!$R$32)))))</f>
        <v/>
      </c>
      <c r="DY34">
        <f>IF($T$4="",1,IF($T$4="(blank)",--('Final Calculation Sheet'!$S$32=""),IF($T$4="(nonblank)",--('Final Calculation Sheet'!$S$32&lt;&gt;""),--ISNUMBER(SEARCH($T$4,'Final Calculation Sheet'!$S$32)))))</f>
        <v/>
      </c>
      <c r="DZ34">
        <f>IF($U$4="",1,IF($U$4="(blank)",--('Final Calculation Sheet'!$T$32=""),IF($U$4="(nonblank)",--('Final Calculation Sheet'!$T$32&lt;&gt;""),--ISNUMBER(SEARCH($U$4,'Final Calculation Sheet'!$T$32)))))</f>
        <v/>
      </c>
      <c r="EA34">
        <f>IF($V$4="",1,IF($V$4="(blank)",--('Final Calculation Sheet'!$U$32=""),IF($V$4="(nonblank)",--('Final Calculation Sheet'!$U$32&lt;&gt;""),--ISNUMBER(SEARCH($V$4,'Final Calculation Sheet'!$U$32)))))</f>
        <v/>
      </c>
      <c r="EB34">
        <f>IF($W$4="",1,IF($W$4="(blank)",--('Final Calculation Sheet'!$V$32=""),IF($W$4="(nonblank)",--('Final Calculation Sheet'!$V$32&lt;&gt;""),--ISNUMBER(SEARCH($W$4,'Final Calculation Sheet'!$V$32)))))</f>
        <v/>
      </c>
      <c r="EC34">
        <f>IF($X$4="",1,IF($X$4="(blank)",--('Final Calculation Sheet'!$W$32=""),IF($X$4="(nonblank)",--('Final Calculation Sheet'!$W$32&lt;&gt;""),--ISNUMBER(SEARCH($X$4,'Final Calculation Sheet'!$W$32)))))</f>
        <v/>
      </c>
      <c r="ED34">
        <f>IF($Y$4="",1,IF($Y$4="(blank)",--('Final Calculation Sheet'!$X$32=""),IF($Y$4="(nonblank)",--('Final Calculation Sheet'!$X$32&lt;&gt;""),--ISNUMBER(SEARCH($Y$4,'Final Calculation Sheet'!$X$32)))))</f>
        <v/>
      </c>
      <c r="EE34">
        <f>IF($Z$4="",1,IF($Z$4="(blank)",--('Final Calculation Sheet'!$Y$32=""),IF($Z$4="(nonblank)",--('Final Calculation Sheet'!$Y$32&lt;&gt;""),--ISNUMBER(SEARCH($Z$4,'Final Calculation Sheet'!$Y$32)))))</f>
        <v/>
      </c>
      <c r="EF34">
        <f>IF($AA$4="",1,IF($AA$4="(blank)",--('Final Calculation Sheet'!$Z$32=""),IF($AA$4="(nonblank)",--('Final Calculation Sheet'!$Z$32&lt;&gt;""),--ISNUMBER(SEARCH($AA$4,'Final Calculation Sheet'!$Z$32)))))</f>
        <v/>
      </c>
      <c r="EG34">
        <f>IF($AB$4="",1,IF($AB$4="(blank)",--('Final Calculation Sheet'!$AA$32=""),IF($AB$4="(nonblank)",--('Final Calculation Sheet'!$AA$32&lt;&gt;""),--ISNUMBER(SEARCH($AB$4,'Final Calculation Sheet'!$AA$32)))))</f>
        <v/>
      </c>
      <c r="EH34">
        <f>IF($AC$4="",1,IF($AC$4="(blank)",--('Final Calculation Sheet'!$AB$32=""),IF($AC$4="(nonblank)",--('Final Calculation Sheet'!$AB$32&lt;&gt;""),--ISNUMBER(SEARCH($AC$4,'Final Calculation Sheet'!$AB$32)))))</f>
        <v/>
      </c>
      <c r="EI34">
        <f>IF($AD$4="",1,IF($AD$4="(blank)",--('Final Calculation Sheet'!$AC$32=""),IF($AD$4="(nonblank)",--('Final Calculation Sheet'!$AC$32&lt;&gt;""),--ISNUMBER(SEARCH($AD$4,'Final Calculation Sheet'!$AC$32)))))</f>
        <v/>
      </c>
      <c r="EJ34">
        <f>IF($AE$4="",1,IF($AE$4="(blank)",--('Final Calculation Sheet'!$AD$32=""),IF($AE$4="(nonblank)",--('Final Calculation Sheet'!$AD$32&lt;&gt;""),--ISNUMBER(SEARCH($AE$4,'Final Calculation Sheet'!$AD$32)))))</f>
        <v/>
      </c>
      <c r="EK34">
        <f>IF($AF$4="",1,IF($AF$4="(blank)",--(IF('Final Calculation Sheet'!$AD$32&lt;=5,"SETTLED","OUTSTANDING")=""),IF($AF$4="(nonblank)",--(IF('Final Calculation Sheet'!$AD$32&lt;=5,"SETTLED","OUTSTANDING")&lt;&gt;""),--ISNUMBER(SEARCH($AF$4,IF('Final Calculation Sheet'!$AD$32&lt;=5,"SETTLED","OUTSTANDING"))))))</f>
        <v/>
      </c>
      <c r="EL34">
        <f>IF($AG$4="",1,IF($AG$4="(blank)",--('Final Calculation Sheet'!$AF$32=""),IF($AG$4="(nonblank)",--('Final Calculation Sheet'!$AF$32&lt;&gt;""),--ISNUMBER(SEARCH($AG$4,'Final Calculation Sheet'!$AF$32)))))</f>
        <v/>
      </c>
      <c r="EM34">
        <f>IF($AH$4="",1,IF($AH$4="(blank)",--('Final Calculation Sheet'!$AG$32=""),IF($AH$4="(nonblank)",--('Final Calculation Sheet'!$AG$32&lt;&gt;""),--ISNUMBER(SEARCH($AH$4,'Final Calculation Sheet'!$AG$32)))))</f>
        <v/>
      </c>
      <c r="EN34">
        <f>IF($AI$4="",1,IF($AI$4="(blank)",--('Final Calculation Sheet'!$AH$32=""),IF($AI$4="(nonblank)",--('Final Calculation Sheet'!$AH$32&lt;&gt;""),--ISNUMBER(SEARCH($AI$4,'Final Calculation Sheet'!$AH$32)))))</f>
        <v/>
      </c>
    </row>
    <row r="35" outlineLevel="1" hidden="1">
      <c r="A35" s="118">
        <f>IF($AL$35="","",29)</f>
        <v/>
      </c>
      <c r="B35" s="119">
        <f>IF($AL$35="","",IF(INDEX('Final Calculation Sheet'!$F$4:$F$40,$AL$35)="","",INDEX('Final Calculation Sheet'!$F$4:$F$40,$AL$35)))</f>
        <v/>
      </c>
      <c r="C35" s="119">
        <f>IF($AL$35="","",IF(INDEX('Final Calculation Sheet'!$G$4:$G$40,$AL$35)="","",INDEX('Final Calculation Sheet'!$G$4:$G$40,$AL$35)))</f>
        <v/>
      </c>
      <c r="D35" s="121">
        <f>IF($AL$35="","",IF(INDEX('Final Calculation Sheet'!$B$4:$B$40,$AL$35)="","",INDEX('Final Calculation Sheet'!$B$4:$B$40,$AL$35)))</f>
        <v/>
      </c>
      <c r="E35" s="121">
        <f>IF($AL$35="","",IF(INDEX('Final Calculation Sheet'!$D$4:$D$40,$AL$35)="","",INDEX('Final Calculation Sheet'!$D$4:$D$40,$AL$35)))</f>
        <v/>
      </c>
      <c r="F35" s="121">
        <f>IF($AL$35="","",IF(INDEX('Final Calculation Sheet'!$A$4:$A$40,$AL$35)="","",INDEX('Final Calculation Sheet'!$A$4:$A$40,$AL$35)))</f>
        <v/>
      </c>
      <c r="G35" s="121">
        <f>IF($AL$35="","",IF(INDEX('Final Calculation Sheet'!$E$4:$E$40,$AL$35)="","",INDEX('Final Calculation Sheet'!$E$4:$E$40,$AL$35)))</f>
        <v/>
      </c>
      <c r="H35" s="122">
        <f>IF($AL$35="","",IF(INDEX('Final Calculation Sheet'!$C$4:$C$40,$AL$35)="","",INDEX('Final Calculation Sheet'!$C$4:$C$40,$AL$35)))</f>
        <v/>
      </c>
      <c r="I35" s="122">
        <f>IF($AL$35="","",IF(INDEX('Final Calculation Sheet'!$H$4:$H$40,$AL$35)="","",INDEX('Final Calculation Sheet'!$H$4:$H$40,$AL$35)))</f>
        <v/>
      </c>
      <c r="J35" s="122">
        <f>IF($AL$35="","",IF(INDEX('Final Calculation Sheet'!$I$4:$I$40,$AL$35)="","",INDEX('Final Calculation Sheet'!$I$4:$I$40,$AL$35)))</f>
        <v/>
      </c>
      <c r="K35" s="122">
        <f>IF($AL$35="","",IF(INDEX('Final Calculation Sheet'!$J$4:$J$40,$AL$35)="","",INDEX('Final Calculation Sheet'!$J$4:$J$40,$AL$35)))</f>
        <v/>
      </c>
      <c r="L35" s="122">
        <f>IF($AL$35="","",IF(INDEX('Final Calculation Sheet'!$K$4:$K$40,$AL$35)="","",INDEX('Final Calculation Sheet'!$K$4:$K$40,$AL$35)))</f>
        <v/>
      </c>
      <c r="M35" s="122">
        <f>IF($AL$35="","",IF(INDEX('Final Calculation Sheet'!$L$4:$L$40,$AL$35)="","",INDEX('Final Calculation Sheet'!$L$4:$L$40,$AL$35)))</f>
        <v/>
      </c>
      <c r="N35" s="122">
        <f>IF($AL$35="","",IF(INDEX('Final Calculation Sheet'!$M$4:$M$40,$AL$35)="","",INDEX('Final Calculation Sheet'!$M$4:$M$40,$AL$35)))</f>
        <v/>
      </c>
      <c r="O35" s="123">
        <f>IF($AL$35="","",IF(INDEX('Final Calculation Sheet'!$N$4:$N$40,$AL$35)="","",INDEX('Final Calculation Sheet'!$N$4:$N$40,$AL$35)))</f>
        <v/>
      </c>
      <c r="P35" s="122">
        <f>IF($AL$35="","",IF(INDEX('Final Calculation Sheet'!$O$4:$O$40,$AL$35)="","",INDEX('Final Calculation Sheet'!$O$4:$O$40,$AL$35)))</f>
        <v/>
      </c>
      <c r="Q35" s="122">
        <f>IF($AL$35="","",IF(INDEX('Final Calculation Sheet'!$P$4:$P$40,$AL$35)="","",INDEX('Final Calculation Sheet'!$P$4:$P$40,$AL$35)))</f>
        <v/>
      </c>
      <c r="R35" s="124">
        <f>IF($AL$35="","",IF(INDEX('Final Calculation Sheet'!$Q$4:$Q$40,$AL$35)="","",INDEX('Final Calculation Sheet'!$Q$4:$Q$40,$AL$35)))</f>
        <v/>
      </c>
      <c r="S35" s="122">
        <f>IF($AL$35="","",IF(INDEX('Final Calculation Sheet'!$R$4:$R$40,$AL$35)="","",INDEX('Final Calculation Sheet'!$R$4:$R$40,$AL$35)))</f>
        <v/>
      </c>
      <c r="T35" s="122">
        <f>IF($AL$35="","",IF(INDEX('Final Calculation Sheet'!$S$4:$S$40,$AL$35)="","",INDEX('Final Calculation Sheet'!$S$4:$S$40,$AL$35)))</f>
        <v/>
      </c>
      <c r="U35" s="122">
        <f>IF($AL$35="","",IF(INDEX('Final Calculation Sheet'!$T$4:$T$40,$AL$35)="","",INDEX('Final Calculation Sheet'!$T$4:$T$40,$AL$35)))</f>
        <v/>
      </c>
      <c r="V35" s="125">
        <f>IF($AL$35="","",IF(INDEX('Final Calculation Sheet'!$U$4:$U$40,$AL$35)="","",INDEX('Final Calculation Sheet'!$U$4:$U$40,$AL$35)))</f>
        <v/>
      </c>
      <c r="W35" s="122">
        <f>IF($AL$35="","",IF(INDEX('Final Calculation Sheet'!$V$4:$V$40,$AL$35)="","",INDEX('Final Calculation Sheet'!$V$4:$V$40,$AL$35)))</f>
        <v/>
      </c>
      <c r="X35" s="122">
        <f>IF($AL$35="","",IF(INDEX('Final Calculation Sheet'!$W$4:$W$40,$AL$35)="","",INDEX('Final Calculation Sheet'!$W$4:$W$40,$AL$35)))</f>
        <v/>
      </c>
      <c r="Y35" s="122">
        <f>IF($AL$35="","",IF(INDEX('Final Calculation Sheet'!$X$4:$X$40,$AL$35)="","",INDEX('Final Calculation Sheet'!$X$4:$X$40,$AL$35)))</f>
        <v/>
      </c>
      <c r="Z35" s="122">
        <f>IF($AL$35="","",IF(INDEX('Final Calculation Sheet'!$Y$4:$Y$40,$AL$35)="","",INDEX('Final Calculation Sheet'!$Y$4:$Y$40,$AL$35)))</f>
        <v/>
      </c>
      <c r="AA35" s="122">
        <f>IF($AL$35="","",IF(INDEX('Final Calculation Sheet'!$Z$4:$Z$40,$AL$35)="","",INDEX('Final Calculation Sheet'!$Z$4:$Z$40,$AL$35)))</f>
        <v/>
      </c>
      <c r="AB35" s="122">
        <f>IF($AL$35="","",IF(INDEX('Final Calculation Sheet'!$AA$4:$AA$40,$AL$35)="","",INDEX('Final Calculation Sheet'!$AA$4:$AA$40,$AL$35)))</f>
        <v/>
      </c>
      <c r="AC35" s="122">
        <f>IF($AL$35="","",IF(INDEX('Final Calculation Sheet'!$AB$4:$AB$40,$AL$35)="","",INDEX('Final Calculation Sheet'!$AB$4:$AB$40,$AL$35)))</f>
        <v/>
      </c>
      <c r="AD35" s="122">
        <f>IF($AL$35="","",IF(INDEX('Final Calculation Sheet'!$AC$4:$AC$40,$AL$35)="","",INDEX('Final Calculation Sheet'!$AC$4:$AC$40,$AL$35)))</f>
        <v/>
      </c>
      <c r="AE35" s="122">
        <f>IF($AL$35="","",IF(INDEX('Final Calculation Sheet'!$AD$4:$AD$40,$AL$35)="","",INDEX('Final Calculation Sheet'!$AD$4:$AD$40,$AL$35)))</f>
        <v/>
      </c>
      <c r="AF35" s="127">
        <f>IF($AL$35="","",IF(INDEX('Final Calculation Sheet'!$AD$4:$AD$40,$AL$35)&lt;=5,"SETTLED","OUTSTANDING"))</f>
        <v/>
      </c>
      <c r="AG35" s="122">
        <f>IF($AL$35="","",IF(INDEX('Final Calculation Sheet'!$AF$4:$AF$40,$AL$35)="","",INDEX('Final Calculation Sheet'!$AF$4:$AF$40,$AL$35)))</f>
        <v/>
      </c>
      <c r="AH35" s="126">
        <f>IF($AL$35="","",IF(INDEX('Final Calculation Sheet'!$AG$4:$AG$40,$AL$35)="","",INDEX('Final Calculation Sheet'!$AG$4:$AG$40,$AL$35)))</f>
        <v/>
      </c>
      <c r="AI35" s="122">
        <f>IF($AL$35="","",IF(INDEX('Final Calculation Sheet'!$AH$4:$AH$40,$AL$35)="","",INDEX('Final Calculation Sheet'!$AH$4:$AH$40,$AL$35)))</f>
        <v/>
      </c>
      <c r="AJ35">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35">
        <f>IF(AJ35=1,COUNTIF(AJ$6:AJ35,1),"")</f>
        <v/>
      </c>
      <c r="AL35">
        <f>IF(COUNTIF($B$4:$AI$4,"&lt;&gt;")=0,"",IFERROR(MATCH(29,$AK$6:$AK$42,0),""))</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G35">
        <f>IF($B$4="",1,IF($B$4="(blank)",--('Final Calculation Sheet'!$F$33=""),IF($B$4="(nonblank)",--('Final Calculation Sheet'!$F$33&lt;&gt;""),--ISNUMBER(SEARCH($B$4,'Final Calculation Sheet'!$F$33)))))</f>
        <v/>
      </c>
      <c r="DH35">
        <f>IF($C$4="",1,IF($C$4="(blank)",--('Final Calculation Sheet'!$G$33=""),IF($C$4="(nonblank)",--('Final Calculation Sheet'!$G$33&lt;&gt;""),--ISNUMBER(SEARCH($C$4,'Final Calculation Sheet'!$G$33)))))</f>
        <v/>
      </c>
      <c r="DI35">
        <f>IF($D$4="",1,IF($D$4="(blank)",--('Final Calculation Sheet'!$B$33=""),IF($D$4="(nonblank)",--('Final Calculation Sheet'!$B$33&lt;&gt;""),--ISNUMBER(SEARCH($D$4,'Final Calculation Sheet'!$B$33)))))</f>
        <v/>
      </c>
      <c r="DJ35">
        <f>IF($E$4="",1,IF($E$4="(blank)",--('Final Calculation Sheet'!$D$33=""),IF($E$4="(nonblank)",--('Final Calculation Sheet'!$D$33&lt;&gt;""),--ISNUMBER(SEARCH($E$4,'Final Calculation Sheet'!$D$33)))))</f>
        <v/>
      </c>
      <c r="DK35">
        <f>IF($F$4="",1,IF($F$4="(blank)",--('Final Calculation Sheet'!$A$33=""),IF($F$4="(nonblank)",--('Final Calculation Sheet'!$A$33&lt;&gt;""),--ISNUMBER(SEARCH($F$4,'Final Calculation Sheet'!$A$33)))))</f>
        <v/>
      </c>
      <c r="DL35">
        <f>IF($G$4="",1,IF($G$4="(blank)",--('Final Calculation Sheet'!$E$33=""),IF($G$4="(nonblank)",--('Final Calculation Sheet'!$E$33&lt;&gt;""),--ISNUMBER(SEARCH($G$4,'Final Calculation Sheet'!$E$33)))))</f>
        <v/>
      </c>
      <c r="DM35">
        <f>IF($H$4="",1,IF($H$4="(blank)",--('Final Calculation Sheet'!$C$33=""),IF($H$4="(nonblank)",--('Final Calculation Sheet'!$C$33&lt;&gt;""),--ISNUMBER(SEARCH($H$4,'Final Calculation Sheet'!$C$33)))))</f>
        <v/>
      </c>
      <c r="DN35">
        <f>IF($I$4="",1,IF($I$4="(blank)",--('Final Calculation Sheet'!$H$33=""),IF($I$4="(nonblank)",--('Final Calculation Sheet'!$H$33&lt;&gt;""),--ISNUMBER(SEARCH($I$4,'Final Calculation Sheet'!$H$33)))))</f>
        <v/>
      </c>
      <c r="DO35">
        <f>IF($J$4="",1,IF($J$4="(blank)",--('Final Calculation Sheet'!$I$33=""),IF($J$4="(nonblank)",--('Final Calculation Sheet'!$I$33&lt;&gt;""),--ISNUMBER(SEARCH($J$4,'Final Calculation Sheet'!$I$33)))))</f>
        <v/>
      </c>
      <c r="DP35">
        <f>IF($K$4="",1,IF($K$4="(blank)",--('Final Calculation Sheet'!$J$33=""),IF($K$4="(nonblank)",--('Final Calculation Sheet'!$J$33&lt;&gt;""),--ISNUMBER(SEARCH($K$4,'Final Calculation Sheet'!$J$33)))))</f>
        <v/>
      </c>
      <c r="DQ35">
        <f>IF($L$4="",1,IF($L$4="(blank)",--('Final Calculation Sheet'!$K$33=""),IF($L$4="(nonblank)",--('Final Calculation Sheet'!$K$33&lt;&gt;""),--ISNUMBER(SEARCH($L$4,'Final Calculation Sheet'!$K$33)))))</f>
        <v/>
      </c>
      <c r="DR35">
        <f>IF($M$4="",1,IF($M$4="(blank)",--('Final Calculation Sheet'!$L$33=""),IF($M$4="(nonblank)",--('Final Calculation Sheet'!$L$33&lt;&gt;""),--ISNUMBER(SEARCH($M$4,'Final Calculation Sheet'!$L$33)))))</f>
        <v/>
      </c>
      <c r="DS35">
        <f>IF($N$4="",1,IF($N$4="(blank)",--('Final Calculation Sheet'!$M$33=""),IF($N$4="(nonblank)",--('Final Calculation Sheet'!$M$33&lt;&gt;""),--ISNUMBER(SEARCH($N$4,'Final Calculation Sheet'!$M$33)))))</f>
        <v/>
      </c>
      <c r="DT35">
        <f>IF($O$4="",1,IF($O$4="(blank)",--('Final Calculation Sheet'!$N$33=""),IF($O$4="(nonblank)",--('Final Calculation Sheet'!$N$33&lt;&gt;""),--ISNUMBER(SEARCH($O$4,'Final Calculation Sheet'!$N$33)))))</f>
        <v/>
      </c>
      <c r="DU35">
        <f>IF($P$4="",1,IF($P$4="(blank)",--('Final Calculation Sheet'!$O$33=""),IF($P$4="(nonblank)",--('Final Calculation Sheet'!$O$33&lt;&gt;""),--ISNUMBER(SEARCH($P$4,'Final Calculation Sheet'!$O$33)))))</f>
        <v/>
      </c>
      <c r="DV35">
        <f>IF($Q$4="",1,IF($Q$4="(blank)",--('Final Calculation Sheet'!$P$33=""),IF($Q$4="(nonblank)",--('Final Calculation Sheet'!$P$33&lt;&gt;""),--ISNUMBER(SEARCH($Q$4,'Final Calculation Sheet'!$P$33)))))</f>
        <v/>
      </c>
      <c r="DW35">
        <f>IF($R$4="",1,IF($R$4="(blank)",--('Final Calculation Sheet'!$Q$33=""),IF($R$4="(nonblank)",--('Final Calculation Sheet'!$Q$33&lt;&gt;""),--ISNUMBER(SEARCH($R$4,'Final Calculation Sheet'!$Q$33)))))</f>
        <v/>
      </c>
      <c r="DX35">
        <f>IF($S$4="",1,IF($S$4="(blank)",--('Final Calculation Sheet'!$R$33=""),IF($S$4="(nonblank)",--('Final Calculation Sheet'!$R$33&lt;&gt;""),--ISNUMBER(SEARCH($S$4,'Final Calculation Sheet'!$R$33)))))</f>
        <v/>
      </c>
      <c r="DY35">
        <f>IF($T$4="",1,IF($T$4="(blank)",--('Final Calculation Sheet'!$S$33=""),IF($T$4="(nonblank)",--('Final Calculation Sheet'!$S$33&lt;&gt;""),--ISNUMBER(SEARCH($T$4,'Final Calculation Sheet'!$S$33)))))</f>
        <v/>
      </c>
      <c r="DZ35">
        <f>IF($U$4="",1,IF($U$4="(blank)",--('Final Calculation Sheet'!$T$33=""),IF($U$4="(nonblank)",--('Final Calculation Sheet'!$T$33&lt;&gt;""),--ISNUMBER(SEARCH($U$4,'Final Calculation Sheet'!$T$33)))))</f>
        <v/>
      </c>
      <c r="EA35">
        <f>IF($V$4="",1,IF($V$4="(blank)",--('Final Calculation Sheet'!$U$33=""),IF($V$4="(nonblank)",--('Final Calculation Sheet'!$U$33&lt;&gt;""),--ISNUMBER(SEARCH($V$4,'Final Calculation Sheet'!$U$33)))))</f>
        <v/>
      </c>
      <c r="EB35">
        <f>IF($W$4="",1,IF($W$4="(blank)",--('Final Calculation Sheet'!$V$33=""),IF($W$4="(nonblank)",--('Final Calculation Sheet'!$V$33&lt;&gt;""),--ISNUMBER(SEARCH($W$4,'Final Calculation Sheet'!$V$33)))))</f>
        <v/>
      </c>
      <c r="EC35">
        <f>IF($X$4="",1,IF($X$4="(blank)",--('Final Calculation Sheet'!$W$33=""),IF($X$4="(nonblank)",--('Final Calculation Sheet'!$W$33&lt;&gt;""),--ISNUMBER(SEARCH($X$4,'Final Calculation Sheet'!$W$33)))))</f>
        <v/>
      </c>
      <c r="ED35">
        <f>IF($Y$4="",1,IF($Y$4="(blank)",--('Final Calculation Sheet'!$X$33=""),IF($Y$4="(nonblank)",--('Final Calculation Sheet'!$X$33&lt;&gt;""),--ISNUMBER(SEARCH($Y$4,'Final Calculation Sheet'!$X$33)))))</f>
        <v/>
      </c>
      <c r="EE35">
        <f>IF($Z$4="",1,IF($Z$4="(blank)",--('Final Calculation Sheet'!$Y$33=""),IF($Z$4="(nonblank)",--('Final Calculation Sheet'!$Y$33&lt;&gt;""),--ISNUMBER(SEARCH($Z$4,'Final Calculation Sheet'!$Y$33)))))</f>
        <v/>
      </c>
      <c r="EF35">
        <f>IF($AA$4="",1,IF($AA$4="(blank)",--('Final Calculation Sheet'!$Z$33=""),IF($AA$4="(nonblank)",--('Final Calculation Sheet'!$Z$33&lt;&gt;""),--ISNUMBER(SEARCH($AA$4,'Final Calculation Sheet'!$Z$33)))))</f>
        <v/>
      </c>
      <c r="EG35">
        <f>IF($AB$4="",1,IF($AB$4="(blank)",--('Final Calculation Sheet'!$AA$33=""),IF($AB$4="(nonblank)",--('Final Calculation Sheet'!$AA$33&lt;&gt;""),--ISNUMBER(SEARCH($AB$4,'Final Calculation Sheet'!$AA$33)))))</f>
        <v/>
      </c>
      <c r="EH35">
        <f>IF($AC$4="",1,IF($AC$4="(blank)",--('Final Calculation Sheet'!$AB$33=""),IF($AC$4="(nonblank)",--('Final Calculation Sheet'!$AB$33&lt;&gt;""),--ISNUMBER(SEARCH($AC$4,'Final Calculation Sheet'!$AB$33)))))</f>
        <v/>
      </c>
      <c r="EI35">
        <f>IF($AD$4="",1,IF($AD$4="(blank)",--('Final Calculation Sheet'!$AC$33=""),IF($AD$4="(nonblank)",--('Final Calculation Sheet'!$AC$33&lt;&gt;""),--ISNUMBER(SEARCH($AD$4,'Final Calculation Sheet'!$AC$33)))))</f>
        <v/>
      </c>
      <c r="EJ35">
        <f>IF($AE$4="",1,IF($AE$4="(blank)",--('Final Calculation Sheet'!$AD$33=""),IF($AE$4="(nonblank)",--('Final Calculation Sheet'!$AD$33&lt;&gt;""),--ISNUMBER(SEARCH($AE$4,'Final Calculation Sheet'!$AD$33)))))</f>
        <v/>
      </c>
      <c r="EK35">
        <f>IF($AF$4="",1,IF($AF$4="(blank)",--(IF('Final Calculation Sheet'!$AD$33&lt;=5,"SETTLED","OUTSTANDING")=""),IF($AF$4="(nonblank)",--(IF('Final Calculation Sheet'!$AD$33&lt;=5,"SETTLED","OUTSTANDING")&lt;&gt;""),--ISNUMBER(SEARCH($AF$4,IF('Final Calculation Sheet'!$AD$33&lt;=5,"SETTLED","OUTSTANDING"))))))</f>
        <v/>
      </c>
      <c r="EL35">
        <f>IF($AG$4="",1,IF($AG$4="(blank)",--('Final Calculation Sheet'!$AF$33=""),IF($AG$4="(nonblank)",--('Final Calculation Sheet'!$AF$33&lt;&gt;""),--ISNUMBER(SEARCH($AG$4,'Final Calculation Sheet'!$AF$33)))))</f>
        <v/>
      </c>
      <c r="EM35">
        <f>IF($AH$4="",1,IF($AH$4="(blank)",--('Final Calculation Sheet'!$AG$33=""),IF($AH$4="(nonblank)",--('Final Calculation Sheet'!$AG$33&lt;&gt;""),--ISNUMBER(SEARCH($AH$4,'Final Calculation Sheet'!$AG$33)))))</f>
        <v/>
      </c>
      <c r="EN35">
        <f>IF($AI$4="",1,IF($AI$4="(blank)",--('Final Calculation Sheet'!$AH$33=""),IF($AI$4="(nonblank)",--('Final Calculation Sheet'!$AH$33&lt;&gt;""),--ISNUMBER(SEARCH($AI$4,'Final Calculation Sheet'!$AH$33)))))</f>
        <v/>
      </c>
    </row>
    <row r="36" outlineLevel="1" hidden="1">
      <c r="A36" s="128">
        <f>IF($AL$36="","",30)</f>
        <v/>
      </c>
      <c r="B36" s="129">
        <f>IF($AL$36="","",IF(INDEX('Final Calculation Sheet'!$F$4:$F$40,$AL$36)="","",INDEX('Final Calculation Sheet'!$F$4:$F$40,$AL$36)))</f>
        <v/>
      </c>
      <c r="C36" s="129">
        <f>IF($AL$36="","",IF(INDEX('Final Calculation Sheet'!$G$4:$G$40,$AL$36)="","",INDEX('Final Calculation Sheet'!$G$4:$G$40,$AL$36)))</f>
        <v/>
      </c>
      <c r="D36" s="130">
        <f>IF($AL$36="","",IF(INDEX('Final Calculation Sheet'!$B$4:$B$40,$AL$36)="","",INDEX('Final Calculation Sheet'!$B$4:$B$40,$AL$36)))</f>
        <v/>
      </c>
      <c r="E36" s="130">
        <f>IF($AL$36="","",IF(INDEX('Final Calculation Sheet'!$D$4:$D$40,$AL$36)="","",INDEX('Final Calculation Sheet'!$D$4:$D$40,$AL$36)))</f>
        <v/>
      </c>
      <c r="F36" s="130">
        <f>IF($AL$36="","",IF(INDEX('Final Calculation Sheet'!$A$4:$A$40,$AL$36)="","",INDEX('Final Calculation Sheet'!$A$4:$A$40,$AL$36)))</f>
        <v/>
      </c>
      <c r="G36" s="130">
        <f>IF($AL$36="","",IF(INDEX('Final Calculation Sheet'!$E$4:$E$40,$AL$36)="","",INDEX('Final Calculation Sheet'!$E$4:$E$40,$AL$36)))</f>
        <v/>
      </c>
      <c r="H36" s="131">
        <f>IF($AL$36="","",IF(INDEX('Final Calculation Sheet'!$C$4:$C$40,$AL$36)="","",INDEX('Final Calculation Sheet'!$C$4:$C$40,$AL$36)))</f>
        <v/>
      </c>
      <c r="I36" s="131">
        <f>IF($AL$36="","",IF(INDEX('Final Calculation Sheet'!$H$4:$H$40,$AL$36)="","",INDEX('Final Calculation Sheet'!$H$4:$H$40,$AL$36)))</f>
        <v/>
      </c>
      <c r="J36" s="131">
        <f>IF($AL$36="","",IF(INDEX('Final Calculation Sheet'!$I$4:$I$40,$AL$36)="","",INDEX('Final Calculation Sheet'!$I$4:$I$40,$AL$36)))</f>
        <v/>
      </c>
      <c r="K36" s="131">
        <f>IF($AL$36="","",IF(INDEX('Final Calculation Sheet'!$J$4:$J$40,$AL$36)="","",INDEX('Final Calculation Sheet'!$J$4:$J$40,$AL$36)))</f>
        <v/>
      </c>
      <c r="L36" s="131">
        <f>IF($AL$36="","",IF(INDEX('Final Calculation Sheet'!$K$4:$K$40,$AL$36)="","",INDEX('Final Calculation Sheet'!$K$4:$K$40,$AL$36)))</f>
        <v/>
      </c>
      <c r="M36" s="131">
        <f>IF($AL$36="","",IF(INDEX('Final Calculation Sheet'!$L$4:$L$40,$AL$36)="","",INDEX('Final Calculation Sheet'!$L$4:$L$40,$AL$36)))</f>
        <v/>
      </c>
      <c r="N36" s="131">
        <f>IF($AL$36="","",IF(INDEX('Final Calculation Sheet'!$M$4:$M$40,$AL$36)="","",INDEX('Final Calculation Sheet'!$M$4:$M$40,$AL$36)))</f>
        <v/>
      </c>
      <c r="O36" s="132">
        <f>IF($AL$36="","",IF(INDEX('Final Calculation Sheet'!$N$4:$N$40,$AL$36)="","",INDEX('Final Calculation Sheet'!$N$4:$N$40,$AL$36)))</f>
        <v/>
      </c>
      <c r="P36" s="131">
        <f>IF($AL$36="","",IF(INDEX('Final Calculation Sheet'!$O$4:$O$40,$AL$36)="","",INDEX('Final Calculation Sheet'!$O$4:$O$40,$AL$36)))</f>
        <v/>
      </c>
      <c r="Q36" s="131">
        <f>IF($AL$36="","",IF(INDEX('Final Calculation Sheet'!$P$4:$P$40,$AL$36)="","",INDEX('Final Calculation Sheet'!$P$4:$P$40,$AL$36)))</f>
        <v/>
      </c>
      <c r="R36" s="133">
        <f>IF($AL$36="","",IF(INDEX('Final Calculation Sheet'!$Q$4:$Q$40,$AL$36)="","",INDEX('Final Calculation Sheet'!$Q$4:$Q$40,$AL$36)))</f>
        <v/>
      </c>
      <c r="S36" s="131">
        <f>IF($AL$36="","",IF(INDEX('Final Calculation Sheet'!$R$4:$R$40,$AL$36)="","",INDEX('Final Calculation Sheet'!$R$4:$R$40,$AL$36)))</f>
        <v/>
      </c>
      <c r="T36" s="131">
        <f>IF($AL$36="","",IF(INDEX('Final Calculation Sheet'!$S$4:$S$40,$AL$36)="","",INDEX('Final Calculation Sheet'!$S$4:$S$40,$AL$36)))</f>
        <v/>
      </c>
      <c r="U36" s="131">
        <f>IF($AL$36="","",IF(INDEX('Final Calculation Sheet'!$T$4:$T$40,$AL$36)="","",INDEX('Final Calculation Sheet'!$T$4:$T$40,$AL$36)))</f>
        <v/>
      </c>
      <c r="V36" s="134">
        <f>IF($AL$36="","",IF(INDEX('Final Calculation Sheet'!$U$4:$U$40,$AL$36)="","",INDEX('Final Calculation Sheet'!$U$4:$U$40,$AL$36)))</f>
        <v/>
      </c>
      <c r="W36" s="131">
        <f>IF($AL$36="","",IF(INDEX('Final Calculation Sheet'!$V$4:$V$40,$AL$36)="","",INDEX('Final Calculation Sheet'!$V$4:$V$40,$AL$36)))</f>
        <v/>
      </c>
      <c r="X36" s="131">
        <f>IF($AL$36="","",IF(INDEX('Final Calculation Sheet'!$W$4:$W$40,$AL$36)="","",INDEX('Final Calculation Sheet'!$W$4:$W$40,$AL$36)))</f>
        <v/>
      </c>
      <c r="Y36" s="131">
        <f>IF($AL$36="","",IF(INDEX('Final Calculation Sheet'!$X$4:$X$40,$AL$36)="","",INDEX('Final Calculation Sheet'!$X$4:$X$40,$AL$36)))</f>
        <v/>
      </c>
      <c r="Z36" s="131">
        <f>IF($AL$36="","",IF(INDEX('Final Calculation Sheet'!$Y$4:$Y$40,$AL$36)="","",INDEX('Final Calculation Sheet'!$Y$4:$Y$40,$AL$36)))</f>
        <v/>
      </c>
      <c r="AA36" s="131">
        <f>IF($AL$36="","",IF(INDEX('Final Calculation Sheet'!$Z$4:$Z$40,$AL$36)="","",INDEX('Final Calculation Sheet'!$Z$4:$Z$40,$AL$36)))</f>
        <v/>
      </c>
      <c r="AB36" s="131">
        <f>IF($AL$36="","",IF(INDEX('Final Calculation Sheet'!$AA$4:$AA$40,$AL$36)="","",INDEX('Final Calculation Sheet'!$AA$4:$AA$40,$AL$36)))</f>
        <v/>
      </c>
      <c r="AC36" s="131">
        <f>IF($AL$36="","",IF(INDEX('Final Calculation Sheet'!$AB$4:$AB$40,$AL$36)="","",INDEX('Final Calculation Sheet'!$AB$4:$AB$40,$AL$36)))</f>
        <v/>
      </c>
      <c r="AD36" s="131">
        <f>IF($AL$36="","",IF(INDEX('Final Calculation Sheet'!$AC$4:$AC$40,$AL$36)="","",INDEX('Final Calculation Sheet'!$AC$4:$AC$40,$AL$36)))</f>
        <v/>
      </c>
      <c r="AE36" s="131">
        <f>IF($AL$36="","",IF(INDEX('Final Calculation Sheet'!$AD$4:$AD$40,$AL$36)="","",INDEX('Final Calculation Sheet'!$AD$4:$AD$40,$AL$36)))</f>
        <v/>
      </c>
      <c r="AF36" s="136">
        <f>IF($AL$36="","",IF(INDEX('Final Calculation Sheet'!$AD$4:$AD$40,$AL$36)&lt;=5,"SETTLED","OUTSTANDING"))</f>
        <v/>
      </c>
      <c r="AG36" s="131">
        <f>IF($AL$36="","",IF(INDEX('Final Calculation Sheet'!$AF$4:$AF$40,$AL$36)="","",INDEX('Final Calculation Sheet'!$AF$4:$AF$40,$AL$36)))</f>
        <v/>
      </c>
      <c r="AH36" s="135">
        <f>IF($AL$36="","",IF(INDEX('Final Calculation Sheet'!$AG$4:$AG$40,$AL$36)="","",INDEX('Final Calculation Sheet'!$AG$4:$AG$40,$AL$36)))</f>
        <v/>
      </c>
      <c r="AI36" s="131">
        <f>IF($AL$36="","",IF(INDEX('Final Calculation Sheet'!$AH$4:$AH$40,$AL$36)="","",INDEX('Final Calculation Sheet'!$AH$4:$AH$40,$AL$36)))</f>
        <v/>
      </c>
      <c r="AJ36">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36">
        <f>IF(AJ36=1,COUNTIF(AJ$6:AJ36,1),"")</f>
        <v/>
      </c>
      <c r="AL36">
        <f>IF(COUNTIF($B$4:$AI$4,"&lt;&gt;")=0,"",IFERROR(MATCH(30,$AK$6:$AK$42,0),""))</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G36">
        <f>IF($B$4="",1,IF($B$4="(blank)",--('Final Calculation Sheet'!$F$34=""),IF($B$4="(nonblank)",--('Final Calculation Sheet'!$F$34&lt;&gt;""),--ISNUMBER(SEARCH($B$4,'Final Calculation Sheet'!$F$34)))))</f>
        <v/>
      </c>
      <c r="DH36">
        <f>IF($C$4="",1,IF($C$4="(blank)",--('Final Calculation Sheet'!$G$34=""),IF($C$4="(nonblank)",--('Final Calculation Sheet'!$G$34&lt;&gt;""),--ISNUMBER(SEARCH($C$4,'Final Calculation Sheet'!$G$34)))))</f>
        <v/>
      </c>
      <c r="DI36">
        <f>IF($D$4="",1,IF($D$4="(blank)",--('Final Calculation Sheet'!$B$34=""),IF($D$4="(nonblank)",--('Final Calculation Sheet'!$B$34&lt;&gt;""),--ISNUMBER(SEARCH($D$4,'Final Calculation Sheet'!$B$34)))))</f>
        <v/>
      </c>
      <c r="DJ36">
        <f>IF($E$4="",1,IF($E$4="(blank)",--('Final Calculation Sheet'!$D$34=""),IF($E$4="(nonblank)",--('Final Calculation Sheet'!$D$34&lt;&gt;""),--ISNUMBER(SEARCH($E$4,'Final Calculation Sheet'!$D$34)))))</f>
        <v/>
      </c>
      <c r="DK36">
        <f>IF($F$4="",1,IF($F$4="(blank)",--('Final Calculation Sheet'!$A$34=""),IF($F$4="(nonblank)",--('Final Calculation Sheet'!$A$34&lt;&gt;""),--ISNUMBER(SEARCH($F$4,'Final Calculation Sheet'!$A$34)))))</f>
        <v/>
      </c>
      <c r="DL36">
        <f>IF($G$4="",1,IF($G$4="(blank)",--('Final Calculation Sheet'!$E$34=""),IF($G$4="(nonblank)",--('Final Calculation Sheet'!$E$34&lt;&gt;""),--ISNUMBER(SEARCH($G$4,'Final Calculation Sheet'!$E$34)))))</f>
        <v/>
      </c>
      <c r="DM36">
        <f>IF($H$4="",1,IF($H$4="(blank)",--('Final Calculation Sheet'!$C$34=""),IF($H$4="(nonblank)",--('Final Calculation Sheet'!$C$34&lt;&gt;""),--ISNUMBER(SEARCH($H$4,'Final Calculation Sheet'!$C$34)))))</f>
        <v/>
      </c>
      <c r="DN36">
        <f>IF($I$4="",1,IF($I$4="(blank)",--('Final Calculation Sheet'!$H$34=""),IF($I$4="(nonblank)",--('Final Calculation Sheet'!$H$34&lt;&gt;""),--ISNUMBER(SEARCH($I$4,'Final Calculation Sheet'!$H$34)))))</f>
        <v/>
      </c>
      <c r="DO36">
        <f>IF($J$4="",1,IF($J$4="(blank)",--('Final Calculation Sheet'!$I$34=""),IF($J$4="(nonblank)",--('Final Calculation Sheet'!$I$34&lt;&gt;""),--ISNUMBER(SEARCH($J$4,'Final Calculation Sheet'!$I$34)))))</f>
        <v/>
      </c>
      <c r="DP36">
        <f>IF($K$4="",1,IF($K$4="(blank)",--('Final Calculation Sheet'!$J$34=""),IF($K$4="(nonblank)",--('Final Calculation Sheet'!$J$34&lt;&gt;""),--ISNUMBER(SEARCH($K$4,'Final Calculation Sheet'!$J$34)))))</f>
        <v/>
      </c>
      <c r="DQ36">
        <f>IF($L$4="",1,IF($L$4="(blank)",--('Final Calculation Sheet'!$K$34=""),IF($L$4="(nonblank)",--('Final Calculation Sheet'!$K$34&lt;&gt;""),--ISNUMBER(SEARCH($L$4,'Final Calculation Sheet'!$K$34)))))</f>
        <v/>
      </c>
      <c r="DR36">
        <f>IF($M$4="",1,IF($M$4="(blank)",--('Final Calculation Sheet'!$L$34=""),IF($M$4="(nonblank)",--('Final Calculation Sheet'!$L$34&lt;&gt;""),--ISNUMBER(SEARCH($M$4,'Final Calculation Sheet'!$L$34)))))</f>
        <v/>
      </c>
      <c r="DS36">
        <f>IF($N$4="",1,IF($N$4="(blank)",--('Final Calculation Sheet'!$M$34=""),IF($N$4="(nonblank)",--('Final Calculation Sheet'!$M$34&lt;&gt;""),--ISNUMBER(SEARCH($N$4,'Final Calculation Sheet'!$M$34)))))</f>
        <v/>
      </c>
      <c r="DT36">
        <f>IF($O$4="",1,IF($O$4="(blank)",--('Final Calculation Sheet'!$N$34=""),IF($O$4="(nonblank)",--('Final Calculation Sheet'!$N$34&lt;&gt;""),--ISNUMBER(SEARCH($O$4,'Final Calculation Sheet'!$N$34)))))</f>
        <v/>
      </c>
      <c r="DU36">
        <f>IF($P$4="",1,IF($P$4="(blank)",--('Final Calculation Sheet'!$O$34=""),IF($P$4="(nonblank)",--('Final Calculation Sheet'!$O$34&lt;&gt;""),--ISNUMBER(SEARCH($P$4,'Final Calculation Sheet'!$O$34)))))</f>
        <v/>
      </c>
      <c r="DV36">
        <f>IF($Q$4="",1,IF($Q$4="(blank)",--('Final Calculation Sheet'!$P$34=""),IF($Q$4="(nonblank)",--('Final Calculation Sheet'!$P$34&lt;&gt;""),--ISNUMBER(SEARCH($Q$4,'Final Calculation Sheet'!$P$34)))))</f>
        <v/>
      </c>
      <c r="DW36">
        <f>IF($R$4="",1,IF($R$4="(blank)",--('Final Calculation Sheet'!$Q$34=""),IF($R$4="(nonblank)",--('Final Calculation Sheet'!$Q$34&lt;&gt;""),--ISNUMBER(SEARCH($R$4,'Final Calculation Sheet'!$Q$34)))))</f>
        <v/>
      </c>
      <c r="DX36">
        <f>IF($S$4="",1,IF($S$4="(blank)",--('Final Calculation Sheet'!$R$34=""),IF($S$4="(nonblank)",--('Final Calculation Sheet'!$R$34&lt;&gt;""),--ISNUMBER(SEARCH($S$4,'Final Calculation Sheet'!$R$34)))))</f>
        <v/>
      </c>
      <c r="DY36">
        <f>IF($T$4="",1,IF($T$4="(blank)",--('Final Calculation Sheet'!$S$34=""),IF($T$4="(nonblank)",--('Final Calculation Sheet'!$S$34&lt;&gt;""),--ISNUMBER(SEARCH($T$4,'Final Calculation Sheet'!$S$34)))))</f>
        <v/>
      </c>
      <c r="DZ36">
        <f>IF($U$4="",1,IF($U$4="(blank)",--('Final Calculation Sheet'!$T$34=""),IF($U$4="(nonblank)",--('Final Calculation Sheet'!$T$34&lt;&gt;""),--ISNUMBER(SEARCH($U$4,'Final Calculation Sheet'!$T$34)))))</f>
        <v/>
      </c>
      <c r="EA36">
        <f>IF($V$4="",1,IF($V$4="(blank)",--('Final Calculation Sheet'!$U$34=""),IF($V$4="(nonblank)",--('Final Calculation Sheet'!$U$34&lt;&gt;""),--ISNUMBER(SEARCH($V$4,'Final Calculation Sheet'!$U$34)))))</f>
        <v/>
      </c>
      <c r="EB36">
        <f>IF($W$4="",1,IF($W$4="(blank)",--('Final Calculation Sheet'!$V$34=""),IF($W$4="(nonblank)",--('Final Calculation Sheet'!$V$34&lt;&gt;""),--ISNUMBER(SEARCH($W$4,'Final Calculation Sheet'!$V$34)))))</f>
        <v/>
      </c>
      <c r="EC36">
        <f>IF($X$4="",1,IF($X$4="(blank)",--('Final Calculation Sheet'!$W$34=""),IF($X$4="(nonblank)",--('Final Calculation Sheet'!$W$34&lt;&gt;""),--ISNUMBER(SEARCH($X$4,'Final Calculation Sheet'!$W$34)))))</f>
        <v/>
      </c>
      <c r="ED36">
        <f>IF($Y$4="",1,IF($Y$4="(blank)",--('Final Calculation Sheet'!$X$34=""),IF($Y$4="(nonblank)",--('Final Calculation Sheet'!$X$34&lt;&gt;""),--ISNUMBER(SEARCH($Y$4,'Final Calculation Sheet'!$X$34)))))</f>
        <v/>
      </c>
      <c r="EE36">
        <f>IF($Z$4="",1,IF($Z$4="(blank)",--('Final Calculation Sheet'!$Y$34=""),IF($Z$4="(nonblank)",--('Final Calculation Sheet'!$Y$34&lt;&gt;""),--ISNUMBER(SEARCH($Z$4,'Final Calculation Sheet'!$Y$34)))))</f>
        <v/>
      </c>
      <c r="EF36">
        <f>IF($AA$4="",1,IF($AA$4="(blank)",--('Final Calculation Sheet'!$Z$34=""),IF($AA$4="(nonblank)",--('Final Calculation Sheet'!$Z$34&lt;&gt;""),--ISNUMBER(SEARCH($AA$4,'Final Calculation Sheet'!$Z$34)))))</f>
        <v/>
      </c>
      <c r="EG36">
        <f>IF($AB$4="",1,IF($AB$4="(blank)",--('Final Calculation Sheet'!$AA$34=""),IF($AB$4="(nonblank)",--('Final Calculation Sheet'!$AA$34&lt;&gt;""),--ISNUMBER(SEARCH($AB$4,'Final Calculation Sheet'!$AA$34)))))</f>
        <v/>
      </c>
      <c r="EH36">
        <f>IF($AC$4="",1,IF($AC$4="(blank)",--('Final Calculation Sheet'!$AB$34=""),IF($AC$4="(nonblank)",--('Final Calculation Sheet'!$AB$34&lt;&gt;""),--ISNUMBER(SEARCH($AC$4,'Final Calculation Sheet'!$AB$34)))))</f>
        <v/>
      </c>
      <c r="EI36">
        <f>IF($AD$4="",1,IF($AD$4="(blank)",--('Final Calculation Sheet'!$AC$34=""),IF($AD$4="(nonblank)",--('Final Calculation Sheet'!$AC$34&lt;&gt;""),--ISNUMBER(SEARCH($AD$4,'Final Calculation Sheet'!$AC$34)))))</f>
        <v/>
      </c>
      <c r="EJ36">
        <f>IF($AE$4="",1,IF($AE$4="(blank)",--('Final Calculation Sheet'!$AD$34=""),IF($AE$4="(nonblank)",--('Final Calculation Sheet'!$AD$34&lt;&gt;""),--ISNUMBER(SEARCH($AE$4,'Final Calculation Sheet'!$AD$34)))))</f>
        <v/>
      </c>
      <c r="EK36">
        <f>IF($AF$4="",1,IF($AF$4="(blank)",--(IF('Final Calculation Sheet'!$AD$34&lt;=5,"SETTLED","OUTSTANDING")=""),IF($AF$4="(nonblank)",--(IF('Final Calculation Sheet'!$AD$34&lt;=5,"SETTLED","OUTSTANDING")&lt;&gt;""),--ISNUMBER(SEARCH($AF$4,IF('Final Calculation Sheet'!$AD$34&lt;=5,"SETTLED","OUTSTANDING"))))))</f>
        <v/>
      </c>
      <c r="EL36">
        <f>IF($AG$4="",1,IF($AG$4="(blank)",--('Final Calculation Sheet'!$AF$34=""),IF($AG$4="(nonblank)",--('Final Calculation Sheet'!$AF$34&lt;&gt;""),--ISNUMBER(SEARCH($AG$4,'Final Calculation Sheet'!$AF$34)))))</f>
        <v/>
      </c>
      <c r="EM36">
        <f>IF($AH$4="",1,IF($AH$4="(blank)",--('Final Calculation Sheet'!$AG$34=""),IF($AH$4="(nonblank)",--('Final Calculation Sheet'!$AG$34&lt;&gt;""),--ISNUMBER(SEARCH($AH$4,'Final Calculation Sheet'!$AG$34)))))</f>
        <v/>
      </c>
      <c r="EN36">
        <f>IF($AI$4="",1,IF($AI$4="(blank)",--('Final Calculation Sheet'!$AH$34=""),IF($AI$4="(nonblank)",--('Final Calculation Sheet'!$AH$34&lt;&gt;""),--ISNUMBER(SEARCH($AI$4,'Final Calculation Sheet'!$AH$34)))))</f>
        <v/>
      </c>
    </row>
    <row r="37" outlineLevel="1" hidden="1">
      <c r="A37" s="118">
        <f>IF($AL$37="","",31)</f>
        <v/>
      </c>
      <c r="B37" s="119">
        <f>IF($AL$37="","",IF(INDEX('Final Calculation Sheet'!$F$4:$F$40,$AL$37)="","",INDEX('Final Calculation Sheet'!$F$4:$F$40,$AL$37)))</f>
        <v/>
      </c>
      <c r="C37" s="119">
        <f>IF($AL$37="","",IF(INDEX('Final Calculation Sheet'!$G$4:$G$40,$AL$37)="","",INDEX('Final Calculation Sheet'!$G$4:$G$40,$AL$37)))</f>
        <v/>
      </c>
      <c r="D37" s="121">
        <f>IF($AL$37="","",IF(INDEX('Final Calculation Sheet'!$B$4:$B$40,$AL$37)="","",INDEX('Final Calculation Sheet'!$B$4:$B$40,$AL$37)))</f>
        <v/>
      </c>
      <c r="E37" s="121">
        <f>IF($AL$37="","",IF(INDEX('Final Calculation Sheet'!$D$4:$D$40,$AL$37)="","",INDEX('Final Calculation Sheet'!$D$4:$D$40,$AL$37)))</f>
        <v/>
      </c>
      <c r="F37" s="121">
        <f>IF($AL$37="","",IF(INDEX('Final Calculation Sheet'!$A$4:$A$40,$AL$37)="","",INDEX('Final Calculation Sheet'!$A$4:$A$40,$AL$37)))</f>
        <v/>
      </c>
      <c r="G37" s="121">
        <f>IF($AL$37="","",IF(INDEX('Final Calculation Sheet'!$E$4:$E$40,$AL$37)="","",INDEX('Final Calculation Sheet'!$E$4:$E$40,$AL$37)))</f>
        <v/>
      </c>
      <c r="H37" s="122">
        <f>IF($AL$37="","",IF(INDEX('Final Calculation Sheet'!$C$4:$C$40,$AL$37)="","",INDEX('Final Calculation Sheet'!$C$4:$C$40,$AL$37)))</f>
        <v/>
      </c>
      <c r="I37" s="122">
        <f>IF($AL$37="","",IF(INDEX('Final Calculation Sheet'!$H$4:$H$40,$AL$37)="","",INDEX('Final Calculation Sheet'!$H$4:$H$40,$AL$37)))</f>
        <v/>
      </c>
      <c r="J37" s="122">
        <f>IF($AL$37="","",IF(INDEX('Final Calculation Sheet'!$I$4:$I$40,$AL$37)="","",INDEX('Final Calculation Sheet'!$I$4:$I$40,$AL$37)))</f>
        <v/>
      </c>
      <c r="K37" s="122">
        <f>IF($AL$37="","",IF(INDEX('Final Calculation Sheet'!$J$4:$J$40,$AL$37)="","",INDEX('Final Calculation Sheet'!$J$4:$J$40,$AL$37)))</f>
        <v/>
      </c>
      <c r="L37" s="122">
        <f>IF($AL$37="","",IF(INDEX('Final Calculation Sheet'!$K$4:$K$40,$AL$37)="","",INDEX('Final Calculation Sheet'!$K$4:$K$40,$AL$37)))</f>
        <v/>
      </c>
      <c r="M37" s="122">
        <f>IF($AL$37="","",IF(INDEX('Final Calculation Sheet'!$L$4:$L$40,$AL$37)="","",INDEX('Final Calculation Sheet'!$L$4:$L$40,$AL$37)))</f>
        <v/>
      </c>
      <c r="N37" s="122">
        <f>IF($AL$37="","",IF(INDEX('Final Calculation Sheet'!$M$4:$M$40,$AL$37)="","",INDEX('Final Calculation Sheet'!$M$4:$M$40,$AL$37)))</f>
        <v/>
      </c>
      <c r="O37" s="123">
        <f>IF($AL$37="","",IF(INDEX('Final Calculation Sheet'!$N$4:$N$40,$AL$37)="","",INDEX('Final Calculation Sheet'!$N$4:$N$40,$AL$37)))</f>
        <v/>
      </c>
      <c r="P37" s="122">
        <f>IF($AL$37="","",IF(INDEX('Final Calculation Sheet'!$O$4:$O$40,$AL$37)="","",INDEX('Final Calculation Sheet'!$O$4:$O$40,$AL$37)))</f>
        <v/>
      </c>
      <c r="Q37" s="122">
        <f>IF($AL$37="","",IF(INDEX('Final Calculation Sheet'!$P$4:$P$40,$AL$37)="","",INDEX('Final Calculation Sheet'!$P$4:$P$40,$AL$37)))</f>
        <v/>
      </c>
      <c r="R37" s="124">
        <f>IF($AL$37="","",IF(INDEX('Final Calculation Sheet'!$Q$4:$Q$40,$AL$37)="","",INDEX('Final Calculation Sheet'!$Q$4:$Q$40,$AL$37)))</f>
        <v/>
      </c>
      <c r="S37" s="122">
        <f>IF($AL$37="","",IF(INDEX('Final Calculation Sheet'!$R$4:$R$40,$AL$37)="","",INDEX('Final Calculation Sheet'!$R$4:$R$40,$AL$37)))</f>
        <v/>
      </c>
      <c r="T37" s="122">
        <f>IF($AL$37="","",IF(INDEX('Final Calculation Sheet'!$S$4:$S$40,$AL$37)="","",INDEX('Final Calculation Sheet'!$S$4:$S$40,$AL$37)))</f>
        <v/>
      </c>
      <c r="U37" s="122">
        <f>IF($AL$37="","",IF(INDEX('Final Calculation Sheet'!$T$4:$T$40,$AL$37)="","",INDEX('Final Calculation Sheet'!$T$4:$T$40,$AL$37)))</f>
        <v/>
      </c>
      <c r="V37" s="125">
        <f>IF($AL$37="","",IF(INDEX('Final Calculation Sheet'!$U$4:$U$40,$AL$37)="","",INDEX('Final Calculation Sheet'!$U$4:$U$40,$AL$37)))</f>
        <v/>
      </c>
      <c r="W37" s="122">
        <f>IF($AL$37="","",IF(INDEX('Final Calculation Sheet'!$V$4:$V$40,$AL$37)="","",INDEX('Final Calculation Sheet'!$V$4:$V$40,$AL$37)))</f>
        <v/>
      </c>
      <c r="X37" s="122">
        <f>IF($AL$37="","",IF(INDEX('Final Calculation Sheet'!$W$4:$W$40,$AL$37)="","",INDEX('Final Calculation Sheet'!$W$4:$W$40,$AL$37)))</f>
        <v/>
      </c>
      <c r="Y37" s="122">
        <f>IF($AL$37="","",IF(INDEX('Final Calculation Sheet'!$X$4:$X$40,$AL$37)="","",INDEX('Final Calculation Sheet'!$X$4:$X$40,$AL$37)))</f>
        <v/>
      </c>
      <c r="Z37" s="122">
        <f>IF($AL$37="","",IF(INDEX('Final Calculation Sheet'!$Y$4:$Y$40,$AL$37)="","",INDEX('Final Calculation Sheet'!$Y$4:$Y$40,$AL$37)))</f>
        <v/>
      </c>
      <c r="AA37" s="122">
        <f>IF($AL$37="","",IF(INDEX('Final Calculation Sheet'!$Z$4:$Z$40,$AL$37)="","",INDEX('Final Calculation Sheet'!$Z$4:$Z$40,$AL$37)))</f>
        <v/>
      </c>
      <c r="AB37" s="122">
        <f>IF($AL$37="","",IF(INDEX('Final Calculation Sheet'!$AA$4:$AA$40,$AL$37)="","",INDEX('Final Calculation Sheet'!$AA$4:$AA$40,$AL$37)))</f>
        <v/>
      </c>
      <c r="AC37" s="122">
        <f>IF($AL$37="","",IF(INDEX('Final Calculation Sheet'!$AB$4:$AB$40,$AL$37)="","",INDEX('Final Calculation Sheet'!$AB$4:$AB$40,$AL$37)))</f>
        <v/>
      </c>
      <c r="AD37" s="122">
        <f>IF($AL$37="","",IF(INDEX('Final Calculation Sheet'!$AC$4:$AC$40,$AL$37)="","",INDEX('Final Calculation Sheet'!$AC$4:$AC$40,$AL$37)))</f>
        <v/>
      </c>
      <c r="AE37" s="122">
        <f>IF($AL$37="","",IF(INDEX('Final Calculation Sheet'!$AD$4:$AD$40,$AL$37)="","",INDEX('Final Calculation Sheet'!$AD$4:$AD$40,$AL$37)))</f>
        <v/>
      </c>
      <c r="AF37" s="127">
        <f>IF($AL$37="","",IF(INDEX('Final Calculation Sheet'!$AD$4:$AD$40,$AL$37)&lt;=5,"SETTLED","OUTSTANDING"))</f>
        <v/>
      </c>
      <c r="AG37" s="122">
        <f>IF($AL$37="","",IF(INDEX('Final Calculation Sheet'!$AF$4:$AF$40,$AL$37)="","",INDEX('Final Calculation Sheet'!$AF$4:$AF$40,$AL$37)))</f>
        <v/>
      </c>
      <c r="AH37" s="126">
        <f>IF($AL$37="","",IF(INDEX('Final Calculation Sheet'!$AG$4:$AG$40,$AL$37)="","",INDEX('Final Calculation Sheet'!$AG$4:$AG$40,$AL$37)))</f>
        <v/>
      </c>
      <c r="AI37" s="122">
        <f>IF($AL$37="","",IF(INDEX('Final Calculation Sheet'!$AH$4:$AH$40,$AL$37)="","",INDEX('Final Calculation Sheet'!$AH$4:$AH$40,$AL$37)))</f>
        <v/>
      </c>
      <c r="AJ37">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37">
        <f>IF(AJ37=1,COUNTIF(AJ$6:AJ37,1),"")</f>
        <v/>
      </c>
      <c r="AL37">
        <f>IF(COUNTIF($B$4:$AI$4,"&lt;&gt;")=0,"",IFERROR(MATCH(31,$AK$6:$AK$42,0),""))</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G37">
        <f>IF($B$4="",1,IF($B$4="(blank)",--('Final Calculation Sheet'!$F$35=""),IF($B$4="(nonblank)",--('Final Calculation Sheet'!$F$35&lt;&gt;""),--ISNUMBER(SEARCH($B$4,'Final Calculation Sheet'!$F$35)))))</f>
        <v/>
      </c>
      <c r="DH37">
        <f>IF($C$4="",1,IF($C$4="(blank)",--('Final Calculation Sheet'!$G$35=""),IF($C$4="(nonblank)",--('Final Calculation Sheet'!$G$35&lt;&gt;""),--ISNUMBER(SEARCH($C$4,'Final Calculation Sheet'!$G$35)))))</f>
        <v/>
      </c>
      <c r="DI37">
        <f>IF($D$4="",1,IF($D$4="(blank)",--('Final Calculation Sheet'!$B$35=""),IF($D$4="(nonblank)",--('Final Calculation Sheet'!$B$35&lt;&gt;""),--ISNUMBER(SEARCH($D$4,'Final Calculation Sheet'!$B$35)))))</f>
        <v/>
      </c>
      <c r="DJ37">
        <f>IF($E$4="",1,IF($E$4="(blank)",--('Final Calculation Sheet'!$D$35=""),IF($E$4="(nonblank)",--('Final Calculation Sheet'!$D$35&lt;&gt;""),--ISNUMBER(SEARCH($E$4,'Final Calculation Sheet'!$D$35)))))</f>
        <v/>
      </c>
      <c r="DK37">
        <f>IF($F$4="",1,IF($F$4="(blank)",--('Final Calculation Sheet'!$A$35=""),IF($F$4="(nonblank)",--('Final Calculation Sheet'!$A$35&lt;&gt;""),--ISNUMBER(SEARCH($F$4,'Final Calculation Sheet'!$A$35)))))</f>
        <v/>
      </c>
      <c r="DL37">
        <f>IF($G$4="",1,IF($G$4="(blank)",--('Final Calculation Sheet'!$E$35=""),IF($G$4="(nonblank)",--('Final Calculation Sheet'!$E$35&lt;&gt;""),--ISNUMBER(SEARCH($G$4,'Final Calculation Sheet'!$E$35)))))</f>
        <v/>
      </c>
      <c r="DM37">
        <f>IF($H$4="",1,IF($H$4="(blank)",--('Final Calculation Sheet'!$C$35=""),IF($H$4="(nonblank)",--('Final Calculation Sheet'!$C$35&lt;&gt;""),--ISNUMBER(SEARCH($H$4,'Final Calculation Sheet'!$C$35)))))</f>
        <v/>
      </c>
      <c r="DN37">
        <f>IF($I$4="",1,IF($I$4="(blank)",--('Final Calculation Sheet'!$H$35=""),IF($I$4="(nonblank)",--('Final Calculation Sheet'!$H$35&lt;&gt;""),--ISNUMBER(SEARCH($I$4,'Final Calculation Sheet'!$H$35)))))</f>
        <v/>
      </c>
      <c r="DO37">
        <f>IF($J$4="",1,IF($J$4="(blank)",--('Final Calculation Sheet'!$I$35=""),IF($J$4="(nonblank)",--('Final Calculation Sheet'!$I$35&lt;&gt;""),--ISNUMBER(SEARCH($J$4,'Final Calculation Sheet'!$I$35)))))</f>
        <v/>
      </c>
      <c r="DP37">
        <f>IF($K$4="",1,IF($K$4="(blank)",--('Final Calculation Sheet'!$J$35=""),IF($K$4="(nonblank)",--('Final Calculation Sheet'!$J$35&lt;&gt;""),--ISNUMBER(SEARCH($K$4,'Final Calculation Sheet'!$J$35)))))</f>
        <v/>
      </c>
      <c r="DQ37">
        <f>IF($L$4="",1,IF($L$4="(blank)",--('Final Calculation Sheet'!$K$35=""),IF($L$4="(nonblank)",--('Final Calculation Sheet'!$K$35&lt;&gt;""),--ISNUMBER(SEARCH($L$4,'Final Calculation Sheet'!$K$35)))))</f>
        <v/>
      </c>
      <c r="DR37">
        <f>IF($M$4="",1,IF($M$4="(blank)",--('Final Calculation Sheet'!$L$35=""),IF($M$4="(nonblank)",--('Final Calculation Sheet'!$L$35&lt;&gt;""),--ISNUMBER(SEARCH($M$4,'Final Calculation Sheet'!$L$35)))))</f>
        <v/>
      </c>
      <c r="DS37">
        <f>IF($N$4="",1,IF($N$4="(blank)",--('Final Calculation Sheet'!$M$35=""),IF($N$4="(nonblank)",--('Final Calculation Sheet'!$M$35&lt;&gt;""),--ISNUMBER(SEARCH($N$4,'Final Calculation Sheet'!$M$35)))))</f>
        <v/>
      </c>
      <c r="DT37">
        <f>IF($O$4="",1,IF($O$4="(blank)",--('Final Calculation Sheet'!$N$35=""),IF($O$4="(nonblank)",--('Final Calculation Sheet'!$N$35&lt;&gt;""),--ISNUMBER(SEARCH($O$4,'Final Calculation Sheet'!$N$35)))))</f>
        <v/>
      </c>
      <c r="DU37">
        <f>IF($P$4="",1,IF($P$4="(blank)",--('Final Calculation Sheet'!$O$35=""),IF($P$4="(nonblank)",--('Final Calculation Sheet'!$O$35&lt;&gt;""),--ISNUMBER(SEARCH($P$4,'Final Calculation Sheet'!$O$35)))))</f>
        <v/>
      </c>
      <c r="DV37">
        <f>IF($Q$4="",1,IF($Q$4="(blank)",--('Final Calculation Sheet'!$P$35=""),IF($Q$4="(nonblank)",--('Final Calculation Sheet'!$P$35&lt;&gt;""),--ISNUMBER(SEARCH($Q$4,'Final Calculation Sheet'!$P$35)))))</f>
        <v/>
      </c>
      <c r="DW37">
        <f>IF($R$4="",1,IF($R$4="(blank)",--('Final Calculation Sheet'!$Q$35=""),IF($R$4="(nonblank)",--('Final Calculation Sheet'!$Q$35&lt;&gt;""),--ISNUMBER(SEARCH($R$4,'Final Calculation Sheet'!$Q$35)))))</f>
        <v/>
      </c>
      <c r="DX37">
        <f>IF($S$4="",1,IF($S$4="(blank)",--('Final Calculation Sheet'!$R$35=""),IF($S$4="(nonblank)",--('Final Calculation Sheet'!$R$35&lt;&gt;""),--ISNUMBER(SEARCH($S$4,'Final Calculation Sheet'!$R$35)))))</f>
        <v/>
      </c>
      <c r="DY37">
        <f>IF($T$4="",1,IF($T$4="(blank)",--('Final Calculation Sheet'!$S$35=""),IF($T$4="(nonblank)",--('Final Calculation Sheet'!$S$35&lt;&gt;""),--ISNUMBER(SEARCH($T$4,'Final Calculation Sheet'!$S$35)))))</f>
        <v/>
      </c>
      <c r="DZ37">
        <f>IF($U$4="",1,IF($U$4="(blank)",--('Final Calculation Sheet'!$T$35=""),IF($U$4="(nonblank)",--('Final Calculation Sheet'!$T$35&lt;&gt;""),--ISNUMBER(SEARCH($U$4,'Final Calculation Sheet'!$T$35)))))</f>
        <v/>
      </c>
      <c r="EA37">
        <f>IF($V$4="",1,IF($V$4="(blank)",--('Final Calculation Sheet'!$U$35=""),IF($V$4="(nonblank)",--('Final Calculation Sheet'!$U$35&lt;&gt;""),--ISNUMBER(SEARCH($V$4,'Final Calculation Sheet'!$U$35)))))</f>
        <v/>
      </c>
      <c r="EB37">
        <f>IF($W$4="",1,IF($W$4="(blank)",--('Final Calculation Sheet'!$V$35=""),IF($W$4="(nonblank)",--('Final Calculation Sheet'!$V$35&lt;&gt;""),--ISNUMBER(SEARCH($W$4,'Final Calculation Sheet'!$V$35)))))</f>
        <v/>
      </c>
      <c r="EC37">
        <f>IF($X$4="",1,IF($X$4="(blank)",--('Final Calculation Sheet'!$W$35=""),IF($X$4="(nonblank)",--('Final Calculation Sheet'!$W$35&lt;&gt;""),--ISNUMBER(SEARCH($X$4,'Final Calculation Sheet'!$W$35)))))</f>
        <v/>
      </c>
      <c r="ED37">
        <f>IF($Y$4="",1,IF($Y$4="(blank)",--('Final Calculation Sheet'!$X$35=""),IF($Y$4="(nonblank)",--('Final Calculation Sheet'!$X$35&lt;&gt;""),--ISNUMBER(SEARCH($Y$4,'Final Calculation Sheet'!$X$35)))))</f>
        <v/>
      </c>
      <c r="EE37">
        <f>IF($Z$4="",1,IF($Z$4="(blank)",--('Final Calculation Sheet'!$Y$35=""),IF($Z$4="(nonblank)",--('Final Calculation Sheet'!$Y$35&lt;&gt;""),--ISNUMBER(SEARCH($Z$4,'Final Calculation Sheet'!$Y$35)))))</f>
        <v/>
      </c>
      <c r="EF37">
        <f>IF($AA$4="",1,IF($AA$4="(blank)",--('Final Calculation Sheet'!$Z$35=""),IF($AA$4="(nonblank)",--('Final Calculation Sheet'!$Z$35&lt;&gt;""),--ISNUMBER(SEARCH($AA$4,'Final Calculation Sheet'!$Z$35)))))</f>
        <v/>
      </c>
      <c r="EG37">
        <f>IF($AB$4="",1,IF($AB$4="(blank)",--('Final Calculation Sheet'!$AA$35=""),IF($AB$4="(nonblank)",--('Final Calculation Sheet'!$AA$35&lt;&gt;""),--ISNUMBER(SEARCH($AB$4,'Final Calculation Sheet'!$AA$35)))))</f>
        <v/>
      </c>
      <c r="EH37">
        <f>IF($AC$4="",1,IF($AC$4="(blank)",--('Final Calculation Sheet'!$AB$35=""),IF($AC$4="(nonblank)",--('Final Calculation Sheet'!$AB$35&lt;&gt;""),--ISNUMBER(SEARCH($AC$4,'Final Calculation Sheet'!$AB$35)))))</f>
        <v/>
      </c>
      <c r="EI37">
        <f>IF($AD$4="",1,IF($AD$4="(blank)",--('Final Calculation Sheet'!$AC$35=""),IF($AD$4="(nonblank)",--('Final Calculation Sheet'!$AC$35&lt;&gt;""),--ISNUMBER(SEARCH($AD$4,'Final Calculation Sheet'!$AC$35)))))</f>
        <v/>
      </c>
      <c r="EJ37">
        <f>IF($AE$4="",1,IF($AE$4="(blank)",--('Final Calculation Sheet'!$AD$35=""),IF($AE$4="(nonblank)",--('Final Calculation Sheet'!$AD$35&lt;&gt;""),--ISNUMBER(SEARCH($AE$4,'Final Calculation Sheet'!$AD$35)))))</f>
        <v/>
      </c>
      <c r="EK37">
        <f>IF($AF$4="",1,IF($AF$4="(blank)",--(IF('Final Calculation Sheet'!$AD$35&lt;=5,"SETTLED","OUTSTANDING")=""),IF($AF$4="(nonblank)",--(IF('Final Calculation Sheet'!$AD$35&lt;=5,"SETTLED","OUTSTANDING")&lt;&gt;""),--ISNUMBER(SEARCH($AF$4,IF('Final Calculation Sheet'!$AD$35&lt;=5,"SETTLED","OUTSTANDING"))))))</f>
        <v/>
      </c>
      <c r="EL37">
        <f>IF($AG$4="",1,IF($AG$4="(blank)",--('Final Calculation Sheet'!$AF$35=""),IF($AG$4="(nonblank)",--('Final Calculation Sheet'!$AF$35&lt;&gt;""),--ISNUMBER(SEARCH($AG$4,'Final Calculation Sheet'!$AF$35)))))</f>
        <v/>
      </c>
      <c r="EM37">
        <f>IF($AH$4="",1,IF($AH$4="(blank)",--('Final Calculation Sheet'!$AG$35=""),IF($AH$4="(nonblank)",--('Final Calculation Sheet'!$AG$35&lt;&gt;""),--ISNUMBER(SEARCH($AH$4,'Final Calculation Sheet'!$AG$35)))))</f>
        <v/>
      </c>
      <c r="EN37">
        <f>IF($AI$4="",1,IF($AI$4="(blank)",--('Final Calculation Sheet'!$AH$35=""),IF($AI$4="(nonblank)",--('Final Calculation Sheet'!$AH$35&lt;&gt;""),--ISNUMBER(SEARCH($AI$4,'Final Calculation Sheet'!$AH$35)))))</f>
        <v/>
      </c>
    </row>
    <row r="38" outlineLevel="1" hidden="1">
      <c r="A38" s="128">
        <f>IF($AL$38="","",32)</f>
        <v/>
      </c>
      <c r="B38" s="129">
        <f>IF($AL$38="","",IF(INDEX('Final Calculation Sheet'!$F$4:$F$40,$AL$38)="","",INDEX('Final Calculation Sheet'!$F$4:$F$40,$AL$38)))</f>
        <v/>
      </c>
      <c r="C38" s="129">
        <f>IF($AL$38="","",IF(INDEX('Final Calculation Sheet'!$G$4:$G$40,$AL$38)="","",INDEX('Final Calculation Sheet'!$G$4:$G$40,$AL$38)))</f>
        <v/>
      </c>
      <c r="D38" s="130">
        <f>IF($AL$38="","",IF(INDEX('Final Calculation Sheet'!$B$4:$B$40,$AL$38)="","",INDEX('Final Calculation Sheet'!$B$4:$B$40,$AL$38)))</f>
        <v/>
      </c>
      <c r="E38" s="130">
        <f>IF($AL$38="","",IF(INDEX('Final Calculation Sheet'!$D$4:$D$40,$AL$38)="","",INDEX('Final Calculation Sheet'!$D$4:$D$40,$AL$38)))</f>
        <v/>
      </c>
      <c r="F38" s="130">
        <f>IF($AL$38="","",IF(INDEX('Final Calculation Sheet'!$A$4:$A$40,$AL$38)="","",INDEX('Final Calculation Sheet'!$A$4:$A$40,$AL$38)))</f>
        <v/>
      </c>
      <c r="G38" s="130">
        <f>IF($AL$38="","",IF(INDEX('Final Calculation Sheet'!$E$4:$E$40,$AL$38)="","",INDEX('Final Calculation Sheet'!$E$4:$E$40,$AL$38)))</f>
        <v/>
      </c>
      <c r="H38" s="131">
        <f>IF($AL$38="","",IF(INDEX('Final Calculation Sheet'!$C$4:$C$40,$AL$38)="","",INDEX('Final Calculation Sheet'!$C$4:$C$40,$AL$38)))</f>
        <v/>
      </c>
      <c r="I38" s="131">
        <f>IF($AL$38="","",IF(INDEX('Final Calculation Sheet'!$H$4:$H$40,$AL$38)="","",INDEX('Final Calculation Sheet'!$H$4:$H$40,$AL$38)))</f>
        <v/>
      </c>
      <c r="J38" s="131">
        <f>IF($AL$38="","",IF(INDEX('Final Calculation Sheet'!$I$4:$I$40,$AL$38)="","",INDEX('Final Calculation Sheet'!$I$4:$I$40,$AL$38)))</f>
        <v/>
      </c>
      <c r="K38" s="131">
        <f>IF($AL$38="","",IF(INDEX('Final Calculation Sheet'!$J$4:$J$40,$AL$38)="","",INDEX('Final Calculation Sheet'!$J$4:$J$40,$AL$38)))</f>
        <v/>
      </c>
      <c r="L38" s="131">
        <f>IF($AL$38="","",IF(INDEX('Final Calculation Sheet'!$K$4:$K$40,$AL$38)="","",INDEX('Final Calculation Sheet'!$K$4:$K$40,$AL$38)))</f>
        <v/>
      </c>
      <c r="M38" s="131">
        <f>IF($AL$38="","",IF(INDEX('Final Calculation Sheet'!$L$4:$L$40,$AL$38)="","",INDEX('Final Calculation Sheet'!$L$4:$L$40,$AL$38)))</f>
        <v/>
      </c>
      <c r="N38" s="131">
        <f>IF($AL$38="","",IF(INDEX('Final Calculation Sheet'!$M$4:$M$40,$AL$38)="","",INDEX('Final Calculation Sheet'!$M$4:$M$40,$AL$38)))</f>
        <v/>
      </c>
      <c r="O38" s="132">
        <f>IF($AL$38="","",IF(INDEX('Final Calculation Sheet'!$N$4:$N$40,$AL$38)="","",INDEX('Final Calculation Sheet'!$N$4:$N$40,$AL$38)))</f>
        <v/>
      </c>
      <c r="P38" s="131">
        <f>IF($AL$38="","",IF(INDEX('Final Calculation Sheet'!$O$4:$O$40,$AL$38)="","",INDEX('Final Calculation Sheet'!$O$4:$O$40,$AL$38)))</f>
        <v/>
      </c>
      <c r="Q38" s="131">
        <f>IF($AL$38="","",IF(INDEX('Final Calculation Sheet'!$P$4:$P$40,$AL$38)="","",INDEX('Final Calculation Sheet'!$P$4:$P$40,$AL$38)))</f>
        <v/>
      </c>
      <c r="R38" s="133">
        <f>IF($AL$38="","",IF(INDEX('Final Calculation Sheet'!$Q$4:$Q$40,$AL$38)="","",INDEX('Final Calculation Sheet'!$Q$4:$Q$40,$AL$38)))</f>
        <v/>
      </c>
      <c r="S38" s="131">
        <f>IF($AL$38="","",IF(INDEX('Final Calculation Sheet'!$R$4:$R$40,$AL$38)="","",INDEX('Final Calculation Sheet'!$R$4:$R$40,$AL$38)))</f>
        <v/>
      </c>
      <c r="T38" s="131">
        <f>IF($AL$38="","",IF(INDEX('Final Calculation Sheet'!$S$4:$S$40,$AL$38)="","",INDEX('Final Calculation Sheet'!$S$4:$S$40,$AL$38)))</f>
        <v/>
      </c>
      <c r="U38" s="131">
        <f>IF($AL$38="","",IF(INDEX('Final Calculation Sheet'!$T$4:$T$40,$AL$38)="","",INDEX('Final Calculation Sheet'!$T$4:$T$40,$AL$38)))</f>
        <v/>
      </c>
      <c r="V38" s="134">
        <f>IF($AL$38="","",IF(INDEX('Final Calculation Sheet'!$U$4:$U$40,$AL$38)="","",INDEX('Final Calculation Sheet'!$U$4:$U$40,$AL$38)))</f>
        <v/>
      </c>
      <c r="W38" s="131">
        <f>IF($AL$38="","",IF(INDEX('Final Calculation Sheet'!$V$4:$V$40,$AL$38)="","",INDEX('Final Calculation Sheet'!$V$4:$V$40,$AL$38)))</f>
        <v/>
      </c>
      <c r="X38" s="131">
        <f>IF($AL$38="","",IF(INDEX('Final Calculation Sheet'!$W$4:$W$40,$AL$38)="","",INDEX('Final Calculation Sheet'!$W$4:$W$40,$AL$38)))</f>
        <v/>
      </c>
      <c r="Y38" s="131">
        <f>IF($AL$38="","",IF(INDEX('Final Calculation Sheet'!$X$4:$X$40,$AL$38)="","",INDEX('Final Calculation Sheet'!$X$4:$X$40,$AL$38)))</f>
        <v/>
      </c>
      <c r="Z38" s="131">
        <f>IF($AL$38="","",IF(INDEX('Final Calculation Sheet'!$Y$4:$Y$40,$AL$38)="","",INDEX('Final Calculation Sheet'!$Y$4:$Y$40,$AL$38)))</f>
        <v/>
      </c>
      <c r="AA38" s="131">
        <f>IF($AL$38="","",IF(INDEX('Final Calculation Sheet'!$Z$4:$Z$40,$AL$38)="","",INDEX('Final Calculation Sheet'!$Z$4:$Z$40,$AL$38)))</f>
        <v/>
      </c>
      <c r="AB38" s="131">
        <f>IF($AL$38="","",IF(INDEX('Final Calculation Sheet'!$AA$4:$AA$40,$AL$38)="","",INDEX('Final Calculation Sheet'!$AA$4:$AA$40,$AL$38)))</f>
        <v/>
      </c>
      <c r="AC38" s="131">
        <f>IF($AL$38="","",IF(INDEX('Final Calculation Sheet'!$AB$4:$AB$40,$AL$38)="","",INDEX('Final Calculation Sheet'!$AB$4:$AB$40,$AL$38)))</f>
        <v/>
      </c>
      <c r="AD38" s="131">
        <f>IF($AL$38="","",IF(INDEX('Final Calculation Sheet'!$AC$4:$AC$40,$AL$38)="","",INDEX('Final Calculation Sheet'!$AC$4:$AC$40,$AL$38)))</f>
        <v/>
      </c>
      <c r="AE38" s="131">
        <f>IF($AL$38="","",IF(INDEX('Final Calculation Sheet'!$AD$4:$AD$40,$AL$38)="","",INDEX('Final Calculation Sheet'!$AD$4:$AD$40,$AL$38)))</f>
        <v/>
      </c>
      <c r="AF38" s="136">
        <f>IF($AL$38="","",IF(INDEX('Final Calculation Sheet'!$AD$4:$AD$40,$AL$38)&lt;=5,"SETTLED","OUTSTANDING"))</f>
        <v/>
      </c>
      <c r="AG38" s="131">
        <f>IF($AL$38="","",IF(INDEX('Final Calculation Sheet'!$AF$4:$AF$40,$AL$38)="","",INDEX('Final Calculation Sheet'!$AF$4:$AF$40,$AL$38)))</f>
        <v/>
      </c>
      <c r="AH38" s="135">
        <f>IF($AL$38="","",IF(INDEX('Final Calculation Sheet'!$AG$4:$AG$40,$AL$38)="","",INDEX('Final Calculation Sheet'!$AG$4:$AG$40,$AL$38)))</f>
        <v/>
      </c>
      <c r="AI38" s="131">
        <f>IF($AL$38="","",IF(INDEX('Final Calculation Sheet'!$AH$4:$AH$40,$AL$38)="","",INDEX('Final Calculation Sheet'!$AH$4:$AH$40,$AL$38)))</f>
        <v/>
      </c>
      <c r="AJ38">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38">
        <f>IF(AJ38=1,COUNTIF(AJ$6:AJ38,1),"")</f>
        <v/>
      </c>
      <c r="AL38">
        <f>IF(COUNTIF($B$4:$AI$4,"&lt;&gt;")=0,"",IFERROR(MATCH(32,$AK$6:$AK$42,0),""))</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G38">
        <f>IF($B$4="",1,IF($B$4="(blank)",--('Final Calculation Sheet'!$F$36=""),IF($B$4="(nonblank)",--('Final Calculation Sheet'!$F$36&lt;&gt;""),--ISNUMBER(SEARCH($B$4,'Final Calculation Sheet'!$F$36)))))</f>
        <v/>
      </c>
      <c r="DH38">
        <f>IF($C$4="",1,IF($C$4="(blank)",--('Final Calculation Sheet'!$G$36=""),IF($C$4="(nonblank)",--('Final Calculation Sheet'!$G$36&lt;&gt;""),--ISNUMBER(SEARCH($C$4,'Final Calculation Sheet'!$G$36)))))</f>
        <v/>
      </c>
      <c r="DI38">
        <f>IF($D$4="",1,IF($D$4="(blank)",--('Final Calculation Sheet'!$B$36=""),IF($D$4="(nonblank)",--('Final Calculation Sheet'!$B$36&lt;&gt;""),--ISNUMBER(SEARCH($D$4,'Final Calculation Sheet'!$B$36)))))</f>
        <v/>
      </c>
      <c r="DJ38">
        <f>IF($E$4="",1,IF($E$4="(blank)",--('Final Calculation Sheet'!$D$36=""),IF($E$4="(nonblank)",--('Final Calculation Sheet'!$D$36&lt;&gt;""),--ISNUMBER(SEARCH($E$4,'Final Calculation Sheet'!$D$36)))))</f>
        <v/>
      </c>
      <c r="DK38">
        <f>IF($F$4="",1,IF($F$4="(blank)",--('Final Calculation Sheet'!$A$36=""),IF($F$4="(nonblank)",--('Final Calculation Sheet'!$A$36&lt;&gt;""),--ISNUMBER(SEARCH($F$4,'Final Calculation Sheet'!$A$36)))))</f>
        <v/>
      </c>
      <c r="DL38">
        <f>IF($G$4="",1,IF($G$4="(blank)",--('Final Calculation Sheet'!$E$36=""),IF($G$4="(nonblank)",--('Final Calculation Sheet'!$E$36&lt;&gt;""),--ISNUMBER(SEARCH($G$4,'Final Calculation Sheet'!$E$36)))))</f>
        <v/>
      </c>
      <c r="DM38">
        <f>IF($H$4="",1,IF($H$4="(blank)",--('Final Calculation Sheet'!$C$36=""),IF($H$4="(nonblank)",--('Final Calculation Sheet'!$C$36&lt;&gt;""),--ISNUMBER(SEARCH($H$4,'Final Calculation Sheet'!$C$36)))))</f>
        <v/>
      </c>
      <c r="DN38">
        <f>IF($I$4="",1,IF($I$4="(blank)",--('Final Calculation Sheet'!$H$36=""),IF($I$4="(nonblank)",--('Final Calculation Sheet'!$H$36&lt;&gt;""),--ISNUMBER(SEARCH($I$4,'Final Calculation Sheet'!$H$36)))))</f>
        <v/>
      </c>
      <c r="DO38">
        <f>IF($J$4="",1,IF($J$4="(blank)",--('Final Calculation Sheet'!$I$36=""),IF($J$4="(nonblank)",--('Final Calculation Sheet'!$I$36&lt;&gt;""),--ISNUMBER(SEARCH($J$4,'Final Calculation Sheet'!$I$36)))))</f>
        <v/>
      </c>
      <c r="DP38">
        <f>IF($K$4="",1,IF($K$4="(blank)",--('Final Calculation Sheet'!$J$36=""),IF($K$4="(nonblank)",--('Final Calculation Sheet'!$J$36&lt;&gt;""),--ISNUMBER(SEARCH($K$4,'Final Calculation Sheet'!$J$36)))))</f>
        <v/>
      </c>
      <c r="DQ38">
        <f>IF($L$4="",1,IF($L$4="(blank)",--('Final Calculation Sheet'!$K$36=""),IF($L$4="(nonblank)",--('Final Calculation Sheet'!$K$36&lt;&gt;""),--ISNUMBER(SEARCH($L$4,'Final Calculation Sheet'!$K$36)))))</f>
        <v/>
      </c>
      <c r="DR38">
        <f>IF($M$4="",1,IF($M$4="(blank)",--('Final Calculation Sheet'!$L$36=""),IF($M$4="(nonblank)",--('Final Calculation Sheet'!$L$36&lt;&gt;""),--ISNUMBER(SEARCH($M$4,'Final Calculation Sheet'!$L$36)))))</f>
        <v/>
      </c>
      <c r="DS38">
        <f>IF($N$4="",1,IF($N$4="(blank)",--('Final Calculation Sheet'!$M$36=""),IF($N$4="(nonblank)",--('Final Calculation Sheet'!$M$36&lt;&gt;""),--ISNUMBER(SEARCH($N$4,'Final Calculation Sheet'!$M$36)))))</f>
        <v/>
      </c>
      <c r="DT38">
        <f>IF($O$4="",1,IF($O$4="(blank)",--('Final Calculation Sheet'!$N$36=""),IF($O$4="(nonblank)",--('Final Calculation Sheet'!$N$36&lt;&gt;""),--ISNUMBER(SEARCH($O$4,'Final Calculation Sheet'!$N$36)))))</f>
        <v/>
      </c>
      <c r="DU38">
        <f>IF($P$4="",1,IF($P$4="(blank)",--('Final Calculation Sheet'!$O$36=""),IF($P$4="(nonblank)",--('Final Calculation Sheet'!$O$36&lt;&gt;""),--ISNUMBER(SEARCH($P$4,'Final Calculation Sheet'!$O$36)))))</f>
        <v/>
      </c>
      <c r="DV38">
        <f>IF($Q$4="",1,IF($Q$4="(blank)",--('Final Calculation Sheet'!$P$36=""),IF($Q$4="(nonblank)",--('Final Calculation Sheet'!$P$36&lt;&gt;""),--ISNUMBER(SEARCH($Q$4,'Final Calculation Sheet'!$P$36)))))</f>
        <v/>
      </c>
      <c r="DW38">
        <f>IF($R$4="",1,IF($R$4="(blank)",--('Final Calculation Sheet'!$Q$36=""),IF($R$4="(nonblank)",--('Final Calculation Sheet'!$Q$36&lt;&gt;""),--ISNUMBER(SEARCH($R$4,'Final Calculation Sheet'!$Q$36)))))</f>
        <v/>
      </c>
      <c r="DX38">
        <f>IF($S$4="",1,IF($S$4="(blank)",--('Final Calculation Sheet'!$R$36=""),IF($S$4="(nonblank)",--('Final Calculation Sheet'!$R$36&lt;&gt;""),--ISNUMBER(SEARCH($S$4,'Final Calculation Sheet'!$R$36)))))</f>
        <v/>
      </c>
      <c r="DY38">
        <f>IF($T$4="",1,IF($T$4="(blank)",--('Final Calculation Sheet'!$S$36=""),IF($T$4="(nonblank)",--('Final Calculation Sheet'!$S$36&lt;&gt;""),--ISNUMBER(SEARCH($T$4,'Final Calculation Sheet'!$S$36)))))</f>
        <v/>
      </c>
      <c r="DZ38">
        <f>IF($U$4="",1,IF($U$4="(blank)",--('Final Calculation Sheet'!$T$36=""),IF($U$4="(nonblank)",--('Final Calculation Sheet'!$T$36&lt;&gt;""),--ISNUMBER(SEARCH($U$4,'Final Calculation Sheet'!$T$36)))))</f>
        <v/>
      </c>
      <c r="EA38">
        <f>IF($V$4="",1,IF($V$4="(blank)",--('Final Calculation Sheet'!$U$36=""),IF($V$4="(nonblank)",--('Final Calculation Sheet'!$U$36&lt;&gt;""),--ISNUMBER(SEARCH($V$4,'Final Calculation Sheet'!$U$36)))))</f>
        <v/>
      </c>
      <c r="EB38">
        <f>IF($W$4="",1,IF($W$4="(blank)",--('Final Calculation Sheet'!$V$36=""),IF($W$4="(nonblank)",--('Final Calculation Sheet'!$V$36&lt;&gt;""),--ISNUMBER(SEARCH($W$4,'Final Calculation Sheet'!$V$36)))))</f>
        <v/>
      </c>
      <c r="EC38">
        <f>IF($X$4="",1,IF($X$4="(blank)",--('Final Calculation Sheet'!$W$36=""),IF($X$4="(nonblank)",--('Final Calculation Sheet'!$W$36&lt;&gt;""),--ISNUMBER(SEARCH($X$4,'Final Calculation Sheet'!$W$36)))))</f>
        <v/>
      </c>
      <c r="ED38">
        <f>IF($Y$4="",1,IF($Y$4="(blank)",--('Final Calculation Sheet'!$X$36=""),IF($Y$4="(nonblank)",--('Final Calculation Sheet'!$X$36&lt;&gt;""),--ISNUMBER(SEARCH($Y$4,'Final Calculation Sheet'!$X$36)))))</f>
        <v/>
      </c>
      <c r="EE38">
        <f>IF($Z$4="",1,IF($Z$4="(blank)",--('Final Calculation Sheet'!$Y$36=""),IF($Z$4="(nonblank)",--('Final Calculation Sheet'!$Y$36&lt;&gt;""),--ISNUMBER(SEARCH($Z$4,'Final Calculation Sheet'!$Y$36)))))</f>
        <v/>
      </c>
      <c r="EF38">
        <f>IF($AA$4="",1,IF($AA$4="(blank)",--('Final Calculation Sheet'!$Z$36=""),IF($AA$4="(nonblank)",--('Final Calculation Sheet'!$Z$36&lt;&gt;""),--ISNUMBER(SEARCH($AA$4,'Final Calculation Sheet'!$Z$36)))))</f>
        <v/>
      </c>
      <c r="EG38">
        <f>IF($AB$4="",1,IF($AB$4="(blank)",--('Final Calculation Sheet'!$AA$36=""),IF($AB$4="(nonblank)",--('Final Calculation Sheet'!$AA$36&lt;&gt;""),--ISNUMBER(SEARCH($AB$4,'Final Calculation Sheet'!$AA$36)))))</f>
        <v/>
      </c>
      <c r="EH38">
        <f>IF($AC$4="",1,IF($AC$4="(blank)",--('Final Calculation Sheet'!$AB$36=""),IF($AC$4="(nonblank)",--('Final Calculation Sheet'!$AB$36&lt;&gt;""),--ISNUMBER(SEARCH($AC$4,'Final Calculation Sheet'!$AB$36)))))</f>
        <v/>
      </c>
      <c r="EI38">
        <f>IF($AD$4="",1,IF($AD$4="(blank)",--('Final Calculation Sheet'!$AC$36=""),IF($AD$4="(nonblank)",--('Final Calculation Sheet'!$AC$36&lt;&gt;""),--ISNUMBER(SEARCH($AD$4,'Final Calculation Sheet'!$AC$36)))))</f>
        <v/>
      </c>
      <c r="EJ38">
        <f>IF($AE$4="",1,IF($AE$4="(blank)",--('Final Calculation Sheet'!$AD$36=""),IF($AE$4="(nonblank)",--('Final Calculation Sheet'!$AD$36&lt;&gt;""),--ISNUMBER(SEARCH($AE$4,'Final Calculation Sheet'!$AD$36)))))</f>
        <v/>
      </c>
      <c r="EK38">
        <f>IF($AF$4="",1,IF($AF$4="(blank)",--(IF('Final Calculation Sheet'!$AD$36&lt;=5,"SETTLED","OUTSTANDING")=""),IF($AF$4="(nonblank)",--(IF('Final Calculation Sheet'!$AD$36&lt;=5,"SETTLED","OUTSTANDING")&lt;&gt;""),--ISNUMBER(SEARCH($AF$4,IF('Final Calculation Sheet'!$AD$36&lt;=5,"SETTLED","OUTSTANDING"))))))</f>
        <v/>
      </c>
      <c r="EL38">
        <f>IF($AG$4="",1,IF($AG$4="(blank)",--('Final Calculation Sheet'!$AF$36=""),IF($AG$4="(nonblank)",--('Final Calculation Sheet'!$AF$36&lt;&gt;""),--ISNUMBER(SEARCH($AG$4,'Final Calculation Sheet'!$AF$36)))))</f>
        <v/>
      </c>
      <c r="EM38">
        <f>IF($AH$4="",1,IF($AH$4="(blank)",--('Final Calculation Sheet'!$AG$36=""),IF($AH$4="(nonblank)",--('Final Calculation Sheet'!$AG$36&lt;&gt;""),--ISNUMBER(SEARCH($AH$4,'Final Calculation Sheet'!$AG$36)))))</f>
        <v/>
      </c>
      <c r="EN38">
        <f>IF($AI$4="",1,IF($AI$4="(blank)",--('Final Calculation Sheet'!$AH$36=""),IF($AI$4="(nonblank)",--('Final Calculation Sheet'!$AH$36&lt;&gt;""),--ISNUMBER(SEARCH($AI$4,'Final Calculation Sheet'!$AH$36)))))</f>
        <v/>
      </c>
    </row>
    <row r="39" outlineLevel="1" hidden="1">
      <c r="A39" s="118">
        <f>IF($AL$39="","",33)</f>
        <v/>
      </c>
      <c r="B39" s="119">
        <f>IF($AL$39="","",IF(INDEX('Final Calculation Sheet'!$F$4:$F$40,$AL$39)="","",INDEX('Final Calculation Sheet'!$F$4:$F$40,$AL$39)))</f>
        <v/>
      </c>
      <c r="C39" s="119">
        <f>IF($AL$39="","",IF(INDEX('Final Calculation Sheet'!$G$4:$G$40,$AL$39)="","",INDEX('Final Calculation Sheet'!$G$4:$G$40,$AL$39)))</f>
        <v/>
      </c>
      <c r="D39" s="121">
        <f>IF($AL$39="","",IF(INDEX('Final Calculation Sheet'!$B$4:$B$40,$AL$39)="","",INDEX('Final Calculation Sheet'!$B$4:$B$40,$AL$39)))</f>
        <v/>
      </c>
      <c r="E39" s="121">
        <f>IF($AL$39="","",IF(INDEX('Final Calculation Sheet'!$D$4:$D$40,$AL$39)="","",INDEX('Final Calculation Sheet'!$D$4:$D$40,$AL$39)))</f>
        <v/>
      </c>
      <c r="F39" s="121">
        <f>IF($AL$39="","",IF(INDEX('Final Calculation Sheet'!$A$4:$A$40,$AL$39)="","",INDEX('Final Calculation Sheet'!$A$4:$A$40,$AL$39)))</f>
        <v/>
      </c>
      <c r="G39" s="121">
        <f>IF($AL$39="","",IF(INDEX('Final Calculation Sheet'!$E$4:$E$40,$AL$39)="","",INDEX('Final Calculation Sheet'!$E$4:$E$40,$AL$39)))</f>
        <v/>
      </c>
      <c r="H39" s="122">
        <f>IF($AL$39="","",IF(INDEX('Final Calculation Sheet'!$C$4:$C$40,$AL$39)="","",INDEX('Final Calculation Sheet'!$C$4:$C$40,$AL$39)))</f>
        <v/>
      </c>
      <c r="I39" s="122">
        <f>IF($AL$39="","",IF(INDEX('Final Calculation Sheet'!$H$4:$H$40,$AL$39)="","",INDEX('Final Calculation Sheet'!$H$4:$H$40,$AL$39)))</f>
        <v/>
      </c>
      <c r="J39" s="122">
        <f>IF($AL$39="","",IF(INDEX('Final Calculation Sheet'!$I$4:$I$40,$AL$39)="","",INDEX('Final Calculation Sheet'!$I$4:$I$40,$AL$39)))</f>
        <v/>
      </c>
      <c r="K39" s="122">
        <f>IF($AL$39="","",IF(INDEX('Final Calculation Sheet'!$J$4:$J$40,$AL$39)="","",INDEX('Final Calculation Sheet'!$J$4:$J$40,$AL$39)))</f>
        <v/>
      </c>
      <c r="L39" s="122">
        <f>IF($AL$39="","",IF(INDEX('Final Calculation Sheet'!$K$4:$K$40,$AL$39)="","",INDEX('Final Calculation Sheet'!$K$4:$K$40,$AL$39)))</f>
        <v/>
      </c>
      <c r="M39" s="122">
        <f>IF($AL$39="","",IF(INDEX('Final Calculation Sheet'!$L$4:$L$40,$AL$39)="","",INDEX('Final Calculation Sheet'!$L$4:$L$40,$AL$39)))</f>
        <v/>
      </c>
      <c r="N39" s="122">
        <f>IF($AL$39="","",IF(INDEX('Final Calculation Sheet'!$M$4:$M$40,$AL$39)="","",INDEX('Final Calculation Sheet'!$M$4:$M$40,$AL$39)))</f>
        <v/>
      </c>
      <c r="O39" s="123">
        <f>IF($AL$39="","",IF(INDEX('Final Calculation Sheet'!$N$4:$N$40,$AL$39)="","",INDEX('Final Calculation Sheet'!$N$4:$N$40,$AL$39)))</f>
        <v/>
      </c>
      <c r="P39" s="122">
        <f>IF($AL$39="","",IF(INDEX('Final Calculation Sheet'!$O$4:$O$40,$AL$39)="","",INDEX('Final Calculation Sheet'!$O$4:$O$40,$AL$39)))</f>
        <v/>
      </c>
      <c r="Q39" s="122">
        <f>IF($AL$39="","",IF(INDEX('Final Calculation Sheet'!$P$4:$P$40,$AL$39)="","",INDEX('Final Calculation Sheet'!$P$4:$P$40,$AL$39)))</f>
        <v/>
      </c>
      <c r="R39" s="124">
        <f>IF($AL$39="","",IF(INDEX('Final Calculation Sheet'!$Q$4:$Q$40,$AL$39)="","",INDEX('Final Calculation Sheet'!$Q$4:$Q$40,$AL$39)))</f>
        <v/>
      </c>
      <c r="S39" s="122">
        <f>IF($AL$39="","",IF(INDEX('Final Calculation Sheet'!$R$4:$R$40,$AL$39)="","",INDEX('Final Calculation Sheet'!$R$4:$R$40,$AL$39)))</f>
        <v/>
      </c>
      <c r="T39" s="122">
        <f>IF($AL$39="","",IF(INDEX('Final Calculation Sheet'!$S$4:$S$40,$AL$39)="","",INDEX('Final Calculation Sheet'!$S$4:$S$40,$AL$39)))</f>
        <v/>
      </c>
      <c r="U39" s="122">
        <f>IF($AL$39="","",IF(INDEX('Final Calculation Sheet'!$T$4:$T$40,$AL$39)="","",INDEX('Final Calculation Sheet'!$T$4:$T$40,$AL$39)))</f>
        <v/>
      </c>
      <c r="V39" s="125">
        <f>IF($AL$39="","",IF(INDEX('Final Calculation Sheet'!$U$4:$U$40,$AL$39)="","",INDEX('Final Calculation Sheet'!$U$4:$U$40,$AL$39)))</f>
        <v/>
      </c>
      <c r="W39" s="122">
        <f>IF($AL$39="","",IF(INDEX('Final Calculation Sheet'!$V$4:$V$40,$AL$39)="","",INDEX('Final Calculation Sheet'!$V$4:$V$40,$AL$39)))</f>
        <v/>
      </c>
      <c r="X39" s="122">
        <f>IF($AL$39="","",IF(INDEX('Final Calculation Sheet'!$W$4:$W$40,$AL$39)="","",INDEX('Final Calculation Sheet'!$W$4:$W$40,$AL$39)))</f>
        <v/>
      </c>
      <c r="Y39" s="122">
        <f>IF($AL$39="","",IF(INDEX('Final Calculation Sheet'!$X$4:$X$40,$AL$39)="","",INDEX('Final Calculation Sheet'!$X$4:$X$40,$AL$39)))</f>
        <v/>
      </c>
      <c r="Z39" s="122">
        <f>IF($AL$39="","",IF(INDEX('Final Calculation Sheet'!$Y$4:$Y$40,$AL$39)="","",INDEX('Final Calculation Sheet'!$Y$4:$Y$40,$AL$39)))</f>
        <v/>
      </c>
      <c r="AA39" s="122">
        <f>IF($AL$39="","",IF(INDEX('Final Calculation Sheet'!$Z$4:$Z$40,$AL$39)="","",INDEX('Final Calculation Sheet'!$Z$4:$Z$40,$AL$39)))</f>
        <v/>
      </c>
      <c r="AB39" s="122">
        <f>IF($AL$39="","",IF(INDEX('Final Calculation Sheet'!$AA$4:$AA$40,$AL$39)="","",INDEX('Final Calculation Sheet'!$AA$4:$AA$40,$AL$39)))</f>
        <v/>
      </c>
      <c r="AC39" s="122">
        <f>IF($AL$39="","",IF(INDEX('Final Calculation Sheet'!$AB$4:$AB$40,$AL$39)="","",INDEX('Final Calculation Sheet'!$AB$4:$AB$40,$AL$39)))</f>
        <v/>
      </c>
      <c r="AD39" s="122">
        <f>IF($AL$39="","",IF(INDEX('Final Calculation Sheet'!$AC$4:$AC$40,$AL$39)="","",INDEX('Final Calculation Sheet'!$AC$4:$AC$40,$AL$39)))</f>
        <v/>
      </c>
      <c r="AE39" s="122">
        <f>IF($AL$39="","",IF(INDEX('Final Calculation Sheet'!$AD$4:$AD$40,$AL$39)="","",INDEX('Final Calculation Sheet'!$AD$4:$AD$40,$AL$39)))</f>
        <v/>
      </c>
      <c r="AF39" s="127">
        <f>IF($AL$39="","",IF(INDEX('Final Calculation Sheet'!$AD$4:$AD$40,$AL$39)&lt;=5,"SETTLED","OUTSTANDING"))</f>
        <v/>
      </c>
      <c r="AG39" s="122">
        <f>IF($AL$39="","",IF(INDEX('Final Calculation Sheet'!$AF$4:$AF$40,$AL$39)="","",INDEX('Final Calculation Sheet'!$AF$4:$AF$40,$AL$39)))</f>
        <v/>
      </c>
      <c r="AH39" s="126">
        <f>IF($AL$39="","",IF(INDEX('Final Calculation Sheet'!$AG$4:$AG$40,$AL$39)="","",INDEX('Final Calculation Sheet'!$AG$4:$AG$40,$AL$39)))</f>
        <v/>
      </c>
      <c r="AI39" s="122">
        <f>IF($AL$39="","",IF(INDEX('Final Calculation Sheet'!$AH$4:$AH$40,$AL$39)="","",INDEX('Final Calculation Sheet'!$AH$4:$AH$40,$AL$39)))</f>
        <v/>
      </c>
      <c r="AJ39">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9">
        <f>IF(AJ39=1,COUNTIF(AJ$6:AJ39,1),"")</f>
        <v/>
      </c>
      <c r="AL39">
        <f>IF(COUNTIF($B$4:$AI$4,"&lt;&gt;")=0,"",IFERROR(MATCH(33,$AK$6:$AK$42,0),""))</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G39">
        <f>IF($B$4="",1,IF($B$4="(blank)",--('Final Calculation Sheet'!$F$37=""),IF($B$4="(nonblank)",--('Final Calculation Sheet'!$F$37&lt;&gt;""),--ISNUMBER(SEARCH($B$4,'Final Calculation Sheet'!$F$37)))))</f>
        <v/>
      </c>
      <c r="DH39">
        <f>IF($C$4="",1,IF($C$4="(blank)",--('Final Calculation Sheet'!$G$37=""),IF($C$4="(nonblank)",--('Final Calculation Sheet'!$G$37&lt;&gt;""),--ISNUMBER(SEARCH($C$4,'Final Calculation Sheet'!$G$37)))))</f>
        <v/>
      </c>
      <c r="DI39">
        <f>IF($D$4="",1,IF($D$4="(blank)",--('Final Calculation Sheet'!$B$37=""),IF($D$4="(nonblank)",--('Final Calculation Sheet'!$B$37&lt;&gt;""),--ISNUMBER(SEARCH($D$4,'Final Calculation Sheet'!$B$37)))))</f>
        <v/>
      </c>
      <c r="DJ39">
        <f>IF($E$4="",1,IF($E$4="(blank)",--('Final Calculation Sheet'!$D$37=""),IF($E$4="(nonblank)",--('Final Calculation Sheet'!$D$37&lt;&gt;""),--ISNUMBER(SEARCH($E$4,'Final Calculation Sheet'!$D$37)))))</f>
        <v/>
      </c>
      <c r="DK39">
        <f>IF($F$4="",1,IF($F$4="(blank)",--('Final Calculation Sheet'!$A$37=""),IF($F$4="(nonblank)",--('Final Calculation Sheet'!$A$37&lt;&gt;""),--ISNUMBER(SEARCH($F$4,'Final Calculation Sheet'!$A$37)))))</f>
        <v/>
      </c>
      <c r="DL39">
        <f>IF($G$4="",1,IF($G$4="(blank)",--('Final Calculation Sheet'!$E$37=""),IF($G$4="(nonblank)",--('Final Calculation Sheet'!$E$37&lt;&gt;""),--ISNUMBER(SEARCH($G$4,'Final Calculation Sheet'!$E$37)))))</f>
        <v/>
      </c>
      <c r="DM39">
        <f>IF($H$4="",1,IF($H$4="(blank)",--('Final Calculation Sheet'!$C$37=""),IF($H$4="(nonblank)",--('Final Calculation Sheet'!$C$37&lt;&gt;""),--ISNUMBER(SEARCH($H$4,'Final Calculation Sheet'!$C$37)))))</f>
        <v/>
      </c>
      <c r="DN39">
        <f>IF($I$4="",1,IF($I$4="(blank)",--('Final Calculation Sheet'!$H$37=""),IF($I$4="(nonblank)",--('Final Calculation Sheet'!$H$37&lt;&gt;""),--ISNUMBER(SEARCH($I$4,'Final Calculation Sheet'!$H$37)))))</f>
        <v/>
      </c>
      <c r="DO39">
        <f>IF($J$4="",1,IF($J$4="(blank)",--('Final Calculation Sheet'!$I$37=""),IF($J$4="(nonblank)",--('Final Calculation Sheet'!$I$37&lt;&gt;""),--ISNUMBER(SEARCH($J$4,'Final Calculation Sheet'!$I$37)))))</f>
        <v/>
      </c>
      <c r="DP39">
        <f>IF($K$4="",1,IF($K$4="(blank)",--('Final Calculation Sheet'!$J$37=""),IF($K$4="(nonblank)",--('Final Calculation Sheet'!$J$37&lt;&gt;""),--ISNUMBER(SEARCH($K$4,'Final Calculation Sheet'!$J$37)))))</f>
        <v/>
      </c>
      <c r="DQ39">
        <f>IF($L$4="",1,IF($L$4="(blank)",--('Final Calculation Sheet'!$K$37=""),IF($L$4="(nonblank)",--('Final Calculation Sheet'!$K$37&lt;&gt;""),--ISNUMBER(SEARCH($L$4,'Final Calculation Sheet'!$K$37)))))</f>
        <v/>
      </c>
      <c r="DR39">
        <f>IF($M$4="",1,IF($M$4="(blank)",--('Final Calculation Sheet'!$L$37=""),IF($M$4="(nonblank)",--('Final Calculation Sheet'!$L$37&lt;&gt;""),--ISNUMBER(SEARCH($M$4,'Final Calculation Sheet'!$L$37)))))</f>
        <v/>
      </c>
      <c r="DS39">
        <f>IF($N$4="",1,IF($N$4="(blank)",--('Final Calculation Sheet'!$M$37=""),IF($N$4="(nonblank)",--('Final Calculation Sheet'!$M$37&lt;&gt;""),--ISNUMBER(SEARCH($N$4,'Final Calculation Sheet'!$M$37)))))</f>
        <v/>
      </c>
      <c r="DT39">
        <f>IF($O$4="",1,IF($O$4="(blank)",--('Final Calculation Sheet'!$N$37=""),IF($O$4="(nonblank)",--('Final Calculation Sheet'!$N$37&lt;&gt;""),--ISNUMBER(SEARCH($O$4,'Final Calculation Sheet'!$N$37)))))</f>
        <v/>
      </c>
      <c r="DU39">
        <f>IF($P$4="",1,IF($P$4="(blank)",--('Final Calculation Sheet'!$O$37=""),IF($P$4="(nonblank)",--('Final Calculation Sheet'!$O$37&lt;&gt;""),--ISNUMBER(SEARCH($P$4,'Final Calculation Sheet'!$O$37)))))</f>
        <v/>
      </c>
      <c r="DV39">
        <f>IF($Q$4="",1,IF($Q$4="(blank)",--('Final Calculation Sheet'!$P$37=""),IF($Q$4="(nonblank)",--('Final Calculation Sheet'!$P$37&lt;&gt;""),--ISNUMBER(SEARCH($Q$4,'Final Calculation Sheet'!$P$37)))))</f>
        <v/>
      </c>
      <c r="DW39">
        <f>IF($R$4="",1,IF($R$4="(blank)",--('Final Calculation Sheet'!$Q$37=""),IF($R$4="(nonblank)",--('Final Calculation Sheet'!$Q$37&lt;&gt;""),--ISNUMBER(SEARCH($R$4,'Final Calculation Sheet'!$Q$37)))))</f>
        <v/>
      </c>
      <c r="DX39">
        <f>IF($S$4="",1,IF($S$4="(blank)",--('Final Calculation Sheet'!$R$37=""),IF($S$4="(nonblank)",--('Final Calculation Sheet'!$R$37&lt;&gt;""),--ISNUMBER(SEARCH($S$4,'Final Calculation Sheet'!$R$37)))))</f>
        <v/>
      </c>
      <c r="DY39">
        <f>IF($T$4="",1,IF($T$4="(blank)",--('Final Calculation Sheet'!$S$37=""),IF($T$4="(nonblank)",--('Final Calculation Sheet'!$S$37&lt;&gt;""),--ISNUMBER(SEARCH($T$4,'Final Calculation Sheet'!$S$37)))))</f>
        <v/>
      </c>
      <c r="DZ39">
        <f>IF($U$4="",1,IF($U$4="(blank)",--('Final Calculation Sheet'!$T$37=""),IF($U$4="(nonblank)",--('Final Calculation Sheet'!$T$37&lt;&gt;""),--ISNUMBER(SEARCH($U$4,'Final Calculation Sheet'!$T$37)))))</f>
        <v/>
      </c>
      <c r="EA39">
        <f>IF($V$4="",1,IF($V$4="(blank)",--('Final Calculation Sheet'!$U$37=""),IF($V$4="(nonblank)",--('Final Calculation Sheet'!$U$37&lt;&gt;""),--ISNUMBER(SEARCH($V$4,'Final Calculation Sheet'!$U$37)))))</f>
        <v/>
      </c>
      <c r="EB39">
        <f>IF($W$4="",1,IF($W$4="(blank)",--('Final Calculation Sheet'!$V$37=""),IF($W$4="(nonblank)",--('Final Calculation Sheet'!$V$37&lt;&gt;""),--ISNUMBER(SEARCH($W$4,'Final Calculation Sheet'!$V$37)))))</f>
        <v/>
      </c>
      <c r="EC39">
        <f>IF($X$4="",1,IF($X$4="(blank)",--('Final Calculation Sheet'!$W$37=""),IF($X$4="(nonblank)",--('Final Calculation Sheet'!$W$37&lt;&gt;""),--ISNUMBER(SEARCH($X$4,'Final Calculation Sheet'!$W$37)))))</f>
        <v/>
      </c>
      <c r="ED39">
        <f>IF($Y$4="",1,IF($Y$4="(blank)",--('Final Calculation Sheet'!$X$37=""),IF($Y$4="(nonblank)",--('Final Calculation Sheet'!$X$37&lt;&gt;""),--ISNUMBER(SEARCH($Y$4,'Final Calculation Sheet'!$X$37)))))</f>
        <v/>
      </c>
      <c r="EE39">
        <f>IF($Z$4="",1,IF($Z$4="(blank)",--('Final Calculation Sheet'!$Y$37=""),IF($Z$4="(nonblank)",--('Final Calculation Sheet'!$Y$37&lt;&gt;""),--ISNUMBER(SEARCH($Z$4,'Final Calculation Sheet'!$Y$37)))))</f>
        <v/>
      </c>
      <c r="EF39">
        <f>IF($AA$4="",1,IF($AA$4="(blank)",--('Final Calculation Sheet'!$Z$37=""),IF($AA$4="(nonblank)",--('Final Calculation Sheet'!$Z$37&lt;&gt;""),--ISNUMBER(SEARCH($AA$4,'Final Calculation Sheet'!$Z$37)))))</f>
        <v/>
      </c>
      <c r="EG39">
        <f>IF($AB$4="",1,IF($AB$4="(blank)",--('Final Calculation Sheet'!$AA$37=""),IF($AB$4="(nonblank)",--('Final Calculation Sheet'!$AA$37&lt;&gt;""),--ISNUMBER(SEARCH($AB$4,'Final Calculation Sheet'!$AA$37)))))</f>
        <v/>
      </c>
      <c r="EH39">
        <f>IF($AC$4="",1,IF($AC$4="(blank)",--('Final Calculation Sheet'!$AB$37=""),IF($AC$4="(nonblank)",--('Final Calculation Sheet'!$AB$37&lt;&gt;""),--ISNUMBER(SEARCH($AC$4,'Final Calculation Sheet'!$AB$37)))))</f>
        <v/>
      </c>
      <c r="EI39">
        <f>IF($AD$4="",1,IF($AD$4="(blank)",--('Final Calculation Sheet'!$AC$37=""),IF($AD$4="(nonblank)",--('Final Calculation Sheet'!$AC$37&lt;&gt;""),--ISNUMBER(SEARCH($AD$4,'Final Calculation Sheet'!$AC$37)))))</f>
        <v/>
      </c>
      <c r="EJ39">
        <f>IF($AE$4="",1,IF($AE$4="(blank)",--('Final Calculation Sheet'!$AD$37=""),IF($AE$4="(nonblank)",--('Final Calculation Sheet'!$AD$37&lt;&gt;""),--ISNUMBER(SEARCH($AE$4,'Final Calculation Sheet'!$AD$37)))))</f>
        <v/>
      </c>
      <c r="EK39">
        <f>IF($AF$4="",1,IF($AF$4="(blank)",--(IF('Final Calculation Sheet'!$AD$37&lt;=5,"SETTLED","OUTSTANDING")=""),IF($AF$4="(nonblank)",--(IF('Final Calculation Sheet'!$AD$37&lt;=5,"SETTLED","OUTSTANDING")&lt;&gt;""),--ISNUMBER(SEARCH($AF$4,IF('Final Calculation Sheet'!$AD$37&lt;=5,"SETTLED","OUTSTANDING"))))))</f>
        <v/>
      </c>
      <c r="EL39">
        <f>IF($AG$4="",1,IF($AG$4="(blank)",--('Final Calculation Sheet'!$AF$37=""),IF($AG$4="(nonblank)",--('Final Calculation Sheet'!$AF$37&lt;&gt;""),--ISNUMBER(SEARCH($AG$4,'Final Calculation Sheet'!$AF$37)))))</f>
        <v/>
      </c>
      <c r="EM39">
        <f>IF($AH$4="",1,IF($AH$4="(blank)",--('Final Calculation Sheet'!$AG$37=""),IF($AH$4="(nonblank)",--('Final Calculation Sheet'!$AG$37&lt;&gt;""),--ISNUMBER(SEARCH($AH$4,'Final Calculation Sheet'!$AG$37)))))</f>
        <v/>
      </c>
      <c r="EN39">
        <f>IF($AI$4="",1,IF($AI$4="(blank)",--('Final Calculation Sheet'!$AH$37=""),IF($AI$4="(nonblank)",--('Final Calculation Sheet'!$AH$37&lt;&gt;""),--ISNUMBER(SEARCH($AI$4,'Final Calculation Sheet'!$AH$37)))))</f>
        <v/>
      </c>
    </row>
    <row r="40" outlineLevel="1" hidden="1">
      <c r="A40" s="128">
        <f>IF($AL$40="","",34)</f>
        <v/>
      </c>
      <c r="B40" s="129">
        <f>IF($AL$40="","",IF(INDEX('Final Calculation Sheet'!$F$4:$F$40,$AL$40)="","",INDEX('Final Calculation Sheet'!$F$4:$F$40,$AL$40)))</f>
        <v/>
      </c>
      <c r="C40" s="129">
        <f>IF($AL$40="","",IF(INDEX('Final Calculation Sheet'!$G$4:$G$40,$AL$40)="","",INDEX('Final Calculation Sheet'!$G$4:$G$40,$AL$40)))</f>
        <v/>
      </c>
      <c r="D40" s="130">
        <f>IF($AL$40="","",IF(INDEX('Final Calculation Sheet'!$B$4:$B$40,$AL$40)="","",INDEX('Final Calculation Sheet'!$B$4:$B$40,$AL$40)))</f>
        <v/>
      </c>
      <c r="E40" s="130">
        <f>IF($AL$40="","",IF(INDEX('Final Calculation Sheet'!$D$4:$D$40,$AL$40)="","",INDEX('Final Calculation Sheet'!$D$4:$D$40,$AL$40)))</f>
        <v/>
      </c>
      <c r="F40" s="130">
        <f>IF($AL$40="","",IF(INDEX('Final Calculation Sheet'!$A$4:$A$40,$AL$40)="","",INDEX('Final Calculation Sheet'!$A$4:$A$40,$AL$40)))</f>
        <v/>
      </c>
      <c r="G40" s="130">
        <f>IF($AL$40="","",IF(INDEX('Final Calculation Sheet'!$E$4:$E$40,$AL$40)="","",INDEX('Final Calculation Sheet'!$E$4:$E$40,$AL$40)))</f>
        <v/>
      </c>
      <c r="H40" s="131">
        <f>IF($AL$40="","",IF(INDEX('Final Calculation Sheet'!$C$4:$C$40,$AL$40)="","",INDEX('Final Calculation Sheet'!$C$4:$C$40,$AL$40)))</f>
        <v/>
      </c>
      <c r="I40" s="131">
        <f>IF($AL$40="","",IF(INDEX('Final Calculation Sheet'!$H$4:$H$40,$AL$40)="","",INDEX('Final Calculation Sheet'!$H$4:$H$40,$AL$40)))</f>
        <v/>
      </c>
      <c r="J40" s="131">
        <f>IF($AL$40="","",IF(INDEX('Final Calculation Sheet'!$I$4:$I$40,$AL$40)="","",INDEX('Final Calculation Sheet'!$I$4:$I$40,$AL$40)))</f>
        <v/>
      </c>
      <c r="K40" s="131">
        <f>IF($AL$40="","",IF(INDEX('Final Calculation Sheet'!$J$4:$J$40,$AL$40)="","",INDEX('Final Calculation Sheet'!$J$4:$J$40,$AL$40)))</f>
        <v/>
      </c>
      <c r="L40" s="131">
        <f>IF($AL$40="","",IF(INDEX('Final Calculation Sheet'!$K$4:$K$40,$AL$40)="","",INDEX('Final Calculation Sheet'!$K$4:$K$40,$AL$40)))</f>
        <v/>
      </c>
      <c r="M40" s="131">
        <f>IF($AL$40="","",IF(INDEX('Final Calculation Sheet'!$L$4:$L$40,$AL$40)="","",INDEX('Final Calculation Sheet'!$L$4:$L$40,$AL$40)))</f>
        <v/>
      </c>
      <c r="N40" s="131">
        <f>IF($AL$40="","",IF(INDEX('Final Calculation Sheet'!$M$4:$M$40,$AL$40)="","",INDEX('Final Calculation Sheet'!$M$4:$M$40,$AL$40)))</f>
        <v/>
      </c>
      <c r="O40" s="132">
        <f>IF($AL$40="","",IF(INDEX('Final Calculation Sheet'!$N$4:$N$40,$AL$40)="","",INDEX('Final Calculation Sheet'!$N$4:$N$40,$AL$40)))</f>
        <v/>
      </c>
      <c r="P40" s="131">
        <f>IF($AL$40="","",IF(INDEX('Final Calculation Sheet'!$O$4:$O$40,$AL$40)="","",INDEX('Final Calculation Sheet'!$O$4:$O$40,$AL$40)))</f>
        <v/>
      </c>
      <c r="Q40" s="131">
        <f>IF($AL$40="","",IF(INDEX('Final Calculation Sheet'!$P$4:$P$40,$AL$40)="","",INDEX('Final Calculation Sheet'!$P$4:$P$40,$AL$40)))</f>
        <v/>
      </c>
      <c r="R40" s="133">
        <f>IF($AL$40="","",IF(INDEX('Final Calculation Sheet'!$Q$4:$Q$40,$AL$40)="","",INDEX('Final Calculation Sheet'!$Q$4:$Q$40,$AL$40)))</f>
        <v/>
      </c>
      <c r="S40" s="131">
        <f>IF($AL$40="","",IF(INDEX('Final Calculation Sheet'!$R$4:$R$40,$AL$40)="","",INDEX('Final Calculation Sheet'!$R$4:$R$40,$AL$40)))</f>
        <v/>
      </c>
      <c r="T40" s="131">
        <f>IF($AL$40="","",IF(INDEX('Final Calculation Sheet'!$S$4:$S$40,$AL$40)="","",INDEX('Final Calculation Sheet'!$S$4:$S$40,$AL$40)))</f>
        <v/>
      </c>
      <c r="U40" s="131">
        <f>IF($AL$40="","",IF(INDEX('Final Calculation Sheet'!$T$4:$T$40,$AL$40)="","",INDEX('Final Calculation Sheet'!$T$4:$T$40,$AL$40)))</f>
        <v/>
      </c>
      <c r="V40" s="134">
        <f>IF($AL$40="","",IF(INDEX('Final Calculation Sheet'!$U$4:$U$40,$AL$40)="","",INDEX('Final Calculation Sheet'!$U$4:$U$40,$AL$40)))</f>
        <v/>
      </c>
      <c r="W40" s="131">
        <f>IF($AL$40="","",IF(INDEX('Final Calculation Sheet'!$V$4:$V$40,$AL$40)="","",INDEX('Final Calculation Sheet'!$V$4:$V$40,$AL$40)))</f>
        <v/>
      </c>
      <c r="X40" s="131">
        <f>IF($AL$40="","",IF(INDEX('Final Calculation Sheet'!$W$4:$W$40,$AL$40)="","",INDEX('Final Calculation Sheet'!$W$4:$W$40,$AL$40)))</f>
        <v/>
      </c>
      <c r="Y40" s="131">
        <f>IF($AL$40="","",IF(INDEX('Final Calculation Sheet'!$X$4:$X$40,$AL$40)="","",INDEX('Final Calculation Sheet'!$X$4:$X$40,$AL$40)))</f>
        <v/>
      </c>
      <c r="Z40" s="131">
        <f>IF($AL$40="","",IF(INDEX('Final Calculation Sheet'!$Y$4:$Y$40,$AL$40)="","",INDEX('Final Calculation Sheet'!$Y$4:$Y$40,$AL$40)))</f>
        <v/>
      </c>
      <c r="AA40" s="131">
        <f>IF($AL$40="","",IF(INDEX('Final Calculation Sheet'!$Z$4:$Z$40,$AL$40)="","",INDEX('Final Calculation Sheet'!$Z$4:$Z$40,$AL$40)))</f>
        <v/>
      </c>
      <c r="AB40" s="131">
        <f>IF($AL$40="","",IF(INDEX('Final Calculation Sheet'!$AA$4:$AA$40,$AL$40)="","",INDEX('Final Calculation Sheet'!$AA$4:$AA$40,$AL$40)))</f>
        <v/>
      </c>
      <c r="AC40" s="131">
        <f>IF($AL$40="","",IF(INDEX('Final Calculation Sheet'!$AB$4:$AB$40,$AL$40)="","",INDEX('Final Calculation Sheet'!$AB$4:$AB$40,$AL$40)))</f>
        <v/>
      </c>
      <c r="AD40" s="131">
        <f>IF($AL$40="","",IF(INDEX('Final Calculation Sheet'!$AC$4:$AC$40,$AL$40)="","",INDEX('Final Calculation Sheet'!$AC$4:$AC$40,$AL$40)))</f>
        <v/>
      </c>
      <c r="AE40" s="131">
        <f>IF($AL$40="","",IF(INDEX('Final Calculation Sheet'!$AD$4:$AD$40,$AL$40)="","",INDEX('Final Calculation Sheet'!$AD$4:$AD$40,$AL$40)))</f>
        <v/>
      </c>
      <c r="AF40" s="136">
        <f>IF($AL$40="","",IF(INDEX('Final Calculation Sheet'!$AD$4:$AD$40,$AL$40)&lt;=5,"SETTLED","OUTSTANDING"))</f>
        <v/>
      </c>
      <c r="AG40" s="131">
        <f>IF($AL$40="","",IF(INDEX('Final Calculation Sheet'!$AF$4:$AF$40,$AL$40)="","",INDEX('Final Calculation Sheet'!$AF$4:$AF$40,$AL$40)))</f>
        <v/>
      </c>
      <c r="AH40" s="135">
        <f>IF($AL$40="","",IF(INDEX('Final Calculation Sheet'!$AG$4:$AG$40,$AL$40)="","",INDEX('Final Calculation Sheet'!$AG$4:$AG$40,$AL$40)))</f>
        <v/>
      </c>
      <c r="AI40" s="131">
        <f>IF($AL$40="","",IF(INDEX('Final Calculation Sheet'!$AH$4:$AH$40,$AL$40)="","",INDEX('Final Calculation Sheet'!$AH$4:$AH$40,$AL$40)))</f>
        <v/>
      </c>
      <c r="AJ40">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40">
        <f>IF(AJ40=1,COUNTIF(AJ$6:AJ40,1),"")</f>
        <v/>
      </c>
      <c r="AL40">
        <f>IF(COUNTIF($B$4:$AI$4,"&lt;&gt;")=0,"",IFERROR(MATCH(34,$AK$6:$AK$42,0),""))</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G40">
        <f>IF($B$4="",1,IF($B$4="(blank)",--('Final Calculation Sheet'!$F$38=""),IF($B$4="(nonblank)",--('Final Calculation Sheet'!$F$38&lt;&gt;""),--ISNUMBER(SEARCH($B$4,'Final Calculation Sheet'!$F$38)))))</f>
        <v/>
      </c>
      <c r="DH40">
        <f>IF($C$4="",1,IF($C$4="(blank)",--('Final Calculation Sheet'!$G$38=""),IF($C$4="(nonblank)",--('Final Calculation Sheet'!$G$38&lt;&gt;""),--ISNUMBER(SEARCH($C$4,'Final Calculation Sheet'!$G$38)))))</f>
        <v/>
      </c>
      <c r="DI40">
        <f>IF($D$4="",1,IF($D$4="(blank)",--('Final Calculation Sheet'!$B$38=""),IF($D$4="(nonblank)",--('Final Calculation Sheet'!$B$38&lt;&gt;""),--ISNUMBER(SEARCH($D$4,'Final Calculation Sheet'!$B$38)))))</f>
        <v/>
      </c>
      <c r="DJ40">
        <f>IF($E$4="",1,IF($E$4="(blank)",--('Final Calculation Sheet'!$D$38=""),IF($E$4="(nonblank)",--('Final Calculation Sheet'!$D$38&lt;&gt;""),--ISNUMBER(SEARCH($E$4,'Final Calculation Sheet'!$D$38)))))</f>
        <v/>
      </c>
      <c r="DK40">
        <f>IF($F$4="",1,IF($F$4="(blank)",--('Final Calculation Sheet'!$A$38=""),IF($F$4="(nonblank)",--('Final Calculation Sheet'!$A$38&lt;&gt;""),--ISNUMBER(SEARCH($F$4,'Final Calculation Sheet'!$A$38)))))</f>
        <v/>
      </c>
      <c r="DL40">
        <f>IF($G$4="",1,IF($G$4="(blank)",--('Final Calculation Sheet'!$E$38=""),IF($G$4="(nonblank)",--('Final Calculation Sheet'!$E$38&lt;&gt;""),--ISNUMBER(SEARCH($G$4,'Final Calculation Sheet'!$E$38)))))</f>
        <v/>
      </c>
      <c r="DM40">
        <f>IF($H$4="",1,IF($H$4="(blank)",--('Final Calculation Sheet'!$C$38=""),IF($H$4="(nonblank)",--('Final Calculation Sheet'!$C$38&lt;&gt;""),--ISNUMBER(SEARCH($H$4,'Final Calculation Sheet'!$C$38)))))</f>
        <v/>
      </c>
      <c r="DN40">
        <f>IF($I$4="",1,IF($I$4="(blank)",--('Final Calculation Sheet'!$H$38=""),IF($I$4="(nonblank)",--('Final Calculation Sheet'!$H$38&lt;&gt;""),--ISNUMBER(SEARCH($I$4,'Final Calculation Sheet'!$H$38)))))</f>
        <v/>
      </c>
      <c r="DO40">
        <f>IF($J$4="",1,IF($J$4="(blank)",--('Final Calculation Sheet'!$I$38=""),IF($J$4="(nonblank)",--('Final Calculation Sheet'!$I$38&lt;&gt;""),--ISNUMBER(SEARCH($J$4,'Final Calculation Sheet'!$I$38)))))</f>
        <v/>
      </c>
      <c r="DP40">
        <f>IF($K$4="",1,IF($K$4="(blank)",--('Final Calculation Sheet'!$J$38=""),IF($K$4="(nonblank)",--('Final Calculation Sheet'!$J$38&lt;&gt;""),--ISNUMBER(SEARCH($K$4,'Final Calculation Sheet'!$J$38)))))</f>
        <v/>
      </c>
      <c r="DQ40">
        <f>IF($L$4="",1,IF($L$4="(blank)",--('Final Calculation Sheet'!$K$38=""),IF($L$4="(nonblank)",--('Final Calculation Sheet'!$K$38&lt;&gt;""),--ISNUMBER(SEARCH($L$4,'Final Calculation Sheet'!$K$38)))))</f>
        <v/>
      </c>
      <c r="DR40">
        <f>IF($M$4="",1,IF($M$4="(blank)",--('Final Calculation Sheet'!$L$38=""),IF($M$4="(nonblank)",--('Final Calculation Sheet'!$L$38&lt;&gt;""),--ISNUMBER(SEARCH($M$4,'Final Calculation Sheet'!$L$38)))))</f>
        <v/>
      </c>
      <c r="DS40">
        <f>IF($N$4="",1,IF($N$4="(blank)",--('Final Calculation Sheet'!$M$38=""),IF($N$4="(nonblank)",--('Final Calculation Sheet'!$M$38&lt;&gt;""),--ISNUMBER(SEARCH($N$4,'Final Calculation Sheet'!$M$38)))))</f>
        <v/>
      </c>
      <c r="DT40">
        <f>IF($O$4="",1,IF($O$4="(blank)",--('Final Calculation Sheet'!$N$38=""),IF($O$4="(nonblank)",--('Final Calculation Sheet'!$N$38&lt;&gt;""),--ISNUMBER(SEARCH($O$4,'Final Calculation Sheet'!$N$38)))))</f>
        <v/>
      </c>
      <c r="DU40">
        <f>IF($P$4="",1,IF($P$4="(blank)",--('Final Calculation Sheet'!$O$38=""),IF($P$4="(nonblank)",--('Final Calculation Sheet'!$O$38&lt;&gt;""),--ISNUMBER(SEARCH($P$4,'Final Calculation Sheet'!$O$38)))))</f>
        <v/>
      </c>
      <c r="DV40">
        <f>IF($Q$4="",1,IF($Q$4="(blank)",--('Final Calculation Sheet'!$P$38=""),IF($Q$4="(nonblank)",--('Final Calculation Sheet'!$P$38&lt;&gt;""),--ISNUMBER(SEARCH($Q$4,'Final Calculation Sheet'!$P$38)))))</f>
        <v/>
      </c>
      <c r="DW40">
        <f>IF($R$4="",1,IF($R$4="(blank)",--('Final Calculation Sheet'!$Q$38=""),IF($R$4="(nonblank)",--('Final Calculation Sheet'!$Q$38&lt;&gt;""),--ISNUMBER(SEARCH($R$4,'Final Calculation Sheet'!$Q$38)))))</f>
        <v/>
      </c>
      <c r="DX40">
        <f>IF($S$4="",1,IF($S$4="(blank)",--('Final Calculation Sheet'!$R$38=""),IF($S$4="(nonblank)",--('Final Calculation Sheet'!$R$38&lt;&gt;""),--ISNUMBER(SEARCH($S$4,'Final Calculation Sheet'!$R$38)))))</f>
        <v/>
      </c>
      <c r="DY40">
        <f>IF($T$4="",1,IF($T$4="(blank)",--('Final Calculation Sheet'!$S$38=""),IF($T$4="(nonblank)",--('Final Calculation Sheet'!$S$38&lt;&gt;""),--ISNUMBER(SEARCH($T$4,'Final Calculation Sheet'!$S$38)))))</f>
        <v/>
      </c>
      <c r="DZ40">
        <f>IF($U$4="",1,IF($U$4="(blank)",--('Final Calculation Sheet'!$T$38=""),IF($U$4="(nonblank)",--('Final Calculation Sheet'!$T$38&lt;&gt;""),--ISNUMBER(SEARCH($U$4,'Final Calculation Sheet'!$T$38)))))</f>
        <v/>
      </c>
      <c r="EA40">
        <f>IF($V$4="",1,IF($V$4="(blank)",--('Final Calculation Sheet'!$U$38=""),IF($V$4="(nonblank)",--('Final Calculation Sheet'!$U$38&lt;&gt;""),--ISNUMBER(SEARCH($V$4,'Final Calculation Sheet'!$U$38)))))</f>
        <v/>
      </c>
      <c r="EB40">
        <f>IF($W$4="",1,IF($W$4="(blank)",--('Final Calculation Sheet'!$V$38=""),IF($W$4="(nonblank)",--('Final Calculation Sheet'!$V$38&lt;&gt;""),--ISNUMBER(SEARCH($W$4,'Final Calculation Sheet'!$V$38)))))</f>
        <v/>
      </c>
      <c r="EC40">
        <f>IF($X$4="",1,IF($X$4="(blank)",--('Final Calculation Sheet'!$W$38=""),IF($X$4="(nonblank)",--('Final Calculation Sheet'!$W$38&lt;&gt;""),--ISNUMBER(SEARCH($X$4,'Final Calculation Sheet'!$W$38)))))</f>
        <v/>
      </c>
      <c r="ED40">
        <f>IF($Y$4="",1,IF($Y$4="(blank)",--('Final Calculation Sheet'!$X$38=""),IF($Y$4="(nonblank)",--('Final Calculation Sheet'!$X$38&lt;&gt;""),--ISNUMBER(SEARCH($Y$4,'Final Calculation Sheet'!$X$38)))))</f>
        <v/>
      </c>
      <c r="EE40">
        <f>IF($Z$4="",1,IF($Z$4="(blank)",--('Final Calculation Sheet'!$Y$38=""),IF($Z$4="(nonblank)",--('Final Calculation Sheet'!$Y$38&lt;&gt;""),--ISNUMBER(SEARCH($Z$4,'Final Calculation Sheet'!$Y$38)))))</f>
        <v/>
      </c>
      <c r="EF40">
        <f>IF($AA$4="",1,IF($AA$4="(blank)",--('Final Calculation Sheet'!$Z$38=""),IF($AA$4="(nonblank)",--('Final Calculation Sheet'!$Z$38&lt;&gt;""),--ISNUMBER(SEARCH($AA$4,'Final Calculation Sheet'!$Z$38)))))</f>
        <v/>
      </c>
      <c r="EG40">
        <f>IF($AB$4="",1,IF($AB$4="(blank)",--('Final Calculation Sheet'!$AA$38=""),IF($AB$4="(nonblank)",--('Final Calculation Sheet'!$AA$38&lt;&gt;""),--ISNUMBER(SEARCH($AB$4,'Final Calculation Sheet'!$AA$38)))))</f>
        <v/>
      </c>
      <c r="EH40">
        <f>IF($AC$4="",1,IF($AC$4="(blank)",--('Final Calculation Sheet'!$AB$38=""),IF($AC$4="(nonblank)",--('Final Calculation Sheet'!$AB$38&lt;&gt;""),--ISNUMBER(SEARCH($AC$4,'Final Calculation Sheet'!$AB$38)))))</f>
        <v/>
      </c>
      <c r="EI40">
        <f>IF($AD$4="",1,IF($AD$4="(blank)",--('Final Calculation Sheet'!$AC$38=""),IF($AD$4="(nonblank)",--('Final Calculation Sheet'!$AC$38&lt;&gt;""),--ISNUMBER(SEARCH($AD$4,'Final Calculation Sheet'!$AC$38)))))</f>
        <v/>
      </c>
      <c r="EJ40">
        <f>IF($AE$4="",1,IF($AE$4="(blank)",--('Final Calculation Sheet'!$AD$38=""),IF($AE$4="(nonblank)",--('Final Calculation Sheet'!$AD$38&lt;&gt;""),--ISNUMBER(SEARCH($AE$4,'Final Calculation Sheet'!$AD$38)))))</f>
        <v/>
      </c>
      <c r="EK40">
        <f>IF($AF$4="",1,IF($AF$4="(blank)",--(IF('Final Calculation Sheet'!$AD$38&lt;=5,"SETTLED","OUTSTANDING")=""),IF($AF$4="(nonblank)",--(IF('Final Calculation Sheet'!$AD$38&lt;=5,"SETTLED","OUTSTANDING")&lt;&gt;""),--ISNUMBER(SEARCH($AF$4,IF('Final Calculation Sheet'!$AD$38&lt;=5,"SETTLED","OUTSTANDING"))))))</f>
        <v/>
      </c>
      <c r="EL40">
        <f>IF($AG$4="",1,IF($AG$4="(blank)",--('Final Calculation Sheet'!$AF$38=""),IF($AG$4="(nonblank)",--('Final Calculation Sheet'!$AF$38&lt;&gt;""),--ISNUMBER(SEARCH($AG$4,'Final Calculation Sheet'!$AF$38)))))</f>
        <v/>
      </c>
      <c r="EM40">
        <f>IF($AH$4="",1,IF($AH$4="(blank)",--('Final Calculation Sheet'!$AG$38=""),IF($AH$4="(nonblank)",--('Final Calculation Sheet'!$AG$38&lt;&gt;""),--ISNUMBER(SEARCH($AH$4,'Final Calculation Sheet'!$AG$38)))))</f>
        <v/>
      </c>
      <c r="EN40">
        <f>IF($AI$4="",1,IF($AI$4="(blank)",--('Final Calculation Sheet'!$AH$38=""),IF($AI$4="(nonblank)",--('Final Calculation Sheet'!$AH$38&lt;&gt;""),--ISNUMBER(SEARCH($AI$4,'Final Calculation Sheet'!$AH$38)))))</f>
        <v/>
      </c>
    </row>
    <row r="41" outlineLevel="1" hidden="1">
      <c r="A41" s="118">
        <f>IF($AL$41="","",35)</f>
        <v/>
      </c>
      <c r="B41" s="119">
        <f>IF($AL$41="","",IF(INDEX('Final Calculation Sheet'!$F$4:$F$40,$AL$41)="","",INDEX('Final Calculation Sheet'!$F$4:$F$40,$AL$41)))</f>
        <v/>
      </c>
      <c r="C41" s="119">
        <f>IF($AL$41="","",IF(INDEX('Final Calculation Sheet'!$G$4:$G$40,$AL$41)="","",INDEX('Final Calculation Sheet'!$G$4:$G$40,$AL$41)))</f>
        <v/>
      </c>
      <c r="D41" s="121">
        <f>IF($AL$41="","",IF(INDEX('Final Calculation Sheet'!$B$4:$B$40,$AL$41)="","",INDEX('Final Calculation Sheet'!$B$4:$B$40,$AL$41)))</f>
        <v/>
      </c>
      <c r="E41" s="121">
        <f>IF($AL$41="","",IF(INDEX('Final Calculation Sheet'!$D$4:$D$40,$AL$41)="","",INDEX('Final Calculation Sheet'!$D$4:$D$40,$AL$41)))</f>
        <v/>
      </c>
      <c r="F41" s="121">
        <f>IF($AL$41="","",IF(INDEX('Final Calculation Sheet'!$A$4:$A$40,$AL$41)="","",INDEX('Final Calculation Sheet'!$A$4:$A$40,$AL$41)))</f>
        <v/>
      </c>
      <c r="G41" s="121">
        <f>IF($AL$41="","",IF(INDEX('Final Calculation Sheet'!$E$4:$E$40,$AL$41)="","",INDEX('Final Calculation Sheet'!$E$4:$E$40,$AL$41)))</f>
        <v/>
      </c>
      <c r="H41" s="122">
        <f>IF($AL$41="","",IF(INDEX('Final Calculation Sheet'!$C$4:$C$40,$AL$41)="","",INDEX('Final Calculation Sheet'!$C$4:$C$40,$AL$41)))</f>
        <v/>
      </c>
      <c r="I41" s="122">
        <f>IF($AL$41="","",IF(INDEX('Final Calculation Sheet'!$H$4:$H$40,$AL$41)="","",INDEX('Final Calculation Sheet'!$H$4:$H$40,$AL$41)))</f>
        <v/>
      </c>
      <c r="J41" s="122">
        <f>IF($AL$41="","",IF(INDEX('Final Calculation Sheet'!$I$4:$I$40,$AL$41)="","",INDEX('Final Calculation Sheet'!$I$4:$I$40,$AL$41)))</f>
        <v/>
      </c>
      <c r="K41" s="122">
        <f>IF($AL$41="","",IF(INDEX('Final Calculation Sheet'!$J$4:$J$40,$AL$41)="","",INDEX('Final Calculation Sheet'!$J$4:$J$40,$AL$41)))</f>
        <v/>
      </c>
      <c r="L41" s="122">
        <f>IF($AL$41="","",IF(INDEX('Final Calculation Sheet'!$K$4:$K$40,$AL$41)="","",INDEX('Final Calculation Sheet'!$K$4:$K$40,$AL$41)))</f>
        <v/>
      </c>
      <c r="M41" s="122">
        <f>IF($AL$41="","",IF(INDEX('Final Calculation Sheet'!$L$4:$L$40,$AL$41)="","",INDEX('Final Calculation Sheet'!$L$4:$L$40,$AL$41)))</f>
        <v/>
      </c>
      <c r="N41" s="122">
        <f>IF($AL$41="","",IF(INDEX('Final Calculation Sheet'!$M$4:$M$40,$AL$41)="","",INDEX('Final Calculation Sheet'!$M$4:$M$40,$AL$41)))</f>
        <v/>
      </c>
      <c r="O41" s="123">
        <f>IF($AL$41="","",IF(INDEX('Final Calculation Sheet'!$N$4:$N$40,$AL$41)="","",INDEX('Final Calculation Sheet'!$N$4:$N$40,$AL$41)))</f>
        <v/>
      </c>
      <c r="P41" s="122">
        <f>IF($AL$41="","",IF(INDEX('Final Calculation Sheet'!$O$4:$O$40,$AL$41)="","",INDEX('Final Calculation Sheet'!$O$4:$O$40,$AL$41)))</f>
        <v/>
      </c>
      <c r="Q41" s="122">
        <f>IF($AL$41="","",IF(INDEX('Final Calculation Sheet'!$P$4:$P$40,$AL$41)="","",INDEX('Final Calculation Sheet'!$P$4:$P$40,$AL$41)))</f>
        <v/>
      </c>
      <c r="R41" s="124">
        <f>IF($AL$41="","",IF(INDEX('Final Calculation Sheet'!$Q$4:$Q$40,$AL$41)="","",INDEX('Final Calculation Sheet'!$Q$4:$Q$40,$AL$41)))</f>
        <v/>
      </c>
      <c r="S41" s="122">
        <f>IF($AL$41="","",IF(INDEX('Final Calculation Sheet'!$R$4:$R$40,$AL$41)="","",INDEX('Final Calculation Sheet'!$R$4:$R$40,$AL$41)))</f>
        <v/>
      </c>
      <c r="T41" s="122">
        <f>IF($AL$41="","",IF(INDEX('Final Calculation Sheet'!$S$4:$S$40,$AL$41)="","",INDEX('Final Calculation Sheet'!$S$4:$S$40,$AL$41)))</f>
        <v/>
      </c>
      <c r="U41" s="122">
        <f>IF($AL$41="","",IF(INDEX('Final Calculation Sheet'!$T$4:$T$40,$AL$41)="","",INDEX('Final Calculation Sheet'!$T$4:$T$40,$AL$41)))</f>
        <v/>
      </c>
      <c r="V41" s="125">
        <f>IF($AL$41="","",IF(INDEX('Final Calculation Sheet'!$U$4:$U$40,$AL$41)="","",INDEX('Final Calculation Sheet'!$U$4:$U$40,$AL$41)))</f>
        <v/>
      </c>
      <c r="W41" s="122">
        <f>IF($AL$41="","",IF(INDEX('Final Calculation Sheet'!$V$4:$V$40,$AL$41)="","",INDEX('Final Calculation Sheet'!$V$4:$V$40,$AL$41)))</f>
        <v/>
      </c>
      <c r="X41" s="122">
        <f>IF($AL$41="","",IF(INDEX('Final Calculation Sheet'!$W$4:$W$40,$AL$41)="","",INDEX('Final Calculation Sheet'!$W$4:$W$40,$AL$41)))</f>
        <v/>
      </c>
      <c r="Y41" s="122">
        <f>IF($AL$41="","",IF(INDEX('Final Calculation Sheet'!$X$4:$X$40,$AL$41)="","",INDEX('Final Calculation Sheet'!$X$4:$X$40,$AL$41)))</f>
        <v/>
      </c>
      <c r="Z41" s="122">
        <f>IF($AL$41="","",IF(INDEX('Final Calculation Sheet'!$Y$4:$Y$40,$AL$41)="","",INDEX('Final Calculation Sheet'!$Y$4:$Y$40,$AL$41)))</f>
        <v/>
      </c>
      <c r="AA41" s="122">
        <f>IF($AL$41="","",IF(INDEX('Final Calculation Sheet'!$Z$4:$Z$40,$AL$41)="","",INDEX('Final Calculation Sheet'!$Z$4:$Z$40,$AL$41)))</f>
        <v/>
      </c>
      <c r="AB41" s="122">
        <f>IF($AL$41="","",IF(INDEX('Final Calculation Sheet'!$AA$4:$AA$40,$AL$41)="","",INDEX('Final Calculation Sheet'!$AA$4:$AA$40,$AL$41)))</f>
        <v/>
      </c>
      <c r="AC41" s="122">
        <f>IF($AL$41="","",IF(INDEX('Final Calculation Sheet'!$AB$4:$AB$40,$AL$41)="","",INDEX('Final Calculation Sheet'!$AB$4:$AB$40,$AL$41)))</f>
        <v/>
      </c>
      <c r="AD41" s="122">
        <f>IF($AL$41="","",IF(INDEX('Final Calculation Sheet'!$AC$4:$AC$40,$AL$41)="","",INDEX('Final Calculation Sheet'!$AC$4:$AC$40,$AL$41)))</f>
        <v/>
      </c>
      <c r="AE41" s="122">
        <f>IF($AL$41="","",IF(INDEX('Final Calculation Sheet'!$AD$4:$AD$40,$AL$41)="","",INDEX('Final Calculation Sheet'!$AD$4:$AD$40,$AL$41)))</f>
        <v/>
      </c>
      <c r="AF41" s="127">
        <f>IF($AL$41="","",IF(INDEX('Final Calculation Sheet'!$AD$4:$AD$40,$AL$41)&lt;=5,"SETTLED","OUTSTANDING"))</f>
        <v/>
      </c>
      <c r="AG41" s="122">
        <f>IF($AL$41="","",IF(INDEX('Final Calculation Sheet'!$AF$4:$AF$40,$AL$41)="","",INDEX('Final Calculation Sheet'!$AF$4:$AF$40,$AL$41)))</f>
        <v/>
      </c>
      <c r="AH41" s="126">
        <f>IF($AL$41="","",IF(INDEX('Final Calculation Sheet'!$AG$4:$AG$40,$AL$41)="","",INDEX('Final Calculation Sheet'!$AG$4:$AG$40,$AL$41)))</f>
        <v/>
      </c>
      <c r="AI41" s="122">
        <f>IF($AL$41="","",IF(INDEX('Final Calculation Sheet'!$AH$4:$AH$40,$AL$41)="","",INDEX('Final Calculation Sheet'!$AH$4:$AH$40,$AL$41)))</f>
        <v/>
      </c>
      <c r="AJ41">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41">
        <f>IF(AJ41=1,COUNTIF(AJ$6:AJ41,1),"")</f>
        <v/>
      </c>
      <c r="AL41">
        <f>IF(COUNTIF($B$4:$AI$4,"&lt;&gt;")=0,"",IFERROR(MATCH(35,$AK$6:$AK$42,0),""))</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G41">
        <f>IF($B$4="",1,IF($B$4="(blank)",--('Final Calculation Sheet'!$F$39=""),IF($B$4="(nonblank)",--('Final Calculation Sheet'!$F$39&lt;&gt;""),--ISNUMBER(SEARCH($B$4,'Final Calculation Sheet'!$F$39)))))</f>
        <v/>
      </c>
      <c r="DH41">
        <f>IF($C$4="",1,IF($C$4="(blank)",--('Final Calculation Sheet'!$G$39=""),IF($C$4="(nonblank)",--('Final Calculation Sheet'!$G$39&lt;&gt;""),--ISNUMBER(SEARCH($C$4,'Final Calculation Sheet'!$G$39)))))</f>
        <v/>
      </c>
      <c r="DI41">
        <f>IF($D$4="",1,IF($D$4="(blank)",--('Final Calculation Sheet'!$B$39=""),IF($D$4="(nonblank)",--('Final Calculation Sheet'!$B$39&lt;&gt;""),--ISNUMBER(SEARCH($D$4,'Final Calculation Sheet'!$B$39)))))</f>
        <v/>
      </c>
      <c r="DJ41">
        <f>IF($E$4="",1,IF($E$4="(blank)",--('Final Calculation Sheet'!$D$39=""),IF($E$4="(nonblank)",--('Final Calculation Sheet'!$D$39&lt;&gt;""),--ISNUMBER(SEARCH($E$4,'Final Calculation Sheet'!$D$39)))))</f>
        <v/>
      </c>
      <c r="DK41">
        <f>IF($F$4="",1,IF($F$4="(blank)",--('Final Calculation Sheet'!$A$39=""),IF($F$4="(nonblank)",--('Final Calculation Sheet'!$A$39&lt;&gt;""),--ISNUMBER(SEARCH($F$4,'Final Calculation Sheet'!$A$39)))))</f>
        <v/>
      </c>
      <c r="DL41">
        <f>IF($G$4="",1,IF($G$4="(blank)",--('Final Calculation Sheet'!$E$39=""),IF($G$4="(nonblank)",--('Final Calculation Sheet'!$E$39&lt;&gt;""),--ISNUMBER(SEARCH($G$4,'Final Calculation Sheet'!$E$39)))))</f>
        <v/>
      </c>
      <c r="DM41">
        <f>IF($H$4="",1,IF($H$4="(blank)",--('Final Calculation Sheet'!$C$39=""),IF($H$4="(nonblank)",--('Final Calculation Sheet'!$C$39&lt;&gt;""),--ISNUMBER(SEARCH($H$4,'Final Calculation Sheet'!$C$39)))))</f>
        <v/>
      </c>
      <c r="DN41">
        <f>IF($I$4="",1,IF($I$4="(blank)",--('Final Calculation Sheet'!$H$39=""),IF($I$4="(nonblank)",--('Final Calculation Sheet'!$H$39&lt;&gt;""),--ISNUMBER(SEARCH($I$4,'Final Calculation Sheet'!$H$39)))))</f>
        <v/>
      </c>
      <c r="DO41">
        <f>IF($J$4="",1,IF($J$4="(blank)",--('Final Calculation Sheet'!$I$39=""),IF($J$4="(nonblank)",--('Final Calculation Sheet'!$I$39&lt;&gt;""),--ISNUMBER(SEARCH($J$4,'Final Calculation Sheet'!$I$39)))))</f>
        <v/>
      </c>
      <c r="DP41">
        <f>IF($K$4="",1,IF($K$4="(blank)",--('Final Calculation Sheet'!$J$39=""),IF($K$4="(nonblank)",--('Final Calculation Sheet'!$J$39&lt;&gt;""),--ISNUMBER(SEARCH($K$4,'Final Calculation Sheet'!$J$39)))))</f>
        <v/>
      </c>
      <c r="DQ41">
        <f>IF($L$4="",1,IF($L$4="(blank)",--('Final Calculation Sheet'!$K$39=""),IF($L$4="(nonblank)",--('Final Calculation Sheet'!$K$39&lt;&gt;""),--ISNUMBER(SEARCH($L$4,'Final Calculation Sheet'!$K$39)))))</f>
        <v/>
      </c>
      <c r="DR41">
        <f>IF($M$4="",1,IF($M$4="(blank)",--('Final Calculation Sheet'!$L$39=""),IF($M$4="(nonblank)",--('Final Calculation Sheet'!$L$39&lt;&gt;""),--ISNUMBER(SEARCH($M$4,'Final Calculation Sheet'!$L$39)))))</f>
        <v/>
      </c>
      <c r="DS41">
        <f>IF($N$4="",1,IF($N$4="(blank)",--('Final Calculation Sheet'!$M$39=""),IF($N$4="(nonblank)",--('Final Calculation Sheet'!$M$39&lt;&gt;""),--ISNUMBER(SEARCH($N$4,'Final Calculation Sheet'!$M$39)))))</f>
        <v/>
      </c>
      <c r="DT41">
        <f>IF($O$4="",1,IF($O$4="(blank)",--('Final Calculation Sheet'!$N$39=""),IF($O$4="(nonblank)",--('Final Calculation Sheet'!$N$39&lt;&gt;""),--ISNUMBER(SEARCH($O$4,'Final Calculation Sheet'!$N$39)))))</f>
        <v/>
      </c>
      <c r="DU41">
        <f>IF($P$4="",1,IF($P$4="(blank)",--('Final Calculation Sheet'!$O$39=""),IF($P$4="(nonblank)",--('Final Calculation Sheet'!$O$39&lt;&gt;""),--ISNUMBER(SEARCH($P$4,'Final Calculation Sheet'!$O$39)))))</f>
        <v/>
      </c>
      <c r="DV41">
        <f>IF($Q$4="",1,IF($Q$4="(blank)",--('Final Calculation Sheet'!$P$39=""),IF($Q$4="(nonblank)",--('Final Calculation Sheet'!$P$39&lt;&gt;""),--ISNUMBER(SEARCH($Q$4,'Final Calculation Sheet'!$P$39)))))</f>
        <v/>
      </c>
      <c r="DW41">
        <f>IF($R$4="",1,IF($R$4="(blank)",--('Final Calculation Sheet'!$Q$39=""),IF($R$4="(nonblank)",--('Final Calculation Sheet'!$Q$39&lt;&gt;""),--ISNUMBER(SEARCH($R$4,'Final Calculation Sheet'!$Q$39)))))</f>
        <v/>
      </c>
      <c r="DX41">
        <f>IF($S$4="",1,IF($S$4="(blank)",--('Final Calculation Sheet'!$R$39=""),IF($S$4="(nonblank)",--('Final Calculation Sheet'!$R$39&lt;&gt;""),--ISNUMBER(SEARCH($S$4,'Final Calculation Sheet'!$R$39)))))</f>
        <v/>
      </c>
      <c r="DY41">
        <f>IF($T$4="",1,IF($T$4="(blank)",--('Final Calculation Sheet'!$S$39=""),IF($T$4="(nonblank)",--('Final Calculation Sheet'!$S$39&lt;&gt;""),--ISNUMBER(SEARCH($T$4,'Final Calculation Sheet'!$S$39)))))</f>
        <v/>
      </c>
      <c r="DZ41">
        <f>IF($U$4="",1,IF($U$4="(blank)",--('Final Calculation Sheet'!$T$39=""),IF($U$4="(nonblank)",--('Final Calculation Sheet'!$T$39&lt;&gt;""),--ISNUMBER(SEARCH($U$4,'Final Calculation Sheet'!$T$39)))))</f>
        <v/>
      </c>
      <c r="EA41">
        <f>IF($V$4="",1,IF($V$4="(blank)",--('Final Calculation Sheet'!$U$39=""),IF($V$4="(nonblank)",--('Final Calculation Sheet'!$U$39&lt;&gt;""),--ISNUMBER(SEARCH($V$4,'Final Calculation Sheet'!$U$39)))))</f>
        <v/>
      </c>
      <c r="EB41">
        <f>IF($W$4="",1,IF($W$4="(blank)",--('Final Calculation Sheet'!$V$39=""),IF($W$4="(nonblank)",--('Final Calculation Sheet'!$V$39&lt;&gt;""),--ISNUMBER(SEARCH($W$4,'Final Calculation Sheet'!$V$39)))))</f>
        <v/>
      </c>
      <c r="EC41">
        <f>IF($X$4="",1,IF($X$4="(blank)",--('Final Calculation Sheet'!$W$39=""),IF($X$4="(nonblank)",--('Final Calculation Sheet'!$W$39&lt;&gt;""),--ISNUMBER(SEARCH($X$4,'Final Calculation Sheet'!$W$39)))))</f>
        <v/>
      </c>
      <c r="ED41">
        <f>IF($Y$4="",1,IF($Y$4="(blank)",--('Final Calculation Sheet'!$X$39=""),IF($Y$4="(nonblank)",--('Final Calculation Sheet'!$X$39&lt;&gt;""),--ISNUMBER(SEARCH($Y$4,'Final Calculation Sheet'!$X$39)))))</f>
        <v/>
      </c>
      <c r="EE41">
        <f>IF($Z$4="",1,IF($Z$4="(blank)",--('Final Calculation Sheet'!$Y$39=""),IF($Z$4="(nonblank)",--('Final Calculation Sheet'!$Y$39&lt;&gt;""),--ISNUMBER(SEARCH($Z$4,'Final Calculation Sheet'!$Y$39)))))</f>
        <v/>
      </c>
      <c r="EF41">
        <f>IF($AA$4="",1,IF($AA$4="(blank)",--('Final Calculation Sheet'!$Z$39=""),IF($AA$4="(nonblank)",--('Final Calculation Sheet'!$Z$39&lt;&gt;""),--ISNUMBER(SEARCH($AA$4,'Final Calculation Sheet'!$Z$39)))))</f>
        <v/>
      </c>
      <c r="EG41">
        <f>IF($AB$4="",1,IF($AB$4="(blank)",--('Final Calculation Sheet'!$AA$39=""),IF($AB$4="(nonblank)",--('Final Calculation Sheet'!$AA$39&lt;&gt;""),--ISNUMBER(SEARCH($AB$4,'Final Calculation Sheet'!$AA$39)))))</f>
        <v/>
      </c>
      <c r="EH41">
        <f>IF($AC$4="",1,IF($AC$4="(blank)",--('Final Calculation Sheet'!$AB$39=""),IF($AC$4="(nonblank)",--('Final Calculation Sheet'!$AB$39&lt;&gt;""),--ISNUMBER(SEARCH($AC$4,'Final Calculation Sheet'!$AB$39)))))</f>
        <v/>
      </c>
      <c r="EI41">
        <f>IF($AD$4="",1,IF($AD$4="(blank)",--('Final Calculation Sheet'!$AC$39=""),IF($AD$4="(nonblank)",--('Final Calculation Sheet'!$AC$39&lt;&gt;""),--ISNUMBER(SEARCH($AD$4,'Final Calculation Sheet'!$AC$39)))))</f>
        <v/>
      </c>
      <c r="EJ41">
        <f>IF($AE$4="",1,IF($AE$4="(blank)",--('Final Calculation Sheet'!$AD$39=""),IF($AE$4="(nonblank)",--('Final Calculation Sheet'!$AD$39&lt;&gt;""),--ISNUMBER(SEARCH($AE$4,'Final Calculation Sheet'!$AD$39)))))</f>
        <v/>
      </c>
      <c r="EK41">
        <f>IF($AF$4="",1,IF($AF$4="(blank)",--(IF('Final Calculation Sheet'!$AD$39&lt;=5,"SETTLED","OUTSTANDING")=""),IF($AF$4="(nonblank)",--(IF('Final Calculation Sheet'!$AD$39&lt;=5,"SETTLED","OUTSTANDING")&lt;&gt;""),--ISNUMBER(SEARCH($AF$4,IF('Final Calculation Sheet'!$AD$39&lt;=5,"SETTLED","OUTSTANDING"))))))</f>
        <v/>
      </c>
      <c r="EL41">
        <f>IF($AG$4="",1,IF($AG$4="(blank)",--('Final Calculation Sheet'!$AF$39=""),IF($AG$4="(nonblank)",--('Final Calculation Sheet'!$AF$39&lt;&gt;""),--ISNUMBER(SEARCH($AG$4,'Final Calculation Sheet'!$AF$39)))))</f>
        <v/>
      </c>
      <c r="EM41">
        <f>IF($AH$4="",1,IF($AH$4="(blank)",--('Final Calculation Sheet'!$AG$39=""),IF($AH$4="(nonblank)",--('Final Calculation Sheet'!$AG$39&lt;&gt;""),--ISNUMBER(SEARCH($AH$4,'Final Calculation Sheet'!$AG$39)))))</f>
        <v/>
      </c>
      <c r="EN41">
        <f>IF($AI$4="",1,IF($AI$4="(blank)",--('Final Calculation Sheet'!$AH$39=""),IF($AI$4="(nonblank)",--('Final Calculation Sheet'!$AH$39&lt;&gt;""),--ISNUMBER(SEARCH($AI$4,'Final Calculation Sheet'!$AH$39)))))</f>
        <v/>
      </c>
    </row>
    <row r="42" outlineLevel="1" hidden="1">
      <c r="A42" s="128">
        <f>IF($AL$42="","",36)</f>
        <v/>
      </c>
      <c r="B42" s="129">
        <f>IF($AL$42="","",IF(INDEX('Final Calculation Sheet'!$F$4:$F$40,$AL$42)="","",INDEX('Final Calculation Sheet'!$F$4:$F$40,$AL$42)))</f>
        <v/>
      </c>
      <c r="C42" s="129">
        <f>IF($AL$42="","",IF(INDEX('Final Calculation Sheet'!$G$4:$G$40,$AL$42)="","",INDEX('Final Calculation Sheet'!$G$4:$G$40,$AL$42)))</f>
        <v/>
      </c>
      <c r="D42" s="130">
        <f>IF($AL$42="","",IF(INDEX('Final Calculation Sheet'!$B$4:$B$40,$AL$42)="","",INDEX('Final Calculation Sheet'!$B$4:$B$40,$AL$42)))</f>
        <v/>
      </c>
      <c r="E42" s="130">
        <f>IF($AL$42="","",IF(INDEX('Final Calculation Sheet'!$D$4:$D$40,$AL$42)="","",INDEX('Final Calculation Sheet'!$D$4:$D$40,$AL$42)))</f>
        <v/>
      </c>
      <c r="F42" s="130">
        <f>IF($AL$42="","",IF(INDEX('Final Calculation Sheet'!$A$4:$A$40,$AL$42)="","",INDEX('Final Calculation Sheet'!$A$4:$A$40,$AL$42)))</f>
        <v/>
      </c>
      <c r="G42" s="130">
        <f>IF($AL$42="","",IF(INDEX('Final Calculation Sheet'!$E$4:$E$40,$AL$42)="","",INDEX('Final Calculation Sheet'!$E$4:$E$40,$AL$42)))</f>
        <v/>
      </c>
      <c r="H42" s="131">
        <f>IF($AL$42="","",IF(INDEX('Final Calculation Sheet'!$C$4:$C$40,$AL$42)="","",INDEX('Final Calculation Sheet'!$C$4:$C$40,$AL$42)))</f>
        <v/>
      </c>
      <c r="I42" s="131">
        <f>IF($AL$42="","",IF(INDEX('Final Calculation Sheet'!$H$4:$H$40,$AL$42)="","",INDEX('Final Calculation Sheet'!$H$4:$H$40,$AL$42)))</f>
        <v/>
      </c>
      <c r="J42" s="131">
        <f>IF($AL$42="","",IF(INDEX('Final Calculation Sheet'!$I$4:$I$40,$AL$42)="","",INDEX('Final Calculation Sheet'!$I$4:$I$40,$AL$42)))</f>
        <v/>
      </c>
      <c r="K42" s="131">
        <f>IF($AL$42="","",IF(INDEX('Final Calculation Sheet'!$J$4:$J$40,$AL$42)="","",INDEX('Final Calculation Sheet'!$J$4:$J$40,$AL$42)))</f>
        <v/>
      </c>
      <c r="L42" s="131">
        <f>IF($AL$42="","",IF(INDEX('Final Calculation Sheet'!$K$4:$K$40,$AL$42)="","",INDEX('Final Calculation Sheet'!$K$4:$K$40,$AL$42)))</f>
        <v/>
      </c>
      <c r="M42" s="131">
        <f>IF($AL$42="","",IF(INDEX('Final Calculation Sheet'!$L$4:$L$40,$AL$42)="","",INDEX('Final Calculation Sheet'!$L$4:$L$40,$AL$42)))</f>
        <v/>
      </c>
      <c r="N42" s="131">
        <f>IF($AL$42="","",IF(INDEX('Final Calculation Sheet'!$M$4:$M$40,$AL$42)="","",INDEX('Final Calculation Sheet'!$M$4:$M$40,$AL$42)))</f>
        <v/>
      </c>
      <c r="O42" s="132">
        <f>IF($AL$42="","",IF(INDEX('Final Calculation Sheet'!$N$4:$N$40,$AL$42)="","",INDEX('Final Calculation Sheet'!$N$4:$N$40,$AL$42)))</f>
        <v/>
      </c>
      <c r="P42" s="131">
        <f>IF($AL$42="","",IF(INDEX('Final Calculation Sheet'!$O$4:$O$40,$AL$42)="","",INDEX('Final Calculation Sheet'!$O$4:$O$40,$AL$42)))</f>
        <v/>
      </c>
      <c r="Q42" s="131">
        <f>IF($AL$42="","",IF(INDEX('Final Calculation Sheet'!$P$4:$P$40,$AL$42)="","",INDEX('Final Calculation Sheet'!$P$4:$P$40,$AL$42)))</f>
        <v/>
      </c>
      <c r="R42" s="133">
        <f>IF($AL$42="","",IF(INDEX('Final Calculation Sheet'!$Q$4:$Q$40,$AL$42)="","",INDEX('Final Calculation Sheet'!$Q$4:$Q$40,$AL$42)))</f>
        <v/>
      </c>
      <c r="S42" s="131">
        <f>IF($AL$42="","",IF(INDEX('Final Calculation Sheet'!$R$4:$R$40,$AL$42)="","",INDEX('Final Calculation Sheet'!$R$4:$R$40,$AL$42)))</f>
        <v/>
      </c>
      <c r="T42" s="131">
        <f>IF($AL$42="","",IF(INDEX('Final Calculation Sheet'!$S$4:$S$40,$AL$42)="","",INDEX('Final Calculation Sheet'!$S$4:$S$40,$AL$42)))</f>
        <v/>
      </c>
      <c r="U42" s="131">
        <f>IF($AL$42="","",IF(INDEX('Final Calculation Sheet'!$T$4:$T$40,$AL$42)="","",INDEX('Final Calculation Sheet'!$T$4:$T$40,$AL$42)))</f>
        <v/>
      </c>
      <c r="V42" s="134">
        <f>IF($AL$42="","",IF(INDEX('Final Calculation Sheet'!$U$4:$U$40,$AL$42)="","",INDEX('Final Calculation Sheet'!$U$4:$U$40,$AL$42)))</f>
        <v/>
      </c>
      <c r="W42" s="131">
        <f>IF($AL$42="","",IF(INDEX('Final Calculation Sheet'!$V$4:$V$40,$AL$42)="","",INDEX('Final Calculation Sheet'!$V$4:$V$40,$AL$42)))</f>
        <v/>
      </c>
      <c r="X42" s="131">
        <f>IF($AL$42="","",IF(INDEX('Final Calculation Sheet'!$W$4:$W$40,$AL$42)="","",INDEX('Final Calculation Sheet'!$W$4:$W$40,$AL$42)))</f>
        <v/>
      </c>
      <c r="Y42" s="131">
        <f>IF($AL$42="","",IF(INDEX('Final Calculation Sheet'!$X$4:$X$40,$AL$42)="","",INDEX('Final Calculation Sheet'!$X$4:$X$40,$AL$42)))</f>
        <v/>
      </c>
      <c r="Z42" s="131">
        <f>IF($AL$42="","",IF(INDEX('Final Calculation Sheet'!$Y$4:$Y$40,$AL$42)="","",INDEX('Final Calculation Sheet'!$Y$4:$Y$40,$AL$42)))</f>
        <v/>
      </c>
      <c r="AA42" s="131">
        <f>IF($AL$42="","",IF(INDEX('Final Calculation Sheet'!$Z$4:$Z$40,$AL$42)="","",INDEX('Final Calculation Sheet'!$Z$4:$Z$40,$AL$42)))</f>
        <v/>
      </c>
      <c r="AB42" s="131">
        <f>IF($AL$42="","",IF(INDEX('Final Calculation Sheet'!$AA$4:$AA$40,$AL$42)="","",INDEX('Final Calculation Sheet'!$AA$4:$AA$40,$AL$42)))</f>
        <v/>
      </c>
      <c r="AC42" s="131">
        <f>IF($AL$42="","",IF(INDEX('Final Calculation Sheet'!$AB$4:$AB$40,$AL$42)="","",INDEX('Final Calculation Sheet'!$AB$4:$AB$40,$AL$42)))</f>
        <v/>
      </c>
      <c r="AD42" s="131">
        <f>IF($AL$42="","",IF(INDEX('Final Calculation Sheet'!$AC$4:$AC$40,$AL$42)="","",INDEX('Final Calculation Sheet'!$AC$4:$AC$40,$AL$42)))</f>
        <v/>
      </c>
      <c r="AE42" s="131">
        <f>IF($AL$42="","",IF(INDEX('Final Calculation Sheet'!$AD$4:$AD$40,$AL$42)="","",INDEX('Final Calculation Sheet'!$AD$4:$AD$40,$AL$42)))</f>
        <v/>
      </c>
      <c r="AF42" s="136">
        <f>IF($AL$42="","",IF(INDEX('Final Calculation Sheet'!$AD$4:$AD$40,$AL$42)&lt;=5,"SETTLED","OUTSTANDING"))</f>
        <v/>
      </c>
      <c r="AG42" s="131">
        <f>IF($AL$42="","",IF(INDEX('Final Calculation Sheet'!$AF$4:$AF$40,$AL$42)="","",INDEX('Final Calculation Sheet'!$AF$4:$AF$40,$AL$42)))</f>
        <v/>
      </c>
      <c r="AH42" s="135">
        <f>IF($AL$42="","",IF(INDEX('Final Calculation Sheet'!$AG$4:$AG$40,$AL$42)="","",INDEX('Final Calculation Sheet'!$AG$4:$AG$40,$AL$42)))</f>
        <v/>
      </c>
      <c r="AI42" s="131">
        <f>IF($AL$42="","",IF(INDEX('Final Calculation Sheet'!$AH$4:$AH$40,$AL$42)="","",INDEX('Final Calculation Sheet'!$AH$4:$AH$40,$AL$42)))</f>
        <v/>
      </c>
      <c r="AJ42">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42">
        <f>IF(AJ42=1,COUNTIF(AJ$6:AJ42,1),"")</f>
        <v/>
      </c>
      <c r="AL42">
        <f>IF(COUNTIF($B$4:$AI$4,"&lt;&gt;")=0,"",IFERROR(MATCH(36,$AK$6:$AK$42,0),""))</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G42">
        <f>IF($B$4="",1,IF($B$4="(blank)",--('Final Calculation Sheet'!$F$40=""),IF($B$4="(nonblank)",--('Final Calculation Sheet'!$F$40&lt;&gt;""),--ISNUMBER(SEARCH($B$4,'Final Calculation Sheet'!$F$40)))))</f>
        <v/>
      </c>
      <c r="DH42">
        <f>IF($C$4="",1,IF($C$4="(blank)",--('Final Calculation Sheet'!$G$40=""),IF($C$4="(nonblank)",--('Final Calculation Sheet'!$G$40&lt;&gt;""),--ISNUMBER(SEARCH($C$4,'Final Calculation Sheet'!$G$40)))))</f>
        <v/>
      </c>
      <c r="DI42">
        <f>IF($D$4="",1,IF($D$4="(blank)",--('Final Calculation Sheet'!$B$40=""),IF($D$4="(nonblank)",--('Final Calculation Sheet'!$B$40&lt;&gt;""),--ISNUMBER(SEARCH($D$4,'Final Calculation Sheet'!$B$40)))))</f>
        <v/>
      </c>
      <c r="DJ42">
        <f>IF($E$4="",1,IF($E$4="(blank)",--('Final Calculation Sheet'!$D$40=""),IF($E$4="(nonblank)",--('Final Calculation Sheet'!$D$40&lt;&gt;""),--ISNUMBER(SEARCH($E$4,'Final Calculation Sheet'!$D$40)))))</f>
        <v/>
      </c>
      <c r="DK42">
        <f>IF($F$4="",1,IF($F$4="(blank)",--('Final Calculation Sheet'!$A$40=""),IF($F$4="(nonblank)",--('Final Calculation Sheet'!$A$40&lt;&gt;""),--ISNUMBER(SEARCH($F$4,'Final Calculation Sheet'!$A$40)))))</f>
        <v/>
      </c>
      <c r="DL42">
        <f>IF($G$4="",1,IF($G$4="(blank)",--('Final Calculation Sheet'!$E$40=""),IF($G$4="(nonblank)",--('Final Calculation Sheet'!$E$40&lt;&gt;""),--ISNUMBER(SEARCH($G$4,'Final Calculation Sheet'!$E$40)))))</f>
        <v/>
      </c>
      <c r="DM42">
        <f>IF($H$4="",1,IF($H$4="(blank)",--('Final Calculation Sheet'!$C$40=""),IF($H$4="(nonblank)",--('Final Calculation Sheet'!$C$40&lt;&gt;""),--ISNUMBER(SEARCH($H$4,'Final Calculation Sheet'!$C$40)))))</f>
        <v/>
      </c>
      <c r="DN42">
        <f>IF($I$4="",1,IF($I$4="(blank)",--('Final Calculation Sheet'!$H$40=""),IF($I$4="(nonblank)",--('Final Calculation Sheet'!$H$40&lt;&gt;""),--ISNUMBER(SEARCH($I$4,'Final Calculation Sheet'!$H$40)))))</f>
        <v/>
      </c>
      <c r="DO42">
        <f>IF($J$4="",1,IF($J$4="(blank)",--('Final Calculation Sheet'!$I$40=""),IF($J$4="(nonblank)",--('Final Calculation Sheet'!$I$40&lt;&gt;""),--ISNUMBER(SEARCH($J$4,'Final Calculation Sheet'!$I$40)))))</f>
        <v/>
      </c>
      <c r="DP42">
        <f>IF($K$4="",1,IF($K$4="(blank)",--('Final Calculation Sheet'!$J$40=""),IF($K$4="(nonblank)",--('Final Calculation Sheet'!$J$40&lt;&gt;""),--ISNUMBER(SEARCH($K$4,'Final Calculation Sheet'!$J$40)))))</f>
        <v/>
      </c>
      <c r="DQ42">
        <f>IF($L$4="",1,IF($L$4="(blank)",--('Final Calculation Sheet'!$K$40=""),IF($L$4="(nonblank)",--('Final Calculation Sheet'!$K$40&lt;&gt;""),--ISNUMBER(SEARCH($L$4,'Final Calculation Sheet'!$K$40)))))</f>
        <v/>
      </c>
      <c r="DR42">
        <f>IF($M$4="",1,IF($M$4="(blank)",--('Final Calculation Sheet'!$L$40=""),IF($M$4="(nonblank)",--('Final Calculation Sheet'!$L$40&lt;&gt;""),--ISNUMBER(SEARCH($M$4,'Final Calculation Sheet'!$L$40)))))</f>
        <v/>
      </c>
      <c r="DS42">
        <f>IF($N$4="",1,IF($N$4="(blank)",--('Final Calculation Sheet'!$M$40=""),IF($N$4="(nonblank)",--('Final Calculation Sheet'!$M$40&lt;&gt;""),--ISNUMBER(SEARCH($N$4,'Final Calculation Sheet'!$M$40)))))</f>
        <v/>
      </c>
      <c r="DT42">
        <f>IF($O$4="",1,IF($O$4="(blank)",--('Final Calculation Sheet'!$N$40=""),IF($O$4="(nonblank)",--('Final Calculation Sheet'!$N$40&lt;&gt;""),--ISNUMBER(SEARCH($O$4,'Final Calculation Sheet'!$N$40)))))</f>
        <v/>
      </c>
      <c r="DU42">
        <f>IF($P$4="",1,IF($P$4="(blank)",--('Final Calculation Sheet'!$O$40=""),IF($P$4="(nonblank)",--('Final Calculation Sheet'!$O$40&lt;&gt;""),--ISNUMBER(SEARCH($P$4,'Final Calculation Sheet'!$O$40)))))</f>
        <v/>
      </c>
      <c r="DV42">
        <f>IF($Q$4="",1,IF($Q$4="(blank)",--('Final Calculation Sheet'!$P$40=""),IF($Q$4="(nonblank)",--('Final Calculation Sheet'!$P$40&lt;&gt;""),--ISNUMBER(SEARCH($Q$4,'Final Calculation Sheet'!$P$40)))))</f>
        <v/>
      </c>
      <c r="DW42">
        <f>IF($R$4="",1,IF($R$4="(blank)",--('Final Calculation Sheet'!$Q$40=""),IF($R$4="(nonblank)",--('Final Calculation Sheet'!$Q$40&lt;&gt;""),--ISNUMBER(SEARCH($R$4,'Final Calculation Sheet'!$Q$40)))))</f>
        <v/>
      </c>
      <c r="DX42">
        <f>IF($S$4="",1,IF($S$4="(blank)",--('Final Calculation Sheet'!$R$40=""),IF($S$4="(nonblank)",--('Final Calculation Sheet'!$R$40&lt;&gt;""),--ISNUMBER(SEARCH($S$4,'Final Calculation Sheet'!$R$40)))))</f>
        <v/>
      </c>
      <c r="DY42">
        <f>IF($T$4="",1,IF($T$4="(blank)",--('Final Calculation Sheet'!$S$40=""),IF($T$4="(nonblank)",--('Final Calculation Sheet'!$S$40&lt;&gt;""),--ISNUMBER(SEARCH($T$4,'Final Calculation Sheet'!$S$40)))))</f>
        <v/>
      </c>
      <c r="DZ42">
        <f>IF($U$4="",1,IF($U$4="(blank)",--('Final Calculation Sheet'!$T$40=""),IF($U$4="(nonblank)",--('Final Calculation Sheet'!$T$40&lt;&gt;""),--ISNUMBER(SEARCH($U$4,'Final Calculation Sheet'!$T$40)))))</f>
        <v/>
      </c>
      <c r="EA42">
        <f>IF($V$4="",1,IF($V$4="(blank)",--('Final Calculation Sheet'!$U$40=""),IF($V$4="(nonblank)",--('Final Calculation Sheet'!$U$40&lt;&gt;""),--ISNUMBER(SEARCH($V$4,'Final Calculation Sheet'!$U$40)))))</f>
        <v/>
      </c>
      <c r="EB42">
        <f>IF($W$4="",1,IF($W$4="(blank)",--('Final Calculation Sheet'!$V$40=""),IF($W$4="(nonblank)",--('Final Calculation Sheet'!$V$40&lt;&gt;""),--ISNUMBER(SEARCH($W$4,'Final Calculation Sheet'!$V$40)))))</f>
        <v/>
      </c>
      <c r="EC42">
        <f>IF($X$4="",1,IF($X$4="(blank)",--('Final Calculation Sheet'!$W$40=""),IF($X$4="(nonblank)",--('Final Calculation Sheet'!$W$40&lt;&gt;""),--ISNUMBER(SEARCH($X$4,'Final Calculation Sheet'!$W$40)))))</f>
        <v/>
      </c>
      <c r="ED42">
        <f>IF($Y$4="",1,IF($Y$4="(blank)",--('Final Calculation Sheet'!$X$40=""),IF($Y$4="(nonblank)",--('Final Calculation Sheet'!$X$40&lt;&gt;""),--ISNUMBER(SEARCH($Y$4,'Final Calculation Sheet'!$X$40)))))</f>
        <v/>
      </c>
      <c r="EE42">
        <f>IF($Z$4="",1,IF($Z$4="(blank)",--('Final Calculation Sheet'!$Y$40=""),IF($Z$4="(nonblank)",--('Final Calculation Sheet'!$Y$40&lt;&gt;""),--ISNUMBER(SEARCH($Z$4,'Final Calculation Sheet'!$Y$40)))))</f>
        <v/>
      </c>
      <c r="EF42">
        <f>IF($AA$4="",1,IF($AA$4="(blank)",--('Final Calculation Sheet'!$Z$40=""),IF($AA$4="(nonblank)",--('Final Calculation Sheet'!$Z$40&lt;&gt;""),--ISNUMBER(SEARCH($AA$4,'Final Calculation Sheet'!$Z$40)))))</f>
        <v/>
      </c>
      <c r="EG42">
        <f>IF($AB$4="",1,IF($AB$4="(blank)",--('Final Calculation Sheet'!$AA$40=""),IF($AB$4="(nonblank)",--('Final Calculation Sheet'!$AA$40&lt;&gt;""),--ISNUMBER(SEARCH($AB$4,'Final Calculation Sheet'!$AA$40)))))</f>
        <v/>
      </c>
      <c r="EH42">
        <f>IF($AC$4="",1,IF($AC$4="(blank)",--('Final Calculation Sheet'!$AB$40=""),IF($AC$4="(nonblank)",--('Final Calculation Sheet'!$AB$40&lt;&gt;""),--ISNUMBER(SEARCH($AC$4,'Final Calculation Sheet'!$AB$40)))))</f>
        <v/>
      </c>
      <c r="EI42">
        <f>IF($AD$4="",1,IF($AD$4="(blank)",--('Final Calculation Sheet'!$AC$40=""),IF($AD$4="(nonblank)",--('Final Calculation Sheet'!$AC$40&lt;&gt;""),--ISNUMBER(SEARCH($AD$4,'Final Calculation Sheet'!$AC$40)))))</f>
        <v/>
      </c>
      <c r="EJ42">
        <f>IF($AE$4="",1,IF($AE$4="(blank)",--('Final Calculation Sheet'!$AD$40=""),IF($AE$4="(nonblank)",--('Final Calculation Sheet'!$AD$40&lt;&gt;""),--ISNUMBER(SEARCH($AE$4,'Final Calculation Sheet'!$AD$40)))))</f>
        <v/>
      </c>
      <c r="EK42">
        <f>IF($AF$4="",1,IF($AF$4="(blank)",--(IF('Final Calculation Sheet'!$AD$40&lt;=5,"SETTLED","OUTSTANDING")=""),IF($AF$4="(nonblank)",--(IF('Final Calculation Sheet'!$AD$40&lt;=5,"SETTLED","OUTSTANDING")&lt;&gt;""),--ISNUMBER(SEARCH($AF$4,IF('Final Calculation Sheet'!$AD$40&lt;=5,"SETTLED","OUTSTANDING"))))))</f>
        <v/>
      </c>
      <c r="EL42">
        <f>IF($AG$4="",1,IF($AG$4="(blank)",--('Final Calculation Sheet'!$AF$40=""),IF($AG$4="(nonblank)",--('Final Calculation Sheet'!$AF$40&lt;&gt;""),--ISNUMBER(SEARCH($AG$4,'Final Calculation Sheet'!$AF$40)))))</f>
        <v/>
      </c>
      <c r="EM42">
        <f>IF($AH$4="",1,IF($AH$4="(blank)",--('Final Calculation Sheet'!$AG$40=""),IF($AH$4="(nonblank)",--('Final Calculation Sheet'!$AG$40&lt;&gt;""),--ISNUMBER(SEARCH($AH$4,'Final Calculation Sheet'!$AG$40)))))</f>
        <v/>
      </c>
      <c r="EN42">
        <f>IF($AI$4="",1,IF($AI$4="(blank)",--('Final Calculation Sheet'!$AH$40=""),IF($AI$4="(nonblank)",--('Final Calculation Sheet'!$AH$40&lt;&gt;""),--ISNUMBER(SEARCH($AI$4,'Final Calculation Sheet'!$AH$40)))))</f>
        <v/>
      </c>
    </row>
    <row r="43" outlineLevel="1" hidden="1">
      <c r="A43" s="118">
        <f>IF($AL$43="","",37)</f>
        <v/>
      </c>
      <c r="B43" s="119">
        <f>IF($AL$43="","",IF(INDEX('Final Calculation Sheet'!$F$4:$F$40,$AL$43)="","",INDEX('Final Calculation Sheet'!$F$4:$F$40,$AL$43)))</f>
        <v/>
      </c>
      <c r="C43" s="119">
        <f>IF($AL$43="","",IF(INDEX('Final Calculation Sheet'!$G$4:$G$40,$AL$43)="","",INDEX('Final Calculation Sheet'!$G$4:$G$40,$AL$43)))</f>
        <v/>
      </c>
      <c r="D43" s="121">
        <f>IF($AL$43="","",IF(INDEX('Final Calculation Sheet'!$B$4:$B$40,$AL$43)="","",INDEX('Final Calculation Sheet'!$B$4:$B$40,$AL$43)))</f>
        <v/>
      </c>
      <c r="E43" s="121">
        <f>IF($AL$43="","",IF(INDEX('Final Calculation Sheet'!$D$4:$D$40,$AL$43)="","",INDEX('Final Calculation Sheet'!$D$4:$D$40,$AL$43)))</f>
        <v/>
      </c>
      <c r="F43" s="121">
        <f>IF($AL$43="","",IF(INDEX('Final Calculation Sheet'!$A$4:$A$40,$AL$43)="","",INDEX('Final Calculation Sheet'!$A$4:$A$40,$AL$43)))</f>
        <v/>
      </c>
      <c r="G43" s="121">
        <f>IF($AL$43="","",IF(INDEX('Final Calculation Sheet'!$E$4:$E$40,$AL$43)="","",INDEX('Final Calculation Sheet'!$E$4:$E$40,$AL$43)))</f>
        <v/>
      </c>
      <c r="H43" s="122">
        <f>IF($AL$43="","",IF(INDEX('Final Calculation Sheet'!$C$4:$C$40,$AL$43)="","",INDEX('Final Calculation Sheet'!$C$4:$C$40,$AL$43)))</f>
        <v/>
      </c>
      <c r="I43" s="122">
        <f>IF($AL$43="","",IF(INDEX('Final Calculation Sheet'!$H$4:$H$40,$AL$43)="","",INDEX('Final Calculation Sheet'!$H$4:$H$40,$AL$43)))</f>
        <v/>
      </c>
      <c r="J43" s="122">
        <f>IF($AL$43="","",IF(INDEX('Final Calculation Sheet'!$I$4:$I$40,$AL$43)="","",INDEX('Final Calculation Sheet'!$I$4:$I$40,$AL$43)))</f>
        <v/>
      </c>
      <c r="K43" s="122">
        <f>IF($AL$43="","",IF(INDEX('Final Calculation Sheet'!$J$4:$J$40,$AL$43)="","",INDEX('Final Calculation Sheet'!$J$4:$J$40,$AL$43)))</f>
        <v/>
      </c>
      <c r="L43" s="122">
        <f>IF($AL$43="","",IF(INDEX('Final Calculation Sheet'!$K$4:$K$40,$AL$43)="","",INDEX('Final Calculation Sheet'!$K$4:$K$40,$AL$43)))</f>
        <v/>
      </c>
      <c r="M43" s="122">
        <f>IF($AL$43="","",IF(INDEX('Final Calculation Sheet'!$L$4:$L$40,$AL$43)="","",INDEX('Final Calculation Sheet'!$L$4:$L$40,$AL$43)))</f>
        <v/>
      </c>
      <c r="N43" s="122">
        <f>IF($AL$43="","",IF(INDEX('Final Calculation Sheet'!$M$4:$M$40,$AL$43)="","",INDEX('Final Calculation Sheet'!$M$4:$M$40,$AL$43)))</f>
        <v/>
      </c>
      <c r="O43" s="123">
        <f>IF($AL$43="","",IF(INDEX('Final Calculation Sheet'!$N$4:$N$40,$AL$43)="","",INDEX('Final Calculation Sheet'!$N$4:$N$40,$AL$43)))</f>
        <v/>
      </c>
      <c r="P43" s="122">
        <f>IF($AL$43="","",IF(INDEX('Final Calculation Sheet'!$O$4:$O$40,$AL$43)="","",INDEX('Final Calculation Sheet'!$O$4:$O$40,$AL$43)))</f>
        <v/>
      </c>
      <c r="Q43" s="122">
        <f>IF($AL$43="","",IF(INDEX('Final Calculation Sheet'!$P$4:$P$40,$AL$43)="","",INDEX('Final Calculation Sheet'!$P$4:$P$40,$AL$43)))</f>
        <v/>
      </c>
      <c r="R43" s="124">
        <f>IF($AL$43="","",IF(INDEX('Final Calculation Sheet'!$Q$4:$Q$40,$AL$43)="","",INDEX('Final Calculation Sheet'!$Q$4:$Q$40,$AL$43)))</f>
        <v/>
      </c>
      <c r="S43" s="122">
        <f>IF($AL$43="","",IF(INDEX('Final Calculation Sheet'!$R$4:$R$40,$AL$43)="","",INDEX('Final Calculation Sheet'!$R$4:$R$40,$AL$43)))</f>
        <v/>
      </c>
      <c r="T43" s="122">
        <f>IF($AL$43="","",IF(INDEX('Final Calculation Sheet'!$S$4:$S$40,$AL$43)="","",INDEX('Final Calculation Sheet'!$S$4:$S$40,$AL$43)))</f>
        <v/>
      </c>
      <c r="U43" s="122">
        <f>IF($AL$43="","",IF(INDEX('Final Calculation Sheet'!$T$4:$T$40,$AL$43)="","",INDEX('Final Calculation Sheet'!$T$4:$T$40,$AL$43)))</f>
        <v/>
      </c>
      <c r="V43" s="125">
        <f>IF($AL$43="","",IF(INDEX('Final Calculation Sheet'!$U$4:$U$40,$AL$43)="","",INDEX('Final Calculation Sheet'!$U$4:$U$40,$AL$43)))</f>
        <v/>
      </c>
      <c r="W43" s="122">
        <f>IF($AL$43="","",IF(INDEX('Final Calculation Sheet'!$V$4:$V$40,$AL$43)="","",INDEX('Final Calculation Sheet'!$V$4:$V$40,$AL$43)))</f>
        <v/>
      </c>
      <c r="X43" s="122">
        <f>IF($AL$43="","",IF(INDEX('Final Calculation Sheet'!$W$4:$W$40,$AL$43)="","",INDEX('Final Calculation Sheet'!$W$4:$W$40,$AL$43)))</f>
        <v/>
      </c>
      <c r="Y43" s="122">
        <f>IF($AL$43="","",IF(INDEX('Final Calculation Sheet'!$X$4:$X$40,$AL$43)="","",INDEX('Final Calculation Sheet'!$X$4:$X$40,$AL$43)))</f>
        <v/>
      </c>
      <c r="Z43" s="122">
        <f>IF($AL$43="","",IF(INDEX('Final Calculation Sheet'!$Y$4:$Y$40,$AL$43)="","",INDEX('Final Calculation Sheet'!$Y$4:$Y$40,$AL$43)))</f>
        <v/>
      </c>
      <c r="AA43" s="122">
        <f>IF($AL$43="","",IF(INDEX('Final Calculation Sheet'!$Z$4:$Z$40,$AL$43)="","",INDEX('Final Calculation Sheet'!$Z$4:$Z$40,$AL$43)))</f>
        <v/>
      </c>
      <c r="AB43" s="122">
        <f>IF($AL$43="","",IF(INDEX('Final Calculation Sheet'!$AA$4:$AA$40,$AL$43)="","",INDEX('Final Calculation Sheet'!$AA$4:$AA$40,$AL$43)))</f>
        <v/>
      </c>
      <c r="AC43" s="122">
        <f>IF($AL$43="","",IF(INDEX('Final Calculation Sheet'!$AB$4:$AB$40,$AL$43)="","",INDEX('Final Calculation Sheet'!$AB$4:$AB$40,$AL$43)))</f>
        <v/>
      </c>
      <c r="AD43" s="122">
        <f>IF($AL$43="","",IF(INDEX('Final Calculation Sheet'!$AC$4:$AC$40,$AL$43)="","",INDEX('Final Calculation Sheet'!$AC$4:$AC$40,$AL$43)))</f>
        <v/>
      </c>
      <c r="AE43" s="122">
        <f>IF($AL$43="","",IF(INDEX('Final Calculation Sheet'!$AD$4:$AD$40,$AL$43)="","",INDEX('Final Calculation Sheet'!$AD$4:$AD$40,$AL$43)))</f>
        <v/>
      </c>
      <c r="AF43" s="127">
        <f>IF($AL$43="","",IF(INDEX('Final Calculation Sheet'!$AD$4:$AD$40,$AL$43)&lt;=5,"SETTLED","OUTSTANDING"))</f>
        <v/>
      </c>
      <c r="AG43" s="122">
        <f>IF($AL$43="","",IF(INDEX('Final Calculation Sheet'!$AF$4:$AF$40,$AL$43)="","",INDEX('Final Calculation Sheet'!$AF$4:$AF$40,$AL$43)))</f>
        <v/>
      </c>
      <c r="AH43" s="126">
        <f>IF($AL$43="","",IF(INDEX('Final Calculation Sheet'!$AG$4:$AG$40,$AL$43)="","",INDEX('Final Calculation Sheet'!$AG$4:$AG$40,$AL$43)))</f>
        <v/>
      </c>
      <c r="AI43" s="122">
        <f>IF($AL$43="","",IF(INDEX('Final Calculation Sheet'!$AH$4:$AH$40,$AL$43)="","",INDEX('Final Calculation Sheet'!$AH$4:$AH$40,$AL$43)))</f>
        <v/>
      </c>
      <c r="AL43">
        <f>IF(COUNTIF($B$4:$AI$4,"&lt;&gt;")=0,"",IFERROR(MATCH(37,$AK$6:$AK$42,0),""))</f>
        <v/>
      </c>
    </row>
    <row r="45" outlineLevel="1" ht="15" customHeight="1" s="137">
      <c r="A45" s="67" t="n">
        <v>1</v>
      </c>
      <c r="B45" s="76">
        <f>IF('Final Calculation Sheet'!$F$4="","",'Final Calculation Sheet'!$F$4)</f>
        <v/>
      </c>
      <c r="C45" s="76">
        <f>IF('Final Calculation Sheet'!$G$4="","",'Final Calculation Sheet'!$G$4)</f>
        <v/>
      </c>
      <c r="D45" s="80">
        <f>IF('Final Calculation Sheet'!$B$4="","",'Final Calculation Sheet'!$B$4)</f>
        <v/>
      </c>
      <c r="E45" s="80">
        <f>IF('Final Calculation Sheet'!$D$4="","",'Final Calculation Sheet'!$D$4)</f>
        <v/>
      </c>
      <c r="F45" s="80">
        <f>IF('Final Calculation Sheet'!$A$4="","",'Final Calculation Sheet'!$A$4)</f>
        <v/>
      </c>
      <c r="G45" s="80">
        <f>IF('Final Calculation Sheet'!$E$4="","",'Final Calculation Sheet'!$E$4)</f>
        <v/>
      </c>
      <c r="H45" s="70">
        <f>IF('Final Calculation Sheet'!$C$4="","",'Final Calculation Sheet'!$C$4)</f>
        <v/>
      </c>
      <c r="I45" s="70">
        <f>IF('Final Calculation Sheet'!$H$4="","",'Final Calculation Sheet'!$H$4)</f>
        <v/>
      </c>
      <c r="J45" s="70">
        <f>IF('Final Calculation Sheet'!$I$4="","",'Final Calculation Sheet'!$I$4)</f>
        <v/>
      </c>
      <c r="K45" s="70">
        <f>IF('Final Calculation Sheet'!$J$4="","",'Final Calculation Sheet'!$J$4)</f>
        <v/>
      </c>
      <c r="L45" s="70">
        <f>IF('Final Calculation Sheet'!$K$4="","",'Final Calculation Sheet'!$K$4)</f>
        <v/>
      </c>
      <c r="M45" s="70">
        <f>IF('Final Calculation Sheet'!$L$4="","",'Final Calculation Sheet'!$L$4)</f>
        <v/>
      </c>
      <c r="N45" s="70">
        <f>IF('Final Calculation Sheet'!$M$4="","",'Final Calculation Sheet'!$M$4)</f>
        <v/>
      </c>
      <c r="O45" s="71">
        <f>IF('Final Calculation Sheet'!$N$4="","",'Final Calculation Sheet'!$N$4)</f>
        <v/>
      </c>
      <c r="P45" s="70">
        <f>IF('Final Calculation Sheet'!$O$4="","",'Final Calculation Sheet'!$O$4)</f>
        <v/>
      </c>
      <c r="Q45" s="70">
        <f>IF('Final Calculation Sheet'!$P$4="","",'Final Calculation Sheet'!$P$4)</f>
        <v/>
      </c>
      <c r="R45" s="72">
        <f>IF('Final Calculation Sheet'!$Q$4="","",'Final Calculation Sheet'!$Q$4)</f>
        <v/>
      </c>
      <c r="S45" s="70">
        <f>IF('Final Calculation Sheet'!$R$4="","",'Final Calculation Sheet'!$R$4)</f>
        <v/>
      </c>
      <c r="T45" s="70">
        <f>IF('Final Calculation Sheet'!$S$4="","",'Final Calculation Sheet'!$S$4)</f>
        <v/>
      </c>
      <c r="U45" s="70">
        <f>IF('Final Calculation Sheet'!$T$4="","",'Final Calculation Sheet'!$T$4)</f>
        <v/>
      </c>
      <c r="V45" s="73">
        <f>IF('Final Calculation Sheet'!$U$4="","",'Final Calculation Sheet'!$U$4)</f>
        <v/>
      </c>
      <c r="W45" s="70">
        <f>IF('Final Calculation Sheet'!$V$4="","",'Final Calculation Sheet'!$V$4)</f>
        <v/>
      </c>
      <c r="X45" s="70">
        <f>IF('Final Calculation Sheet'!$W$4="","",'Final Calculation Sheet'!$W$4)</f>
        <v/>
      </c>
      <c r="Y45" s="70">
        <f>IF('Final Calculation Sheet'!$X$4="","",'Final Calculation Sheet'!$X$4)</f>
        <v/>
      </c>
      <c r="Z45" s="70">
        <f>IF('Final Calculation Sheet'!$Y$4="","",'Final Calculation Sheet'!$Y$4)</f>
        <v/>
      </c>
      <c r="AA45" s="70">
        <f>IF('Final Calculation Sheet'!$Z$4="","",'Final Calculation Sheet'!$Z$4)</f>
        <v/>
      </c>
      <c r="AB45" s="70">
        <f>IF('Final Calculation Sheet'!$AA$4="","",'Final Calculation Sheet'!$AA$4)</f>
        <v/>
      </c>
      <c r="AC45" s="70">
        <f>IF('Final Calculation Sheet'!$AB$4="","",'Final Calculation Sheet'!$AB$4)</f>
        <v/>
      </c>
      <c r="AD45" s="70">
        <f>IF('Final Calculation Sheet'!$AC$4="","",'Final Calculation Sheet'!$AC$4)</f>
        <v/>
      </c>
      <c r="AE45" s="70">
        <f>IF('Final Calculation Sheet'!$AD$4="","",'Final Calculation Sheet'!$AD$4)</f>
        <v/>
      </c>
      <c r="AF45" s="75">
        <f>IF('Final Calculation Sheet'!$AD$4="","",IF('Final Calculation Sheet'!$AD$4&lt;=5,"SETTLED","OUTSTANDING"))</f>
        <v/>
      </c>
      <c r="AG45" s="70">
        <f>IF('Final Calculation Sheet'!$AF$4="","",'Final Calculation Sheet'!$AF$4)</f>
        <v/>
      </c>
      <c r="AH45" s="74">
        <f>IF('Final Calculation Sheet'!$AG$4="","",'Final Calculation Sheet'!$AG$4)</f>
        <v/>
      </c>
      <c r="AI45" s="70">
        <f>IF('Final Calculation Sheet'!$AH$4="","",'Final Calculation Sheet'!$AH$4)</f>
        <v/>
      </c>
    </row>
    <row r="46" ht="15" customHeight="1" s="137">
      <c r="A46" s="81" t="inlineStr">
        <is>
          <t>∑</t>
        </is>
      </c>
      <c r="B46" s="83" t="n"/>
      <c r="C46" s="83">
        <f>ROWS($C$45:$C$45)&amp;" lot(s)"</f>
        <v/>
      </c>
      <c r="D46" s="83" t="inlineStr">
        <is>
          <t>SUBTOTAL — AL HAMD TRADE CORPORATION</t>
        </is>
      </c>
      <c r="E46" s="83" t="inlineStr">
        <is>
          <t>–</t>
        </is>
      </c>
      <c r="F46" s="83">
        <f>SUM(F45:F45)</f>
        <v/>
      </c>
      <c r="G46" s="83" t="inlineStr">
        <is>
          <t>–</t>
        </is>
      </c>
      <c r="H46" s="84" t="inlineStr">
        <is>
          <t>–</t>
        </is>
      </c>
      <c r="I46" s="84">
        <f>SUM(I45:I45)</f>
        <v/>
      </c>
      <c r="J46" s="84">
        <f>SUM(J45:J45)</f>
        <v/>
      </c>
      <c r="K46" s="84">
        <f>SUM(K45:K45)</f>
        <v/>
      </c>
      <c r="L46" s="84">
        <f>SUM(L45:L45)</f>
        <v/>
      </c>
      <c r="M46" s="84">
        <f>SUM(M45:M45)</f>
        <v/>
      </c>
      <c r="N46" s="84">
        <f>SUM(N45:N45)</f>
        <v/>
      </c>
      <c r="O46" s="85">
        <f>SUM(O45:O45)</f>
        <v/>
      </c>
      <c r="P46" s="84">
        <f>SUM(P45:P45)</f>
        <v/>
      </c>
      <c r="Q46" s="84">
        <f>SUM(Q45:Q45)</f>
        <v/>
      </c>
      <c r="R46" s="86" t="inlineStr">
        <is>
          <t>–</t>
        </is>
      </c>
      <c r="S46" s="84">
        <f>SUM(S45:S45)</f>
        <v/>
      </c>
      <c r="T46" s="84">
        <f>SUM(T45:T45)</f>
        <v/>
      </c>
      <c r="U46" s="84">
        <f>SUM(U45:U45)</f>
        <v/>
      </c>
      <c r="V46" s="87">
        <f>SUM(V45:V45)</f>
        <v/>
      </c>
      <c r="W46" s="84" t="inlineStr">
        <is>
          <t>–</t>
        </is>
      </c>
      <c r="X46" s="84">
        <f>SUM(X45:X45)</f>
        <v/>
      </c>
      <c r="Y46" s="84">
        <f>SUM(Y45:Y45)</f>
        <v/>
      </c>
      <c r="Z46" s="84" t="inlineStr">
        <is>
          <t>–</t>
        </is>
      </c>
      <c r="AA46" s="84">
        <f>SUM(AA45:AA45)</f>
        <v/>
      </c>
      <c r="AB46" s="84">
        <f>SUM(AB45:AB45)</f>
        <v/>
      </c>
      <c r="AC46" s="84" t="inlineStr">
        <is>
          <t>–</t>
        </is>
      </c>
      <c r="AD46" s="84">
        <f>SUM(AD45:AD45)</f>
        <v/>
      </c>
      <c r="AE46" s="84">
        <f>SUM(AE45:AE45)</f>
        <v/>
      </c>
      <c r="AF46" s="89">
        <f>IF(AE46&lt;=5,"SETTLED","OUTSTANDING")</f>
        <v/>
      </c>
      <c r="AG46" s="84" t="inlineStr">
        <is>
          <t>–</t>
        </is>
      </c>
      <c r="AH46" s="88" t="inlineStr">
        <is>
          <t>–</t>
        </is>
      </c>
      <c r="AI46" s="84" t="inlineStr">
        <is>
          <t>–</t>
        </is>
      </c>
    </row>
    <row r="47" outlineLevel="1" ht="15" customHeight="1" s="137">
      <c r="A47" s="67" t="n">
        <v>1</v>
      </c>
      <c r="B47" s="76">
        <f>IF('Final Calculation Sheet'!$F$6="","",'Final Calculation Sheet'!$F$6)</f>
        <v/>
      </c>
      <c r="C47" s="76">
        <f>IF('Final Calculation Sheet'!$G$6="","",'Final Calculation Sheet'!$G$6)</f>
        <v/>
      </c>
      <c r="D47" s="80">
        <f>IF('Final Calculation Sheet'!$B$6="","",'Final Calculation Sheet'!$B$6)</f>
        <v/>
      </c>
      <c r="E47" s="80">
        <f>IF('Final Calculation Sheet'!$D$6="","",'Final Calculation Sheet'!$D$6)</f>
        <v/>
      </c>
      <c r="F47" s="80">
        <f>IF('Final Calculation Sheet'!$A$6="","",'Final Calculation Sheet'!$A$6)</f>
        <v/>
      </c>
      <c r="G47" s="80">
        <f>IF('Final Calculation Sheet'!$E$6="","",'Final Calculation Sheet'!$E$6)</f>
        <v/>
      </c>
      <c r="H47" s="70">
        <f>IF('Final Calculation Sheet'!$C$6="","",'Final Calculation Sheet'!$C$6)</f>
        <v/>
      </c>
      <c r="I47" s="70">
        <f>IF('Final Calculation Sheet'!$H$6="","",'Final Calculation Sheet'!$H$6)</f>
        <v/>
      </c>
      <c r="J47" s="70">
        <f>IF('Final Calculation Sheet'!$I$6="","",'Final Calculation Sheet'!$I$6)</f>
        <v/>
      </c>
      <c r="K47" s="70">
        <f>IF('Final Calculation Sheet'!$J$6="","",'Final Calculation Sheet'!$J$6)</f>
        <v/>
      </c>
      <c r="L47" s="70">
        <f>IF('Final Calculation Sheet'!$K$6="","",'Final Calculation Sheet'!$K$6)</f>
        <v/>
      </c>
      <c r="M47" s="70">
        <f>IF('Final Calculation Sheet'!$L$6="","",'Final Calculation Sheet'!$L$6)</f>
        <v/>
      </c>
      <c r="N47" s="70">
        <f>IF('Final Calculation Sheet'!$M$6="","",'Final Calculation Sheet'!$M$6)</f>
        <v/>
      </c>
      <c r="O47" s="71">
        <f>IF('Final Calculation Sheet'!$N$6="","",'Final Calculation Sheet'!$N$6)</f>
        <v/>
      </c>
      <c r="P47" s="70">
        <f>IF('Final Calculation Sheet'!$O$6="","",'Final Calculation Sheet'!$O$6)</f>
        <v/>
      </c>
      <c r="Q47" s="70">
        <f>IF('Final Calculation Sheet'!$P$6="","",'Final Calculation Sheet'!$P$6)</f>
        <v/>
      </c>
      <c r="R47" s="72">
        <f>IF('Final Calculation Sheet'!$Q$6="","",'Final Calculation Sheet'!$Q$6)</f>
        <v/>
      </c>
      <c r="S47" s="70">
        <f>IF('Final Calculation Sheet'!$R$6="","",'Final Calculation Sheet'!$R$6)</f>
        <v/>
      </c>
      <c r="T47" s="70">
        <f>IF('Final Calculation Sheet'!$S$6="","",'Final Calculation Sheet'!$S$6)</f>
        <v/>
      </c>
      <c r="U47" s="70">
        <f>IF('Final Calculation Sheet'!$T$6="","",'Final Calculation Sheet'!$T$6)</f>
        <v/>
      </c>
      <c r="V47" s="73">
        <f>IF('Final Calculation Sheet'!$U$6="","",'Final Calculation Sheet'!$U$6)</f>
        <v/>
      </c>
      <c r="W47" s="70">
        <f>IF('Final Calculation Sheet'!$V$6="","",'Final Calculation Sheet'!$V$6)</f>
        <v/>
      </c>
      <c r="X47" s="70">
        <f>IF('Final Calculation Sheet'!$W$6="","",'Final Calculation Sheet'!$W$6)</f>
        <v/>
      </c>
      <c r="Y47" s="70">
        <f>IF('Final Calculation Sheet'!$X$6="","",'Final Calculation Sheet'!$X$6)</f>
        <v/>
      </c>
      <c r="Z47" s="70">
        <f>IF('Final Calculation Sheet'!$Y$6="","",'Final Calculation Sheet'!$Y$6)</f>
        <v/>
      </c>
      <c r="AA47" s="70">
        <f>IF('Final Calculation Sheet'!$Z$6="","",'Final Calculation Sheet'!$Z$6)</f>
        <v/>
      </c>
      <c r="AB47" s="70">
        <f>IF('Final Calculation Sheet'!$AA$6="","",'Final Calculation Sheet'!$AA$6)</f>
        <v/>
      </c>
      <c r="AC47" s="70">
        <f>IF('Final Calculation Sheet'!$AB$6="","",'Final Calculation Sheet'!$AB$6)</f>
        <v/>
      </c>
      <c r="AD47" s="70">
        <f>IF('Final Calculation Sheet'!$AC$6="","",'Final Calculation Sheet'!$AC$6)</f>
        <v/>
      </c>
      <c r="AE47" s="70">
        <f>IF('Final Calculation Sheet'!$AD$6="","",'Final Calculation Sheet'!$AD$6)</f>
        <v/>
      </c>
      <c r="AF47" s="75">
        <f>IF('Final Calculation Sheet'!$AD$6="","",IF('Final Calculation Sheet'!$AD$6&lt;=5,"SETTLED","OUTSTANDING"))</f>
        <v/>
      </c>
      <c r="AG47" s="70">
        <f>IF('Final Calculation Sheet'!$AF$6="","",'Final Calculation Sheet'!$AF$6)</f>
        <v/>
      </c>
      <c r="AH47" s="74">
        <f>IF('Final Calculation Sheet'!$AG$6="","",'Final Calculation Sheet'!$AG$6)</f>
        <v/>
      </c>
      <c r="AI47" s="70">
        <f>IF('Final Calculation Sheet'!$AH$6="","",'Final Calculation Sheet'!$AH$6)</f>
        <v/>
      </c>
    </row>
    <row r="48" outlineLevel="1" ht="15" customHeight="1" s="137">
      <c r="A48" s="90" t="n">
        <v>2</v>
      </c>
      <c r="B48" s="92">
        <f>IF('Final Calculation Sheet'!$F$7="","",'Final Calculation Sheet'!$F$7)</f>
        <v/>
      </c>
      <c r="C48" s="92">
        <f>IF('Final Calculation Sheet'!$G$7="","",'Final Calculation Sheet'!$G$7)</f>
        <v/>
      </c>
      <c r="D48" s="94">
        <f>IF('Final Calculation Sheet'!$B$7="","",'Final Calculation Sheet'!$B$7)</f>
        <v/>
      </c>
      <c r="E48" s="94">
        <f>IF('Final Calculation Sheet'!$D$7="","",'Final Calculation Sheet'!$D$7)</f>
        <v/>
      </c>
      <c r="F48" s="94">
        <f>IF('Final Calculation Sheet'!$A$7="","",'Final Calculation Sheet'!$A$7)</f>
        <v/>
      </c>
      <c r="G48" s="94">
        <f>IF('Final Calculation Sheet'!$E$7="","",'Final Calculation Sheet'!$E$7)</f>
        <v/>
      </c>
      <c r="H48" s="95">
        <f>IF('Final Calculation Sheet'!$C$7="","",'Final Calculation Sheet'!$C$7)</f>
        <v/>
      </c>
      <c r="I48" s="95">
        <f>IF('Final Calculation Sheet'!$H$7="","",'Final Calculation Sheet'!$H$7)</f>
        <v/>
      </c>
      <c r="J48" s="95">
        <f>IF('Final Calculation Sheet'!$I$7="","",'Final Calculation Sheet'!$I$7)</f>
        <v/>
      </c>
      <c r="K48" s="95">
        <f>IF('Final Calculation Sheet'!$J$7="","",'Final Calculation Sheet'!$J$7)</f>
        <v/>
      </c>
      <c r="L48" s="95">
        <f>IF('Final Calculation Sheet'!$K$7="","",'Final Calculation Sheet'!$K$7)</f>
        <v/>
      </c>
      <c r="M48" s="95">
        <f>IF('Final Calculation Sheet'!$L$7="","",'Final Calculation Sheet'!$L$7)</f>
        <v/>
      </c>
      <c r="N48" s="95">
        <f>IF('Final Calculation Sheet'!$M$7="","",'Final Calculation Sheet'!$M$7)</f>
        <v/>
      </c>
      <c r="O48" s="96">
        <f>IF('Final Calculation Sheet'!$N$7="","",'Final Calculation Sheet'!$N$7)</f>
        <v/>
      </c>
      <c r="P48" s="95">
        <f>IF('Final Calculation Sheet'!$O$7="","",'Final Calculation Sheet'!$O$7)</f>
        <v/>
      </c>
      <c r="Q48" s="95">
        <f>IF('Final Calculation Sheet'!$P$7="","",'Final Calculation Sheet'!$P$7)</f>
        <v/>
      </c>
      <c r="R48" s="97">
        <f>IF('Final Calculation Sheet'!$Q$7="","",'Final Calculation Sheet'!$Q$7)</f>
        <v/>
      </c>
      <c r="S48" s="95">
        <f>IF('Final Calculation Sheet'!$R$7="","",'Final Calculation Sheet'!$R$7)</f>
        <v/>
      </c>
      <c r="T48" s="95">
        <f>IF('Final Calculation Sheet'!$S$7="","",'Final Calculation Sheet'!$S$7)</f>
        <v/>
      </c>
      <c r="U48" s="95">
        <f>IF('Final Calculation Sheet'!$T$7="","",'Final Calculation Sheet'!$T$7)</f>
        <v/>
      </c>
      <c r="V48" s="98">
        <f>IF('Final Calculation Sheet'!$U$7="","",'Final Calculation Sheet'!$U$7)</f>
        <v/>
      </c>
      <c r="W48" s="95">
        <f>IF('Final Calculation Sheet'!$V$7="","",'Final Calculation Sheet'!$V$7)</f>
        <v/>
      </c>
      <c r="X48" s="95">
        <f>IF('Final Calculation Sheet'!$W$7="","",'Final Calculation Sheet'!$W$7)</f>
        <v/>
      </c>
      <c r="Y48" s="95">
        <f>IF('Final Calculation Sheet'!$X$7="","",'Final Calculation Sheet'!$X$7)</f>
        <v/>
      </c>
      <c r="Z48" s="95">
        <f>IF('Final Calculation Sheet'!$Y$7="","",'Final Calculation Sheet'!$Y$7)</f>
        <v/>
      </c>
      <c r="AA48" s="95">
        <f>IF('Final Calculation Sheet'!$Z$7="","",'Final Calculation Sheet'!$Z$7)</f>
        <v/>
      </c>
      <c r="AB48" s="95">
        <f>IF('Final Calculation Sheet'!$AA$7="","",'Final Calculation Sheet'!$AA$7)</f>
        <v/>
      </c>
      <c r="AC48" s="95">
        <f>IF('Final Calculation Sheet'!$AB$7="","",'Final Calculation Sheet'!$AB$7)</f>
        <v/>
      </c>
      <c r="AD48" s="95">
        <f>IF('Final Calculation Sheet'!$AC$7="","",'Final Calculation Sheet'!$AC$7)</f>
        <v/>
      </c>
      <c r="AE48" s="95">
        <f>IF('Final Calculation Sheet'!$AD$7="","",'Final Calculation Sheet'!$AD$7)</f>
        <v/>
      </c>
      <c r="AF48" s="100">
        <f>IF('Final Calculation Sheet'!$AD$7="","",IF('Final Calculation Sheet'!$AD$7&lt;=5,"SETTLED","OUTSTANDING"))</f>
        <v/>
      </c>
      <c r="AG48" s="95">
        <f>IF('Final Calculation Sheet'!$AF$7="","",'Final Calculation Sheet'!$AF$7)</f>
        <v/>
      </c>
      <c r="AH48" s="99">
        <f>IF('Final Calculation Sheet'!$AG$7="","",'Final Calculation Sheet'!$AG$7)</f>
        <v/>
      </c>
      <c r="AI48" s="95">
        <f>IF('Final Calculation Sheet'!$AH$7="","",'Final Calculation Sheet'!$AH$7)</f>
        <v/>
      </c>
    </row>
    <row r="49" ht="15" customHeight="1" s="137">
      <c r="A49" s="81" t="inlineStr">
        <is>
          <t>∑</t>
        </is>
      </c>
      <c r="B49" s="83" t="n"/>
      <c r="C49" s="83">
        <f>ROWS($C$47:$C$48)&amp;" lot(s)"</f>
        <v/>
      </c>
      <c r="D49" s="83" t="inlineStr">
        <is>
          <t>SUBTOTAL — F R KHANS ENTERPRISES</t>
        </is>
      </c>
      <c r="E49" s="83" t="inlineStr">
        <is>
          <t>–</t>
        </is>
      </c>
      <c r="F49" s="83">
        <f>SUM(F47:F48)</f>
        <v/>
      </c>
      <c r="G49" s="83" t="inlineStr">
        <is>
          <t>–</t>
        </is>
      </c>
      <c r="H49" s="84" t="inlineStr">
        <is>
          <t>–</t>
        </is>
      </c>
      <c r="I49" s="84">
        <f>SUM(I47:I48)</f>
        <v/>
      </c>
      <c r="J49" s="84">
        <f>SUM(J47:J48)</f>
        <v/>
      </c>
      <c r="K49" s="84">
        <f>SUM(K47:K48)</f>
        <v/>
      </c>
      <c r="L49" s="84">
        <f>SUM(L47:L48)</f>
        <v/>
      </c>
      <c r="M49" s="84">
        <f>SUM(M47:M48)</f>
        <v/>
      </c>
      <c r="N49" s="84">
        <f>SUM(N47:N48)</f>
        <v/>
      </c>
      <c r="O49" s="85">
        <f>SUM(O47:O48)</f>
        <v/>
      </c>
      <c r="P49" s="84">
        <f>SUM(P47:P48)</f>
        <v/>
      </c>
      <c r="Q49" s="84">
        <f>SUM(Q47:Q48)</f>
        <v/>
      </c>
      <c r="R49" s="86" t="inlineStr">
        <is>
          <t>–</t>
        </is>
      </c>
      <c r="S49" s="84">
        <f>SUM(S47:S48)</f>
        <v/>
      </c>
      <c r="T49" s="84">
        <f>SUM(T47:T48)</f>
        <v/>
      </c>
      <c r="U49" s="84">
        <f>SUM(U47:U48)</f>
        <v/>
      </c>
      <c r="V49" s="87">
        <f>SUM(V47:V48)</f>
        <v/>
      </c>
      <c r="W49" s="84" t="inlineStr">
        <is>
          <t>–</t>
        </is>
      </c>
      <c r="X49" s="84">
        <f>SUM(X47:X48)</f>
        <v/>
      </c>
      <c r="Y49" s="84">
        <f>SUM(Y47:Y48)</f>
        <v/>
      </c>
      <c r="Z49" s="84" t="inlineStr">
        <is>
          <t>–</t>
        </is>
      </c>
      <c r="AA49" s="84">
        <f>SUM(AA47:AA48)</f>
        <v/>
      </c>
      <c r="AB49" s="84">
        <f>SUM(AB47:AB48)</f>
        <v/>
      </c>
      <c r="AC49" s="84" t="inlineStr">
        <is>
          <t>–</t>
        </is>
      </c>
      <c r="AD49" s="84">
        <f>SUM(AD47:AD48)</f>
        <v/>
      </c>
      <c r="AE49" s="84">
        <f>SUM(AE47:AE48)</f>
        <v/>
      </c>
      <c r="AF49" s="89">
        <f>IF(AE49&lt;=5,"SETTLED","OUTSTANDING")</f>
        <v/>
      </c>
      <c r="AG49" s="84" t="inlineStr">
        <is>
          <t>–</t>
        </is>
      </c>
      <c r="AH49" s="88" t="inlineStr">
        <is>
          <t>–</t>
        </is>
      </c>
      <c r="AI49" s="84" t="inlineStr">
        <is>
          <t>–</t>
        </is>
      </c>
    </row>
    <row r="50" outlineLevel="1" ht="15" customHeight="1" s="137">
      <c r="A50" s="67" t="n">
        <v>1</v>
      </c>
      <c r="B50" s="76">
        <f>IF('Final Calculation Sheet'!$F$15="","",'Final Calculation Sheet'!$F$15)</f>
        <v/>
      </c>
      <c r="C50" s="76">
        <f>IF('Final Calculation Sheet'!$G$15="","",'Final Calculation Sheet'!$G$15)</f>
        <v/>
      </c>
      <c r="D50" s="80">
        <f>IF('Final Calculation Sheet'!$B$15="","",'Final Calculation Sheet'!$B$15)</f>
        <v/>
      </c>
      <c r="E50" s="80">
        <f>IF('Final Calculation Sheet'!$D$15="","",'Final Calculation Sheet'!$D$15)</f>
        <v/>
      </c>
      <c r="F50" s="80">
        <f>IF('Final Calculation Sheet'!$A$15="","",'Final Calculation Sheet'!$A$15)</f>
        <v/>
      </c>
      <c r="G50" s="80">
        <f>IF('Final Calculation Sheet'!$E$15="","",'Final Calculation Sheet'!$E$15)</f>
        <v/>
      </c>
      <c r="H50" s="70">
        <f>IF('Final Calculation Sheet'!$C$15="","",'Final Calculation Sheet'!$C$15)</f>
        <v/>
      </c>
      <c r="I50" s="70">
        <f>IF('Final Calculation Sheet'!$H$15="","",'Final Calculation Sheet'!$H$15)</f>
        <v/>
      </c>
      <c r="J50" s="70">
        <f>IF('Final Calculation Sheet'!$I$15="","",'Final Calculation Sheet'!$I$15)</f>
        <v/>
      </c>
      <c r="K50" s="70">
        <f>IF('Final Calculation Sheet'!$J$15="","",'Final Calculation Sheet'!$J$15)</f>
        <v/>
      </c>
      <c r="L50" s="70">
        <f>IF('Final Calculation Sheet'!$K$15="","",'Final Calculation Sheet'!$K$15)</f>
        <v/>
      </c>
      <c r="M50" s="70">
        <f>IF('Final Calculation Sheet'!$L$15="","",'Final Calculation Sheet'!$L$15)</f>
        <v/>
      </c>
      <c r="N50" s="70">
        <f>IF('Final Calculation Sheet'!$M$15="","",'Final Calculation Sheet'!$M$15)</f>
        <v/>
      </c>
      <c r="O50" s="71">
        <f>IF('Final Calculation Sheet'!$N$15="","",'Final Calculation Sheet'!$N$15)</f>
        <v/>
      </c>
      <c r="P50" s="70">
        <f>IF('Final Calculation Sheet'!$O$15="","",'Final Calculation Sheet'!$O$15)</f>
        <v/>
      </c>
      <c r="Q50" s="70">
        <f>IF('Final Calculation Sheet'!$P$15="","",'Final Calculation Sheet'!$P$15)</f>
        <v/>
      </c>
      <c r="R50" s="72">
        <f>IF('Final Calculation Sheet'!$Q$15="","",'Final Calculation Sheet'!$Q$15)</f>
        <v/>
      </c>
      <c r="S50" s="70">
        <f>IF('Final Calculation Sheet'!$R$15="","",'Final Calculation Sheet'!$R$15)</f>
        <v/>
      </c>
      <c r="T50" s="70">
        <f>IF('Final Calculation Sheet'!$S$15="","",'Final Calculation Sheet'!$S$15)</f>
        <v/>
      </c>
      <c r="U50" s="70">
        <f>IF('Final Calculation Sheet'!$T$15="","",'Final Calculation Sheet'!$T$15)</f>
        <v/>
      </c>
      <c r="V50" s="73">
        <f>IF('Final Calculation Sheet'!$U$15="","",'Final Calculation Sheet'!$U$15)</f>
        <v/>
      </c>
      <c r="W50" s="70">
        <f>IF('Final Calculation Sheet'!$V$15="","",'Final Calculation Sheet'!$V$15)</f>
        <v/>
      </c>
      <c r="X50" s="70">
        <f>IF('Final Calculation Sheet'!$W$15="","",'Final Calculation Sheet'!$W$15)</f>
        <v/>
      </c>
      <c r="Y50" s="70">
        <f>IF('Final Calculation Sheet'!$X$15="","",'Final Calculation Sheet'!$X$15)</f>
        <v/>
      </c>
      <c r="Z50" s="70">
        <f>IF('Final Calculation Sheet'!$Y$15="","",'Final Calculation Sheet'!$Y$15)</f>
        <v/>
      </c>
      <c r="AA50" s="70">
        <f>IF('Final Calculation Sheet'!$Z$15="","",'Final Calculation Sheet'!$Z$15)</f>
        <v/>
      </c>
      <c r="AB50" s="70">
        <f>IF('Final Calculation Sheet'!$AA$15="","",'Final Calculation Sheet'!$AA$15)</f>
        <v/>
      </c>
      <c r="AC50" s="70">
        <f>IF('Final Calculation Sheet'!$AB$15="","",'Final Calculation Sheet'!$AB$15)</f>
        <v/>
      </c>
      <c r="AD50" s="70">
        <f>IF('Final Calculation Sheet'!$AC$15="","",'Final Calculation Sheet'!$AC$15)</f>
        <v/>
      </c>
      <c r="AE50" s="70">
        <f>IF('Final Calculation Sheet'!$AD$15="","",'Final Calculation Sheet'!$AD$15)</f>
        <v/>
      </c>
      <c r="AF50" s="75">
        <f>IF('Final Calculation Sheet'!$AD$15="","",IF('Final Calculation Sheet'!$AD$15&lt;=5,"SETTLED","OUTSTANDING"))</f>
        <v/>
      </c>
      <c r="AG50" s="70">
        <f>IF('Final Calculation Sheet'!$AF$15="","",'Final Calculation Sheet'!$AF$15)</f>
        <v/>
      </c>
      <c r="AH50" s="74">
        <f>IF('Final Calculation Sheet'!$AG$15="","",'Final Calculation Sheet'!$AG$15)</f>
        <v/>
      </c>
      <c r="AI50" s="70">
        <f>IF('Final Calculation Sheet'!$AH$15="","",'Final Calculation Sheet'!$AH$15)</f>
        <v/>
      </c>
    </row>
    <row r="51" ht="15" customHeight="1" s="137">
      <c r="A51" s="81" t="inlineStr">
        <is>
          <t>∑</t>
        </is>
      </c>
      <c r="B51" s="83" t="n"/>
      <c r="C51" s="83">
        <f>ROWS($C$50:$C$50)&amp;" lot(s)"</f>
        <v/>
      </c>
      <c r="D51" s="83" t="inlineStr">
        <is>
          <t>SUBTOTAL — HIND TRADERS</t>
        </is>
      </c>
      <c r="E51" s="83" t="inlineStr">
        <is>
          <t>–</t>
        </is>
      </c>
      <c r="F51" s="83">
        <f>SUM(F50:F50)</f>
        <v/>
      </c>
      <c r="G51" s="83" t="inlineStr">
        <is>
          <t>–</t>
        </is>
      </c>
      <c r="H51" s="84" t="inlineStr">
        <is>
          <t>–</t>
        </is>
      </c>
      <c r="I51" s="84">
        <f>SUM(I50:I50)</f>
        <v/>
      </c>
      <c r="J51" s="84">
        <f>SUM(J50:J50)</f>
        <v/>
      </c>
      <c r="K51" s="84">
        <f>SUM(K50:K50)</f>
        <v/>
      </c>
      <c r="L51" s="84">
        <f>SUM(L50:L50)</f>
        <v/>
      </c>
      <c r="M51" s="84">
        <f>SUM(M50:M50)</f>
        <v/>
      </c>
      <c r="N51" s="84">
        <f>SUM(N50:N50)</f>
        <v/>
      </c>
      <c r="O51" s="85">
        <f>SUM(O50:O50)</f>
        <v/>
      </c>
      <c r="P51" s="84">
        <f>SUM(P50:P50)</f>
        <v/>
      </c>
      <c r="Q51" s="84">
        <f>SUM(Q50:Q50)</f>
        <v/>
      </c>
      <c r="R51" s="86" t="inlineStr">
        <is>
          <t>–</t>
        </is>
      </c>
      <c r="S51" s="84">
        <f>SUM(S50:S50)</f>
        <v/>
      </c>
      <c r="T51" s="84">
        <f>SUM(T50:T50)</f>
        <v/>
      </c>
      <c r="U51" s="84">
        <f>SUM(U50:U50)</f>
        <v/>
      </c>
      <c r="V51" s="87">
        <f>SUM(V50:V50)</f>
        <v/>
      </c>
      <c r="W51" s="84" t="inlineStr">
        <is>
          <t>–</t>
        </is>
      </c>
      <c r="X51" s="84">
        <f>SUM(X50:X50)</f>
        <v/>
      </c>
      <c r="Y51" s="84">
        <f>SUM(Y50:Y50)</f>
        <v/>
      </c>
      <c r="Z51" s="84" t="inlineStr">
        <is>
          <t>–</t>
        </is>
      </c>
      <c r="AA51" s="84">
        <f>SUM(AA50:AA50)</f>
        <v/>
      </c>
      <c r="AB51" s="84">
        <f>SUM(AB50:AB50)</f>
        <v/>
      </c>
      <c r="AC51" s="84" t="inlineStr">
        <is>
          <t>–</t>
        </is>
      </c>
      <c r="AD51" s="84">
        <f>SUM(AD50:AD50)</f>
        <v/>
      </c>
      <c r="AE51" s="84">
        <f>SUM(AE50:AE50)</f>
        <v/>
      </c>
      <c r="AF51" s="89">
        <f>IF(AE51&lt;=5,"SETTLED","OUTSTANDING")</f>
        <v/>
      </c>
      <c r="AG51" s="84" t="inlineStr">
        <is>
          <t>–</t>
        </is>
      </c>
      <c r="AH51" s="88" t="inlineStr">
        <is>
          <t>–</t>
        </is>
      </c>
      <c r="AI51" s="84" t="inlineStr">
        <is>
          <t>–</t>
        </is>
      </c>
    </row>
    <row r="52" outlineLevel="1" ht="15" customHeight="1" s="137">
      <c r="A52" s="67" t="n">
        <v>1</v>
      </c>
      <c r="B52" s="76">
        <f>IF('Final Calculation Sheet'!$F$38="","",'Final Calculation Sheet'!$F$38)</f>
        <v/>
      </c>
      <c r="C52" s="76">
        <f>IF('Final Calculation Sheet'!$G$38="","",'Final Calculation Sheet'!$G$38)</f>
        <v/>
      </c>
      <c r="D52" s="80">
        <f>IF('Final Calculation Sheet'!$B$38="","",'Final Calculation Sheet'!$B$38)</f>
        <v/>
      </c>
      <c r="E52" s="80">
        <f>IF('Final Calculation Sheet'!$D$38="","",'Final Calculation Sheet'!$D$38)</f>
        <v/>
      </c>
      <c r="F52" s="80">
        <f>IF('Final Calculation Sheet'!$A$38="","",'Final Calculation Sheet'!$A$38)</f>
        <v/>
      </c>
      <c r="G52" s="80">
        <f>IF('Final Calculation Sheet'!$E$38="","",'Final Calculation Sheet'!$E$38)</f>
        <v/>
      </c>
      <c r="H52" s="70">
        <f>IF('Final Calculation Sheet'!$C$38="","",'Final Calculation Sheet'!$C$38)</f>
        <v/>
      </c>
      <c r="I52" s="70">
        <f>IF('Final Calculation Sheet'!$H$38="","",'Final Calculation Sheet'!$H$38)</f>
        <v/>
      </c>
      <c r="J52" s="70">
        <f>IF('Final Calculation Sheet'!$I$38="","",'Final Calculation Sheet'!$I$38)</f>
        <v/>
      </c>
      <c r="K52" s="70">
        <f>IF('Final Calculation Sheet'!$J$38="","",'Final Calculation Sheet'!$J$38)</f>
        <v/>
      </c>
      <c r="L52" s="70">
        <f>IF('Final Calculation Sheet'!$K$38="","",'Final Calculation Sheet'!$K$38)</f>
        <v/>
      </c>
      <c r="M52" s="70">
        <f>IF('Final Calculation Sheet'!$L$38="","",'Final Calculation Sheet'!$L$38)</f>
        <v/>
      </c>
      <c r="N52" s="70">
        <f>IF('Final Calculation Sheet'!$M$38="","",'Final Calculation Sheet'!$M$38)</f>
        <v/>
      </c>
      <c r="O52" s="71">
        <f>IF('Final Calculation Sheet'!$N$38="","",'Final Calculation Sheet'!$N$38)</f>
        <v/>
      </c>
      <c r="P52" s="70">
        <f>IF('Final Calculation Sheet'!$O$38="","",'Final Calculation Sheet'!$O$38)</f>
        <v/>
      </c>
      <c r="Q52" s="70">
        <f>IF('Final Calculation Sheet'!$P$38="","",'Final Calculation Sheet'!$P$38)</f>
        <v/>
      </c>
      <c r="R52" s="72">
        <f>IF('Final Calculation Sheet'!$Q$38="","",'Final Calculation Sheet'!$Q$38)</f>
        <v/>
      </c>
      <c r="S52" s="70">
        <f>IF('Final Calculation Sheet'!$R$38="","",'Final Calculation Sheet'!$R$38)</f>
        <v/>
      </c>
      <c r="T52" s="70">
        <f>IF('Final Calculation Sheet'!$S$38="","",'Final Calculation Sheet'!$S$38)</f>
        <v/>
      </c>
      <c r="U52" s="70">
        <f>IF('Final Calculation Sheet'!$T$38="","",'Final Calculation Sheet'!$T$38)</f>
        <v/>
      </c>
      <c r="V52" s="73">
        <f>IF('Final Calculation Sheet'!$U$38="","",'Final Calculation Sheet'!$U$38)</f>
        <v/>
      </c>
      <c r="W52" s="70">
        <f>IF('Final Calculation Sheet'!$V$38="","",'Final Calculation Sheet'!$V$38)</f>
        <v/>
      </c>
      <c r="X52" s="70">
        <f>IF('Final Calculation Sheet'!$W$38="","",'Final Calculation Sheet'!$W$38)</f>
        <v/>
      </c>
      <c r="Y52" s="70">
        <f>IF('Final Calculation Sheet'!$X$38="","",'Final Calculation Sheet'!$X$38)</f>
        <v/>
      </c>
      <c r="Z52" s="70">
        <f>IF('Final Calculation Sheet'!$Y$38="","",'Final Calculation Sheet'!$Y$38)</f>
        <v/>
      </c>
      <c r="AA52" s="70">
        <f>IF('Final Calculation Sheet'!$Z$38="","",'Final Calculation Sheet'!$Z$38)</f>
        <v/>
      </c>
      <c r="AB52" s="70">
        <f>IF('Final Calculation Sheet'!$AA$38="","",'Final Calculation Sheet'!$AA$38)</f>
        <v/>
      </c>
      <c r="AC52" s="70">
        <f>IF('Final Calculation Sheet'!$AB$38="","",'Final Calculation Sheet'!$AB$38)</f>
        <v/>
      </c>
      <c r="AD52" s="70">
        <f>IF('Final Calculation Sheet'!$AC$38="","",'Final Calculation Sheet'!$AC$38)</f>
        <v/>
      </c>
      <c r="AE52" s="70">
        <f>IF('Final Calculation Sheet'!$AD$38="","",'Final Calculation Sheet'!$AD$38)</f>
        <v/>
      </c>
      <c r="AF52" s="75">
        <f>IF('Final Calculation Sheet'!$AD$38="","",IF('Final Calculation Sheet'!$AD$38&lt;=5,"SETTLED","OUTSTANDING"))</f>
        <v/>
      </c>
      <c r="AG52" s="70">
        <f>IF('Final Calculation Sheet'!$AF$38="","",'Final Calculation Sheet'!$AF$38)</f>
        <v/>
      </c>
      <c r="AH52" s="74">
        <f>IF('Final Calculation Sheet'!$AG$38="","",'Final Calculation Sheet'!$AG$38)</f>
        <v/>
      </c>
      <c r="AI52" s="70">
        <f>IF('Final Calculation Sheet'!$AH$38="","",'Final Calculation Sheet'!$AH$38)</f>
        <v/>
      </c>
    </row>
    <row r="53" ht="15" customHeight="1" s="137">
      <c r="A53" s="81" t="inlineStr">
        <is>
          <t>∑</t>
        </is>
      </c>
      <c r="B53" s="83" t="n"/>
      <c r="C53" s="83">
        <f>ROWS($C$52:$C$52)&amp;" lot(s)"</f>
        <v/>
      </c>
      <c r="D53" s="83" t="inlineStr">
        <is>
          <t>SUBTOTAL — KASHYAP TRADING CO</t>
        </is>
      </c>
      <c r="E53" s="83" t="inlineStr">
        <is>
          <t>–</t>
        </is>
      </c>
      <c r="F53" s="83">
        <f>SUM(F52:F52)</f>
        <v/>
      </c>
      <c r="G53" s="83" t="inlineStr">
        <is>
          <t>–</t>
        </is>
      </c>
      <c r="H53" s="84" t="inlineStr">
        <is>
          <t>–</t>
        </is>
      </c>
      <c r="I53" s="84">
        <f>SUM(I52:I52)</f>
        <v/>
      </c>
      <c r="J53" s="84">
        <f>SUM(J52:J52)</f>
        <v/>
      </c>
      <c r="K53" s="84">
        <f>SUM(K52:K52)</f>
        <v/>
      </c>
      <c r="L53" s="84">
        <f>SUM(L52:L52)</f>
        <v/>
      </c>
      <c r="M53" s="84">
        <f>SUM(M52:M52)</f>
        <v/>
      </c>
      <c r="N53" s="84">
        <f>SUM(N52:N52)</f>
        <v/>
      </c>
      <c r="O53" s="85">
        <f>SUM(O52:O52)</f>
        <v/>
      </c>
      <c r="P53" s="84">
        <f>SUM(P52:P52)</f>
        <v/>
      </c>
      <c r="Q53" s="84">
        <f>SUM(Q52:Q52)</f>
        <v/>
      </c>
      <c r="R53" s="86" t="inlineStr">
        <is>
          <t>–</t>
        </is>
      </c>
      <c r="S53" s="84">
        <f>SUM(S52:S52)</f>
        <v/>
      </c>
      <c r="T53" s="84">
        <f>SUM(T52:T52)</f>
        <v/>
      </c>
      <c r="U53" s="84">
        <f>SUM(U52:U52)</f>
        <v/>
      </c>
      <c r="V53" s="87">
        <f>SUM(V52:V52)</f>
        <v/>
      </c>
      <c r="W53" s="84" t="inlineStr">
        <is>
          <t>–</t>
        </is>
      </c>
      <c r="X53" s="84">
        <f>SUM(X52:X52)</f>
        <v/>
      </c>
      <c r="Y53" s="84">
        <f>SUM(Y52:Y52)</f>
        <v/>
      </c>
      <c r="Z53" s="84" t="inlineStr">
        <is>
          <t>–</t>
        </is>
      </c>
      <c r="AA53" s="84">
        <f>SUM(AA52:AA52)</f>
        <v/>
      </c>
      <c r="AB53" s="84">
        <f>SUM(AB52:AB52)</f>
        <v/>
      </c>
      <c r="AC53" s="84" t="inlineStr">
        <is>
          <t>–</t>
        </is>
      </c>
      <c r="AD53" s="84">
        <f>SUM(AD52:AD52)</f>
        <v/>
      </c>
      <c r="AE53" s="84">
        <f>SUM(AE52:AE52)</f>
        <v/>
      </c>
      <c r="AF53" s="89">
        <f>IF(AE53&lt;=5,"SETTLED","OUTSTANDING")</f>
        <v/>
      </c>
      <c r="AG53" s="84" t="inlineStr">
        <is>
          <t>–</t>
        </is>
      </c>
      <c r="AH53" s="88" t="inlineStr">
        <is>
          <t>–</t>
        </is>
      </c>
      <c r="AI53" s="84" t="inlineStr">
        <is>
          <t>–</t>
        </is>
      </c>
    </row>
    <row r="54" outlineLevel="1" ht="15" customHeight="1" s="137">
      <c r="A54" s="67" t="n">
        <v>1</v>
      </c>
      <c r="B54" s="76">
        <f>IF('Final Calculation Sheet'!$F$27="","",'Final Calculation Sheet'!$F$27)</f>
        <v/>
      </c>
      <c r="C54" s="76">
        <f>IF('Final Calculation Sheet'!$G$27="","",'Final Calculation Sheet'!$G$27)</f>
        <v/>
      </c>
      <c r="D54" s="80">
        <f>IF('Final Calculation Sheet'!$B$27="","",'Final Calculation Sheet'!$B$27)</f>
        <v/>
      </c>
      <c r="E54" s="80">
        <f>IF('Final Calculation Sheet'!$D$27="","",'Final Calculation Sheet'!$D$27)</f>
        <v/>
      </c>
      <c r="F54" s="80">
        <f>IF('Final Calculation Sheet'!$A$27="","",'Final Calculation Sheet'!$A$27)</f>
        <v/>
      </c>
      <c r="G54" s="80">
        <f>IF('Final Calculation Sheet'!$E$27="","",'Final Calculation Sheet'!$E$27)</f>
        <v/>
      </c>
      <c r="H54" s="70">
        <f>IF('Final Calculation Sheet'!$C$27="","",'Final Calculation Sheet'!$C$27)</f>
        <v/>
      </c>
      <c r="I54" s="70">
        <f>IF('Final Calculation Sheet'!$H$27="","",'Final Calculation Sheet'!$H$27)</f>
        <v/>
      </c>
      <c r="J54" s="70">
        <f>IF('Final Calculation Sheet'!$I$27="","",'Final Calculation Sheet'!$I$27)</f>
        <v/>
      </c>
      <c r="K54" s="70">
        <f>IF('Final Calculation Sheet'!$J$27="","",'Final Calculation Sheet'!$J$27)</f>
        <v/>
      </c>
      <c r="L54" s="70">
        <f>IF('Final Calculation Sheet'!$K$27="","",'Final Calculation Sheet'!$K$27)</f>
        <v/>
      </c>
      <c r="M54" s="70">
        <f>IF('Final Calculation Sheet'!$L$27="","",'Final Calculation Sheet'!$L$27)</f>
        <v/>
      </c>
      <c r="N54" s="70">
        <f>IF('Final Calculation Sheet'!$M$27="","",'Final Calculation Sheet'!$M$27)</f>
        <v/>
      </c>
      <c r="O54" s="71">
        <f>IF('Final Calculation Sheet'!$N$27="","",'Final Calculation Sheet'!$N$27)</f>
        <v/>
      </c>
      <c r="P54" s="70">
        <f>IF('Final Calculation Sheet'!$O$27="","",'Final Calculation Sheet'!$O$27)</f>
        <v/>
      </c>
      <c r="Q54" s="70">
        <f>IF('Final Calculation Sheet'!$P$27="","",'Final Calculation Sheet'!$P$27)</f>
        <v/>
      </c>
      <c r="R54" s="72">
        <f>IF('Final Calculation Sheet'!$Q$27="","",'Final Calculation Sheet'!$Q$27)</f>
        <v/>
      </c>
      <c r="S54" s="70">
        <f>IF('Final Calculation Sheet'!$R$27="","",'Final Calculation Sheet'!$R$27)</f>
        <v/>
      </c>
      <c r="T54" s="70">
        <f>IF('Final Calculation Sheet'!$S$27="","",'Final Calculation Sheet'!$S$27)</f>
        <v/>
      </c>
      <c r="U54" s="70">
        <f>IF('Final Calculation Sheet'!$T$27="","",'Final Calculation Sheet'!$T$27)</f>
        <v/>
      </c>
      <c r="V54" s="73">
        <f>IF('Final Calculation Sheet'!$U$27="","",'Final Calculation Sheet'!$U$27)</f>
        <v/>
      </c>
      <c r="W54" s="70">
        <f>IF('Final Calculation Sheet'!$V$27="","",'Final Calculation Sheet'!$V$27)</f>
        <v/>
      </c>
      <c r="X54" s="70">
        <f>IF('Final Calculation Sheet'!$W$27="","",'Final Calculation Sheet'!$W$27)</f>
        <v/>
      </c>
      <c r="Y54" s="70">
        <f>IF('Final Calculation Sheet'!$X$27="","",'Final Calculation Sheet'!$X$27)</f>
        <v/>
      </c>
      <c r="Z54" s="70">
        <f>IF('Final Calculation Sheet'!$Y$27="","",'Final Calculation Sheet'!$Y$27)</f>
        <v/>
      </c>
      <c r="AA54" s="70">
        <f>IF('Final Calculation Sheet'!$Z$27="","",'Final Calculation Sheet'!$Z$27)</f>
        <v/>
      </c>
      <c r="AB54" s="70">
        <f>IF('Final Calculation Sheet'!$AA$27="","",'Final Calculation Sheet'!$AA$27)</f>
        <v/>
      </c>
      <c r="AC54" s="70">
        <f>IF('Final Calculation Sheet'!$AB$27="","",'Final Calculation Sheet'!$AB$27)</f>
        <v/>
      </c>
      <c r="AD54" s="70">
        <f>IF('Final Calculation Sheet'!$AC$27="","",'Final Calculation Sheet'!$AC$27)</f>
        <v/>
      </c>
      <c r="AE54" s="70">
        <f>IF('Final Calculation Sheet'!$AD$27="","",'Final Calculation Sheet'!$AD$27)</f>
        <v/>
      </c>
      <c r="AF54" s="75">
        <f>IF('Final Calculation Sheet'!$AD$27="","",IF('Final Calculation Sheet'!$AD$27&lt;=5,"SETTLED","OUTSTANDING"))</f>
        <v/>
      </c>
      <c r="AG54" s="70">
        <f>IF('Final Calculation Sheet'!$AF$27="","",'Final Calculation Sheet'!$AF$27)</f>
        <v/>
      </c>
      <c r="AH54" s="74">
        <f>IF('Final Calculation Sheet'!$AG$27="","",'Final Calculation Sheet'!$AG$27)</f>
        <v/>
      </c>
      <c r="AI54" s="70">
        <f>IF('Final Calculation Sheet'!$AH$27="","",'Final Calculation Sheet'!$AH$27)</f>
        <v/>
      </c>
    </row>
    <row r="55" ht="15" customHeight="1" s="137">
      <c r="A55" s="81" t="inlineStr">
        <is>
          <t>∑</t>
        </is>
      </c>
      <c r="B55" s="83" t="n"/>
      <c r="C55" s="83">
        <f>ROWS($C$54:$C$54)&amp;" lot(s)"</f>
        <v/>
      </c>
      <c r="D55" s="83" t="inlineStr">
        <is>
          <t>SUBTOTAL — M I SCRAP TRADERS</t>
        </is>
      </c>
      <c r="E55" s="83" t="inlineStr">
        <is>
          <t>–</t>
        </is>
      </c>
      <c r="F55" s="83">
        <f>SUM(F54:F54)</f>
        <v/>
      </c>
      <c r="G55" s="83" t="inlineStr">
        <is>
          <t>–</t>
        </is>
      </c>
      <c r="H55" s="84" t="inlineStr">
        <is>
          <t>–</t>
        </is>
      </c>
      <c r="I55" s="84">
        <f>SUM(I54:I54)</f>
        <v/>
      </c>
      <c r="J55" s="84">
        <f>SUM(J54:J54)</f>
        <v/>
      </c>
      <c r="K55" s="84">
        <f>SUM(K54:K54)</f>
        <v/>
      </c>
      <c r="L55" s="84">
        <f>SUM(L54:L54)</f>
        <v/>
      </c>
      <c r="M55" s="84">
        <f>SUM(M54:M54)</f>
        <v/>
      </c>
      <c r="N55" s="84">
        <f>SUM(N54:N54)</f>
        <v/>
      </c>
      <c r="O55" s="85">
        <f>SUM(O54:O54)</f>
        <v/>
      </c>
      <c r="P55" s="84">
        <f>SUM(P54:P54)</f>
        <v/>
      </c>
      <c r="Q55" s="84">
        <f>SUM(Q54:Q54)</f>
        <v/>
      </c>
      <c r="R55" s="86" t="inlineStr">
        <is>
          <t>–</t>
        </is>
      </c>
      <c r="S55" s="84">
        <f>SUM(S54:S54)</f>
        <v/>
      </c>
      <c r="T55" s="84">
        <f>SUM(T54:T54)</f>
        <v/>
      </c>
      <c r="U55" s="84">
        <f>SUM(U54:U54)</f>
        <v/>
      </c>
      <c r="V55" s="87">
        <f>SUM(V54:V54)</f>
        <v/>
      </c>
      <c r="W55" s="84" t="inlineStr">
        <is>
          <t>–</t>
        </is>
      </c>
      <c r="X55" s="84">
        <f>SUM(X54:X54)</f>
        <v/>
      </c>
      <c r="Y55" s="84">
        <f>SUM(Y54:Y54)</f>
        <v/>
      </c>
      <c r="Z55" s="84" t="inlineStr">
        <is>
          <t>–</t>
        </is>
      </c>
      <c r="AA55" s="84">
        <f>SUM(AA54:AA54)</f>
        <v/>
      </c>
      <c r="AB55" s="84">
        <f>SUM(AB54:AB54)</f>
        <v/>
      </c>
      <c r="AC55" s="84" t="inlineStr">
        <is>
          <t>–</t>
        </is>
      </c>
      <c r="AD55" s="84">
        <f>SUM(AD54:AD54)</f>
        <v/>
      </c>
      <c r="AE55" s="84">
        <f>SUM(AE54:AE54)</f>
        <v/>
      </c>
      <c r="AF55" s="89">
        <f>IF(AE55&lt;=5,"SETTLED","OUTSTANDING")</f>
        <v/>
      </c>
      <c r="AG55" s="84" t="inlineStr">
        <is>
          <t>–</t>
        </is>
      </c>
      <c r="AH55" s="88" t="inlineStr">
        <is>
          <t>–</t>
        </is>
      </c>
      <c r="AI55" s="84" t="inlineStr">
        <is>
          <t>–</t>
        </is>
      </c>
    </row>
    <row r="56" outlineLevel="1" ht="15" customHeight="1" s="137">
      <c r="A56" s="67" t="n">
        <v>1</v>
      </c>
      <c r="B56" s="76">
        <f>IF('Final Calculation Sheet'!$F$5="","",'Final Calculation Sheet'!$F$5)</f>
        <v/>
      </c>
      <c r="C56" s="76">
        <f>IF('Final Calculation Sheet'!$G$5="","",'Final Calculation Sheet'!$G$5)</f>
        <v/>
      </c>
      <c r="D56" s="80">
        <f>IF('Final Calculation Sheet'!$B$5="","",'Final Calculation Sheet'!$B$5)</f>
        <v/>
      </c>
      <c r="E56" s="80">
        <f>IF('Final Calculation Sheet'!$D$5="","",'Final Calculation Sheet'!$D$5)</f>
        <v/>
      </c>
      <c r="F56" s="80">
        <f>IF('Final Calculation Sheet'!$A$5="","",'Final Calculation Sheet'!$A$5)</f>
        <v/>
      </c>
      <c r="G56" s="80">
        <f>IF('Final Calculation Sheet'!$E$5="","",'Final Calculation Sheet'!$E$5)</f>
        <v/>
      </c>
      <c r="H56" s="70">
        <f>IF('Final Calculation Sheet'!$C$5="","",'Final Calculation Sheet'!$C$5)</f>
        <v/>
      </c>
      <c r="I56" s="70">
        <f>IF('Final Calculation Sheet'!$H$5="","",'Final Calculation Sheet'!$H$5)</f>
        <v/>
      </c>
      <c r="J56" s="70">
        <f>IF('Final Calculation Sheet'!$I$5="","",'Final Calculation Sheet'!$I$5)</f>
        <v/>
      </c>
      <c r="K56" s="70">
        <f>IF('Final Calculation Sheet'!$J$5="","",'Final Calculation Sheet'!$J$5)</f>
        <v/>
      </c>
      <c r="L56" s="70">
        <f>IF('Final Calculation Sheet'!$K$5="","",'Final Calculation Sheet'!$K$5)</f>
        <v/>
      </c>
      <c r="M56" s="70">
        <f>IF('Final Calculation Sheet'!$L$5="","",'Final Calculation Sheet'!$L$5)</f>
        <v/>
      </c>
      <c r="N56" s="70">
        <f>IF('Final Calculation Sheet'!$M$5="","",'Final Calculation Sheet'!$M$5)</f>
        <v/>
      </c>
      <c r="O56" s="71">
        <f>IF('Final Calculation Sheet'!$N$5="","",'Final Calculation Sheet'!$N$5)</f>
        <v/>
      </c>
      <c r="P56" s="70">
        <f>IF('Final Calculation Sheet'!$O$5="","",'Final Calculation Sheet'!$O$5)</f>
        <v/>
      </c>
      <c r="Q56" s="70">
        <f>IF('Final Calculation Sheet'!$P$5="","",'Final Calculation Sheet'!$P$5)</f>
        <v/>
      </c>
      <c r="R56" s="72">
        <f>IF('Final Calculation Sheet'!$Q$5="","",'Final Calculation Sheet'!$Q$5)</f>
        <v/>
      </c>
      <c r="S56" s="70">
        <f>IF('Final Calculation Sheet'!$R$5="","",'Final Calculation Sheet'!$R$5)</f>
        <v/>
      </c>
      <c r="T56" s="70">
        <f>IF('Final Calculation Sheet'!$S$5="","",'Final Calculation Sheet'!$S$5)</f>
        <v/>
      </c>
      <c r="U56" s="70">
        <f>IF('Final Calculation Sheet'!$T$5="","",'Final Calculation Sheet'!$T$5)</f>
        <v/>
      </c>
      <c r="V56" s="73">
        <f>IF('Final Calculation Sheet'!$U$5="","",'Final Calculation Sheet'!$U$5)</f>
        <v/>
      </c>
      <c r="W56" s="70">
        <f>IF('Final Calculation Sheet'!$V$5="","",'Final Calculation Sheet'!$V$5)</f>
        <v/>
      </c>
      <c r="X56" s="70">
        <f>IF('Final Calculation Sheet'!$W$5="","",'Final Calculation Sheet'!$W$5)</f>
        <v/>
      </c>
      <c r="Y56" s="70">
        <f>IF('Final Calculation Sheet'!$X$5="","",'Final Calculation Sheet'!$X$5)</f>
        <v/>
      </c>
      <c r="Z56" s="70">
        <f>IF('Final Calculation Sheet'!$Y$5="","",'Final Calculation Sheet'!$Y$5)</f>
        <v/>
      </c>
      <c r="AA56" s="70">
        <f>IF('Final Calculation Sheet'!$Z$5="","",'Final Calculation Sheet'!$Z$5)</f>
        <v/>
      </c>
      <c r="AB56" s="70">
        <f>IF('Final Calculation Sheet'!$AA$5="","",'Final Calculation Sheet'!$AA$5)</f>
        <v/>
      </c>
      <c r="AC56" s="70">
        <f>IF('Final Calculation Sheet'!$AB$5="","",'Final Calculation Sheet'!$AB$5)</f>
        <v/>
      </c>
      <c r="AD56" s="70">
        <f>IF('Final Calculation Sheet'!$AC$5="","",'Final Calculation Sheet'!$AC$5)</f>
        <v/>
      </c>
      <c r="AE56" s="70">
        <f>IF('Final Calculation Sheet'!$AD$5="","",'Final Calculation Sheet'!$AD$5)</f>
        <v/>
      </c>
      <c r="AF56" s="75">
        <f>IF('Final Calculation Sheet'!$AD$5="","",IF('Final Calculation Sheet'!$AD$5&lt;=5,"SETTLED","OUTSTANDING"))</f>
        <v/>
      </c>
      <c r="AG56" s="70">
        <f>IF('Final Calculation Sheet'!$AF$5="","",'Final Calculation Sheet'!$AF$5)</f>
        <v/>
      </c>
      <c r="AH56" s="74">
        <f>IF('Final Calculation Sheet'!$AG$5="","",'Final Calculation Sheet'!$AG$5)</f>
        <v/>
      </c>
      <c r="AI56" s="70">
        <f>IF('Final Calculation Sheet'!$AH$5="","",'Final Calculation Sheet'!$AH$5)</f>
        <v/>
      </c>
    </row>
    <row r="57" outlineLevel="1" ht="15" customHeight="1" s="137">
      <c r="A57" s="90" t="n">
        <v>2</v>
      </c>
      <c r="B57" s="92">
        <f>IF('Final Calculation Sheet'!$F$10="","",'Final Calculation Sheet'!$F$10)</f>
        <v/>
      </c>
      <c r="C57" s="92">
        <f>IF('Final Calculation Sheet'!$G$10="","",'Final Calculation Sheet'!$G$10)</f>
        <v/>
      </c>
      <c r="D57" s="94">
        <f>IF('Final Calculation Sheet'!$B$10="","",'Final Calculation Sheet'!$B$10)</f>
        <v/>
      </c>
      <c r="E57" s="94">
        <f>IF('Final Calculation Sheet'!$D$10="","",'Final Calculation Sheet'!$D$10)</f>
        <v/>
      </c>
      <c r="F57" s="94">
        <f>IF('Final Calculation Sheet'!$A$10="","",'Final Calculation Sheet'!$A$10)</f>
        <v/>
      </c>
      <c r="G57" s="94">
        <f>IF('Final Calculation Sheet'!$E$10="","",'Final Calculation Sheet'!$E$10)</f>
        <v/>
      </c>
      <c r="H57" s="95">
        <f>IF('Final Calculation Sheet'!$C$10="","",'Final Calculation Sheet'!$C$10)</f>
        <v/>
      </c>
      <c r="I57" s="95">
        <f>IF('Final Calculation Sheet'!$H$10="","",'Final Calculation Sheet'!$H$10)</f>
        <v/>
      </c>
      <c r="J57" s="95">
        <f>IF('Final Calculation Sheet'!$I$10="","",'Final Calculation Sheet'!$I$10)</f>
        <v/>
      </c>
      <c r="K57" s="95">
        <f>IF('Final Calculation Sheet'!$J$10="","",'Final Calculation Sheet'!$J$10)</f>
        <v/>
      </c>
      <c r="L57" s="95">
        <f>IF('Final Calculation Sheet'!$K$10="","",'Final Calculation Sheet'!$K$10)</f>
        <v/>
      </c>
      <c r="M57" s="95">
        <f>IF('Final Calculation Sheet'!$L$10="","",'Final Calculation Sheet'!$L$10)</f>
        <v/>
      </c>
      <c r="N57" s="95">
        <f>IF('Final Calculation Sheet'!$M$10="","",'Final Calculation Sheet'!$M$10)</f>
        <v/>
      </c>
      <c r="O57" s="96">
        <f>IF('Final Calculation Sheet'!$N$10="","",'Final Calculation Sheet'!$N$10)</f>
        <v/>
      </c>
      <c r="P57" s="95">
        <f>IF('Final Calculation Sheet'!$O$10="","",'Final Calculation Sheet'!$O$10)</f>
        <v/>
      </c>
      <c r="Q57" s="95">
        <f>IF('Final Calculation Sheet'!$P$10="","",'Final Calculation Sheet'!$P$10)</f>
        <v/>
      </c>
      <c r="R57" s="97">
        <f>IF('Final Calculation Sheet'!$Q$10="","",'Final Calculation Sheet'!$Q$10)</f>
        <v/>
      </c>
      <c r="S57" s="95">
        <f>IF('Final Calculation Sheet'!$R$10="","",'Final Calculation Sheet'!$R$10)</f>
        <v/>
      </c>
      <c r="T57" s="95">
        <f>IF('Final Calculation Sheet'!$S$10="","",'Final Calculation Sheet'!$S$10)</f>
        <v/>
      </c>
      <c r="U57" s="95">
        <f>IF('Final Calculation Sheet'!$T$10="","",'Final Calculation Sheet'!$T$10)</f>
        <v/>
      </c>
      <c r="V57" s="98">
        <f>IF('Final Calculation Sheet'!$U$10="","",'Final Calculation Sheet'!$U$10)</f>
        <v/>
      </c>
      <c r="W57" s="95">
        <f>IF('Final Calculation Sheet'!$V$10="","",'Final Calculation Sheet'!$V$10)</f>
        <v/>
      </c>
      <c r="X57" s="95">
        <f>IF('Final Calculation Sheet'!$W$10="","",'Final Calculation Sheet'!$W$10)</f>
        <v/>
      </c>
      <c r="Y57" s="95">
        <f>IF('Final Calculation Sheet'!$X$10="","",'Final Calculation Sheet'!$X$10)</f>
        <v/>
      </c>
      <c r="Z57" s="95">
        <f>IF('Final Calculation Sheet'!$Y$10="","",'Final Calculation Sheet'!$Y$10)</f>
        <v/>
      </c>
      <c r="AA57" s="95">
        <f>IF('Final Calculation Sheet'!$Z$10="","",'Final Calculation Sheet'!$Z$10)</f>
        <v/>
      </c>
      <c r="AB57" s="95">
        <f>IF('Final Calculation Sheet'!$AA$10="","",'Final Calculation Sheet'!$AA$10)</f>
        <v/>
      </c>
      <c r="AC57" s="95">
        <f>IF('Final Calculation Sheet'!$AB$10="","",'Final Calculation Sheet'!$AB$10)</f>
        <v/>
      </c>
      <c r="AD57" s="95">
        <f>IF('Final Calculation Sheet'!$AC$10="","",'Final Calculation Sheet'!$AC$10)</f>
        <v/>
      </c>
      <c r="AE57" s="95">
        <f>IF('Final Calculation Sheet'!$AD$10="","",'Final Calculation Sheet'!$AD$10)</f>
        <v/>
      </c>
      <c r="AF57" s="100">
        <f>IF('Final Calculation Sheet'!$AD$10="","",IF('Final Calculation Sheet'!$AD$10&lt;=5,"SETTLED","OUTSTANDING"))</f>
        <v/>
      </c>
      <c r="AG57" s="95">
        <f>IF('Final Calculation Sheet'!$AF$10="","",'Final Calculation Sheet'!$AF$10)</f>
        <v/>
      </c>
      <c r="AH57" s="99">
        <f>IF('Final Calculation Sheet'!$AG$10="","",'Final Calculation Sheet'!$AG$10)</f>
        <v/>
      </c>
      <c r="AI57" s="95">
        <f>IF('Final Calculation Sheet'!$AH$10="","",'Final Calculation Sheet'!$AH$10)</f>
        <v/>
      </c>
    </row>
    <row r="58" outlineLevel="1" ht="15" customHeight="1" s="137">
      <c r="A58" s="67" t="n">
        <v>3</v>
      </c>
      <c r="B58" s="76">
        <f>IF('Final Calculation Sheet'!$F$11="","",'Final Calculation Sheet'!$F$11)</f>
        <v/>
      </c>
      <c r="C58" s="76">
        <f>IF('Final Calculation Sheet'!$G$11="","",'Final Calculation Sheet'!$G$11)</f>
        <v/>
      </c>
      <c r="D58" s="80">
        <f>IF('Final Calculation Sheet'!$B$11="","",'Final Calculation Sheet'!$B$11)</f>
        <v/>
      </c>
      <c r="E58" s="80">
        <f>IF('Final Calculation Sheet'!$D$11="","",'Final Calculation Sheet'!$D$11)</f>
        <v/>
      </c>
      <c r="F58" s="80">
        <f>IF('Final Calculation Sheet'!$A$11="","",'Final Calculation Sheet'!$A$11)</f>
        <v/>
      </c>
      <c r="G58" s="80">
        <f>IF('Final Calculation Sheet'!$E$11="","",'Final Calculation Sheet'!$E$11)</f>
        <v/>
      </c>
      <c r="H58" s="70">
        <f>IF('Final Calculation Sheet'!$C$11="","",'Final Calculation Sheet'!$C$11)</f>
        <v/>
      </c>
      <c r="I58" s="70">
        <f>IF('Final Calculation Sheet'!$H$11="","",'Final Calculation Sheet'!$H$11)</f>
        <v/>
      </c>
      <c r="J58" s="70">
        <f>IF('Final Calculation Sheet'!$I$11="","",'Final Calculation Sheet'!$I$11)</f>
        <v/>
      </c>
      <c r="K58" s="70">
        <f>IF('Final Calculation Sheet'!$J$11="","",'Final Calculation Sheet'!$J$11)</f>
        <v/>
      </c>
      <c r="L58" s="70">
        <f>IF('Final Calculation Sheet'!$K$11="","",'Final Calculation Sheet'!$K$11)</f>
        <v/>
      </c>
      <c r="M58" s="70">
        <f>IF('Final Calculation Sheet'!$L$11="","",'Final Calculation Sheet'!$L$11)</f>
        <v/>
      </c>
      <c r="N58" s="70">
        <f>IF('Final Calculation Sheet'!$M$11="","",'Final Calculation Sheet'!$M$11)</f>
        <v/>
      </c>
      <c r="O58" s="71">
        <f>IF('Final Calculation Sheet'!$N$11="","",'Final Calculation Sheet'!$N$11)</f>
        <v/>
      </c>
      <c r="P58" s="70">
        <f>IF('Final Calculation Sheet'!$O$11="","",'Final Calculation Sheet'!$O$11)</f>
        <v/>
      </c>
      <c r="Q58" s="70">
        <f>IF('Final Calculation Sheet'!$P$11="","",'Final Calculation Sheet'!$P$11)</f>
        <v/>
      </c>
      <c r="R58" s="72">
        <f>IF('Final Calculation Sheet'!$Q$11="","",'Final Calculation Sheet'!$Q$11)</f>
        <v/>
      </c>
      <c r="S58" s="70">
        <f>IF('Final Calculation Sheet'!$R$11="","",'Final Calculation Sheet'!$R$11)</f>
        <v/>
      </c>
      <c r="T58" s="70">
        <f>IF('Final Calculation Sheet'!$S$11="","",'Final Calculation Sheet'!$S$11)</f>
        <v/>
      </c>
      <c r="U58" s="70">
        <f>IF('Final Calculation Sheet'!$T$11="","",'Final Calculation Sheet'!$T$11)</f>
        <v/>
      </c>
      <c r="V58" s="73">
        <f>IF('Final Calculation Sheet'!$U$11="","",'Final Calculation Sheet'!$U$11)</f>
        <v/>
      </c>
      <c r="W58" s="70">
        <f>IF('Final Calculation Sheet'!$V$11="","",'Final Calculation Sheet'!$V$11)</f>
        <v/>
      </c>
      <c r="X58" s="70">
        <f>IF('Final Calculation Sheet'!$W$11="","",'Final Calculation Sheet'!$W$11)</f>
        <v/>
      </c>
      <c r="Y58" s="70">
        <f>IF('Final Calculation Sheet'!$X$11="","",'Final Calculation Sheet'!$X$11)</f>
        <v/>
      </c>
      <c r="Z58" s="70">
        <f>IF('Final Calculation Sheet'!$Y$11="","",'Final Calculation Sheet'!$Y$11)</f>
        <v/>
      </c>
      <c r="AA58" s="70">
        <f>IF('Final Calculation Sheet'!$Z$11="","",'Final Calculation Sheet'!$Z$11)</f>
        <v/>
      </c>
      <c r="AB58" s="70">
        <f>IF('Final Calculation Sheet'!$AA$11="","",'Final Calculation Sheet'!$AA$11)</f>
        <v/>
      </c>
      <c r="AC58" s="70">
        <f>IF('Final Calculation Sheet'!$AB$11="","",'Final Calculation Sheet'!$AB$11)</f>
        <v/>
      </c>
      <c r="AD58" s="70">
        <f>IF('Final Calculation Sheet'!$AC$11="","",'Final Calculation Sheet'!$AC$11)</f>
        <v/>
      </c>
      <c r="AE58" s="70">
        <f>IF('Final Calculation Sheet'!$AD$11="","",'Final Calculation Sheet'!$AD$11)</f>
        <v/>
      </c>
      <c r="AF58" s="75">
        <f>IF('Final Calculation Sheet'!$AD$11="","",IF('Final Calculation Sheet'!$AD$11&lt;=5,"SETTLED","OUTSTANDING"))</f>
        <v/>
      </c>
      <c r="AG58" s="70">
        <f>IF('Final Calculation Sheet'!$AF$11="","",'Final Calculation Sheet'!$AF$11)</f>
        <v/>
      </c>
      <c r="AH58" s="74">
        <f>IF('Final Calculation Sheet'!$AG$11="","",'Final Calculation Sheet'!$AG$11)</f>
        <v/>
      </c>
      <c r="AI58" s="70">
        <f>IF('Final Calculation Sheet'!$AH$11="","",'Final Calculation Sheet'!$AH$11)</f>
        <v/>
      </c>
    </row>
    <row r="59" outlineLevel="1" ht="15" customHeight="1" s="137">
      <c r="A59" s="90" t="n">
        <v>4</v>
      </c>
      <c r="B59" s="92">
        <f>IF('Final Calculation Sheet'!$F$12="","",'Final Calculation Sheet'!$F$12)</f>
        <v/>
      </c>
      <c r="C59" s="92">
        <f>IF('Final Calculation Sheet'!$G$12="","",'Final Calculation Sheet'!$G$12)</f>
        <v/>
      </c>
      <c r="D59" s="94">
        <f>IF('Final Calculation Sheet'!$B$12="","",'Final Calculation Sheet'!$B$12)</f>
        <v/>
      </c>
      <c r="E59" s="94">
        <f>IF('Final Calculation Sheet'!$D$12="","",'Final Calculation Sheet'!$D$12)</f>
        <v/>
      </c>
      <c r="F59" s="94">
        <f>IF('Final Calculation Sheet'!$A$12="","",'Final Calculation Sheet'!$A$12)</f>
        <v/>
      </c>
      <c r="G59" s="94">
        <f>IF('Final Calculation Sheet'!$E$12="","",'Final Calculation Sheet'!$E$12)</f>
        <v/>
      </c>
      <c r="H59" s="95">
        <f>IF('Final Calculation Sheet'!$C$12="","",'Final Calculation Sheet'!$C$12)</f>
        <v/>
      </c>
      <c r="I59" s="95">
        <f>IF('Final Calculation Sheet'!$H$12="","",'Final Calculation Sheet'!$H$12)</f>
        <v/>
      </c>
      <c r="J59" s="95">
        <f>IF('Final Calculation Sheet'!$I$12="","",'Final Calculation Sheet'!$I$12)</f>
        <v/>
      </c>
      <c r="K59" s="95">
        <f>IF('Final Calculation Sheet'!$J$12="","",'Final Calculation Sheet'!$J$12)</f>
        <v/>
      </c>
      <c r="L59" s="95">
        <f>IF('Final Calculation Sheet'!$K$12="","",'Final Calculation Sheet'!$K$12)</f>
        <v/>
      </c>
      <c r="M59" s="95">
        <f>IF('Final Calculation Sheet'!$L$12="","",'Final Calculation Sheet'!$L$12)</f>
        <v/>
      </c>
      <c r="N59" s="95">
        <f>IF('Final Calculation Sheet'!$M$12="","",'Final Calculation Sheet'!$M$12)</f>
        <v/>
      </c>
      <c r="O59" s="96">
        <f>IF('Final Calculation Sheet'!$N$12="","",'Final Calculation Sheet'!$N$12)</f>
        <v/>
      </c>
      <c r="P59" s="95">
        <f>IF('Final Calculation Sheet'!$O$12="","",'Final Calculation Sheet'!$O$12)</f>
        <v/>
      </c>
      <c r="Q59" s="95">
        <f>IF('Final Calculation Sheet'!$P$12="","",'Final Calculation Sheet'!$P$12)</f>
        <v/>
      </c>
      <c r="R59" s="97">
        <f>IF('Final Calculation Sheet'!$Q$12="","",'Final Calculation Sheet'!$Q$12)</f>
        <v/>
      </c>
      <c r="S59" s="95">
        <f>IF('Final Calculation Sheet'!$R$12="","",'Final Calculation Sheet'!$R$12)</f>
        <v/>
      </c>
      <c r="T59" s="95">
        <f>IF('Final Calculation Sheet'!$S$12="","",'Final Calculation Sheet'!$S$12)</f>
        <v/>
      </c>
      <c r="U59" s="95">
        <f>IF('Final Calculation Sheet'!$T$12="","",'Final Calculation Sheet'!$T$12)</f>
        <v/>
      </c>
      <c r="V59" s="98">
        <f>IF('Final Calculation Sheet'!$U$12="","",'Final Calculation Sheet'!$U$12)</f>
        <v/>
      </c>
      <c r="W59" s="95">
        <f>IF('Final Calculation Sheet'!$V$12="","",'Final Calculation Sheet'!$V$12)</f>
        <v/>
      </c>
      <c r="X59" s="95">
        <f>IF('Final Calculation Sheet'!$W$12="","",'Final Calculation Sheet'!$W$12)</f>
        <v/>
      </c>
      <c r="Y59" s="95">
        <f>IF('Final Calculation Sheet'!$X$12="","",'Final Calculation Sheet'!$X$12)</f>
        <v/>
      </c>
      <c r="Z59" s="95">
        <f>IF('Final Calculation Sheet'!$Y$12="","",'Final Calculation Sheet'!$Y$12)</f>
        <v/>
      </c>
      <c r="AA59" s="95">
        <f>IF('Final Calculation Sheet'!$Z$12="","",'Final Calculation Sheet'!$Z$12)</f>
        <v/>
      </c>
      <c r="AB59" s="95">
        <f>IF('Final Calculation Sheet'!$AA$12="","",'Final Calculation Sheet'!$AA$12)</f>
        <v/>
      </c>
      <c r="AC59" s="95">
        <f>IF('Final Calculation Sheet'!$AB$12="","",'Final Calculation Sheet'!$AB$12)</f>
        <v/>
      </c>
      <c r="AD59" s="95">
        <f>IF('Final Calculation Sheet'!$AC$12="","",'Final Calculation Sheet'!$AC$12)</f>
        <v/>
      </c>
      <c r="AE59" s="95">
        <f>IF('Final Calculation Sheet'!$AD$12="","",'Final Calculation Sheet'!$AD$12)</f>
        <v/>
      </c>
      <c r="AF59" s="100">
        <f>IF('Final Calculation Sheet'!$AD$12="","",IF('Final Calculation Sheet'!$AD$12&lt;=5,"SETTLED","OUTSTANDING"))</f>
        <v/>
      </c>
      <c r="AG59" s="95">
        <f>IF('Final Calculation Sheet'!$AF$12="","",'Final Calculation Sheet'!$AF$12)</f>
        <v/>
      </c>
      <c r="AH59" s="99">
        <f>IF('Final Calculation Sheet'!$AG$12="","",'Final Calculation Sheet'!$AG$12)</f>
        <v/>
      </c>
      <c r="AI59" s="95">
        <f>IF('Final Calculation Sheet'!$AH$12="","",'Final Calculation Sheet'!$AH$12)</f>
        <v/>
      </c>
    </row>
    <row r="60" outlineLevel="1" ht="15" customHeight="1" s="137">
      <c r="A60" s="67" t="n">
        <v>5</v>
      </c>
      <c r="B60" s="76">
        <f>IF('Final Calculation Sheet'!$F$18="","",'Final Calculation Sheet'!$F$18)</f>
        <v/>
      </c>
      <c r="C60" s="76">
        <f>IF('Final Calculation Sheet'!$G$18="","",'Final Calculation Sheet'!$G$18)</f>
        <v/>
      </c>
      <c r="D60" s="80">
        <f>IF('Final Calculation Sheet'!$B$18="","",'Final Calculation Sheet'!$B$18)</f>
        <v/>
      </c>
      <c r="E60" s="80">
        <f>IF('Final Calculation Sheet'!$D$18="","",'Final Calculation Sheet'!$D$18)</f>
        <v/>
      </c>
      <c r="F60" s="80">
        <f>IF('Final Calculation Sheet'!$A$18="","",'Final Calculation Sheet'!$A$18)</f>
        <v/>
      </c>
      <c r="G60" s="80">
        <f>IF('Final Calculation Sheet'!$E$18="","",'Final Calculation Sheet'!$E$18)</f>
        <v/>
      </c>
      <c r="H60" s="70">
        <f>IF('Final Calculation Sheet'!$C$18="","",'Final Calculation Sheet'!$C$18)</f>
        <v/>
      </c>
      <c r="I60" s="70">
        <f>IF('Final Calculation Sheet'!$H$18="","",'Final Calculation Sheet'!$H$18)</f>
        <v/>
      </c>
      <c r="J60" s="70">
        <f>IF('Final Calculation Sheet'!$I$18="","",'Final Calculation Sheet'!$I$18)</f>
        <v/>
      </c>
      <c r="K60" s="70">
        <f>IF('Final Calculation Sheet'!$J$18="","",'Final Calculation Sheet'!$J$18)</f>
        <v/>
      </c>
      <c r="L60" s="70">
        <f>IF('Final Calculation Sheet'!$K$18="","",'Final Calculation Sheet'!$K$18)</f>
        <v/>
      </c>
      <c r="M60" s="70">
        <f>IF('Final Calculation Sheet'!$L$18="","",'Final Calculation Sheet'!$L$18)</f>
        <v/>
      </c>
      <c r="N60" s="70">
        <f>IF('Final Calculation Sheet'!$M$18="","",'Final Calculation Sheet'!$M$18)</f>
        <v/>
      </c>
      <c r="O60" s="71">
        <f>IF('Final Calculation Sheet'!$N$18="","",'Final Calculation Sheet'!$N$18)</f>
        <v/>
      </c>
      <c r="P60" s="70">
        <f>IF('Final Calculation Sheet'!$O$18="","",'Final Calculation Sheet'!$O$18)</f>
        <v/>
      </c>
      <c r="Q60" s="70">
        <f>IF('Final Calculation Sheet'!$P$18="","",'Final Calculation Sheet'!$P$18)</f>
        <v/>
      </c>
      <c r="R60" s="72">
        <f>IF('Final Calculation Sheet'!$Q$18="","",'Final Calculation Sheet'!$Q$18)</f>
        <v/>
      </c>
      <c r="S60" s="70">
        <f>IF('Final Calculation Sheet'!$R$18="","",'Final Calculation Sheet'!$R$18)</f>
        <v/>
      </c>
      <c r="T60" s="70">
        <f>IF('Final Calculation Sheet'!$S$18="","",'Final Calculation Sheet'!$S$18)</f>
        <v/>
      </c>
      <c r="U60" s="70">
        <f>IF('Final Calculation Sheet'!$T$18="","",'Final Calculation Sheet'!$T$18)</f>
        <v/>
      </c>
      <c r="V60" s="73">
        <f>IF('Final Calculation Sheet'!$U$18="","",'Final Calculation Sheet'!$U$18)</f>
        <v/>
      </c>
      <c r="W60" s="70">
        <f>IF('Final Calculation Sheet'!$V$18="","",'Final Calculation Sheet'!$V$18)</f>
        <v/>
      </c>
      <c r="X60" s="70">
        <f>IF('Final Calculation Sheet'!$W$18="","",'Final Calculation Sheet'!$W$18)</f>
        <v/>
      </c>
      <c r="Y60" s="70">
        <f>IF('Final Calculation Sheet'!$X$18="","",'Final Calculation Sheet'!$X$18)</f>
        <v/>
      </c>
      <c r="Z60" s="70">
        <f>IF('Final Calculation Sheet'!$Y$18="","",'Final Calculation Sheet'!$Y$18)</f>
        <v/>
      </c>
      <c r="AA60" s="70">
        <f>IF('Final Calculation Sheet'!$Z$18="","",'Final Calculation Sheet'!$Z$18)</f>
        <v/>
      </c>
      <c r="AB60" s="70">
        <f>IF('Final Calculation Sheet'!$AA$18="","",'Final Calculation Sheet'!$AA$18)</f>
        <v/>
      </c>
      <c r="AC60" s="70">
        <f>IF('Final Calculation Sheet'!$AB$18="","",'Final Calculation Sheet'!$AB$18)</f>
        <v/>
      </c>
      <c r="AD60" s="70">
        <f>IF('Final Calculation Sheet'!$AC$18="","",'Final Calculation Sheet'!$AC$18)</f>
        <v/>
      </c>
      <c r="AE60" s="70">
        <f>IF('Final Calculation Sheet'!$AD$18="","",'Final Calculation Sheet'!$AD$18)</f>
        <v/>
      </c>
      <c r="AF60" s="75">
        <f>IF('Final Calculation Sheet'!$AD$18="","",IF('Final Calculation Sheet'!$AD$18&lt;=5,"SETTLED","OUTSTANDING"))</f>
        <v/>
      </c>
      <c r="AG60" s="70">
        <f>IF('Final Calculation Sheet'!$AF$18="","",'Final Calculation Sheet'!$AF$18)</f>
        <v/>
      </c>
      <c r="AH60" s="74">
        <f>IF('Final Calculation Sheet'!$AG$18="","",'Final Calculation Sheet'!$AG$18)</f>
        <v/>
      </c>
      <c r="AI60" s="70">
        <f>IF('Final Calculation Sheet'!$AH$18="","",'Final Calculation Sheet'!$AH$18)</f>
        <v/>
      </c>
    </row>
    <row r="61" outlineLevel="1" ht="15" customHeight="1" s="137">
      <c r="A61" s="90" t="n">
        <v>6</v>
      </c>
      <c r="B61" s="92">
        <f>IF('Final Calculation Sheet'!$F$19="","",'Final Calculation Sheet'!$F$19)</f>
        <v/>
      </c>
      <c r="C61" s="92">
        <f>IF('Final Calculation Sheet'!$G$19="","",'Final Calculation Sheet'!$G$19)</f>
        <v/>
      </c>
      <c r="D61" s="94">
        <f>IF('Final Calculation Sheet'!$B$19="","",'Final Calculation Sheet'!$B$19)</f>
        <v/>
      </c>
      <c r="E61" s="94">
        <f>IF('Final Calculation Sheet'!$D$19="","",'Final Calculation Sheet'!$D$19)</f>
        <v/>
      </c>
      <c r="F61" s="94">
        <f>IF('Final Calculation Sheet'!$A$19="","",'Final Calculation Sheet'!$A$19)</f>
        <v/>
      </c>
      <c r="G61" s="94">
        <f>IF('Final Calculation Sheet'!$E$19="","",'Final Calculation Sheet'!$E$19)</f>
        <v/>
      </c>
      <c r="H61" s="95">
        <f>IF('Final Calculation Sheet'!$C$19="","",'Final Calculation Sheet'!$C$19)</f>
        <v/>
      </c>
      <c r="I61" s="95">
        <f>IF('Final Calculation Sheet'!$H$19="","",'Final Calculation Sheet'!$H$19)</f>
        <v/>
      </c>
      <c r="J61" s="95">
        <f>IF('Final Calculation Sheet'!$I$19="","",'Final Calculation Sheet'!$I$19)</f>
        <v/>
      </c>
      <c r="K61" s="95">
        <f>IF('Final Calculation Sheet'!$J$19="","",'Final Calculation Sheet'!$J$19)</f>
        <v/>
      </c>
      <c r="L61" s="95">
        <f>IF('Final Calculation Sheet'!$K$19="","",'Final Calculation Sheet'!$K$19)</f>
        <v/>
      </c>
      <c r="M61" s="95">
        <f>IF('Final Calculation Sheet'!$L$19="","",'Final Calculation Sheet'!$L$19)</f>
        <v/>
      </c>
      <c r="N61" s="95">
        <f>IF('Final Calculation Sheet'!$M$19="","",'Final Calculation Sheet'!$M$19)</f>
        <v/>
      </c>
      <c r="O61" s="96">
        <f>IF('Final Calculation Sheet'!$N$19="","",'Final Calculation Sheet'!$N$19)</f>
        <v/>
      </c>
      <c r="P61" s="95">
        <f>IF('Final Calculation Sheet'!$O$19="","",'Final Calculation Sheet'!$O$19)</f>
        <v/>
      </c>
      <c r="Q61" s="95">
        <f>IF('Final Calculation Sheet'!$P$19="","",'Final Calculation Sheet'!$P$19)</f>
        <v/>
      </c>
      <c r="R61" s="97">
        <f>IF('Final Calculation Sheet'!$Q$19="","",'Final Calculation Sheet'!$Q$19)</f>
        <v/>
      </c>
      <c r="S61" s="95">
        <f>IF('Final Calculation Sheet'!$R$19="","",'Final Calculation Sheet'!$R$19)</f>
        <v/>
      </c>
      <c r="T61" s="95">
        <f>IF('Final Calculation Sheet'!$S$19="","",'Final Calculation Sheet'!$S$19)</f>
        <v/>
      </c>
      <c r="U61" s="95">
        <f>IF('Final Calculation Sheet'!$T$19="","",'Final Calculation Sheet'!$T$19)</f>
        <v/>
      </c>
      <c r="V61" s="98">
        <f>IF('Final Calculation Sheet'!$U$19="","",'Final Calculation Sheet'!$U$19)</f>
        <v/>
      </c>
      <c r="W61" s="95">
        <f>IF('Final Calculation Sheet'!$V$19="","",'Final Calculation Sheet'!$V$19)</f>
        <v/>
      </c>
      <c r="X61" s="95">
        <f>IF('Final Calculation Sheet'!$W$19="","",'Final Calculation Sheet'!$W$19)</f>
        <v/>
      </c>
      <c r="Y61" s="95">
        <f>IF('Final Calculation Sheet'!$X$19="","",'Final Calculation Sheet'!$X$19)</f>
        <v/>
      </c>
      <c r="Z61" s="95">
        <f>IF('Final Calculation Sheet'!$Y$19="","",'Final Calculation Sheet'!$Y$19)</f>
        <v/>
      </c>
      <c r="AA61" s="95">
        <f>IF('Final Calculation Sheet'!$Z$19="","",'Final Calculation Sheet'!$Z$19)</f>
        <v/>
      </c>
      <c r="AB61" s="95">
        <f>IF('Final Calculation Sheet'!$AA$19="","",'Final Calculation Sheet'!$AA$19)</f>
        <v/>
      </c>
      <c r="AC61" s="95">
        <f>IF('Final Calculation Sheet'!$AB$19="","",'Final Calculation Sheet'!$AB$19)</f>
        <v/>
      </c>
      <c r="AD61" s="95">
        <f>IF('Final Calculation Sheet'!$AC$19="","",'Final Calculation Sheet'!$AC$19)</f>
        <v/>
      </c>
      <c r="AE61" s="95">
        <f>IF('Final Calculation Sheet'!$AD$19="","",'Final Calculation Sheet'!$AD$19)</f>
        <v/>
      </c>
      <c r="AF61" s="100">
        <f>IF('Final Calculation Sheet'!$AD$19="","",IF('Final Calculation Sheet'!$AD$19&lt;=5,"SETTLED","OUTSTANDING"))</f>
        <v/>
      </c>
      <c r="AG61" s="95">
        <f>IF('Final Calculation Sheet'!$AF$19="","",'Final Calculation Sheet'!$AF$19)</f>
        <v/>
      </c>
      <c r="AH61" s="99">
        <f>IF('Final Calculation Sheet'!$AG$19="","",'Final Calculation Sheet'!$AG$19)</f>
        <v/>
      </c>
      <c r="AI61" s="95">
        <f>IF('Final Calculation Sheet'!$AH$19="","",'Final Calculation Sheet'!$AH$19)</f>
        <v/>
      </c>
    </row>
    <row r="62" outlineLevel="1" ht="15" customHeight="1" s="137">
      <c r="A62" s="67" t="n">
        <v>7</v>
      </c>
      <c r="B62" s="76">
        <f>IF('Final Calculation Sheet'!$F$22="","",'Final Calculation Sheet'!$F$22)</f>
        <v/>
      </c>
      <c r="C62" s="76">
        <f>IF('Final Calculation Sheet'!$G$22="","",'Final Calculation Sheet'!$G$22)</f>
        <v/>
      </c>
      <c r="D62" s="80">
        <f>IF('Final Calculation Sheet'!$B$22="","",'Final Calculation Sheet'!$B$22)</f>
        <v/>
      </c>
      <c r="E62" s="80">
        <f>IF('Final Calculation Sheet'!$D$22="","",'Final Calculation Sheet'!$D$22)</f>
        <v/>
      </c>
      <c r="F62" s="80">
        <f>IF('Final Calculation Sheet'!$A$22="","",'Final Calculation Sheet'!$A$22)</f>
        <v/>
      </c>
      <c r="G62" s="80">
        <f>IF('Final Calculation Sheet'!$E$22="","",'Final Calculation Sheet'!$E$22)</f>
        <v/>
      </c>
      <c r="H62" s="70">
        <f>IF('Final Calculation Sheet'!$C$22="","",'Final Calculation Sheet'!$C$22)</f>
        <v/>
      </c>
      <c r="I62" s="70">
        <f>IF('Final Calculation Sheet'!$H$22="","",'Final Calculation Sheet'!$H$22)</f>
        <v/>
      </c>
      <c r="J62" s="70">
        <f>IF('Final Calculation Sheet'!$I$22="","",'Final Calculation Sheet'!$I$22)</f>
        <v/>
      </c>
      <c r="K62" s="70">
        <f>IF('Final Calculation Sheet'!$J$22="","",'Final Calculation Sheet'!$J$22)</f>
        <v/>
      </c>
      <c r="L62" s="70">
        <f>IF('Final Calculation Sheet'!$K$22="","",'Final Calculation Sheet'!$K$22)</f>
        <v/>
      </c>
      <c r="M62" s="70">
        <f>IF('Final Calculation Sheet'!$L$22="","",'Final Calculation Sheet'!$L$22)</f>
        <v/>
      </c>
      <c r="N62" s="70">
        <f>IF('Final Calculation Sheet'!$M$22="","",'Final Calculation Sheet'!$M$22)</f>
        <v/>
      </c>
      <c r="O62" s="71">
        <f>IF('Final Calculation Sheet'!$N$22="","",'Final Calculation Sheet'!$N$22)</f>
        <v/>
      </c>
      <c r="P62" s="70">
        <f>IF('Final Calculation Sheet'!$O$22="","",'Final Calculation Sheet'!$O$22)</f>
        <v/>
      </c>
      <c r="Q62" s="70">
        <f>IF('Final Calculation Sheet'!$P$22="","",'Final Calculation Sheet'!$P$22)</f>
        <v/>
      </c>
      <c r="R62" s="72">
        <f>IF('Final Calculation Sheet'!$Q$22="","",'Final Calculation Sheet'!$Q$22)</f>
        <v/>
      </c>
      <c r="S62" s="70">
        <f>IF('Final Calculation Sheet'!$R$22="","",'Final Calculation Sheet'!$R$22)</f>
        <v/>
      </c>
      <c r="T62" s="70">
        <f>IF('Final Calculation Sheet'!$S$22="","",'Final Calculation Sheet'!$S$22)</f>
        <v/>
      </c>
      <c r="U62" s="70">
        <f>IF('Final Calculation Sheet'!$T$22="","",'Final Calculation Sheet'!$T$22)</f>
        <v/>
      </c>
      <c r="V62" s="73">
        <f>IF('Final Calculation Sheet'!$U$22="","",'Final Calculation Sheet'!$U$22)</f>
        <v/>
      </c>
      <c r="W62" s="70">
        <f>IF('Final Calculation Sheet'!$V$22="","",'Final Calculation Sheet'!$V$22)</f>
        <v/>
      </c>
      <c r="X62" s="70">
        <f>IF('Final Calculation Sheet'!$W$22="","",'Final Calculation Sheet'!$W$22)</f>
        <v/>
      </c>
      <c r="Y62" s="70">
        <f>IF('Final Calculation Sheet'!$X$22="","",'Final Calculation Sheet'!$X$22)</f>
        <v/>
      </c>
      <c r="Z62" s="70">
        <f>IF('Final Calculation Sheet'!$Y$22="","",'Final Calculation Sheet'!$Y$22)</f>
        <v/>
      </c>
      <c r="AA62" s="70">
        <f>IF('Final Calculation Sheet'!$Z$22="","",'Final Calculation Sheet'!$Z$22)</f>
        <v/>
      </c>
      <c r="AB62" s="70">
        <f>IF('Final Calculation Sheet'!$AA$22="","",'Final Calculation Sheet'!$AA$22)</f>
        <v/>
      </c>
      <c r="AC62" s="70">
        <f>IF('Final Calculation Sheet'!$AB$22="","",'Final Calculation Sheet'!$AB$22)</f>
        <v/>
      </c>
      <c r="AD62" s="70">
        <f>IF('Final Calculation Sheet'!$AC$22="","",'Final Calculation Sheet'!$AC$22)</f>
        <v/>
      </c>
      <c r="AE62" s="70">
        <f>IF('Final Calculation Sheet'!$AD$22="","",'Final Calculation Sheet'!$AD$22)</f>
        <v/>
      </c>
      <c r="AF62" s="75">
        <f>IF('Final Calculation Sheet'!$AD$22="","",IF('Final Calculation Sheet'!$AD$22&lt;=5,"SETTLED","OUTSTANDING"))</f>
        <v/>
      </c>
      <c r="AG62" s="70">
        <f>IF('Final Calculation Sheet'!$AF$22="","",'Final Calculation Sheet'!$AF$22)</f>
        <v/>
      </c>
      <c r="AH62" s="74">
        <f>IF('Final Calculation Sheet'!$AG$22="","",'Final Calculation Sheet'!$AG$22)</f>
        <v/>
      </c>
      <c r="AI62" s="70">
        <f>IF('Final Calculation Sheet'!$AH$22="","",'Final Calculation Sheet'!$AH$22)</f>
        <v/>
      </c>
    </row>
    <row r="63" outlineLevel="1" ht="15" customHeight="1" s="137">
      <c r="A63" s="90" t="n">
        <v>8</v>
      </c>
      <c r="B63" s="92">
        <f>IF('Final Calculation Sheet'!$F$24="","",'Final Calculation Sheet'!$F$24)</f>
        <v/>
      </c>
      <c r="C63" s="92">
        <f>IF('Final Calculation Sheet'!$G$24="","",'Final Calculation Sheet'!$G$24)</f>
        <v/>
      </c>
      <c r="D63" s="94">
        <f>IF('Final Calculation Sheet'!$B$24="","",'Final Calculation Sheet'!$B$24)</f>
        <v/>
      </c>
      <c r="E63" s="94">
        <f>IF('Final Calculation Sheet'!$D$24="","",'Final Calculation Sheet'!$D$24)</f>
        <v/>
      </c>
      <c r="F63" s="94">
        <f>IF('Final Calculation Sheet'!$A$24="","",'Final Calculation Sheet'!$A$24)</f>
        <v/>
      </c>
      <c r="G63" s="94">
        <f>IF('Final Calculation Sheet'!$E$24="","",'Final Calculation Sheet'!$E$24)</f>
        <v/>
      </c>
      <c r="H63" s="95">
        <f>IF('Final Calculation Sheet'!$C$24="","",'Final Calculation Sheet'!$C$24)</f>
        <v/>
      </c>
      <c r="I63" s="95">
        <f>IF('Final Calculation Sheet'!$H$24="","",'Final Calculation Sheet'!$H$24)</f>
        <v/>
      </c>
      <c r="J63" s="95">
        <f>IF('Final Calculation Sheet'!$I$24="","",'Final Calculation Sheet'!$I$24)</f>
        <v/>
      </c>
      <c r="K63" s="95">
        <f>IF('Final Calculation Sheet'!$J$24="","",'Final Calculation Sheet'!$J$24)</f>
        <v/>
      </c>
      <c r="L63" s="95">
        <f>IF('Final Calculation Sheet'!$K$24="","",'Final Calculation Sheet'!$K$24)</f>
        <v/>
      </c>
      <c r="M63" s="95">
        <f>IF('Final Calculation Sheet'!$L$24="","",'Final Calculation Sheet'!$L$24)</f>
        <v/>
      </c>
      <c r="N63" s="95">
        <f>IF('Final Calculation Sheet'!$M$24="","",'Final Calculation Sheet'!$M$24)</f>
        <v/>
      </c>
      <c r="O63" s="96">
        <f>IF('Final Calculation Sheet'!$N$24="","",'Final Calculation Sheet'!$N$24)</f>
        <v/>
      </c>
      <c r="P63" s="95">
        <f>IF('Final Calculation Sheet'!$O$24="","",'Final Calculation Sheet'!$O$24)</f>
        <v/>
      </c>
      <c r="Q63" s="95">
        <f>IF('Final Calculation Sheet'!$P$24="","",'Final Calculation Sheet'!$P$24)</f>
        <v/>
      </c>
      <c r="R63" s="97">
        <f>IF('Final Calculation Sheet'!$Q$24="","",'Final Calculation Sheet'!$Q$24)</f>
        <v/>
      </c>
      <c r="S63" s="95">
        <f>IF('Final Calculation Sheet'!$R$24="","",'Final Calculation Sheet'!$R$24)</f>
        <v/>
      </c>
      <c r="T63" s="95">
        <f>IF('Final Calculation Sheet'!$S$24="","",'Final Calculation Sheet'!$S$24)</f>
        <v/>
      </c>
      <c r="U63" s="95">
        <f>IF('Final Calculation Sheet'!$T$24="","",'Final Calculation Sheet'!$T$24)</f>
        <v/>
      </c>
      <c r="V63" s="98">
        <f>IF('Final Calculation Sheet'!$U$24="","",'Final Calculation Sheet'!$U$24)</f>
        <v/>
      </c>
      <c r="W63" s="95">
        <f>IF('Final Calculation Sheet'!$V$24="","",'Final Calculation Sheet'!$V$24)</f>
        <v/>
      </c>
      <c r="X63" s="95">
        <f>IF('Final Calculation Sheet'!$W$24="","",'Final Calculation Sheet'!$W$24)</f>
        <v/>
      </c>
      <c r="Y63" s="95">
        <f>IF('Final Calculation Sheet'!$X$24="","",'Final Calculation Sheet'!$X$24)</f>
        <v/>
      </c>
      <c r="Z63" s="95">
        <f>IF('Final Calculation Sheet'!$Y$24="","",'Final Calculation Sheet'!$Y$24)</f>
        <v/>
      </c>
      <c r="AA63" s="95">
        <f>IF('Final Calculation Sheet'!$Z$24="","",'Final Calculation Sheet'!$Z$24)</f>
        <v/>
      </c>
      <c r="AB63" s="95">
        <f>IF('Final Calculation Sheet'!$AA$24="","",'Final Calculation Sheet'!$AA$24)</f>
        <v/>
      </c>
      <c r="AC63" s="95">
        <f>IF('Final Calculation Sheet'!$AB$24="","",'Final Calculation Sheet'!$AB$24)</f>
        <v/>
      </c>
      <c r="AD63" s="95">
        <f>IF('Final Calculation Sheet'!$AC$24="","",'Final Calculation Sheet'!$AC$24)</f>
        <v/>
      </c>
      <c r="AE63" s="95">
        <f>IF('Final Calculation Sheet'!$AD$24="","",'Final Calculation Sheet'!$AD$24)</f>
        <v/>
      </c>
      <c r="AF63" s="100">
        <f>IF('Final Calculation Sheet'!$AD$24="","",IF('Final Calculation Sheet'!$AD$24&lt;=5,"SETTLED","OUTSTANDING"))</f>
        <v/>
      </c>
      <c r="AG63" s="95">
        <f>IF('Final Calculation Sheet'!$AF$24="","",'Final Calculation Sheet'!$AF$24)</f>
        <v/>
      </c>
      <c r="AH63" s="99">
        <f>IF('Final Calculation Sheet'!$AG$24="","",'Final Calculation Sheet'!$AG$24)</f>
        <v/>
      </c>
      <c r="AI63" s="95">
        <f>IF('Final Calculation Sheet'!$AH$24="","",'Final Calculation Sheet'!$AH$24)</f>
        <v/>
      </c>
    </row>
    <row r="64" outlineLevel="1" ht="15" customHeight="1" s="137">
      <c r="A64" s="67" t="n">
        <v>9</v>
      </c>
      <c r="B64" s="76">
        <f>IF('Final Calculation Sheet'!$F$26="","",'Final Calculation Sheet'!$F$26)</f>
        <v/>
      </c>
      <c r="C64" s="76">
        <f>IF('Final Calculation Sheet'!$G$26="","",'Final Calculation Sheet'!$G$26)</f>
        <v/>
      </c>
      <c r="D64" s="80">
        <f>IF('Final Calculation Sheet'!$B$26="","",'Final Calculation Sheet'!$B$26)</f>
        <v/>
      </c>
      <c r="E64" s="80">
        <f>IF('Final Calculation Sheet'!$D$26="","",'Final Calculation Sheet'!$D$26)</f>
        <v/>
      </c>
      <c r="F64" s="80">
        <f>IF('Final Calculation Sheet'!$A$26="","",'Final Calculation Sheet'!$A$26)</f>
        <v/>
      </c>
      <c r="G64" s="80">
        <f>IF('Final Calculation Sheet'!$E$26="","",'Final Calculation Sheet'!$E$26)</f>
        <v/>
      </c>
      <c r="H64" s="70">
        <f>IF('Final Calculation Sheet'!$C$26="","",'Final Calculation Sheet'!$C$26)</f>
        <v/>
      </c>
      <c r="I64" s="70">
        <f>IF('Final Calculation Sheet'!$H$26="","",'Final Calculation Sheet'!$H$26)</f>
        <v/>
      </c>
      <c r="J64" s="70">
        <f>IF('Final Calculation Sheet'!$I$26="","",'Final Calculation Sheet'!$I$26)</f>
        <v/>
      </c>
      <c r="K64" s="70">
        <f>IF('Final Calculation Sheet'!$J$26="","",'Final Calculation Sheet'!$J$26)</f>
        <v/>
      </c>
      <c r="L64" s="70">
        <f>IF('Final Calculation Sheet'!$K$26="","",'Final Calculation Sheet'!$K$26)</f>
        <v/>
      </c>
      <c r="M64" s="70">
        <f>IF('Final Calculation Sheet'!$L$26="","",'Final Calculation Sheet'!$L$26)</f>
        <v/>
      </c>
      <c r="N64" s="70">
        <f>IF('Final Calculation Sheet'!$M$26="","",'Final Calculation Sheet'!$M$26)</f>
        <v/>
      </c>
      <c r="O64" s="71">
        <f>IF('Final Calculation Sheet'!$N$26="","",'Final Calculation Sheet'!$N$26)</f>
        <v/>
      </c>
      <c r="P64" s="70">
        <f>IF('Final Calculation Sheet'!$O$26="","",'Final Calculation Sheet'!$O$26)</f>
        <v/>
      </c>
      <c r="Q64" s="70">
        <f>IF('Final Calculation Sheet'!$P$26="","",'Final Calculation Sheet'!$P$26)</f>
        <v/>
      </c>
      <c r="R64" s="72">
        <f>IF('Final Calculation Sheet'!$Q$26="","",'Final Calculation Sheet'!$Q$26)</f>
        <v/>
      </c>
      <c r="S64" s="70">
        <f>IF('Final Calculation Sheet'!$R$26="","",'Final Calculation Sheet'!$R$26)</f>
        <v/>
      </c>
      <c r="T64" s="70">
        <f>IF('Final Calculation Sheet'!$S$26="","",'Final Calculation Sheet'!$S$26)</f>
        <v/>
      </c>
      <c r="U64" s="70">
        <f>IF('Final Calculation Sheet'!$T$26="","",'Final Calculation Sheet'!$T$26)</f>
        <v/>
      </c>
      <c r="V64" s="73">
        <f>IF('Final Calculation Sheet'!$U$26="","",'Final Calculation Sheet'!$U$26)</f>
        <v/>
      </c>
      <c r="W64" s="70">
        <f>IF('Final Calculation Sheet'!$V$26="","",'Final Calculation Sheet'!$V$26)</f>
        <v/>
      </c>
      <c r="X64" s="70">
        <f>IF('Final Calculation Sheet'!$W$26="","",'Final Calculation Sheet'!$W$26)</f>
        <v/>
      </c>
      <c r="Y64" s="70">
        <f>IF('Final Calculation Sheet'!$X$26="","",'Final Calculation Sheet'!$X$26)</f>
        <v/>
      </c>
      <c r="Z64" s="70">
        <f>IF('Final Calculation Sheet'!$Y$26="","",'Final Calculation Sheet'!$Y$26)</f>
        <v/>
      </c>
      <c r="AA64" s="70">
        <f>IF('Final Calculation Sheet'!$Z$26="","",'Final Calculation Sheet'!$Z$26)</f>
        <v/>
      </c>
      <c r="AB64" s="70">
        <f>IF('Final Calculation Sheet'!$AA$26="","",'Final Calculation Sheet'!$AA$26)</f>
        <v/>
      </c>
      <c r="AC64" s="70">
        <f>IF('Final Calculation Sheet'!$AB$26="","",'Final Calculation Sheet'!$AB$26)</f>
        <v/>
      </c>
      <c r="AD64" s="70">
        <f>IF('Final Calculation Sheet'!$AC$26="","",'Final Calculation Sheet'!$AC$26)</f>
        <v/>
      </c>
      <c r="AE64" s="70">
        <f>IF('Final Calculation Sheet'!$AD$26="","",'Final Calculation Sheet'!$AD$26)</f>
        <v/>
      </c>
      <c r="AF64" s="75">
        <f>IF('Final Calculation Sheet'!$AD$26="","",IF('Final Calculation Sheet'!$AD$26&lt;=5,"SETTLED","OUTSTANDING"))</f>
        <v/>
      </c>
      <c r="AG64" s="70">
        <f>IF('Final Calculation Sheet'!$AF$26="","",'Final Calculation Sheet'!$AF$26)</f>
        <v/>
      </c>
      <c r="AH64" s="74">
        <f>IF('Final Calculation Sheet'!$AG$26="","",'Final Calculation Sheet'!$AG$26)</f>
        <v/>
      </c>
      <c r="AI64" s="70">
        <f>IF('Final Calculation Sheet'!$AH$26="","",'Final Calculation Sheet'!$AH$26)</f>
        <v/>
      </c>
    </row>
    <row r="65" outlineLevel="1" ht="15" customHeight="1" s="137">
      <c r="A65" s="90" t="n">
        <v>10</v>
      </c>
      <c r="B65" s="92">
        <f>IF('Final Calculation Sheet'!$F$30="","",'Final Calculation Sheet'!$F$30)</f>
        <v/>
      </c>
      <c r="C65" s="92">
        <f>IF('Final Calculation Sheet'!$G$30="","",'Final Calculation Sheet'!$G$30)</f>
        <v/>
      </c>
      <c r="D65" s="94">
        <f>IF('Final Calculation Sheet'!$B$30="","",'Final Calculation Sheet'!$B$30)</f>
        <v/>
      </c>
      <c r="E65" s="94">
        <f>IF('Final Calculation Sheet'!$D$30="","",'Final Calculation Sheet'!$D$30)</f>
        <v/>
      </c>
      <c r="F65" s="94">
        <f>IF('Final Calculation Sheet'!$A$30="","",'Final Calculation Sheet'!$A$30)</f>
        <v/>
      </c>
      <c r="G65" s="94">
        <f>IF('Final Calculation Sheet'!$E$30="","",'Final Calculation Sheet'!$E$30)</f>
        <v/>
      </c>
      <c r="H65" s="95">
        <f>IF('Final Calculation Sheet'!$C$30="","",'Final Calculation Sheet'!$C$30)</f>
        <v/>
      </c>
      <c r="I65" s="95">
        <f>IF('Final Calculation Sheet'!$H$30="","",'Final Calculation Sheet'!$H$30)</f>
        <v/>
      </c>
      <c r="J65" s="95">
        <f>IF('Final Calculation Sheet'!$I$30="","",'Final Calculation Sheet'!$I$30)</f>
        <v/>
      </c>
      <c r="K65" s="95">
        <f>IF('Final Calculation Sheet'!$J$30="","",'Final Calculation Sheet'!$J$30)</f>
        <v/>
      </c>
      <c r="L65" s="95">
        <f>IF('Final Calculation Sheet'!$K$30="","",'Final Calculation Sheet'!$K$30)</f>
        <v/>
      </c>
      <c r="M65" s="95">
        <f>IF('Final Calculation Sheet'!$L$30="","",'Final Calculation Sheet'!$L$30)</f>
        <v/>
      </c>
      <c r="N65" s="95">
        <f>IF('Final Calculation Sheet'!$M$30="","",'Final Calculation Sheet'!$M$30)</f>
        <v/>
      </c>
      <c r="O65" s="96">
        <f>IF('Final Calculation Sheet'!$N$30="","",'Final Calculation Sheet'!$N$30)</f>
        <v/>
      </c>
      <c r="P65" s="95">
        <f>IF('Final Calculation Sheet'!$O$30="","",'Final Calculation Sheet'!$O$30)</f>
        <v/>
      </c>
      <c r="Q65" s="95">
        <f>IF('Final Calculation Sheet'!$P$30="","",'Final Calculation Sheet'!$P$30)</f>
        <v/>
      </c>
      <c r="R65" s="97">
        <f>IF('Final Calculation Sheet'!$Q$30="","",'Final Calculation Sheet'!$Q$30)</f>
        <v/>
      </c>
      <c r="S65" s="95">
        <f>IF('Final Calculation Sheet'!$R$30="","",'Final Calculation Sheet'!$R$30)</f>
        <v/>
      </c>
      <c r="T65" s="95">
        <f>IF('Final Calculation Sheet'!$S$30="","",'Final Calculation Sheet'!$S$30)</f>
        <v/>
      </c>
      <c r="U65" s="95">
        <f>IF('Final Calculation Sheet'!$T$30="","",'Final Calculation Sheet'!$T$30)</f>
        <v/>
      </c>
      <c r="V65" s="98">
        <f>IF('Final Calculation Sheet'!$U$30="","",'Final Calculation Sheet'!$U$30)</f>
        <v/>
      </c>
      <c r="W65" s="95">
        <f>IF('Final Calculation Sheet'!$V$30="","",'Final Calculation Sheet'!$V$30)</f>
        <v/>
      </c>
      <c r="X65" s="95">
        <f>IF('Final Calculation Sheet'!$W$30="","",'Final Calculation Sheet'!$W$30)</f>
        <v/>
      </c>
      <c r="Y65" s="95">
        <f>IF('Final Calculation Sheet'!$X$30="","",'Final Calculation Sheet'!$X$30)</f>
        <v/>
      </c>
      <c r="Z65" s="95">
        <f>IF('Final Calculation Sheet'!$Y$30="","",'Final Calculation Sheet'!$Y$30)</f>
        <v/>
      </c>
      <c r="AA65" s="95">
        <f>IF('Final Calculation Sheet'!$Z$30="","",'Final Calculation Sheet'!$Z$30)</f>
        <v/>
      </c>
      <c r="AB65" s="95">
        <f>IF('Final Calculation Sheet'!$AA$30="","",'Final Calculation Sheet'!$AA$30)</f>
        <v/>
      </c>
      <c r="AC65" s="95">
        <f>IF('Final Calculation Sheet'!$AB$30="","",'Final Calculation Sheet'!$AB$30)</f>
        <v/>
      </c>
      <c r="AD65" s="95">
        <f>IF('Final Calculation Sheet'!$AC$30="","",'Final Calculation Sheet'!$AC$30)</f>
        <v/>
      </c>
      <c r="AE65" s="95">
        <f>IF('Final Calculation Sheet'!$AD$30="","",'Final Calculation Sheet'!$AD$30)</f>
        <v/>
      </c>
      <c r="AF65" s="100">
        <f>IF('Final Calculation Sheet'!$AD$30="","",IF('Final Calculation Sheet'!$AD$30&lt;=5,"SETTLED","OUTSTANDING"))</f>
        <v/>
      </c>
      <c r="AG65" s="95">
        <f>IF('Final Calculation Sheet'!$AF$30="","",'Final Calculation Sheet'!$AF$30)</f>
        <v/>
      </c>
      <c r="AH65" s="99">
        <f>IF('Final Calculation Sheet'!$AG$30="","",'Final Calculation Sheet'!$AG$30)</f>
        <v/>
      </c>
      <c r="AI65" s="95">
        <f>IF('Final Calculation Sheet'!$AH$30="","",'Final Calculation Sheet'!$AH$30)</f>
        <v/>
      </c>
    </row>
    <row r="66" outlineLevel="1" ht="15" customHeight="1" s="137">
      <c r="A66" s="67" t="n">
        <v>11</v>
      </c>
      <c r="B66" s="76">
        <f>IF('Final Calculation Sheet'!$F$32="","",'Final Calculation Sheet'!$F$32)</f>
        <v/>
      </c>
      <c r="C66" s="76">
        <f>IF('Final Calculation Sheet'!$G$32="","",'Final Calculation Sheet'!$G$32)</f>
        <v/>
      </c>
      <c r="D66" s="80">
        <f>IF('Final Calculation Sheet'!$B$32="","",'Final Calculation Sheet'!$B$32)</f>
        <v/>
      </c>
      <c r="E66" s="80">
        <f>IF('Final Calculation Sheet'!$D$32="","",'Final Calculation Sheet'!$D$32)</f>
        <v/>
      </c>
      <c r="F66" s="80">
        <f>IF('Final Calculation Sheet'!$A$32="","",'Final Calculation Sheet'!$A$32)</f>
        <v/>
      </c>
      <c r="G66" s="80">
        <f>IF('Final Calculation Sheet'!$E$32="","",'Final Calculation Sheet'!$E$32)</f>
        <v/>
      </c>
      <c r="H66" s="70">
        <f>IF('Final Calculation Sheet'!$C$32="","",'Final Calculation Sheet'!$C$32)</f>
        <v/>
      </c>
      <c r="I66" s="70">
        <f>IF('Final Calculation Sheet'!$H$32="","",'Final Calculation Sheet'!$H$32)</f>
        <v/>
      </c>
      <c r="J66" s="70">
        <f>IF('Final Calculation Sheet'!$I$32="","",'Final Calculation Sheet'!$I$32)</f>
        <v/>
      </c>
      <c r="K66" s="70">
        <f>IF('Final Calculation Sheet'!$J$32="","",'Final Calculation Sheet'!$J$32)</f>
        <v/>
      </c>
      <c r="L66" s="70">
        <f>IF('Final Calculation Sheet'!$K$32="","",'Final Calculation Sheet'!$K$32)</f>
        <v/>
      </c>
      <c r="M66" s="70">
        <f>IF('Final Calculation Sheet'!$L$32="","",'Final Calculation Sheet'!$L$32)</f>
        <v/>
      </c>
      <c r="N66" s="70">
        <f>IF('Final Calculation Sheet'!$M$32="","",'Final Calculation Sheet'!$M$32)</f>
        <v/>
      </c>
      <c r="O66" s="71">
        <f>IF('Final Calculation Sheet'!$N$32="","",'Final Calculation Sheet'!$N$32)</f>
        <v/>
      </c>
      <c r="P66" s="70">
        <f>IF('Final Calculation Sheet'!$O$32="","",'Final Calculation Sheet'!$O$32)</f>
        <v/>
      </c>
      <c r="Q66" s="70">
        <f>IF('Final Calculation Sheet'!$P$32="","",'Final Calculation Sheet'!$P$32)</f>
        <v/>
      </c>
      <c r="R66" s="72">
        <f>IF('Final Calculation Sheet'!$Q$32="","",'Final Calculation Sheet'!$Q$32)</f>
        <v/>
      </c>
      <c r="S66" s="70">
        <f>IF('Final Calculation Sheet'!$R$32="","",'Final Calculation Sheet'!$R$32)</f>
        <v/>
      </c>
      <c r="T66" s="70">
        <f>IF('Final Calculation Sheet'!$S$32="","",'Final Calculation Sheet'!$S$32)</f>
        <v/>
      </c>
      <c r="U66" s="70">
        <f>IF('Final Calculation Sheet'!$T$32="","",'Final Calculation Sheet'!$T$32)</f>
        <v/>
      </c>
      <c r="V66" s="73">
        <f>IF('Final Calculation Sheet'!$U$32="","",'Final Calculation Sheet'!$U$32)</f>
        <v/>
      </c>
      <c r="W66" s="70">
        <f>IF('Final Calculation Sheet'!$V$32="","",'Final Calculation Sheet'!$V$32)</f>
        <v/>
      </c>
      <c r="X66" s="70">
        <f>IF('Final Calculation Sheet'!$W$32="","",'Final Calculation Sheet'!$W$32)</f>
        <v/>
      </c>
      <c r="Y66" s="70">
        <f>IF('Final Calculation Sheet'!$X$32="","",'Final Calculation Sheet'!$X$32)</f>
        <v/>
      </c>
      <c r="Z66" s="70">
        <f>IF('Final Calculation Sheet'!$Y$32="","",'Final Calculation Sheet'!$Y$32)</f>
        <v/>
      </c>
      <c r="AA66" s="70">
        <f>IF('Final Calculation Sheet'!$Z$32="","",'Final Calculation Sheet'!$Z$32)</f>
        <v/>
      </c>
      <c r="AB66" s="70">
        <f>IF('Final Calculation Sheet'!$AA$32="","",'Final Calculation Sheet'!$AA$32)</f>
        <v/>
      </c>
      <c r="AC66" s="70">
        <f>IF('Final Calculation Sheet'!$AB$32="","",'Final Calculation Sheet'!$AB$32)</f>
        <v/>
      </c>
      <c r="AD66" s="70">
        <f>IF('Final Calculation Sheet'!$AC$32="","",'Final Calculation Sheet'!$AC$32)</f>
        <v/>
      </c>
      <c r="AE66" s="70">
        <f>IF('Final Calculation Sheet'!$AD$32="","",'Final Calculation Sheet'!$AD$32)</f>
        <v/>
      </c>
      <c r="AF66" s="75">
        <f>IF('Final Calculation Sheet'!$AD$32="","",IF('Final Calculation Sheet'!$AD$32&lt;=5,"SETTLED","OUTSTANDING"))</f>
        <v/>
      </c>
      <c r="AG66" s="70">
        <f>IF('Final Calculation Sheet'!$AF$32="","",'Final Calculation Sheet'!$AF$32)</f>
        <v/>
      </c>
      <c r="AH66" s="74">
        <f>IF('Final Calculation Sheet'!$AG$32="","",'Final Calculation Sheet'!$AG$32)</f>
        <v/>
      </c>
      <c r="AI66" s="70">
        <f>IF('Final Calculation Sheet'!$AH$32="","",'Final Calculation Sheet'!$AH$32)</f>
        <v/>
      </c>
    </row>
    <row r="67" outlineLevel="1" ht="15" customHeight="1" s="137">
      <c r="A67" s="90" t="n">
        <v>12</v>
      </c>
      <c r="B67" s="92">
        <f>IF('Final Calculation Sheet'!$F$33="","",'Final Calculation Sheet'!$F$33)</f>
        <v/>
      </c>
      <c r="C67" s="92">
        <f>IF('Final Calculation Sheet'!$G$33="","",'Final Calculation Sheet'!$G$33)</f>
        <v/>
      </c>
      <c r="D67" s="94">
        <f>IF('Final Calculation Sheet'!$B$33="","",'Final Calculation Sheet'!$B$33)</f>
        <v/>
      </c>
      <c r="E67" s="94">
        <f>IF('Final Calculation Sheet'!$D$33="","",'Final Calculation Sheet'!$D$33)</f>
        <v/>
      </c>
      <c r="F67" s="94">
        <f>IF('Final Calculation Sheet'!$A$33="","",'Final Calculation Sheet'!$A$33)</f>
        <v/>
      </c>
      <c r="G67" s="94">
        <f>IF('Final Calculation Sheet'!$E$33="","",'Final Calculation Sheet'!$E$33)</f>
        <v/>
      </c>
      <c r="H67" s="95">
        <f>IF('Final Calculation Sheet'!$C$33="","",'Final Calculation Sheet'!$C$33)</f>
        <v/>
      </c>
      <c r="I67" s="95">
        <f>IF('Final Calculation Sheet'!$H$33="","",'Final Calculation Sheet'!$H$33)</f>
        <v/>
      </c>
      <c r="J67" s="95">
        <f>IF('Final Calculation Sheet'!$I$33="","",'Final Calculation Sheet'!$I$33)</f>
        <v/>
      </c>
      <c r="K67" s="95">
        <f>IF('Final Calculation Sheet'!$J$33="","",'Final Calculation Sheet'!$J$33)</f>
        <v/>
      </c>
      <c r="L67" s="95">
        <f>IF('Final Calculation Sheet'!$K$33="","",'Final Calculation Sheet'!$K$33)</f>
        <v/>
      </c>
      <c r="M67" s="95">
        <f>IF('Final Calculation Sheet'!$L$33="","",'Final Calculation Sheet'!$L$33)</f>
        <v/>
      </c>
      <c r="N67" s="95">
        <f>IF('Final Calculation Sheet'!$M$33="","",'Final Calculation Sheet'!$M$33)</f>
        <v/>
      </c>
      <c r="O67" s="96">
        <f>IF('Final Calculation Sheet'!$N$33="","",'Final Calculation Sheet'!$N$33)</f>
        <v/>
      </c>
      <c r="P67" s="95">
        <f>IF('Final Calculation Sheet'!$O$33="","",'Final Calculation Sheet'!$O$33)</f>
        <v/>
      </c>
      <c r="Q67" s="95">
        <f>IF('Final Calculation Sheet'!$P$33="","",'Final Calculation Sheet'!$P$33)</f>
        <v/>
      </c>
      <c r="R67" s="97">
        <f>IF('Final Calculation Sheet'!$Q$33="","",'Final Calculation Sheet'!$Q$33)</f>
        <v/>
      </c>
      <c r="S67" s="95">
        <f>IF('Final Calculation Sheet'!$R$33="","",'Final Calculation Sheet'!$R$33)</f>
        <v/>
      </c>
      <c r="T67" s="95">
        <f>IF('Final Calculation Sheet'!$S$33="","",'Final Calculation Sheet'!$S$33)</f>
        <v/>
      </c>
      <c r="U67" s="95">
        <f>IF('Final Calculation Sheet'!$T$33="","",'Final Calculation Sheet'!$T$33)</f>
        <v/>
      </c>
      <c r="V67" s="98">
        <f>IF('Final Calculation Sheet'!$U$33="","",'Final Calculation Sheet'!$U$33)</f>
        <v/>
      </c>
      <c r="W67" s="95">
        <f>IF('Final Calculation Sheet'!$V$33="","",'Final Calculation Sheet'!$V$33)</f>
        <v/>
      </c>
      <c r="X67" s="95">
        <f>IF('Final Calculation Sheet'!$W$33="","",'Final Calculation Sheet'!$W$33)</f>
        <v/>
      </c>
      <c r="Y67" s="95">
        <f>IF('Final Calculation Sheet'!$X$33="","",'Final Calculation Sheet'!$X$33)</f>
        <v/>
      </c>
      <c r="Z67" s="95">
        <f>IF('Final Calculation Sheet'!$Y$33="","",'Final Calculation Sheet'!$Y$33)</f>
        <v/>
      </c>
      <c r="AA67" s="95">
        <f>IF('Final Calculation Sheet'!$Z$33="","",'Final Calculation Sheet'!$Z$33)</f>
        <v/>
      </c>
      <c r="AB67" s="95">
        <f>IF('Final Calculation Sheet'!$AA$33="","",'Final Calculation Sheet'!$AA$33)</f>
        <v/>
      </c>
      <c r="AC67" s="95">
        <f>IF('Final Calculation Sheet'!$AB$33="","",'Final Calculation Sheet'!$AB$33)</f>
        <v/>
      </c>
      <c r="AD67" s="95">
        <f>IF('Final Calculation Sheet'!$AC$33="","",'Final Calculation Sheet'!$AC$33)</f>
        <v/>
      </c>
      <c r="AE67" s="95">
        <f>IF('Final Calculation Sheet'!$AD$33="","",'Final Calculation Sheet'!$AD$33)</f>
        <v/>
      </c>
      <c r="AF67" s="100">
        <f>IF('Final Calculation Sheet'!$AD$33="","",IF('Final Calculation Sheet'!$AD$33&lt;=5,"SETTLED","OUTSTANDING"))</f>
        <v/>
      </c>
      <c r="AG67" s="95">
        <f>IF('Final Calculation Sheet'!$AF$33="","",'Final Calculation Sheet'!$AF$33)</f>
        <v/>
      </c>
      <c r="AH67" s="99">
        <f>IF('Final Calculation Sheet'!$AG$33="","",'Final Calculation Sheet'!$AG$33)</f>
        <v/>
      </c>
      <c r="AI67" s="95">
        <f>IF('Final Calculation Sheet'!$AH$33="","",'Final Calculation Sheet'!$AH$33)</f>
        <v/>
      </c>
    </row>
    <row r="68" outlineLevel="1" ht="15" customHeight="1" s="137">
      <c r="A68" s="67" t="n">
        <v>13</v>
      </c>
      <c r="B68" s="76">
        <f>IF('Final Calculation Sheet'!$F$37="","",'Final Calculation Sheet'!$F$37)</f>
        <v/>
      </c>
      <c r="C68" s="76">
        <f>IF('Final Calculation Sheet'!$G$37="","",'Final Calculation Sheet'!$G$37)</f>
        <v/>
      </c>
      <c r="D68" s="80">
        <f>IF('Final Calculation Sheet'!$B$37="","",'Final Calculation Sheet'!$B$37)</f>
        <v/>
      </c>
      <c r="E68" s="80">
        <f>IF('Final Calculation Sheet'!$D$37="","",'Final Calculation Sheet'!$D$37)</f>
        <v/>
      </c>
      <c r="F68" s="80">
        <f>IF('Final Calculation Sheet'!$A$37="","",'Final Calculation Sheet'!$A$37)</f>
        <v/>
      </c>
      <c r="G68" s="80">
        <f>IF('Final Calculation Sheet'!$E$37="","",'Final Calculation Sheet'!$E$37)</f>
        <v/>
      </c>
      <c r="H68" s="70">
        <f>IF('Final Calculation Sheet'!$C$37="","",'Final Calculation Sheet'!$C$37)</f>
        <v/>
      </c>
      <c r="I68" s="70">
        <f>IF('Final Calculation Sheet'!$H$37="","",'Final Calculation Sheet'!$H$37)</f>
        <v/>
      </c>
      <c r="J68" s="70">
        <f>IF('Final Calculation Sheet'!$I$37="","",'Final Calculation Sheet'!$I$37)</f>
        <v/>
      </c>
      <c r="K68" s="70">
        <f>IF('Final Calculation Sheet'!$J$37="","",'Final Calculation Sheet'!$J$37)</f>
        <v/>
      </c>
      <c r="L68" s="70">
        <f>IF('Final Calculation Sheet'!$K$37="","",'Final Calculation Sheet'!$K$37)</f>
        <v/>
      </c>
      <c r="M68" s="70">
        <f>IF('Final Calculation Sheet'!$L$37="","",'Final Calculation Sheet'!$L$37)</f>
        <v/>
      </c>
      <c r="N68" s="70">
        <f>IF('Final Calculation Sheet'!$M$37="","",'Final Calculation Sheet'!$M$37)</f>
        <v/>
      </c>
      <c r="O68" s="71">
        <f>IF('Final Calculation Sheet'!$N$37="","",'Final Calculation Sheet'!$N$37)</f>
        <v/>
      </c>
      <c r="P68" s="70">
        <f>IF('Final Calculation Sheet'!$O$37="","",'Final Calculation Sheet'!$O$37)</f>
        <v/>
      </c>
      <c r="Q68" s="70">
        <f>IF('Final Calculation Sheet'!$P$37="","",'Final Calculation Sheet'!$P$37)</f>
        <v/>
      </c>
      <c r="R68" s="72">
        <f>IF('Final Calculation Sheet'!$Q$37="","",'Final Calculation Sheet'!$Q$37)</f>
        <v/>
      </c>
      <c r="S68" s="70">
        <f>IF('Final Calculation Sheet'!$R$37="","",'Final Calculation Sheet'!$R$37)</f>
        <v/>
      </c>
      <c r="T68" s="70">
        <f>IF('Final Calculation Sheet'!$S$37="","",'Final Calculation Sheet'!$S$37)</f>
        <v/>
      </c>
      <c r="U68" s="70">
        <f>IF('Final Calculation Sheet'!$T$37="","",'Final Calculation Sheet'!$T$37)</f>
        <v/>
      </c>
      <c r="V68" s="73">
        <f>IF('Final Calculation Sheet'!$U$37="","",'Final Calculation Sheet'!$U$37)</f>
        <v/>
      </c>
      <c r="W68" s="70">
        <f>IF('Final Calculation Sheet'!$V$37="","",'Final Calculation Sheet'!$V$37)</f>
        <v/>
      </c>
      <c r="X68" s="70">
        <f>IF('Final Calculation Sheet'!$W$37="","",'Final Calculation Sheet'!$W$37)</f>
        <v/>
      </c>
      <c r="Y68" s="70">
        <f>IF('Final Calculation Sheet'!$X$37="","",'Final Calculation Sheet'!$X$37)</f>
        <v/>
      </c>
      <c r="Z68" s="70">
        <f>IF('Final Calculation Sheet'!$Y$37="","",'Final Calculation Sheet'!$Y$37)</f>
        <v/>
      </c>
      <c r="AA68" s="70">
        <f>IF('Final Calculation Sheet'!$Z$37="","",'Final Calculation Sheet'!$Z$37)</f>
        <v/>
      </c>
      <c r="AB68" s="70">
        <f>IF('Final Calculation Sheet'!$AA$37="","",'Final Calculation Sheet'!$AA$37)</f>
        <v/>
      </c>
      <c r="AC68" s="70">
        <f>IF('Final Calculation Sheet'!$AB$37="","",'Final Calculation Sheet'!$AB$37)</f>
        <v/>
      </c>
      <c r="AD68" s="70">
        <f>IF('Final Calculation Sheet'!$AC$37="","",'Final Calculation Sheet'!$AC$37)</f>
        <v/>
      </c>
      <c r="AE68" s="70">
        <f>IF('Final Calculation Sheet'!$AD$37="","",'Final Calculation Sheet'!$AD$37)</f>
        <v/>
      </c>
      <c r="AF68" s="75">
        <f>IF('Final Calculation Sheet'!$AD$37="","",IF('Final Calculation Sheet'!$AD$37&lt;=5,"SETTLED","OUTSTANDING"))</f>
        <v/>
      </c>
      <c r="AG68" s="70">
        <f>IF('Final Calculation Sheet'!$AF$37="","",'Final Calculation Sheet'!$AF$37)</f>
        <v/>
      </c>
      <c r="AH68" s="74">
        <f>IF('Final Calculation Sheet'!$AG$37="","",'Final Calculation Sheet'!$AG$37)</f>
        <v/>
      </c>
      <c r="AI68" s="70">
        <f>IF('Final Calculation Sheet'!$AH$37="","",'Final Calculation Sheet'!$AH$37)</f>
        <v/>
      </c>
    </row>
    <row r="69" ht="15" customHeight="1" s="137">
      <c r="A69" s="81" t="inlineStr">
        <is>
          <t>∑</t>
        </is>
      </c>
      <c r="B69" s="83" t="n"/>
      <c r="C69" s="83">
        <f>ROWS($C$56:$C$68)&amp;" lot(s)"</f>
        <v/>
      </c>
      <c r="D69" s="83" t="inlineStr">
        <is>
          <t>SUBTOTAL — NATIONAL ENTERPRISES</t>
        </is>
      </c>
      <c r="E69" s="83" t="inlineStr">
        <is>
          <t>–</t>
        </is>
      </c>
      <c r="F69" s="83">
        <f>SUM(F56:F68)</f>
        <v/>
      </c>
      <c r="G69" s="83" t="inlineStr">
        <is>
          <t>–</t>
        </is>
      </c>
      <c r="H69" s="84" t="inlineStr">
        <is>
          <t>–</t>
        </is>
      </c>
      <c r="I69" s="84">
        <f>SUM(I56:I68)</f>
        <v/>
      </c>
      <c r="J69" s="84">
        <f>SUM(J56:J68)</f>
        <v/>
      </c>
      <c r="K69" s="84">
        <f>SUM(K56:K68)</f>
        <v/>
      </c>
      <c r="L69" s="84">
        <f>SUM(L56:L68)</f>
        <v/>
      </c>
      <c r="M69" s="84">
        <f>SUM(M56:M68)</f>
        <v/>
      </c>
      <c r="N69" s="84">
        <f>SUM(N56:N68)</f>
        <v/>
      </c>
      <c r="O69" s="85">
        <f>SUM(O56:O68)</f>
        <v/>
      </c>
      <c r="P69" s="84">
        <f>SUM(P56:P68)</f>
        <v/>
      </c>
      <c r="Q69" s="84">
        <f>SUM(Q56:Q68)</f>
        <v/>
      </c>
      <c r="R69" s="86" t="inlineStr">
        <is>
          <t>–</t>
        </is>
      </c>
      <c r="S69" s="84">
        <f>SUM(S56:S68)</f>
        <v/>
      </c>
      <c r="T69" s="84">
        <f>SUM(T56:T68)</f>
        <v/>
      </c>
      <c r="U69" s="84">
        <f>SUM(U56:U68)</f>
        <v/>
      </c>
      <c r="V69" s="87">
        <f>SUM(V56:V68)</f>
        <v/>
      </c>
      <c r="W69" s="84" t="inlineStr">
        <is>
          <t>–</t>
        </is>
      </c>
      <c r="X69" s="84">
        <f>SUM(X56:X68)</f>
        <v/>
      </c>
      <c r="Y69" s="84">
        <f>SUM(Y56:Y68)</f>
        <v/>
      </c>
      <c r="Z69" s="84" t="inlineStr">
        <is>
          <t>–</t>
        </is>
      </c>
      <c r="AA69" s="84">
        <f>SUM(AA56:AA68)</f>
        <v/>
      </c>
      <c r="AB69" s="84">
        <f>SUM(AB56:AB68)</f>
        <v/>
      </c>
      <c r="AC69" s="84" t="inlineStr">
        <is>
          <t>–</t>
        </is>
      </c>
      <c r="AD69" s="84">
        <f>SUM(AD56:AD68)</f>
        <v/>
      </c>
      <c r="AE69" s="84">
        <f>SUM(AE56:AE68)</f>
        <v/>
      </c>
      <c r="AF69" s="89">
        <f>IF(AE69&lt;=5,"SETTLED","OUTSTANDING")</f>
        <v/>
      </c>
      <c r="AG69" s="84" t="inlineStr">
        <is>
          <t>–</t>
        </is>
      </c>
      <c r="AH69" s="88" t="inlineStr">
        <is>
          <t>–</t>
        </is>
      </c>
      <c r="AI69" s="84" t="inlineStr">
        <is>
          <t>–</t>
        </is>
      </c>
    </row>
    <row r="70" outlineLevel="1" ht="15" customHeight="1" s="137">
      <c r="A70" s="67" t="n">
        <v>1</v>
      </c>
      <c r="B70" s="76">
        <f>IF('Final Calculation Sheet'!$F$21="","",'Final Calculation Sheet'!$F$21)</f>
        <v/>
      </c>
      <c r="C70" s="76">
        <f>IF('Final Calculation Sheet'!$G$21="","",'Final Calculation Sheet'!$G$21)</f>
        <v/>
      </c>
      <c r="D70" s="80">
        <f>IF('Final Calculation Sheet'!$B$21="","",'Final Calculation Sheet'!$B$21)</f>
        <v/>
      </c>
      <c r="E70" s="80">
        <f>IF('Final Calculation Sheet'!$D$21="","",'Final Calculation Sheet'!$D$21)</f>
        <v/>
      </c>
      <c r="F70" s="80">
        <f>IF('Final Calculation Sheet'!$A$21="","",'Final Calculation Sheet'!$A$21)</f>
        <v/>
      </c>
      <c r="G70" s="80">
        <f>IF('Final Calculation Sheet'!$E$21="","",'Final Calculation Sheet'!$E$21)</f>
        <v/>
      </c>
      <c r="H70" s="70">
        <f>IF('Final Calculation Sheet'!$C$21="","",'Final Calculation Sheet'!$C$21)</f>
        <v/>
      </c>
      <c r="I70" s="70">
        <f>IF('Final Calculation Sheet'!$H$21="","",'Final Calculation Sheet'!$H$21)</f>
        <v/>
      </c>
      <c r="J70" s="70">
        <f>IF('Final Calculation Sheet'!$I$21="","",'Final Calculation Sheet'!$I$21)</f>
        <v/>
      </c>
      <c r="K70" s="70">
        <f>IF('Final Calculation Sheet'!$J$21="","",'Final Calculation Sheet'!$J$21)</f>
        <v/>
      </c>
      <c r="L70" s="70">
        <f>IF('Final Calculation Sheet'!$K$21="","",'Final Calculation Sheet'!$K$21)</f>
        <v/>
      </c>
      <c r="M70" s="70">
        <f>IF('Final Calculation Sheet'!$L$21="","",'Final Calculation Sheet'!$L$21)</f>
        <v/>
      </c>
      <c r="N70" s="70">
        <f>IF('Final Calculation Sheet'!$M$21="","",'Final Calculation Sheet'!$M$21)</f>
        <v/>
      </c>
      <c r="O70" s="71">
        <f>IF('Final Calculation Sheet'!$N$21="","",'Final Calculation Sheet'!$N$21)</f>
        <v/>
      </c>
      <c r="P70" s="70">
        <f>IF('Final Calculation Sheet'!$O$21="","",'Final Calculation Sheet'!$O$21)</f>
        <v/>
      </c>
      <c r="Q70" s="70">
        <f>IF('Final Calculation Sheet'!$P$21="","",'Final Calculation Sheet'!$P$21)</f>
        <v/>
      </c>
      <c r="R70" s="72">
        <f>IF('Final Calculation Sheet'!$Q$21="","",'Final Calculation Sheet'!$Q$21)</f>
        <v/>
      </c>
      <c r="S70" s="70">
        <f>IF('Final Calculation Sheet'!$R$21="","",'Final Calculation Sheet'!$R$21)</f>
        <v/>
      </c>
      <c r="T70" s="70">
        <f>IF('Final Calculation Sheet'!$S$21="","",'Final Calculation Sheet'!$S$21)</f>
        <v/>
      </c>
      <c r="U70" s="70">
        <f>IF('Final Calculation Sheet'!$T$21="","",'Final Calculation Sheet'!$T$21)</f>
        <v/>
      </c>
      <c r="V70" s="73">
        <f>IF('Final Calculation Sheet'!$U$21="","",'Final Calculation Sheet'!$U$21)</f>
        <v/>
      </c>
      <c r="W70" s="70">
        <f>IF('Final Calculation Sheet'!$V$21="","",'Final Calculation Sheet'!$V$21)</f>
        <v/>
      </c>
      <c r="X70" s="70">
        <f>IF('Final Calculation Sheet'!$W$21="","",'Final Calculation Sheet'!$W$21)</f>
        <v/>
      </c>
      <c r="Y70" s="70">
        <f>IF('Final Calculation Sheet'!$X$21="","",'Final Calculation Sheet'!$X$21)</f>
        <v/>
      </c>
      <c r="Z70" s="70">
        <f>IF('Final Calculation Sheet'!$Y$21="","",'Final Calculation Sheet'!$Y$21)</f>
        <v/>
      </c>
      <c r="AA70" s="70">
        <f>IF('Final Calculation Sheet'!$Z$21="","",'Final Calculation Sheet'!$Z$21)</f>
        <v/>
      </c>
      <c r="AB70" s="70">
        <f>IF('Final Calculation Sheet'!$AA$21="","",'Final Calculation Sheet'!$AA$21)</f>
        <v/>
      </c>
      <c r="AC70" s="70">
        <f>IF('Final Calculation Sheet'!$AB$21="","",'Final Calculation Sheet'!$AB$21)</f>
        <v/>
      </c>
      <c r="AD70" s="70">
        <f>IF('Final Calculation Sheet'!$AC$21="","",'Final Calculation Sheet'!$AC$21)</f>
        <v/>
      </c>
      <c r="AE70" s="70">
        <f>IF('Final Calculation Sheet'!$AD$21="","",'Final Calculation Sheet'!$AD$21)</f>
        <v/>
      </c>
      <c r="AF70" s="75">
        <f>IF('Final Calculation Sheet'!$AD$21="","",IF('Final Calculation Sheet'!$AD$21&lt;=5,"SETTLED","OUTSTANDING"))</f>
        <v/>
      </c>
      <c r="AG70" s="70">
        <f>IF('Final Calculation Sheet'!$AF$21="","",'Final Calculation Sheet'!$AF$21)</f>
        <v/>
      </c>
      <c r="AH70" s="74">
        <f>IF('Final Calculation Sheet'!$AG$21="","",'Final Calculation Sheet'!$AG$21)</f>
        <v/>
      </c>
      <c r="AI70" s="70">
        <f>IF('Final Calculation Sheet'!$AH$21="","",'Final Calculation Sheet'!$AH$21)</f>
        <v/>
      </c>
    </row>
    <row r="71" ht="15" customHeight="1" s="137">
      <c r="A71" s="81" t="inlineStr">
        <is>
          <t>∑</t>
        </is>
      </c>
      <c r="B71" s="83" t="n"/>
      <c r="C71" s="83">
        <f>ROWS($C$70:$C$70)&amp;" lot(s)"</f>
        <v/>
      </c>
      <c r="D71" s="83" t="inlineStr">
        <is>
          <t>SUBTOTAL — NATIONAL SCRAP AND BUILDING MATERIAL SUPPLIER</t>
        </is>
      </c>
      <c r="E71" s="83" t="inlineStr">
        <is>
          <t>–</t>
        </is>
      </c>
      <c r="F71" s="83">
        <f>SUM(F70:F70)</f>
        <v/>
      </c>
      <c r="G71" s="83" t="inlineStr">
        <is>
          <t>–</t>
        </is>
      </c>
      <c r="H71" s="84" t="inlineStr">
        <is>
          <t>–</t>
        </is>
      </c>
      <c r="I71" s="84">
        <f>SUM(I70:I70)</f>
        <v/>
      </c>
      <c r="J71" s="84">
        <f>SUM(J70:J70)</f>
        <v/>
      </c>
      <c r="K71" s="84">
        <f>SUM(K70:K70)</f>
        <v/>
      </c>
      <c r="L71" s="84">
        <f>SUM(L70:L70)</f>
        <v/>
      </c>
      <c r="M71" s="84">
        <f>SUM(M70:M70)</f>
        <v/>
      </c>
      <c r="N71" s="84">
        <f>SUM(N70:N70)</f>
        <v/>
      </c>
      <c r="O71" s="85">
        <f>SUM(O70:O70)</f>
        <v/>
      </c>
      <c r="P71" s="84">
        <f>SUM(P70:P70)</f>
        <v/>
      </c>
      <c r="Q71" s="84">
        <f>SUM(Q70:Q70)</f>
        <v/>
      </c>
      <c r="R71" s="86" t="inlineStr">
        <is>
          <t>–</t>
        </is>
      </c>
      <c r="S71" s="84">
        <f>SUM(S70:S70)</f>
        <v/>
      </c>
      <c r="T71" s="84">
        <f>SUM(T70:T70)</f>
        <v/>
      </c>
      <c r="U71" s="84">
        <f>SUM(U70:U70)</f>
        <v/>
      </c>
      <c r="V71" s="87">
        <f>SUM(V70:V70)</f>
        <v/>
      </c>
      <c r="W71" s="84" t="inlineStr">
        <is>
          <t>–</t>
        </is>
      </c>
      <c r="X71" s="84">
        <f>SUM(X70:X70)</f>
        <v/>
      </c>
      <c r="Y71" s="84">
        <f>SUM(Y70:Y70)</f>
        <v/>
      </c>
      <c r="Z71" s="84" t="inlineStr">
        <is>
          <t>–</t>
        </is>
      </c>
      <c r="AA71" s="84">
        <f>SUM(AA70:AA70)</f>
        <v/>
      </c>
      <c r="AB71" s="84">
        <f>SUM(AB70:AB70)</f>
        <v/>
      </c>
      <c r="AC71" s="84" t="inlineStr">
        <is>
          <t>–</t>
        </is>
      </c>
      <c r="AD71" s="84">
        <f>SUM(AD70:AD70)</f>
        <v/>
      </c>
      <c r="AE71" s="84">
        <f>SUM(AE70:AE70)</f>
        <v/>
      </c>
      <c r="AF71" s="89">
        <f>IF(AE71&lt;=5,"SETTLED","OUTSTANDING")</f>
        <v/>
      </c>
      <c r="AG71" s="84" t="inlineStr">
        <is>
          <t>–</t>
        </is>
      </c>
      <c r="AH71" s="88" t="inlineStr">
        <is>
          <t>–</t>
        </is>
      </c>
      <c r="AI71" s="84" t="inlineStr">
        <is>
          <t>–</t>
        </is>
      </c>
    </row>
    <row r="72" outlineLevel="1" ht="15" customHeight="1" s="137">
      <c r="A72" s="67" t="n">
        <v>1</v>
      </c>
      <c r="B72" s="76">
        <f>IF('Final Calculation Sheet'!$F$8="","",'Final Calculation Sheet'!$F$8)</f>
        <v/>
      </c>
      <c r="C72" s="76">
        <f>IF('Final Calculation Sheet'!$G$8="","",'Final Calculation Sheet'!$G$8)</f>
        <v/>
      </c>
      <c r="D72" s="80">
        <f>IF('Final Calculation Sheet'!$B$8="","",'Final Calculation Sheet'!$B$8)</f>
        <v/>
      </c>
      <c r="E72" s="80">
        <f>IF('Final Calculation Sheet'!$D$8="","",'Final Calculation Sheet'!$D$8)</f>
        <v/>
      </c>
      <c r="F72" s="80">
        <f>IF('Final Calculation Sheet'!$A$8="","",'Final Calculation Sheet'!$A$8)</f>
        <v/>
      </c>
      <c r="G72" s="80">
        <f>IF('Final Calculation Sheet'!$E$8="","",'Final Calculation Sheet'!$E$8)</f>
        <v/>
      </c>
      <c r="H72" s="70">
        <f>IF('Final Calculation Sheet'!$C$8="","",'Final Calculation Sheet'!$C$8)</f>
        <v/>
      </c>
      <c r="I72" s="70">
        <f>IF('Final Calculation Sheet'!$H$8="","",'Final Calculation Sheet'!$H$8)</f>
        <v/>
      </c>
      <c r="J72" s="70">
        <f>IF('Final Calculation Sheet'!$I$8="","",'Final Calculation Sheet'!$I$8)</f>
        <v/>
      </c>
      <c r="K72" s="70">
        <f>IF('Final Calculation Sheet'!$J$8="","",'Final Calculation Sheet'!$J$8)</f>
        <v/>
      </c>
      <c r="L72" s="70">
        <f>IF('Final Calculation Sheet'!$K$8="","",'Final Calculation Sheet'!$K$8)</f>
        <v/>
      </c>
      <c r="M72" s="70">
        <f>IF('Final Calculation Sheet'!$L$8="","",'Final Calculation Sheet'!$L$8)</f>
        <v/>
      </c>
      <c r="N72" s="70">
        <f>IF('Final Calculation Sheet'!$M$8="","",'Final Calculation Sheet'!$M$8)</f>
        <v/>
      </c>
      <c r="O72" s="71">
        <f>IF('Final Calculation Sheet'!$N$8="","",'Final Calculation Sheet'!$N$8)</f>
        <v/>
      </c>
      <c r="P72" s="70">
        <f>IF('Final Calculation Sheet'!$O$8="","",'Final Calculation Sheet'!$O$8)</f>
        <v/>
      </c>
      <c r="Q72" s="70">
        <f>IF('Final Calculation Sheet'!$P$8="","",'Final Calculation Sheet'!$P$8)</f>
        <v/>
      </c>
      <c r="R72" s="72">
        <f>IF('Final Calculation Sheet'!$Q$8="","",'Final Calculation Sheet'!$Q$8)</f>
        <v/>
      </c>
      <c r="S72" s="70">
        <f>IF('Final Calculation Sheet'!$R$8="","",'Final Calculation Sheet'!$R$8)</f>
        <v/>
      </c>
      <c r="T72" s="70">
        <f>IF('Final Calculation Sheet'!$S$8="","",'Final Calculation Sheet'!$S$8)</f>
        <v/>
      </c>
      <c r="U72" s="70">
        <f>IF('Final Calculation Sheet'!$T$8="","",'Final Calculation Sheet'!$T$8)</f>
        <v/>
      </c>
      <c r="V72" s="73">
        <f>IF('Final Calculation Sheet'!$U$8="","",'Final Calculation Sheet'!$U$8)</f>
        <v/>
      </c>
      <c r="W72" s="70">
        <f>IF('Final Calculation Sheet'!$V$8="","",'Final Calculation Sheet'!$V$8)</f>
        <v/>
      </c>
      <c r="X72" s="70">
        <f>IF('Final Calculation Sheet'!$W$8="","",'Final Calculation Sheet'!$W$8)</f>
        <v/>
      </c>
      <c r="Y72" s="70">
        <f>IF('Final Calculation Sheet'!$X$8="","",'Final Calculation Sheet'!$X$8)</f>
        <v/>
      </c>
      <c r="Z72" s="70">
        <f>IF('Final Calculation Sheet'!$Y$8="","",'Final Calculation Sheet'!$Y$8)</f>
        <v/>
      </c>
      <c r="AA72" s="70">
        <f>IF('Final Calculation Sheet'!$Z$8="","",'Final Calculation Sheet'!$Z$8)</f>
        <v/>
      </c>
      <c r="AB72" s="70">
        <f>IF('Final Calculation Sheet'!$AA$8="","",'Final Calculation Sheet'!$AA$8)</f>
        <v/>
      </c>
      <c r="AC72" s="70">
        <f>IF('Final Calculation Sheet'!$AB$8="","",'Final Calculation Sheet'!$AB$8)</f>
        <v/>
      </c>
      <c r="AD72" s="70">
        <f>IF('Final Calculation Sheet'!$AC$8="","",'Final Calculation Sheet'!$AC$8)</f>
        <v/>
      </c>
      <c r="AE72" s="70">
        <f>IF('Final Calculation Sheet'!$AD$8="","",'Final Calculation Sheet'!$AD$8)</f>
        <v/>
      </c>
      <c r="AF72" s="75">
        <f>IF('Final Calculation Sheet'!$AD$8="","",IF('Final Calculation Sheet'!$AD$8&lt;=5,"SETTLED","OUTSTANDING"))</f>
        <v/>
      </c>
      <c r="AG72" s="70">
        <f>IF('Final Calculation Sheet'!$AF$8="","",'Final Calculation Sheet'!$AF$8)</f>
        <v/>
      </c>
      <c r="AH72" s="74">
        <f>IF('Final Calculation Sheet'!$AG$8="","",'Final Calculation Sheet'!$AG$8)</f>
        <v/>
      </c>
      <c r="AI72" s="70">
        <f>IF('Final Calculation Sheet'!$AH$8="","",'Final Calculation Sheet'!$AH$8)</f>
        <v/>
      </c>
    </row>
    <row r="73" outlineLevel="1" ht="15" customHeight="1" s="137">
      <c r="A73" s="90" t="n">
        <v>2</v>
      </c>
      <c r="B73" s="92">
        <f>IF('Final Calculation Sheet'!$F$20="","",'Final Calculation Sheet'!$F$20)</f>
        <v/>
      </c>
      <c r="C73" s="92">
        <f>IF('Final Calculation Sheet'!$G$20="","",'Final Calculation Sheet'!$G$20)</f>
        <v/>
      </c>
      <c r="D73" s="94">
        <f>IF('Final Calculation Sheet'!$B$20="","",'Final Calculation Sheet'!$B$20)</f>
        <v/>
      </c>
      <c r="E73" s="94">
        <f>IF('Final Calculation Sheet'!$D$20="","",'Final Calculation Sheet'!$D$20)</f>
        <v/>
      </c>
      <c r="F73" s="94">
        <f>IF('Final Calculation Sheet'!$A$20="","",'Final Calculation Sheet'!$A$20)</f>
        <v/>
      </c>
      <c r="G73" s="94">
        <f>IF('Final Calculation Sheet'!$E$20="","",'Final Calculation Sheet'!$E$20)</f>
        <v/>
      </c>
      <c r="H73" s="95">
        <f>IF('Final Calculation Sheet'!$C$20="","",'Final Calculation Sheet'!$C$20)</f>
        <v/>
      </c>
      <c r="I73" s="95">
        <f>IF('Final Calculation Sheet'!$H$20="","",'Final Calculation Sheet'!$H$20)</f>
        <v/>
      </c>
      <c r="J73" s="95">
        <f>IF('Final Calculation Sheet'!$I$20="","",'Final Calculation Sheet'!$I$20)</f>
        <v/>
      </c>
      <c r="K73" s="95">
        <f>IF('Final Calculation Sheet'!$J$20="","",'Final Calculation Sheet'!$J$20)</f>
        <v/>
      </c>
      <c r="L73" s="95">
        <f>IF('Final Calculation Sheet'!$K$20="","",'Final Calculation Sheet'!$K$20)</f>
        <v/>
      </c>
      <c r="M73" s="95">
        <f>IF('Final Calculation Sheet'!$L$20="","",'Final Calculation Sheet'!$L$20)</f>
        <v/>
      </c>
      <c r="N73" s="95">
        <f>IF('Final Calculation Sheet'!$M$20="","",'Final Calculation Sheet'!$M$20)</f>
        <v/>
      </c>
      <c r="O73" s="96">
        <f>IF('Final Calculation Sheet'!$N$20="","",'Final Calculation Sheet'!$N$20)</f>
        <v/>
      </c>
      <c r="P73" s="95">
        <f>IF('Final Calculation Sheet'!$O$20="","",'Final Calculation Sheet'!$O$20)</f>
        <v/>
      </c>
      <c r="Q73" s="95">
        <f>IF('Final Calculation Sheet'!$P$20="","",'Final Calculation Sheet'!$P$20)</f>
        <v/>
      </c>
      <c r="R73" s="97">
        <f>IF('Final Calculation Sheet'!$Q$20="","",'Final Calculation Sheet'!$Q$20)</f>
        <v/>
      </c>
      <c r="S73" s="95">
        <f>IF('Final Calculation Sheet'!$R$20="","",'Final Calculation Sheet'!$R$20)</f>
        <v/>
      </c>
      <c r="T73" s="95">
        <f>IF('Final Calculation Sheet'!$S$20="","",'Final Calculation Sheet'!$S$20)</f>
        <v/>
      </c>
      <c r="U73" s="95">
        <f>IF('Final Calculation Sheet'!$T$20="","",'Final Calculation Sheet'!$T$20)</f>
        <v/>
      </c>
      <c r="V73" s="98">
        <f>IF('Final Calculation Sheet'!$U$20="","",'Final Calculation Sheet'!$U$20)</f>
        <v/>
      </c>
      <c r="W73" s="95">
        <f>IF('Final Calculation Sheet'!$V$20="","",'Final Calculation Sheet'!$V$20)</f>
        <v/>
      </c>
      <c r="X73" s="95">
        <f>IF('Final Calculation Sheet'!$W$20="","",'Final Calculation Sheet'!$W$20)</f>
        <v/>
      </c>
      <c r="Y73" s="95">
        <f>IF('Final Calculation Sheet'!$X$20="","",'Final Calculation Sheet'!$X$20)</f>
        <v/>
      </c>
      <c r="Z73" s="95">
        <f>IF('Final Calculation Sheet'!$Y$20="","",'Final Calculation Sheet'!$Y$20)</f>
        <v/>
      </c>
      <c r="AA73" s="95">
        <f>IF('Final Calculation Sheet'!$Z$20="","",'Final Calculation Sheet'!$Z$20)</f>
        <v/>
      </c>
      <c r="AB73" s="95">
        <f>IF('Final Calculation Sheet'!$AA$20="","",'Final Calculation Sheet'!$AA$20)</f>
        <v/>
      </c>
      <c r="AC73" s="95">
        <f>IF('Final Calculation Sheet'!$AB$20="","",'Final Calculation Sheet'!$AB$20)</f>
        <v/>
      </c>
      <c r="AD73" s="95">
        <f>IF('Final Calculation Sheet'!$AC$20="","",'Final Calculation Sheet'!$AC$20)</f>
        <v/>
      </c>
      <c r="AE73" s="95">
        <f>IF('Final Calculation Sheet'!$AD$20="","",'Final Calculation Sheet'!$AD$20)</f>
        <v/>
      </c>
      <c r="AF73" s="100">
        <f>IF('Final Calculation Sheet'!$AD$20="","",IF('Final Calculation Sheet'!$AD$20&lt;=5,"SETTLED","OUTSTANDING"))</f>
        <v/>
      </c>
      <c r="AG73" s="95">
        <f>IF('Final Calculation Sheet'!$AF$20="","",'Final Calculation Sheet'!$AF$20)</f>
        <v/>
      </c>
      <c r="AH73" s="99">
        <f>IF('Final Calculation Sheet'!$AG$20="","",'Final Calculation Sheet'!$AG$20)</f>
        <v/>
      </c>
      <c r="AI73" s="95">
        <f>IF('Final Calculation Sheet'!$AH$20="","",'Final Calculation Sheet'!$AH$20)</f>
        <v/>
      </c>
    </row>
    <row r="74" ht="15" customHeight="1" s="137">
      <c r="A74" s="81" t="inlineStr">
        <is>
          <t>∑</t>
        </is>
      </c>
      <c r="B74" s="83" t="n"/>
      <c r="C74" s="83">
        <f>ROWS($C$72:$C$73)&amp;" lot(s)"</f>
        <v/>
      </c>
      <c r="D74" s="83" t="inlineStr">
        <is>
          <t>SUBTOTAL — OMKAR STEELS</t>
        </is>
      </c>
      <c r="E74" s="83" t="inlineStr">
        <is>
          <t>–</t>
        </is>
      </c>
      <c r="F74" s="83">
        <f>SUM(F72:F73)</f>
        <v/>
      </c>
      <c r="G74" s="83" t="inlineStr">
        <is>
          <t>–</t>
        </is>
      </c>
      <c r="H74" s="84" t="inlineStr">
        <is>
          <t>–</t>
        </is>
      </c>
      <c r="I74" s="84">
        <f>SUM(I72:I73)</f>
        <v/>
      </c>
      <c r="J74" s="84">
        <f>SUM(J72:J73)</f>
        <v/>
      </c>
      <c r="K74" s="84">
        <f>SUM(K72:K73)</f>
        <v/>
      </c>
      <c r="L74" s="84">
        <f>SUM(L72:L73)</f>
        <v/>
      </c>
      <c r="M74" s="84">
        <f>SUM(M72:M73)</f>
        <v/>
      </c>
      <c r="N74" s="84">
        <f>SUM(N72:N73)</f>
        <v/>
      </c>
      <c r="O74" s="85">
        <f>SUM(O72:O73)</f>
        <v/>
      </c>
      <c r="P74" s="84">
        <f>SUM(P72:P73)</f>
        <v/>
      </c>
      <c r="Q74" s="84">
        <f>SUM(Q72:Q73)</f>
        <v/>
      </c>
      <c r="R74" s="86" t="inlineStr">
        <is>
          <t>–</t>
        </is>
      </c>
      <c r="S74" s="84">
        <f>SUM(S72:S73)</f>
        <v/>
      </c>
      <c r="T74" s="84">
        <f>SUM(T72:T73)</f>
        <v/>
      </c>
      <c r="U74" s="84">
        <f>SUM(U72:U73)</f>
        <v/>
      </c>
      <c r="V74" s="87">
        <f>SUM(V72:V73)</f>
        <v/>
      </c>
      <c r="W74" s="84" t="inlineStr">
        <is>
          <t>–</t>
        </is>
      </c>
      <c r="X74" s="84">
        <f>SUM(X72:X73)</f>
        <v/>
      </c>
      <c r="Y74" s="84">
        <f>SUM(Y72:Y73)</f>
        <v/>
      </c>
      <c r="Z74" s="84" t="inlineStr">
        <is>
          <t>–</t>
        </is>
      </c>
      <c r="AA74" s="84">
        <f>SUM(AA72:AA73)</f>
        <v/>
      </c>
      <c r="AB74" s="84">
        <f>SUM(AB72:AB73)</f>
        <v/>
      </c>
      <c r="AC74" s="84" t="inlineStr">
        <is>
          <t>–</t>
        </is>
      </c>
      <c r="AD74" s="84">
        <f>SUM(AD72:AD73)</f>
        <v/>
      </c>
      <c r="AE74" s="84">
        <f>SUM(AE72:AE73)</f>
        <v/>
      </c>
      <c r="AF74" s="89">
        <f>IF(AE74&lt;=5,"SETTLED","OUTSTANDING")</f>
        <v/>
      </c>
      <c r="AG74" s="84" t="inlineStr">
        <is>
          <t>–</t>
        </is>
      </c>
      <c r="AH74" s="88" t="inlineStr">
        <is>
          <t>–</t>
        </is>
      </c>
      <c r="AI74" s="84" t="inlineStr">
        <is>
          <t>–</t>
        </is>
      </c>
    </row>
    <row r="75" outlineLevel="1" ht="15" customHeight="1" s="137">
      <c r="A75" s="67" t="n">
        <v>1</v>
      </c>
      <c r="B75" s="76">
        <f>IF('Final Calculation Sheet'!$F$39="","",'Final Calculation Sheet'!$F$39)</f>
        <v/>
      </c>
      <c r="C75" s="76">
        <f>IF('Final Calculation Sheet'!$G$39="","",'Final Calculation Sheet'!$G$39)</f>
        <v/>
      </c>
      <c r="D75" s="80">
        <f>IF('Final Calculation Sheet'!$B$39="","",'Final Calculation Sheet'!$B$39)</f>
        <v/>
      </c>
      <c r="E75" s="80">
        <f>IF('Final Calculation Sheet'!$D$39="","",'Final Calculation Sheet'!$D$39)</f>
        <v/>
      </c>
      <c r="F75" s="80">
        <f>IF('Final Calculation Sheet'!$A$39="","",'Final Calculation Sheet'!$A$39)</f>
        <v/>
      </c>
      <c r="G75" s="80">
        <f>IF('Final Calculation Sheet'!$E$39="","",'Final Calculation Sheet'!$E$39)</f>
        <v/>
      </c>
      <c r="H75" s="70">
        <f>IF('Final Calculation Sheet'!$C$39="","",'Final Calculation Sheet'!$C$39)</f>
        <v/>
      </c>
      <c r="I75" s="70">
        <f>IF('Final Calculation Sheet'!$H$39="","",'Final Calculation Sheet'!$H$39)</f>
        <v/>
      </c>
      <c r="J75" s="70">
        <f>IF('Final Calculation Sheet'!$I$39="","",'Final Calculation Sheet'!$I$39)</f>
        <v/>
      </c>
      <c r="K75" s="70">
        <f>IF('Final Calculation Sheet'!$J$39="","",'Final Calculation Sheet'!$J$39)</f>
        <v/>
      </c>
      <c r="L75" s="70">
        <f>IF('Final Calculation Sheet'!$K$39="","",'Final Calculation Sheet'!$K$39)</f>
        <v/>
      </c>
      <c r="M75" s="70">
        <f>IF('Final Calculation Sheet'!$L$39="","",'Final Calculation Sheet'!$L$39)</f>
        <v/>
      </c>
      <c r="N75" s="70">
        <f>IF('Final Calculation Sheet'!$M$39="","",'Final Calculation Sheet'!$M$39)</f>
        <v/>
      </c>
      <c r="O75" s="71">
        <f>IF('Final Calculation Sheet'!$N$39="","",'Final Calculation Sheet'!$N$39)</f>
        <v/>
      </c>
      <c r="P75" s="70">
        <f>IF('Final Calculation Sheet'!$O$39="","",'Final Calculation Sheet'!$O$39)</f>
        <v/>
      </c>
      <c r="Q75" s="70">
        <f>IF('Final Calculation Sheet'!$P$39="","",'Final Calculation Sheet'!$P$39)</f>
        <v/>
      </c>
      <c r="R75" s="72">
        <f>IF('Final Calculation Sheet'!$Q$39="","",'Final Calculation Sheet'!$Q$39)</f>
        <v/>
      </c>
      <c r="S75" s="70">
        <f>IF('Final Calculation Sheet'!$R$39="","",'Final Calculation Sheet'!$R$39)</f>
        <v/>
      </c>
      <c r="T75" s="70">
        <f>IF('Final Calculation Sheet'!$S$39="","",'Final Calculation Sheet'!$S$39)</f>
        <v/>
      </c>
      <c r="U75" s="70">
        <f>IF('Final Calculation Sheet'!$T$39="","",'Final Calculation Sheet'!$T$39)</f>
        <v/>
      </c>
      <c r="V75" s="73">
        <f>IF('Final Calculation Sheet'!$U$39="","",'Final Calculation Sheet'!$U$39)</f>
        <v/>
      </c>
      <c r="W75" s="70">
        <f>IF('Final Calculation Sheet'!$V$39="","",'Final Calculation Sheet'!$V$39)</f>
        <v/>
      </c>
      <c r="X75" s="70">
        <f>IF('Final Calculation Sheet'!$W$39="","",'Final Calculation Sheet'!$W$39)</f>
        <v/>
      </c>
      <c r="Y75" s="70">
        <f>IF('Final Calculation Sheet'!$X$39="","",'Final Calculation Sheet'!$X$39)</f>
        <v/>
      </c>
      <c r="Z75" s="70">
        <f>IF('Final Calculation Sheet'!$Y$39="","",'Final Calculation Sheet'!$Y$39)</f>
        <v/>
      </c>
      <c r="AA75" s="70">
        <f>IF('Final Calculation Sheet'!$Z$39="","",'Final Calculation Sheet'!$Z$39)</f>
        <v/>
      </c>
      <c r="AB75" s="70">
        <f>IF('Final Calculation Sheet'!$AA$39="","",'Final Calculation Sheet'!$AA$39)</f>
        <v/>
      </c>
      <c r="AC75" s="70">
        <f>IF('Final Calculation Sheet'!$AB$39="","",'Final Calculation Sheet'!$AB$39)</f>
        <v/>
      </c>
      <c r="AD75" s="70">
        <f>IF('Final Calculation Sheet'!$AC$39="","",'Final Calculation Sheet'!$AC$39)</f>
        <v/>
      </c>
      <c r="AE75" s="70">
        <f>IF('Final Calculation Sheet'!$AD$39="","",'Final Calculation Sheet'!$AD$39)</f>
        <v/>
      </c>
      <c r="AF75" s="75">
        <f>IF('Final Calculation Sheet'!$AD$39="","",IF('Final Calculation Sheet'!$AD$39&lt;=5,"SETTLED","OUTSTANDING"))</f>
        <v/>
      </c>
      <c r="AG75" s="70">
        <f>IF('Final Calculation Sheet'!$AF$39="","",'Final Calculation Sheet'!$AF$39)</f>
        <v/>
      </c>
      <c r="AH75" s="74">
        <f>IF('Final Calculation Sheet'!$AG$39="","",'Final Calculation Sheet'!$AG$39)</f>
        <v/>
      </c>
      <c r="AI75" s="70">
        <f>IF('Final Calculation Sheet'!$AH$39="","",'Final Calculation Sheet'!$AH$39)</f>
        <v/>
      </c>
    </row>
    <row r="76" outlineLevel="1" ht="15" customHeight="1" s="137">
      <c r="A76" s="90" t="n">
        <v>2</v>
      </c>
      <c r="B76" s="92">
        <f>IF('Final Calculation Sheet'!$F$40="","",'Final Calculation Sheet'!$F$40)</f>
        <v/>
      </c>
      <c r="C76" s="92">
        <f>IF('Final Calculation Sheet'!$G$40="","",'Final Calculation Sheet'!$G$40)</f>
        <v/>
      </c>
      <c r="D76" s="94">
        <f>IF('Final Calculation Sheet'!$B$40="","",'Final Calculation Sheet'!$B$40)</f>
        <v/>
      </c>
      <c r="E76" s="94">
        <f>IF('Final Calculation Sheet'!$D$40="","",'Final Calculation Sheet'!$D$40)</f>
        <v/>
      </c>
      <c r="F76" s="94">
        <f>IF('Final Calculation Sheet'!$A$40="","",'Final Calculation Sheet'!$A$40)</f>
        <v/>
      </c>
      <c r="G76" s="94">
        <f>IF('Final Calculation Sheet'!$E$40="","",'Final Calculation Sheet'!$E$40)</f>
        <v/>
      </c>
      <c r="H76" s="95">
        <f>IF('Final Calculation Sheet'!$C$40="","",'Final Calculation Sheet'!$C$40)</f>
        <v/>
      </c>
      <c r="I76" s="95">
        <f>IF('Final Calculation Sheet'!$H$40="","",'Final Calculation Sheet'!$H$40)</f>
        <v/>
      </c>
      <c r="J76" s="95">
        <f>IF('Final Calculation Sheet'!$I$40="","",'Final Calculation Sheet'!$I$40)</f>
        <v/>
      </c>
      <c r="K76" s="95">
        <f>IF('Final Calculation Sheet'!$J$40="","",'Final Calculation Sheet'!$J$40)</f>
        <v/>
      </c>
      <c r="L76" s="95">
        <f>IF('Final Calculation Sheet'!$K$40="","",'Final Calculation Sheet'!$K$40)</f>
        <v/>
      </c>
      <c r="M76" s="95">
        <f>IF('Final Calculation Sheet'!$L$40="","",'Final Calculation Sheet'!$L$40)</f>
        <v/>
      </c>
      <c r="N76" s="95">
        <f>IF('Final Calculation Sheet'!$M$40="","",'Final Calculation Sheet'!$M$40)</f>
        <v/>
      </c>
      <c r="O76" s="96">
        <f>IF('Final Calculation Sheet'!$N$40="","",'Final Calculation Sheet'!$N$40)</f>
        <v/>
      </c>
      <c r="P76" s="95">
        <f>IF('Final Calculation Sheet'!$O$40="","",'Final Calculation Sheet'!$O$40)</f>
        <v/>
      </c>
      <c r="Q76" s="95">
        <f>IF('Final Calculation Sheet'!$P$40="","",'Final Calculation Sheet'!$P$40)</f>
        <v/>
      </c>
      <c r="R76" s="97">
        <f>IF('Final Calculation Sheet'!$Q$40="","",'Final Calculation Sheet'!$Q$40)</f>
        <v/>
      </c>
      <c r="S76" s="95">
        <f>IF('Final Calculation Sheet'!$R$40="","",'Final Calculation Sheet'!$R$40)</f>
        <v/>
      </c>
      <c r="T76" s="95">
        <f>IF('Final Calculation Sheet'!$S$40="","",'Final Calculation Sheet'!$S$40)</f>
        <v/>
      </c>
      <c r="U76" s="95">
        <f>IF('Final Calculation Sheet'!$T$40="","",'Final Calculation Sheet'!$T$40)</f>
        <v/>
      </c>
      <c r="V76" s="98">
        <f>IF('Final Calculation Sheet'!$U$40="","",'Final Calculation Sheet'!$U$40)</f>
        <v/>
      </c>
      <c r="W76" s="95">
        <f>IF('Final Calculation Sheet'!$V$40="","",'Final Calculation Sheet'!$V$40)</f>
        <v/>
      </c>
      <c r="X76" s="95">
        <f>IF('Final Calculation Sheet'!$W$40="","",'Final Calculation Sheet'!$W$40)</f>
        <v/>
      </c>
      <c r="Y76" s="95">
        <f>IF('Final Calculation Sheet'!$X$40="","",'Final Calculation Sheet'!$X$40)</f>
        <v/>
      </c>
      <c r="Z76" s="95">
        <f>IF('Final Calculation Sheet'!$Y$40="","",'Final Calculation Sheet'!$Y$40)</f>
        <v/>
      </c>
      <c r="AA76" s="95">
        <f>IF('Final Calculation Sheet'!$Z$40="","",'Final Calculation Sheet'!$Z$40)</f>
        <v/>
      </c>
      <c r="AB76" s="95">
        <f>IF('Final Calculation Sheet'!$AA$40="","",'Final Calculation Sheet'!$AA$40)</f>
        <v/>
      </c>
      <c r="AC76" s="95">
        <f>IF('Final Calculation Sheet'!$AB$40="","",'Final Calculation Sheet'!$AB$40)</f>
        <v/>
      </c>
      <c r="AD76" s="95">
        <f>IF('Final Calculation Sheet'!$AC$40="","",'Final Calculation Sheet'!$AC$40)</f>
        <v/>
      </c>
      <c r="AE76" s="95">
        <f>IF('Final Calculation Sheet'!$AD$40="","",'Final Calculation Sheet'!$AD$40)</f>
        <v/>
      </c>
      <c r="AF76" s="100">
        <f>IF('Final Calculation Sheet'!$AD$40="","",IF('Final Calculation Sheet'!$AD$40&lt;=5,"SETTLED","OUTSTANDING"))</f>
        <v/>
      </c>
      <c r="AG76" s="95">
        <f>IF('Final Calculation Sheet'!$AF$40="","",'Final Calculation Sheet'!$AF$40)</f>
        <v/>
      </c>
      <c r="AH76" s="99">
        <f>IF('Final Calculation Sheet'!$AG$40="","",'Final Calculation Sheet'!$AG$40)</f>
        <v/>
      </c>
      <c r="AI76" s="95">
        <f>IF('Final Calculation Sheet'!$AH$40="","",'Final Calculation Sheet'!$AH$40)</f>
        <v/>
      </c>
    </row>
    <row r="77" ht="15" customHeight="1" s="137">
      <c r="A77" s="81" t="inlineStr">
        <is>
          <t>∑</t>
        </is>
      </c>
      <c r="B77" s="83" t="n"/>
      <c r="C77" s="83">
        <f>ROWS($C$75:$C$76)&amp;" lot(s)"</f>
        <v/>
      </c>
      <c r="D77" s="83" t="inlineStr">
        <is>
          <t>SUBTOTAL — S M ENTERPRISES</t>
        </is>
      </c>
      <c r="E77" s="83" t="inlineStr">
        <is>
          <t>–</t>
        </is>
      </c>
      <c r="F77" s="83">
        <f>SUM(F75:F76)</f>
        <v/>
      </c>
      <c r="G77" s="83" t="inlineStr">
        <is>
          <t>–</t>
        </is>
      </c>
      <c r="H77" s="84" t="inlineStr">
        <is>
          <t>–</t>
        </is>
      </c>
      <c r="I77" s="84">
        <f>SUM(I75:I76)</f>
        <v/>
      </c>
      <c r="J77" s="84">
        <f>SUM(J75:J76)</f>
        <v/>
      </c>
      <c r="K77" s="84">
        <f>SUM(K75:K76)</f>
        <v/>
      </c>
      <c r="L77" s="84">
        <f>SUM(L75:L76)</f>
        <v/>
      </c>
      <c r="M77" s="84">
        <f>SUM(M75:M76)</f>
        <v/>
      </c>
      <c r="N77" s="84">
        <f>SUM(N75:N76)</f>
        <v/>
      </c>
      <c r="O77" s="85">
        <f>SUM(O75:O76)</f>
        <v/>
      </c>
      <c r="P77" s="84">
        <f>SUM(P75:P76)</f>
        <v/>
      </c>
      <c r="Q77" s="84">
        <f>SUM(Q75:Q76)</f>
        <v/>
      </c>
      <c r="R77" s="86" t="inlineStr">
        <is>
          <t>–</t>
        </is>
      </c>
      <c r="S77" s="84">
        <f>SUM(S75:S76)</f>
        <v/>
      </c>
      <c r="T77" s="84">
        <f>SUM(T75:T76)</f>
        <v/>
      </c>
      <c r="U77" s="84">
        <f>SUM(U75:U76)</f>
        <v/>
      </c>
      <c r="V77" s="87">
        <f>SUM(V75:V76)</f>
        <v/>
      </c>
      <c r="W77" s="84" t="inlineStr">
        <is>
          <t>–</t>
        </is>
      </c>
      <c r="X77" s="84">
        <f>SUM(X75:X76)</f>
        <v/>
      </c>
      <c r="Y77" s="84">
        <f>SUM(Y75:Y76)</f>
        <v/>
      </c>
      <c r="Z77" s="84" t="inlineStr">
        <is>
          <t>–</t>
        </is>
      </c>
      <c r="AA77" s="84">
        <f>SUM(AA75:AA76)</f>
        <v/>
      </c>
      <c r="AB77" s="84">
        <f>SUM(AB75:AB76)</f>
        <v/>
      </c>
      <c r="AC77" s="84" t="inlineStr">
        <is>
          <t>–</t>
        </is>
      </c>
      <c r="AD77" s="84">
        <f>SUM(AD75:AD76)</f>
        <v/>
      </c>
      <c r="AE77" s="84">
        <f>SUM(AE75:AE76)</f>
        <v/>
      </c>
      <c r="AF77" s="89">
        <f>IF(AE77&lt;=5,"SETTLED","OUTSTANDING")</f>
        <v/>
      </c>
      <c r="AG77" s="84" t="inlineStr">
        <is>
          <t>–</t>
        </is>
      </c>
      <c r="AH77" s="88" t="inlineStr">
        <is>
          <t>–</t>
        </is>
      </c>
      <c r="AI77" s="84" t="inlineStr">
        <is>
          <t>–</t>
        </is>
      </c>
    </row>
    <row r="78" outlineLevel="1" ht="15" customHeight="1" s="137">
      <c r="A78" s="67" t="n">
        <v>1</v>
      </c>
      <c r="B78" s="76">
        <f>IF('Final Calculation Sheet'!$F$31="","",'Final Calculation Sheet'!$F$31)</f>
        <v/>
      </c>
      <c r="C78" s="76">
        <f>IF('Final Calculation Sheet'!$G$31="","",'Final Calculation Sheet'!$G$31)</f>
        <v/>
      </c>
      <c r="D78" s="80">
        <f>IF('Final Calculation Sheet'!$B$31="","",'Final Calculation Sheet'!$B$31)</f>
        <v/>
      </c>
      <c r="E78" s="80">
        <f>IF('Final Calculation Sheet'!$D$31="","",'Final Calculation Sheet'!$D$31)</f>
        <v/>
      </c>
      <c r="F78" s="80">
        <f>IF('Final Calculation Sheet'!$A$31="","",'Final Calculation Sheet'!$A$31)</f>
        <v/>
      </c>
      <c r="G78" s="80">
        <f>IF('Final Calculation Sheet'!$E$31="","",'Final Calculation Sheet'!$E$31)</f>
        <v/>
      </c>
      <c r="H78" s="70">
        <f>IF('Final Calculation Sheet'!$C$31="","",'Final Calculation Sheet'!$C$31)</f>
        <v/>
      </c>
      <c r="I78" s="70">
        <f>IF('Final Calculation Sheet'!$H$31="","",'Final Calculation Sheet'!$H$31)</f>
        <v/>
      </c>
      <c r="J78" s="70">
        <f>IF('Final Calculation Sheet'!$I$31="","",'Final Calculation Sheet'!$I$31)</f>
        <v/>
      </c>
      <c r="K78" s="70">
        <f>IF('Final Calculation Sheet'!$J$31="","",'Final Calculation Sheet'!$J$31)</f>
        <v/>
      </c>
      <c r="L78" s="70">
        <f>IF('Final Calculation Sheet'!$K$31="","",'Final Calculation Sheet'!$K$31)</f>
        <v/>
      </c>
      <c r="M78" s="70">
        <f>IF('Final Calculation Sheet'!$L$31="","",'Final Calculation Sheet'!$L$31)</f>
        <v/>
      </c>
      <c r="N78" s="70">
        <f>IF('Final Calculation Sheet'!$M$31="","",'Final Calculation Sheet'!$M$31)</f>
        <v/>
      </c>
      <c r="O78" s="71">
        <f>IF('Final Calculation Sheet'!$N$31="","",'Final Calculation Sheet'!$N$31)</f>
        <v/>
      </c>
      <c r="P78" s="70">
        <f>IF('Final Calculation Sheet'!$O$31="","",'Final Calculation Sheet'!$O$31)</f>
        <v/>
      </c>
      <c r="Q78" s="70">
        <f>IF('Final Calculation Sheet'!$P$31="","",'Final Calculation Sheet'!$P$31)</f>
        <v/>
      </c>
      <c r="R78" s="72">
        <f>IF('Final Calculation Sheet'!$Q$31="","",'Final Calculation Sheet'!$Q$31)</f>
        <v/>
      </c>
      <c r="S78" s="70">
        <f>IF('Final Calculation Sheet'!$R$31="","",'Final Calculation Sheet'!$R$31)</f>
        <v/>
      </c>
      <c r="T78" s="70">
        <f>IF('Final Calculation Sheet'!$S$31="","",'Final Calculation Sheet'!$S$31)</f>
        <v/>
      </c>
      <c r="U78" s="70">
        <f>IF('Final Calculation Sheet'!$T$31="","",'Final Calculation Sheet'!$T$31)</f>
        <v/>
      </c>
      <c r="V78" s="73">
        <f>IF('Final Calculation Sheet'!$U$31="","",'Final Calculation Sheet'!$U$31)</f>
        <v/>
      </c>
      <c r="W78" s="70">
        <f>IF('Final Calculation Sheet'!$V$31="","",'Final Calculation Sheet'!$V$31)</f>
        <v/>
      </c>
      <c r="X78" s="70">
        <f>IF('Final Calculation Sheet'!$W$31="","",'Final Calculation Sheet'!$W$31)</f>
        <v/>
      </c>
      <c r="Y78" s="70">
        <f>IF('Final Calculation Sheet'!$X$31="","",'Final Calculation Sheet'!$X$31)</f>
        <v/>
      </c>
      <c r="Z78" s="70">
        <f>IF('Final Calculation Sheet'!$Y$31="","",'Final Calculation Sheet'!$Y$31)</f>
        <v/>
      </c>
      <c r="AA78" s="70">
        <f>IF('Final Calculation Sheet'!$Z$31="","",'Final Calculation Sheet'!$Z$31)</f>
        <v/>
      </c>
      <c r="AB78" s="70">
        <f>IF('Final Calculation Sheet'!$AA$31="","",'Final Calculation Sheet'!$AA$31)</f>
        <v/>
      </c>
      <c r="AC78" s="70">
        <f>IF('Final Calculation Sheet'!$AB$31="","",'Final Calculation Sheet'!$AB$31)</f>
        <v/>
      </c>
      <c r="AD78" s="70">
        <f>IF('Final Calculation Sheet'!$AC$31="","",'Final Calculation Sheet'!$AC$31)</f>
        <v/>
      </c>
      <c r="AE78" s="70">
        <f>IF('Final Calculation Sheet'!$AD$31="","",'Final Calculation Sheet'!$AD$31)</f>
        <v/>
      </c>
      <c r="AF78" s="75">
        <f>IF('Final Calculation Sheet'!$AD$31="","",IF('Final Calculation Sheet'!$AD$31&lt;=5,"SETTLED","OUTSTANDING"))</f>
        <v/>
      </c>
      <c r="AG78" s="70">
        <f>IF('Final Calculation Sheet'!$AF$31="","",'Final Calculation Sheet'!$AF$31)</f>
        <v/>
      </c>
      <c r="AH78" s="74">
        <f>IF('Final Calculation Sheet'!$AG$31="","",'Final Calculation Sheet'!$AG$31)</f>
        <v/>
      </c>
      <c r="AI78" s="70">
        <f>IF('Final Calculation Sheet'!$AH$31="","",'Final Calculation Sheet'!$AH$31)</f>
        <v/>
      </c>
    </row>
    <row r="79" ht="15" customHeight="1" s="137">
      <c r="A79" s="81" t="inlineStr">
        <is>
          <t>∑</t>
        </is>
      </c>
      <c r="B79" s="83" t="n"/>
      <c r="C79" s="83">
        <f>ROWS($C$78:$C$78)&amp;" lot(s)"</f>
        <v/>
      </c>
      <c r="D79" s="83" t="inlineStr">
        <is>
          <t>SUBTOTAL — SAHARA ENTERPRISES</t>
        </is>
      </c>
      <c r="E79" s="83" t="inlineStr">
        <is>
          <t>–</t>
        </is>
      </c>
      <c r="F79" s="83">
        <f>SUM(F78:F78)</f>
        <v/>
      </c>
      <c r="G79" s="83" t="inlineStr">
        <is>
          <t>–</t>
        </is>
      </c>
      <c r="H79" s="84" t="inlineStr">
        <is>
          <t>–</t>
        </is>
      </c>
      <c r="I79" s="84">
        <f>SUM(I78:I78)</f>
        <v/>
      </c>
      <c r="J79" s="84">
        <f>SUM(J78:J78)</f>
        <v/>
      </c>
      <c r="K79" s="84">
        <f>SUM(K78:K78)</f>
        <v/>
      </c>
      <c r="L79" s="84">
        <f>SUM(L78:L78)</f>
        <v/>
      </c>
      <c r="M79" s="84">
        <f>SUM(M78:M78)</f>
        <v/>
      </c>
      <c r="N79" s="84">
        <f>SUM(N78:N78)</f>
        <v/>
      </c>
      <c r="O79" s="85">
        <f>SUM(O78:O78)</f>
        <v/>
      </c>
      <c r="P79" s="84">
        <f>SUM(P78:P78)</f>
        <v/>
      </c>
      <c r="Q79" s="84">
        <f>SUM(Q78:Q78)</f>
        <v/>
      </c>
      <c r="R79" s="86" t="inlineStr">
        <is>
          <t>–</t>
        </is>
      </c>
      <c r="S79" s="84">
        <f>SUM(S78:S78)</f>
        <v/>
      </c>
      <c r="T79" s="84">
        <f>SUM(T78:T78)</f>
        <v/>
      </c>
      <c r="U79" s="84">
        <f>SUM(U78:U78)</f>
        <v/>
      </c>
      <c r="V79" s="87">
        <f>SUM(V78:V78)</f>
        <v/>
      </c>
      <c r="W79" s="84" t="inlineStr">
        <is>
          <t>–</t>
        </is>
      </c>
      <c r="X79" s="84">
        <f>SUM(X78:X78)</f>
        <v/>
      </c>
      <c r="Y79" s="84">
        <f>SUM(Y78:Y78)</f>
        <v/>
      </c>
      <c r="Z79" s="84" t="inlineStr">
        <is>
          <t>–</t>
        </is>
      </c>
      <c r="AA79" s="84">
        <f>SUM(AA78:AA78)</f>
        <v/>
      </c>
      <c r="AB79" s="84">
        <f>SUM(AB78:AB78)</f>
        <v/>
      </c>
      <c r="AC79" s="84" t="inlineStr">
        <is>
          <t>–</t>
        </is>
      </c>
      <c r="AD79" s="84">
        <f>SUM(AD78:AD78)</f>
        <v/>
      </c>
      <c r="AE79" s="84">
        <f>SUM(AE78:AE78)</f>
        <v/>
      </c>
      <c r="AF79" s="89">
        <f>IF(AE79&lt;=5,"SETTLED","OUTSTANDING")</f>
        <v/>
      </c>
      <c r="AG79" s="84" t="inlineStr">
        <is>
          <t>–</t>
        </is>
      </c>
      <c r="AH79" s="88" t="inlineStr">
        <is>
          <t>–</t>
        </is>
      </c>
      <c r="AI79" s="84" t="inlineStr">
        <is>
          <t>–</t>
        </is>
      </c>
    </row>
    <row r="80" outlineLevel="1" ht="15" customHeight="1" s="137">
      <c r="A80" s="67" t="n">
        <v>1</v>
      </c>
      <c r="B80" s="76">
        <f>IF('Final Calculation Sheet'!$F$9="","",'Final Calculation Sheet'!$F$9)</f>
        <v/>
      </c>
      <c r="C80" s="76">
        <f>IF('Final Calculation Sheet'!$G$9="","",'Final Calculation Sheet'!$G$9)</f>
        <v/>
      </c>
      <c r="D80" s="80">
        <f>IF('Final Calculation Sheet'!$B$9="","",'Final Calculation Sheet'!$B$9)</f>
        <v/>
      </c>
      <c r="E80" s="80">
        <f>IF('Final Calculation Sheet'!$D$9="","",'Final Calculation Sheet'!$D$9)</f>
        <v/>
      </c>
      <c r="F80" s="80">
        <f>IF('Final Calculation Sheet'!$A$9="","",'Final Calculation Sheet'!$A$9)</f>
        <v/>
      </c>
      <c r="G80" s="80">
        <f>IF('Final Calculation Sheet'!$E$9="","",'Final Calculation Sheet'!$E$9)</f>
        <v/>
      </c>
      <c r="H80" s="70">
        <f>IF('Final Calculation Sheet'!$C$9="","",'Final Calculation Sheet'!$C$9)</f>
        <v/>
      </c>
      <c r="I80" s="70">
        <f>IF('Final Calculation Sheet'!$H$9="","",'Final Calculation Sheet'!$H$9)</f>
        <v/>
      </c>
      <c r="J80" s="70">
        <f>IF('Final Calculation Sheet'!$I$9="","",'Final Calculation Sheet'!$I$9)</f>
        <v/>
      </c>
      <c r="K80" s="70">
        <f>IF('Final Calculation Sheet'!$J$9="","",'Final Calculation Sheet'!$J$9)</f>
        <v/>
      </c>
      <c r="L80" s="70">
        <f>IF('Final Calculation Sheet'!$K$9="","",'Final Calculation Sheet'!$K$9)</f>
        <v/>
      </c>
      <c r="M80" s="70">
        <f>IF('Final Calculation Sheet'!$L$9="","",'Final Calculation Sheet'!$L$9)</f>
        <v/>
      </c>
      <c r="N80" s="70">
        <f>IF('Final Calculation Sheet'!$M$9="","",'Final Calculation Sheet'!$M$9)</f>
        <v/>
      </c>
      <c r="O80" s="71">
        <f>IF('Final Calculation Sheet'!$N$9="","",'Final Calculation Sheet'!$N$9)</f>
        <v/>
      </c>
      <c r="P80" s="70">
        <f>IF('Final Calculation Sheet'!$O$9="","",'Final Calculation Sheet'!$O$9)</f>
        <v/>
      </c>
      <c r="Q80" s="70">
        <f>IF('Final Calculation Sheet'!$P$9="","",'Final Calculation Sheet'!$P$9)</f>
        <v/>
      </c>
      <c r="R80" s="72">
        <f>IF('Final Calculation Sheet'!$Q$9="","",'Final Calculation Sheet'!$Q$9)</f>
        <v/>
      </c>
      <c r="S80" s="70">
        <f>IF('Final Calculation Sheet'!$R$9="","",'Final Calculation Sheet'!$R$9)</f>
        <v/>
      </c>
      <c r="T80" s="70">
        <f>IF('Final Calculation Sheet'!$S$9="","",'Final Calculation Sheet'!$S$9)</f>
        <v/>
      </c>
      <c r="U80" s="70">
        <f>IF('Final Calculation Sheet'!$T$9="","",'Final Calculation Sheet'!$T$9)</f>
        <v/>
      </c>
      <c r="V80" s="73">
        <f>IF('Final Calculation Sheet'!$U$9="","",'Final Calculation Sheet'!$U$9)</f>
        <v/>
      </c>
      <c r="W80" s="70">
        <f>IF('Final Calculation Sheet'!$V$9="","",'Final Calculation Sheet'!$V$9)</f>
        <v/>
      </c>
      <c r="X80" s="70">
        <f>IF('Final Calculation Sheet'!$W$9="","",'Final Calculation Sheet'!$W$9)</f>
        <v/>
      </c>
      <c r="Y80" s="70">
        <f>IF('Final Calculation Sheet'!$X$9="","",'Final Calculation Sheet'!$X$9)</f>
        <v/>
      </c>
      <c r="Z80" s="70">
        <f>IF('Final Calculation Sheet'!$Y$9="","",'Final Calculation Sheet'!$Y$9)</f>
        <v/>
      </c>
      <c r="AA80" s="70">
        <f>IF('Final Calculation Sheet'!$Z$9="","",'Final Calculation Sheet'!$Z$9)</f>
        <v/>
      </c>
      <c r="AB80" s="70">
        <f>IF('Final Calculation Sheet'!$AA$9="","",'Final Calculation Sheet'!$AA$9)</f>
        <v/>
      </c>
      <c r="AC80" s="70">
        <f>IF('Final Calculation Sheet'!$AB$9="","",'Final Calculation Sheet'!$AB$9)</f>
        <v/>
      </c>
      <c r="AD80" s="70">
        <f>IF('Final Calculation Sheet'!$AC$9="","",'Final Calculation Sheet'!$AC$9)</f>
        <v/>
      </c>
      <c r="AE80" s="70">
        <f>IF('Final Calculation Sheet'!$AD$9="","",'Final Calculation Sheet'!$AD$9)</f>
        <v/>
      </c>
      <c r="AF80" s="75">
        <f>IF('Final Calculation Sheet'!$AD$9="","",IF('Final Calculation Sheet'!$AD$9&lt;=5,"SETTLED","OUTSTANDING"))</f>
        <v/>
      </c>
      <c r="AG80" s="70">
        <f>IF('Final Calculation Sheet'!$AF$9="","",'Final Calculation Sheet'!$AF$9)</f>
        <v/>
      </c>
      <c r="AH80" s="74">
        <f>IF('Final Calculation Sheet'!$AG$9="","",'Final Calculation Sheet'!$AG$9)</f>
        <v/>
      </c>
      <c r="AI80" s="70">
        <f>IF('Final Calculation Sheet'!$AH$9="","",'Final Calculation Sheet'!$AH$9)</f>
        <v/>
      </c>
    </row>
    <row r="81" outlineLevel="1" ht="15" customHeight="1" s="137">
      <c r="A81" s="90" t="n">
        <v>2</v>
      </c>
      <c r="B81" s="92">
        <f>IF('Final Calculation Sheet'!$F$14="","",'Final Calculation Sheet'!$F$14)</f>
        <v/>
      </c>
      <c r="C81" s="92">
        <f>IF('Final Calculation Sheet'!$G$14="","",'Final Calculation Sheet'!$G$14)</f>
        <v/>
      </c>
      <c r="D81" s="94">
        <f>IF('Final Calculation Sheet'!$B$14="","",'Final Calculation Sheet'!$B$14)</f>
        <v/>
      </c>
      <c r="E81" s="94">
        <f>IF('Final Calculation Sheet'!$D$14="","",'Final Calculation Sheet'!$D$14)</f>
        <v/>
      </c>
      <c r="F81" s="94">
        <f>IF('Final Calculation Sheet'!$A$14="","",'Final Calculation Sheet'!$A$14)</f>
        <v/>
      </c>
      <c r="G81" s="94">
        <f>IF('Final Calculation Sheet'!$E$14="","",'Final Calculation Sheet'!$E$14)</f>
        <v/>
      </c>
      <c r="H81" s="95">
        <f>IF('Final Calculation Sheet'!$C$14="","",'Final Calculation Sheet'!$C$14)</f>
        <v/>
      </c>
      <c r="I81" s="95">
        <f>IF('Final Calculation Sheet'!$H$14="","",'Final Calculation Sheet'!$H$14)</f>
        <v/>
      </c>
      <c r="J81" s="95">
        <f>IF('Final Calculation Sheet'!$I$14="","",'Final Calculation Sheet'!$I$14)</f>
        <v/>
      </c>
      <c r="K81" s="95">
        <f>IF('Final Calculation Sheet'!$J$14="","",'Final Calculation Sheet'!$J$14)</f>
        <v/>
      </c>
      <c r="L81" s="95">
        <f>IF('Final Calculation Sheet'!$K$14="","",'Final Calculation Sheet'!$K$14)</f>
        <v/>
      </c>
      <c r="M81" s="95">
        <f>IF('Final Calculation Sheet'!$L$14="","",'Final Calculation Sheet'!$L$14)</f>
        <v/>
      </c>
      <c r="N81" s="95">
        <f>IF('Final Calculation Sheet'!$M$14="","",'Final Calculation Sheet'!$M$14)</f>
        <v/>
      </c>
      <c r="O81" s="96">
        <f>IF('Final Calculation Sheet'!$N$14="","",'Final Calculation Sheet'!$N$14)</f>
        <v/>
      </c>
      <c r="P81" s="95">
        <f>IF('Final Calculation Sheet'!$O$14="","",'Final Calculation Sheet'!$O$14)</f>
        <v/>
      </c>
      <c r="Q81" s="95">
        <f>IF('Final Calculation Sheet'!$P$14="","",'Final Calculation Sheet'!$P$14)</f>
        <v/>
      </c>
      <c r="R81" s="97">
        <f>IF('Final Calculation Sheet'!$Q$14="","",'Final Calculation Sheet'!$Q$14)</f>
        <v/>
      </c>
      <c r="S81" s="95">
        <f>IF('Final Calculation Sheet'!$R$14="","",'Final Calculation Sheet'!$R$14)</f>
        <v/>
      </c>
      <c r="T81" s="95">
        <f>IF('Final Calculation Sheet'!$S$14="","",'Final Calculation Sheet'!$S$14)</f>
        <v/>
      </c>
      <c r="U81" s="95">
        <f>IF('Final Calculation Sheet'!$T$14="","",'Final Calculation Sheet'!$T$14)</f>
        <v/>
      </c>
      <c r="V81" s="98">
        <f>IF('Final Calculation Sheet'!$U$14="","",'Final Calculation Sheet'!$U$14)</f>
        <v/>
      </c>
      <c r="W81" s="95">
        <f>IF('Final Calculation Sheet'!$V$14="","",'Final Calculation Sheet'!$V$14)</f>
        <v/>
      </c>
      <c r="X81" s="95">
        <f>IF('Final Calculation Sheet'!$W$14="","",'Final Calculation Sheet'!$W$14)</f>
        <v/>
      </c>
      <c r="Y81" s="95">
        <f>IF('Final Calculation Sheet'!$X$14="","",'Final Calculation Sheet'!$X$14)</f>
        <v/>
      </c>
      <c r="Z81" s="95">
        <f>IF('Final Calculation Sheet'!$Y$14="","",'Final Calculation Sheet'!$Y$14)</f>
        <v/>
      </c>
      <c r="AA81" s="95">
        <f>IF('Final Calculation Sheet'!$Z$14="","",'Final Calculation Sheet'!$Z$14)</f>
        <v/>
      </c>
      <c r="AB81" s="95">
        <f>IF('Final Calculation Sheet'!$AA$14="","",'Final Calculation Sheet'!$AA$14)</f>
        <v/>
      </c>
      <c r="AC81" s="95">
        <f>IF('Final Calculation Sheet'!$AB$14="","",'Final Calculation Sheet'!$AB$14)</f>
        <v/>
      </c>
      <c r="AD81" s="95">
        <f>IF('Final Calculation Sheet'!$AC$14="","",'Final Calculation Sheet'!$AC$14)</f>
        <v/>
      </c>
      <c r="AE81" s="95">
        <f>IF('Final Calculation Sheet'!$AD$14="","",'Final Calculation Sheet'!$AD$14)</f>
        <v/>
      </c>
      <c r="AF81" s="100">
        <f>IF('Final Calculation Sheet'!$AD$14="","",IF('Final Calculation Sheet'!$AD$14&lt;=5,"SETTLED","OUTSTANDING"))</f>
        <v/>
      </c>
      <c r="AG81" s="95">
        <f>IF('Final Calculation Sheet'!$AF$14="","",'Final Calculation Sheet'!$AF$14)</f>
        <v/>
      </c>
      <c r="AH81" s="99">
        <f>IF('Final Calculation Sheet'!$AG$14="","",'Final Calculation Sheet'!$AG$14)</f>
        <v/>
      </c>
      <c r="AI81" s="95">
        <f>IF('Final Calculation Sheet'!$AH$14="","",'Final Calculation Sheet'!$AH$14)</f>
        <v/>
      </c>
    </row>
    <row r="82" ht="15" customHeight="1" s="137">
      <c r="A82" s="81" t="inlineStr">
        <is>
          <t>∑</t>
        </is>
      </c>
      <c r="B82" s="83" t="n"/>
      <c r="C82" s="83">
        <f>ROWS($C$80:$C$81)&amp;" lot(s)"</f>
        <v/>
      </c>
      <c r="D82" s="83" t="inlineStr">
        <is>
          <t>SUBTOTAL — SHAR JAHAN TRADERS</t>
        </is>
      </c>
      <c r="E82" s="83" t="inlineStr">
        <is>
          <t>–</t>
        </is>
      </c>
      <c r="F82" s="83">
        <f>SUM(F80:F81)</f>
        <v/>
      </c>
      <c r="G82" s="83" t="inlineStr">
        <is>
          <t>–</t>
        </is>
      </c>
      <c r="H82" s="84" t="inlineStr">
        <is>
          <t>–</t>
        </is>
      </c>
      <c r="I82" s="84">
        <f>SUM(I80:I81)</f>
        <v/>
      </c>
      <c r="J82" s="84">
        <f>SUM(J80:J81)</f>
        <v/>
      </c>
      <c r="K82" s="84">
        <f>SUM(K80:K81)</f>
        <v/>
      </c>
      <c r="L82" s="84">
        <f>SUM(L80:L81)</f>
        <v/>
      </c>
      <c r="M82" s="84">
        <f>SUM(M80:M81)</f>
        <v/>
      </c>
      <c r="N82" s="84">
        <f>SUM(N80:N81)</f>
        <v/>
      </c>
      <c r="O82" s="85">
        <f>SUM(O80:O81)</f>
        <v/>
      </c>
      <c r="P82" s="84">
        <f>SUM(P80:P81)</f>
        <v/>
      </c>
      <c r="Q82" s="84">
        <f>SUM(Q80:Q81)</f>
        <v/>
      </c>
      <c r="R82" s="86" t="inlineStr">
        <is>
          <t>–</t>
        </is>
      </c>
      <c r="S82" s="84">
        <f>SUM(S80:S81)</f>
        <v/>
      </c>
      <c r="T82" s="84">
        <f>SUM(T80:T81)</f>
        <v/>
      </c>
      <c r="U82" s="84">
        <f>SUM(U80:U81)</f>
        <v/>
      </c>
      <c r="V82" s="87">
        <f>SUM(V80:V81)</f>
        <v/>
      </c>
      <c r="W82" s="84" t="inlineStr">
        <is>
          <t>–</t>
        </is>
      </c>
      <c r="X82" s="84">
        <f>SUM(X80:X81)</f>
        <v/>
      </c>
      <c r="Y82" s="84">
        <f>SUM(Y80:Y81)</f>
        <v/>
      </c>
      <c r="Z82" s="84" t="inlineStr">
        <is>
          <t>–</t>
        </is>
      </c>
      <c r="AA82" s="84">
        <f>SUM(AA80:AA81)</f>
        <v/>
      </c>
      <c r="AB82" s="84">
        <f>SUM(AB80:AB81)</f>
        <v/>
      </c>
      <c r="AC82" s="84" t="inlineStr">
        <is>
          <t>–</t>
        </is>
      </c>
      <c r="AD82" s="84">
        <f>SUM(AD80:AD81)</f>
        <v/>
      </c>
      <c r="AE82" s="84">
        <f>SUM(AE80:AE81)</f>
        <v/>
      </c>
      <c r="AF82" s="89">
        <f>IF(AE82&lt;=5,"SETTLED","OUTSTANDING")</f>
        <v/>
      </c>
      <c r="AG82" s="84" t="inlineStr">
        <is>
          <t>–</t>
        </is>
      </c>
      <c r="AH82" s="88" t="inlineStr">
        <is>
          <t>–</t>
        </is>
      </c>
      <c r="AI82" s="84" t="inlineStr">
        <is>
          <t>–</t>
        </is>
      </c>
    </row>
    <row r="83" outlineLevel="1" ht="15" customHeight="1" s="137">
      <c r="A83" s="67" t="n">
        <v>1</v>
      </c>
      <c r="B83" s="76">
        <f>IF('Final Calculation Sheet'!$F$13="","",'Final Calculation Sheet'!$F$13)</f>
        <v/>
      </c>
      <c r="C83" s="76">
        <f>IF('Final Calculation Sheet'!$G$13="","",'Final Calculation Sheet'!$G$13)</f>
        <v/>
      </c>
      <c r="D83" s="80">
        <f>IF('Final Calculation Sheet'!$B$13="","",'Final Calculation Sheet'!$B$13)</f>
        <v/>
      </c>
      <c r="E83" s="80">
        <f>IF('Final Calculation Sheet'!$D$13="","",'Final Calculation Sheet'!$D$13)</f>
        <v/>
      </c>
      <c r="F83" s="80">
        <f>IF('Final Calculation Sheet'!$A$13="","",'Final Calculation Sheet'!$A$13)</f>
        <v/>
      </c>
      <c r="G83" s="80">
        <f>IF('Final Calculation Sheet'!$E$13="","",'Final Calculation Sheet'!$E$13)</f>
        <v/>
      </c>
      <c r="H83" s="70">
        <f>IF('Final Calculation Sheet'!$C$13="","",'Final Calculation Sheet'!$C$13)</f>
        <v/>
      </c>
      <c r="I83" s="70">
        <f>IF('Final Calculation Sheet'!$H$13="","",'Final Calculation Sheet'!$H$13)</f>
        <v/>
      </c>
      <c r="J83" s="70">
        <f>IF('Final Calculation Sheet'!$I$13="","",'Final Calculation Sheet'!$I$13)</f>
        <v/>
      </c>
      <c r="K83" s="70">
        <f>IF('Final Calculation Sheet'!$J$13="","",'Final Calculation Sheet'!$J$13)</f>
        <v/>
      </c>
      <c r="L83" s="70">
        <f>IF('Final Calculation Sheet'!$K$13="","",'Final Calculation Sheet'!$K$13)</f>
        <v/>
      </c>
      <c r="M83" s="70">
        <f>IF('Final Calculation Sheet'!$L$13="","",'Final Calculation Sheet'!$L$13)</f>
        <v/>
      </c>
      <c r="N83" s="70">
        <f>IF('Final Calculation Sheet'!$M$13="","",'Final Calculation Sheet'!$M$13)</f>
        <v/>
      </c>
      <c r="O83" s="71">
        <f>IF('Final Calculation Sheet'!$N$13="","",'Final Calculation Sheet'!$N$13)</f>
        <v/>
      </c>
      <c r="P83" s="70">
        <f>IF('Final Calculation Sheet'!$O$13="","",'Final Calculation Sheet'!$O$13)</f>
        <v/>
      </c>
      <c r="Q83" s="70">
        <f>IF('Final Calculation Sheet'!$P$13="","",'Final Calculation Sheet'!$P$13)</f>
        <v/>
      </c>
      <c r="R83" s="72">
        <f>IF('Final Calculation Sheet'!$Q$13="","",'Final Calculation Sheet'!$Q$13)</f>
        <v/>
      </c>
      <c r="S83" s="70">
        <f>IF('Final Calculation Sheet'!$R$13="","",'Final Calculation Sheet'!$R$13)</f>
        <v/>
      </c>
      <c r="T83" s="70">
        <f>IF('Final Calculation Sheet'!$S$13="","",'Final Calculation Sheet'!$S$13)</f>
        <v/>
      </c>
      <c r="U83" s="70">
        <f>IF('Final Calculation Sheet'!$T$13="","",'Final Calculation Sheet'!$T$13)</f>
        <v/>
      </c>
      <c r="V83" s="73">
        <f>IF('Final Calculation Sheet'!$U$13="","",'Final Calculation Sheet'!$U$13)</f>
        <v/>
      </c>
      <c r="W83" s="70">
        <f>IF('Final Calculation Sheet'!$V$13="","",'Final Calculation Sheet'!$V$13)</f>
        <v/>
      </c>
      <c r="X83" s="70">
        <f>IF('Final Calculation Sheet'!$W$13="","",'Final Calculation Sheet'!$W$13)</f>
        <v/>
      </c>
      <c r="Y83" s="70">
        <f>IF('Final Calculation Sheet'!$X$13="","",'Final Calculation Sheet'!$X$13)</f>
        <v/>
      </c>
      <c r="Z83" s="70">
        <f>IF('Final Calculation Sheet'!$Y$13="","",'Final Calculation Sheet'!$Y$13)</f>
        <v/>
      </c>
      <c r="AA83" s="70">
        <f>IF('Final Calculation Sheet'!$Z$13="","",'Final Calculation Sheet'!$Z$13)</f>
        <v/>
      </c>
      <c r="AB83" s="70">
        <f>IF('Final Calculation Sheet'!$AA$13="","",'Final Calculation Sheet'!$AA$13)</f>
        <v/>
      </c>
      <c r="AC83" s="70">
        <f>IF('Final Calculation Sheet'!$AB$13="","",'Final Calculation Sheet'!$AB$13)</f>
        <v/>
      </c>
      <c r="AD83" s="70">
        <f>IF('Final Calculation Sheet'!$AC$13="","",'Final Calculation Sheet'!$AC$13)</f>
        <v/>
      </c>
      <c r="AE83" s="70">
        <f>IF('Final Calculation Sheet'!$AD$13="","",'Final Calculation Sheet'!$AD$13)</f>
        <v/>
      </c>
      <c r="AF83" s="75">
        <f>IF('Final Calculation Sheet'!$AD$13="","",IF('Final Calculation Sheet'!$AD$13&lt;=5,"SETTLED","OUTSTANDING"))</f>
        <v/>
      </c>
      <c r="AG83" s="70">
        <f>IF('Final Calculation Sheet'!$AF$13="","",'Final Calculation Sheet'!$AF$13)</f>
        <v/>
      </c>
      <c r="AH83" s="74">
        <f>IF('Final Calculation Sheet'!$AG$13="","",'Final Calculation Sheet'!$AG$13)</f>
        <v/>
      </c>
      <c r="AI83" s="70">
        <f>IF('Final Calculation Sheet'!$AH$13="","",'Final Calculation Sheet'!$AH$13)</f>
        <v/>
      </c>
    </row>
    <row r="84" outlineLevel="1" ht="15" customHeight="1" s="137">
      <c r="A84" s="90" t="n">
        <v>2</v>
      </c>
      <c r="B84" s="92">
        <f>IF('Final Calculation Sheet'!$F$16="","",'Final Calculation Sheet'!$F$16)</f>
        <v/>
      </c>
      <c r="C84" s="92">
        <f>IF('Final Calculation Sheet'!$G$16="","",'Final Calculation Sheet'!$G$16)</f>
        <v/>
      </c>
      <c r="D84" s="94">
        <f>IF('Final Calculation Sheet'!$B$16="","",'Final Calculation Sheet'!$B$16)</f>
        <v/>
      </c>
      <c r="E84" s="94">
        <f>IF('Final Calculation Sheet'!$D$16="","",'Final Calculation Sheet'!$D$16)</f>
        <v/>
      </c>
      <c r="F84" s="94">
        <f>IF('Final Calculation Sheet'!$A$16="","",'Final Calculation Sheet'!$A$16)</f>
        <v/>
      </c>
      <c r="G84" s="94">
        <f>IF('Final Calculation Sheet'!$E$16="","",'Final Calculation Sheet'!$E$16)</f>
        <v/>
      </c>
      <c r="H84" s="95">
        <f>IF('Final Calculation Sheet'!$C$16="","",'Final Calculation Sheet'!$C$16)</f>
        <v/>
      </c>
      <c r="I84" s="95">
        <f>IF('Final Calculation Sheet'!$H$16="","",'Final Calculation Sheet'!$H$16)</f>
        <v/>
      </c>
      <c r="J84" s="95">
        <f>IF('Final Calculation Sheet'!$I$16="","",'Final Calculation Sheet'!$I$16)</f>
        <v/>
      </c>
      <c r="K84" s="95">
        <f>IF('Final Calculation Sheet'!$J$16="","",'Final Calculation Sheet'!$J$16)</f>
        <v/>
      </c>
      <c r="L84" s="95">
        <f>IF('Final Calculation Sheet'!$K$16="","",'Final Calculation Sheet'!$K$16)</f>
        <v/>
      </c>
      <c r="M84" s="95">
        <f>IF('Final Calculation Sheet'!$L$16="","",'Final Calculation Sheet'!$L$16)</f>
        <v/>
      </c>
      <c r="N84" s="95">
        <f>IF('Final Calculation Sheet'!$M$16="","",'Final Calculation Sheet'!$M$16)</f>
        <v/>
      </c>
      <c r="O84" s="96">
        <f>IF('Final Calculation Sheet'!$N$16="","",'Final Calculation Sheet'!$N$16)</f>
        <v/>
      </c>
      <c r="P84" s="95">
        <f>IF('Final Calculation Sheet'!$O$16="","",'Final Calculation Sheet'!$O$16)</f>
        <v/>
      </c>
      <c r="Q84" s="95">
        <f>IF('Final Calculation Sheet'!$P$16="","",'Final Calculation Sheet'!$P$16)</f>
        <v/>
      </c>
      <c r="R84" s="97">
        <f>IF('Final Calculation Sheet'!$Q$16="","",'Final Calculation Sheet'!$Q$16)</f>
        <v/>
      </c>
      <c r="S84" s="95">
        <f>IF('Final Calculation Sheet'!$R$16="","",'Final Calculation Sheet'!$R$16)</f>
        <v/>
      </c>
      <c r="T84" s="95">
        <f>IF('Final Calculation Sheet'!$S$16="","",'Final Calculation Sheet'!$S$16)</f>
        <v/>
      </c>
      <c r="U84" s="95">
        <f>IF('Final Calculation Sheet'!$T$16="","",'Final Calculation Sheet'!$T$16)</f>
        <v/>
      </c>
      <c r="V84" s="98">
        <f>IF('Final Calculation Sheet'!$U$16="","",'Final Calculation Sheet'!$U$16)</f>
        <v/>
      </c>
      <c r="W84" s="95">
        <f>IF('Final Calculation Sheet'!$V$16="","",'Final Calculation Sheet'!$V$16)</f>
        <v/>
      </c>
      <c r="X84" s="95">
        <f>IF('Final Calculation Sheet'!$W$16="","",'Final Calculation Sheet'!$W$16)</f>
        <v/>
      </c>
      <c r="Y84" s="95">
        <f>IF('Final Calculation Sheet'!$X$16="","",'Final Calculation Sheet'!$X$16)</f>
        <v/>
      </c>
      <c r="Z84" s="95">
        <f>IF('Final Calculation Sheet'!$Y$16="","",'Final Calculation Sheet'!$Y$16)</f>
        <v/>
      </c>
      <c r="AA84" s="95">
        <f>IF('Final Calculation Sheet'!$Z$16="","",'Final Calculation Sheet'!$Z$16)</f>
        <v/>
      </c>
      <c r="AB84" s="95">
        <f>IF('Final Calculation Sheet'!$AA$16="","",'Final Calculation Sheet'!$AA$16)</f>
        <v/>
      </c>
      <c r="AC84" s="95">
        <f>IF('Final Calculation Sheet'!$AB$16="","",'Final Calculation Sheet'!$AB$16)</f>
        <v/>
      </c>
      <c r="AD84" s="95">
        <f>IF('Final Calculation Sheet'!$AC$16="","",'Final Calculation Sheet'!$AC$16)</f>
        <v/>
      </c>
      <c r="AE84" s="95">
        <f>IF('Final Calculation Sheet'!$AD$16="","",'Final Calculation Sheet'!$AD$16)</f>
        <v/>
      </c>
      <c r="AF84" s="100">
        <f>IF('Final Calculation Sheet'!$AD$16="","",IF('Final Calculation Sheet'!$AD$16&lt;=5,"SETTLED","OUTSTANDING"))</f>
        <v/>
      </c>
      <c r="AG84" s="95">
        <f>IF('Final Calculation Sheet'!$AF$16="","",'Final Calculation Sheet'!$AF$16)</f>
        <v/>
      </c>
      <c r="AH84" s="99">
        <f>IF('Final Calculation Sheet'!$AG$16="","",'Final Calculation Sheet'!$AG$16)</f>
        <v/>
      </c>
      <c r="AI84" s="95">
        <f>IF('Final Calculation Sheet'!$AH$16="","",'Final Calculation Sheet'!$AH$16)</f>
        <v/>
      </c>
    </row>
    <row r="85" outlineLevel="1" ht="15" customHeight="1" s="137">
      <c r="A85" s="67" t="n">
        <v>3</v>
      </c>
      <c r="B85" s="76">
        <f>IF('Final Calculation Sheet'!$F$17="","",'Final Calculation Sheet'!$F$17)</f>
        <v/>
      </c>
      <c r="C85" s="76">
        <f>IF('Final Calculation Sheet'!$G$17="","",'Final Calculation Sheet'!$G$17)</f>
        <v/>
      </c>
      <c r="D85" s="80">
        <f>IF('Final Calculation Sheet'!$B$17="","",'Final Calculation Sheet'!$B$17)</f>
        <v/>
      </c>
      <c r="E85" s="80">
        <f>IF('Final Calculation Sheet'!$D$17="","",'Final Calculation Sheet'!$D$17)</f>
        <v/>
      </c>
      <c r="F85" s="80">
        <f>IF('Final Calculation Sheet'!$A$17="","",'Final Calculation Sheet'!$A$17)</f>
        <v/>
      </c>
      <c r="G85" s="80">
        <f>IF('Final Calculation Sheet'!$E$17="","",'Final Calculation Sheet'!$E$17)</f>
        <v/>
      </c>
      <c r="H85" s="70">
        <f>IF('Final Calculation Sheet'!$C$17="","",'Final Calculation Sheet'!$C$17)</f>
        <v/>
      </c>
      <c r="I85" s="70">
        <f>IF('Final Calculation Sheet'!$H$17="","",'Final Calculation Sheet'!$H$17)</f>
        <v/>
      </c>
      <c r="J85" s="70">
        <f>IF('Final Calculation Sheet'!$I$17="","",'Final Calculation Sheet'!$I$17)</f>
        <v/>
      </c>
      <c r="K85" s="70">
        <f>IF('Final Calculation Sheet'!$J$17="","",'Final Calculation Sheet'!$J$17)</f>
        <v/>
      </c>
      <c r="L85" s="70">
        <f>IF('Final Calculation Sheet'!$K$17="","",'Final Calculation Sheet'!$K$17)</f>
        <v/>
      </c>
      <c r="M85" s="70">
        <f>IF('Final Calculation Sheet'!$L$17="","",'Final Calculation Sheet'!$L$17)</f>
        <v/>
      </c>
      <c r="N85" s="70">
        <f>IF('Final Calculation Sheet'!$M$17="","",'Final Calculation Sheet'!$M$17)</f>
        <v/>
      </c>
      <c r="O85" s="71">
        <f>IF('Final Calculation Sheet'!$N$17="","",'Final Calculation Sheet'!$N$17)</f>
        <v/>
      </c>
      <c r="P85" s="70">
        <f>IF('Final Calculation Sheet'!$O$17="","",'Final Calculation Sheet'!$O$17)</f>
        <v/>
      </c>
      <c r="Q85" s="70">
        <f>IF('Final Calculation Sheet'!$P$17="","",'Final Calculation Sheet'!$P$17)</f>
        <v/>
      </c>
      <c r="R85" s="72">
        <f>IF('Final Calculation Sheet'!$Q$17="","",'Final Calculation Sheet'!$Q$17)</f>
        <v/>
      </c>
      <c r="S85" s="70">
        <f>IF('Final Calculation Sheet'!$R$17="","",'Final Calculation Sheet'!$R$17)</f>
        <v/>
      </c>
      <c r="T85" s="70">
        <f>IF('Final Calculation Sheet'!$S$17="","",'Final Calculation Sheet'!$S$17)</f>
        <v/>
      </c>
      <c r="U85" s="70">
        <f>IF('Final Calculation Sheet'!$T$17="","",'Final Calculation Sheet'!$T$17)</f>
        <v/>
      </c>
      <c r="V85" s="73">
        <f>IF('Final Calculation Sheet'!$U$17="","",'Final Calculation Sheet'!$U$17)</f>
        <v/>
      </c>
      <c r="W85" s="70">
        <f>IF('Final Calculation Sheet'!$V$17="","",'Final Calculation Sheet'!$V$17)</f>
        <v/>
      </c>
      <c r="X85" s="70">
        <f>IF('Final Calculation Sheet'!$W$17="","",'Final Calculation Sheet'!$W$17)</f>
        <v/>
      </c>
      <c r="Y85" s="70">
        <f>IF('Final Calculation Sheet'!$X$17="","",'Final Calculation Sheet'!$X$17)</f>
        <v/>
      </c>
      <c r="Z85" s="70">
        <f>IF('Final Calculation Sheet'!$Y$17="","",'Final Calculation Sheet'!$Y$17)</f>
        <v/>
      </c>
      <c r="AA85" s="70">
        <f>IF('Final Calculation Sheet'!$Z$17="","",'Final Calculation Sheet'!$Z$17)</f>
        <v/>
      </c>
      <c r="AB85" s="70">
        <f>IF('Final Calculation Sheet'!$AA$17="","",'Final Calculation Sheet'!$AA$17)</f>
        <v/>
      </c>
      <c r="AC85" s="70">
        <f>IF('Final Calculation Sheet'!$AB$17="","",'Final Calculation Sheet'!$AB$17)</f>
        <v/>
      </c>
      <c r="AD85" s="70">
        <f>IF('Final Calculation Sheet'!$AC$17="","",'Final Calculation Sheet'!$AC$17)</f>
        <v/>
      </c>
      <c r="AE85" s="70">
        <f>IF('Final Calculation Sheet'!$AD$17="","",'Final Calculation Sheet'!$AD$17)</f>
        <v/>
      </c>
      <c r="AF85" s="75">
        <f>IF('Final Calculation Sheet'!$AD$17="","",IF('Final Calculation Sheet'!$AD$17&lt;=5,"SETTLED","OUTSTANDING"))</f>
        <v/>
      </c>
      <c r="AG85" s="70">
        <f>IF('Final Calculation Sheet'!$AF$17="","",'Final Calculation Sheet'!$AF$17)</f>
        <v/>
      </c>
      <c r="AH85" s="74">
        <f>IF('Final Calculation Sheet'!$AG$17="","",'Final Calculation Sheet'!$AG$17)</f>
        <v/>
      </c>
      <c r="AI85" s="70">
        <f>IF('Final Calculation Sheet'!$AH$17="","",'Final Calculation Sheet'!$AH$17)</f>
        <v/>
      </c>
    </row>
    <row r="86" outlineLevel="1" ht="15" customHeight="1" s="137">
      <c r="A86" s="90" t="n">
        <v>4</v>
      </c>
      <c r="B86" s="92">
        <f>IF('Final Calculation Sheet'!$F$23="","",'Final Calculation Sheet'!$F$23)</f>
        <v/>
      </c>
      <c r="C86" s="92">
        <f>IF('Final Calculation Sheet'!$G$23="","",'Final Calculation Sheet'!$G$23)</f>
        <v/>
      </c>
      <c r="D86" s="94">
        <f>IF('Final Calculation Sheet'!$B$23="","",'Final Calculation Sheet'!$B$23)</f>
        <v/>
      </c>
      <c r="E86" s="94">
        <f>IF('Final Calculation Sheet'!$D$23="","",'Final Calculation Sheet'!$D$23)</f>
        <v/>
      </c>
      <c r="F86" s="94">
        <f>IF('Final Calculation Sheet'!$A$23="","",'Final Calculation Sheet'!$A$23)</f>
        <v/>
      </c>
      <c r="G86" s="94">
        <f>IF('Final Calculation Sheet'!$E$23="","",'Final Calculation Sheet'!$E$23)</f>
        <v/>
      </c>
      <c r="H86" s="95">
        <f>IF('Final Calculation Sheet'!$C$23="","",'Final Calculation Sheet'!$C$23)</f>
        <v/>
      </c>
      <c r="I86" s="95">
        <f>IF('Final Calculation Sheet'!$H$23="","",'Final Calculation Sheet'!$H$23)</f>
        <v/>
      </c>
      <c r="J86" s="95">
        <f>IF('Final Calculation Sheet'!$I$23="","",'Final Calculation Sheet'!$I$23)</f>
        <v/>
      </c>
      <c r="K86" s="95">
        <f>IF('Final Calculation Sheet'!$J$23="","",'Final Calculation Sheet'!$J$23)</f>
        <v/>
      </c>
      <c r="L86" s="95">
        <f>IF('Final Calculation Sheet'!$K$23="","",'Final Calculation Sheet'!$K$23)</f>
        <v/>
      </c>
      <c r="M86" s="95">
        <f>IF('Final Calculation Sheet'!$L$23="","",'Final Calculation Sheet'!$L$23)</f>
        <v/>
      </c>
      <c r="N86" s="95">
        <f>IF('Final Calculation Sheet'!$M$23="","",'Final Calculation Sheet'!$M$23)</f>
        <v/>
      </c>
      <c r="O86" s="96">
        <f>IF('Final Calculation Sheet'!$N$23="","",'Final Calculation Sheet'!$N$23)</f>
        <v/>
      </c>
      <c r="P86" s="95">
        <f>IF('Final Calculation Sheet'!$O$23="","",'Final Calculation Sheet'!$O$23)</f>
        <v/>
      </c>
      <c r="Q86" s="95">
        <f>IF('Final Calculation Sheet'!$P$23="","",'Final Calculation Sheet'!$P$23)</f>
        <v/>
      </c>
      <c r="R86" s="97">
        <f>IF('Final Calculation Sheet'!$Q$23="","",'Final Calculation Sheet'!$Q$23)</f>
        <v/>
      </c>
      <c r="S86" s="95">
        <f>IF('Final Calculation Sheet'!$R$23="","",'Final Calculation Sheet'!$R$23)</f>
        <v/>
      </c>
      <c r="T86" s="95">
        <f>IF('Final Calculation Sheet'!$S$23="","",'Final Calculation Sheet'!$S$23)</f>
        <v/>
      </c>
      <c r="U86" s="95">
        <f>IF('Final Calculation Sheet'!$T$23="","",'Final Calculation Sheet'!$T$23)</f>
        <v/>
      </c>
      <c r="V86" s="98">
        <f>IF('Final Calculation Sheet'!$U$23="","",'Final Calculation Sheet'!$U$23)</f>
        <v/>
      </c>
      <c r="W86" s="95">
        <f>IF('Final Calculation Sheet'!$V$23="","",'Final Calculation Sheet'!$V$23)</f>
        <v/>
      </c>
      <c r="X86" s="95">
        <f>IF('Final Calculation Sheet'!$W$23="","",'Final Calculation Sheet'!$W$23)</f>
        <v/>
      </c>
      <c r="Y86" s="95">
        <f>IF('Final Calculation Sheet'!$X$23="","",'Final Calculation Sheet'!$X$23)</f>
        <v/>
      </c>
      <c r="Z86" s="95">
        <f>IF('Final Calculation Sheet'!$Y$23="","",'Final Calculation Sheet'!$Y$23)</f>
        <v/>
      </c>
      <c r="AA86" s="95">
        <f>IF('Final Calculation Sheet'!$Z$23="","",'Final Calculation Sheet'!$Z$23)</f>
        <v/>
      </c>
      <c r="AB86" s="95">
        <f>IF('Final Calculation Sheet'!$AA$23="","",'Final Calculation Sheet'!$AA$23)</f>
        <v/>
      </c>
      <c r="AC86" s="95">
        <f>IF('Final Calculation Sheet'!$AB$23="","",'Final Calculation Sheet'!$AB$23)</f>
        <v/>
      </c>
      <c r="AD86" s="95">
        <f>IF('Final Calculation Sheet'!$AC$23="","",'Final Calculation Sheet'!$AC$23)</f>
        <v/>
      </c>
      <c r="AE86" s="95">
        <f>IF('Final Calculation Sheet'!$AD$23="","",'Final Calculation Sheet'!$AD$23)</f>
        <v/>
      </c>
      <c r="AF86" s="100">
        <f>IF('Final Calculation Sheet'!$AD$23="","",IF('Final Calculation Sheet'!$AD$23&lt;=5,"SETTLED","OUTSTANDING"))</f>
        <v/>
      </c>
      <c r="AG86" s="95">
        <f>IF('Final Calculation Sheet'!$AF$23="","",'Final Calculation Sheet'!$AF$23)</f>
        <v/>
      </c>
      <c r="AH86" s="99">
        <f>IF('Final Calculation Sheet'!$AG$23="","",'Final Calculation Sheet'!$AG$23)</f>
        <v/>
      </c>
      <c r="AI86" s="95">
        <f>IF('Final Calculation Sheet'!$AH$23="","",'Final Calculation Sheet'!$AH$23)</f>
        <v/>
      </c>
    </row>
    <row r="87" outlineLevel="1" ht="15" customHeight="1" s="137">
      <c r="A87" s="67" t="n">
        <v>5</v>
      </c>
      <c r="B87" s="76">
        <f>IF('Final Calculation Sheet'!$F$29="","",'Final Calculation Sheet'!$F$29)</f>
        <v/>
      </c>
      <c r="C87" s="76">
        <f>IF('Final Calculation Sheet'!$G$29="","",'Final Calculation Sheet'!$G$29)</f>
        <v/>
      </c>
      <c r="D87" s="80">
        <f>IF('Final Calculation Sheet'!$B$29="","",'Final Calculation Sheet'!$B$29)</f>
        <v/>
      </c>
      <c r="E87" s="80">
        <f>IF('Final Calculation Sheet'!$D$29="","",'Final Calculation Sheet'!$D$29)</f>
        <v/>
      </c>
      <c r="F87" s="80">
        <f>IF('Final Calculation Sheet'!$A$29="","",'Final Calculation Sheet'!$A$29)</f>
        <v/>
      </c>
      <c r="G87" s="80">
        <f>IF('Final Calculation Sheet'!$E$29="","",'Final Calculation Sheet'!$E$29)</f>
        <v/>
      </c>
      <c r="H87" s="70">
        <f>IF('Final Calculation Sheet'!$C$29="","",'Final Calculation Sheet'!$C$29)</f>
        <v/>
      </c>
      <c r="I87" s="70">
        <f>IF('Final Calculation Sheet'!$H$29="","",'Final Calculation Sheet'!$H$29)</f>
        <v/>
      </c>
      <c r="J87" s="70">
        <f>IF('Final Calculation Sheet'!$I$29="","",'Final Calculation Sheet'!$I$29)</f>
        <v/>
      </c>
      <c r="K87" s="70">
        <f>IF('Final Calculation Sheet'!$J$29="","",'Final Calculation Sheet'!$J$29)</f>
        <v/>
      </c>
      <c r="L87" s="70">
        <f>IF('Final Calculation Sheet'!$K$29="","",'Final Calculation Sheet'!$K$29)</f>
        <v/>
      </c>
      <c r="M87" s="70">
        <f>IF('Final Calculation Sheet'!$L$29="","",'Final Calculation Sheet'!$L$29)</f>
        <v/>
      </c>
      <c r="N87" s="70">
        <f>IF('Final Calculation Sheet'!$M$29="","",'Final Calculation Sheet'!$M$29)</f>
        <v/>
      </c>
      <c r="O87" s="71">
        <f>IF('Final Calculation Sheet'!$N$29="","",'Final Calculation Sheet'!$N$29)</f>
        <v/>
      </c>
      <c r="P87" s="70">
        <f>IF('Final Calculation Sheet'!$O$29="","",'Final Calculation Sheet'!$O$29)</f>
        <v/>
      </c>
      <c r="Q87" s="70">
        <f>IF('Final Calculation Sheet'!$P$29="","",'Final Calculation Sheet'!$P$29)</f>
        <v/>
      </c>
      <c r="R87" s="72">
        <f>IF('Final Calculation Sheet'!$Q$29="","",'Final Calculation Sheet'!$Q$29)</f>
        <v/>
      </c>
      <c r="S87" s="70">
        <f>IF('Final Calculation Sheet'!$R$29="","",'Final Calculation Sheet'!$R$29)</f>
        <v/>
      </c>
      <c r="T87" s="70">
        <f>IF('Final Calculation Sheet'!$S$29="","",'Final Calculation Sheet'!$S$29)</f>
        <v/>
      </c>
      <c r="U87" s="70">
        <f>IF('Final Calculation Sheet'!$T$29="","",'Final Calculation Sheet'!$T$29)</f>
        <v/>
      </c>
      <c r="V87" s="73">
        <f>IF('Final Calculation Sheet'!$U$29="","",'Final Calculation Sheet'!$U$29)</f>
        <v/>
      </c>
      <c r="W87" s="70">
        <f>IF('Final Calculation Sheet'!$V$29="","",'Final Calculation Sheet'!$V$29)</f>
        <v/>
      </c>
      <c r="X87" s="70">
        <f>IF('Final Calculation Sheet'!$W$29="","",'Final Calculation Sheet'!$W$29)</f>
        <v/>
      </c>
      <c r="Y87" s="70">
        <f>IF('Final Calculation Sheet'!$X$29="","",'Final Calculation Sheet'!$X$29)</f>
        <v/>
      </c>
      <c r="Z87" s="70">
        <f>IF('Final Calculation Sheet'!$Y$29="","",'Final Calculation Sheet'!$Y$29)</f>
        <v/>
      </c>
      <c r="AA87" s="70">
        <f>IF('Final Calculation Sheet'!$Z$29="","",'Final Calculation Sheet'!$Z$29)</f>
        <v/>
      </c>
      <c r="AB87" s="70">
        <f>IF('Final Calculation Sheet'!$AA$29="","",'Final Calculation Sheet'!$AA$29)</f>
        <v/>
      </c>
      <c r="AC87" s="70">
        <f>IF('Final Calculation Sheet'!$AB$29="","",'Final Calculation Sheet'!$AB$29)</f>
        <v/>
      </c>
      <c r="AD87" s="70">
        <f>IF('Final Calculation Sheet'!$AC$29="","",'Final Calculation Sheet'!$AC$29)</f>
        <v/>
      </c>
      <c r="AE87" s="70">
        <f>IF('Final Calculation Sheet'!$AD$29="","",'Final Calculation Sheet'!$AD$29)</f>
        <v/>
      </c>
      <c r="AF87" s="75">
        <f>IF('Final Calculation Sheet'!$AD$29="","",IF('Final Calculation Sheet'!$AD$29&lt;=5,"SETTLED","OUTSTANDING"))</f>
        <v/>
      </c>
      <c r="AG87" s="70">
        <f>IF('Final Calculation Sheet'!$AF$29="","",'Final Calculation Sheet'!$AF$29)</f>
        <v/>
      </c>
      <c r="AH87" s="74">
        <f>IF('Final Calculation Sheet'!$AG$29="","",'Final Calculation Sheet'!$AG$29)</f>
        <v/>
      </c>
      <c r="AI87" s="70">
        <f>IF('Final Calculation Sheet'!$AH$29="","",'Final Calculation Sheet'!$AH$29)</f>
        <v/>
      </c>
    </row>
    <row r="88" outlineLevel="1" ht="15" customHeight="1" s="137">
      <c r="A88" s="90" t="n">
        <v>6</v>
      </c>
      <c r="B88" s="92">
        <f>IF('Final Calculation Sheet'!$F$34="","",'Final Calculation Sheet'!$F$34)</f>
        <v/>
      </c>
      <c r="C88" s="92">
        <f>IF('Final Calculation Sheet'!$G$34="","",'Final Calculation Sheet'!$G$34)</f>
        <v/>
      </c>
      <c r="D88" s="94">
        <f>IF('Final Calculation Sheet'!$B$34="","",'Final Calculation Sheet'!$B$34)</f>
        <v/>
      </c>
      <c r="E88" s="94">
        <f>IF('Final Calculation Sheet'!$D$34="","",'Final Calculation Sheet'!$D$34)</f>
        <v/>
      </c>
      <c r="F88" s="94">
        <f>IF('Final Calculation Sheet'!$A$34="","",'Final Calculation Sheet'!$A$34)</f>
        <v/>
      </c>
      <c r="G88" s="94">
        <f>IF('Final Calculation Sheet'!$E$34="","",'Final Calculation Sheet'!$E$34)</f>
        <v/>
      </c>
      <c r="H88" s="95">
        <f>IF('Final Calculation Sheet'!$C$34="","",'Final Calculation Sheet'!$C$34)</f>
        <v/>
      </c>
      <c r="I88" s="95">
        <f>IF('Final Calculation Sheet'!$H$34="","",'Final Calculation Sheet'!$H$34)</f>
        <v/>
      </c>
      <c r="J88" s="95">
        <f>IF('Final Calculation Sheet'!$I$34="","",'Final Calculation Sheet'!$I$34)</f>
        <v/>
      </c>
      <c r="K88" s="95">
        <f>IF('Final Calculation Sheet'!$J$34="","",'Final Calculation Sheet'!$J$34)</f>
        <v/>
      </c>
      <c r="L88" s="95">
        <f>IF('Final Calculation Sheet'!$K$34="","",'Final Calculation Sheet'!$K$34)</f>
        <v/>
      </c>
      <c r="M88" s="95">
        <f>IF('Final Calculation Sheet'!$L$34="","",'Final Calculation Sheet'!$L$34)</f>
        <v/>
      </c>
      <c r="N88" s="95">
        <f>IF('Final Calculation Sheet'!$M$34="","",'Final Calculation Sheet'!$M$34)</f>
        <v/>
      </c>
      <c r="O88" s="96">
        <f>IF('Final Calculation Sheet'!$N$34="","",'Final Calculation Sheet'!$N$34)</f>
        <v/>
      </c>
      <c r="P88" s="95">
        <f>IF('Final Calculation Sheet'!$O$34="","",'Final Calculation Sheet'!$O$34)</f>
        <v/>
      </c>
      <c r="Q88" s="95">
        <f>IF('Final Calculation Sheet'!$P$34="","",'Final Calculation Sheet'!$P$34)</f>
        <v/>
      </c>
      <c r="R88" s="97">
        <f>IF('Final Calculation Sheet'!$Q$34="","",'Final Calculation Sheet'!$Q$34)</f>
        <v/>
      </c>
      <c r="S88" s="95">
        <f>IF('Final Calculation Sheet'!$R$34="","",'Final Calculation Sheet'!$R$34)</f>
        <v/>
      </c>
      <c r="T88" s="95">
        <f>IF('Final Calculation Sheet'!$S$34="","",'Final Calculation Sheet'!$S$34)</f>
        <v/>
      </c>
      <c r="U88" s="95">
        <f>IF('Final Calculation Sheet'!$T$34="","",'Final Calculation Sheet'!$T$34)</f>
        <v/>
      </c>
      <c r="V88" s="98">
        <f>IF('Final Calculation Sheet'!$U$34="","",'Final Calculation Sheet'!$U$34)</f>
        <v/>
      </c>
      <c r="W88" s="95">
        <f>IF('Final Calculation Sheet'!$V$34="","",'Final Calculation Sheet'!$V$34)</f>
        <v/>
      </c>
      <c r="X88" s="95">
        <f>IF('Final Calculation Sheet'!$W$34="","",'Final Calculation Sheet'!$W$34)</f>
        <v/>
      </c>
      <c r="Y88" s="95">
        <f>IF('Final Calculation Sheet'!$X$34="","",'Final Calculation Sheet'!$X$34)</f>
        <v/>
      </c>
      <c r="Z88" s="95">
        <f>IF('Final Calculation Sheet'!$Y$34="","",'Final Calculation Sheet'!$Y$34)</f>
        <v/>
      </c>
      <c r="AA88" s="95">
        <f>IF('Final Calculation Sheet'!$Z$34="","",'Final Calculation Sheet'!$Z$34)</f>
        <v/>
      </c>
      <c r="AB88" s="95">
        <f>IF('Final Calculation Sheet'!$AA$34="","",'Final Calculation Sheet'!$AA$34)</f>
        <v/>
      </c>
      <c r="AC88" s="95">
        <f>IF('Final Calculation Sheet'!$AB$34="","",'Final Calculation Sheet'!$AB$34)</f>
        <v/>
      </c>
      <c r="AD88" s="95">
        <f>IF('Final Calculation Sheet'!$AC$34="","",'Final Calculation Sheet'!$AC$34)</f>
        <v/>
      </c>
      <c r="AE88" s="95">
        <f>IF('Final Calculation Sheet'!$AD$34="","",'Final Calculation Sheet'!$AD$34)</f>
        <v/>
      </c>
      <c r="AF88" s="100">
        <f>IF('Final Calculation Sheet'!$AD$34="","",IF('Final Calculation Sheet'!$AD$34&lt;=5,"SETTLED","OUTSTANDING"))</f>
        <v/>
      </c>
      <c r="AG88" s="95">
        <f>IF('Final Calculation Sheet'!$AF$34="","",'Final Calculation Sheet'!$AF$34)</f>
        <v/>
      </c>
      <c r="AH88" s="99">
        <f>IF('Final Calculation Sheet'!$AG$34="","",'Final Calculation Sheet'!$AG$34)</f>
        <v/>
      </c>
      <c r="AI88" s="95">
        <f>IF('Final Calculation Sheet'!$AH$34="","",'Final Calculation Sheet'!$AH$34)</f>
        <v/>
      </c>
    </row>
    <row r="89" outlineLevel="1" ht="15" customHeight="1" s="137">
      <c r="A89" s="67" t="n">
        <v>7</v>
      </c>
      <c r="B89" s="76">
        <f>IF('Final Calculation Sheet'!$F$36="","",'Final Calculation Sheet'!$F$36)</f>
        <v/>
      </c>
      <c r="C89" s="76">
        <f>IF('Final Calculation Sheet'!$G$36="","",'Final Calculation Sheet'!$G$36)</f>
        <v/>
      </c>
      <c r="D89" s="80">
        <f>IF('Final Calculation Sheet'!$B$36="","",'Final Calculation Sheet'!$B$36)</f>
        <v/>
      </c>
      <c r="E89" s="80">
        <f>IF('Final Calculation Sheet'!$D$36="","",'Final Calculation Sheet'!$D$36)</f>
        <v/>
      </c>
      <c r="F89" s="80">
        <f>IF('Final Calculation Sheet'!$A$36="","",'Final Calculation Sheet'!$A$36)</f>
        <v/>
      </c>
      <c r="G89" s="80">
        <f>IF('Final Calculation Sheet'!$E$36="","",'Final Calculation Sheet'!$E$36)</f>
        <v/>
      </c>
      <c r="H89" s="70">
        <f>IF('Final Calculation Sheet'!$C$36="","",'Final Calculation Sheet'!$C$36)</f>
        <v/>
      </c>
      <c r="I89" s="70">
        <f>IF('Final Calculation Sheet'!$H$36="","",'Final Calculation Sheet'!$H$36)</f>
        <v/>
      </c>
      <c r="J89" s="70">
        <f>IF('Final Calculation Sheet'!$I$36="","",'Final Calculation Sheet'!$I$36)</f>
        <v/>
      </c>
      <c r="K89" s="70">
        <f>IF('Final Calculation Sheet'!$J$36="","",'Final Calculation Sheet'!$J$36)</f>
        <v/>
      </c>
      <c r="L89" s="70">
        <f>IF('Final Calculation Sheet'!$K$36="","",'Final Calculation Sheet'!$K$36)</f>
        <v/>
      </c>
      <c r="M89" s="70">
        <f>IF('Final Calculation Sheet'!$L$36="","",'Final Calculation Sheet'!$L$36)</f>
        <v/>
      </c>
      <c r="N89" s="70">
        <f>IF('Final Calculation Sheet'!$M$36="","",'Final Calculation Sheet'!$M$36)</f>
        <v/>
      </c>
      <c r="O89" s="71">
        <f>IF('Final Calculation Sheet'!$N$36="","",'Final Calculation Sheet'!$N$36)</f>
        <v/>
      </c>
      <c r="P89" s="70">
        <f>IF('Final Calculation Sheet'!$O$36="","",'Final Calculation Sheet'!$O$36)</f>
        <v/>
      </c>
      <c r="Q89" s="70">
        <f>IF('Final Calculation Sheet'!$P$36="","",'Final Calculation Sheet'!$P$36)</f>
        <v/>
      </c>
      <c r="R89" s="72">
        <f>IF('Final Calculation Sheet'!$Q$36="","",'Final Calculation Sheet'!$Q$36)</f>
        <v/>
      </c>
      <c r="S89" s="70">
        <f>IF('Final Calculation Sheet'!$R$36="","",'Final Calculation Sheet'!$R$36)</f>
        <v/>
      </c>
      <c r="T89" s="70">
        <f>IF('Final Calculation Sheet'!$S$36="","",'Final Calculation Sheet'!$S$36)</f>
        <v/>
      </c>
      <c r="U89" s="70">
        <f>IF('Final Calculation Sheet'!$T$36="","",'Final Calculation Sheet'!$T$36)</f>
        <v/>
      </c>
      <c r="V89" s="73">
        <f>IF('Final Calculation Sheet'!$U$36="","",'Final Calculation Sheet'!$U$36)</f>
        <v/>
      </c>
      <c r="W89" s="70">
        <f>IF('Final Calculation Sheet'!$V$36="","",'Final Calculation Sheet'!$V$36)</f>
        <v/>
      </c>
      <c r="X89" s="70">
        <f>IF('Final Calculation Sheet'!$W$36="","",'Final Calculation Sheet'!$W$36)</f>
        <v/>
      </c>
      <c r="Y89" s="70">
        <f>IF('Final Calculation Sheet'!$X$36="","",'Final Calculation Sheet'!$X$36)</f>
        <v/>
      </c>
      <c r="Z89" s="70">
        <f>IF('Final Calculation Sheet'!$Y$36="","",'Final Calculation Sheet'!$Y$36)</f>
        <v/>
      </c>
      <c r="AA89" s="70">
        <f>IF('Final Calculation Sheet'!$Z$36="","",'Final Calculation Sheet'!$Z$36)</f>
        <v/>
      </c>
      <c r="AB89" s="70">
        <f>IF('Final Calculation Sheet'!$AA$36="","",'Final Calculation Sheet'!$AA$36)</f>
        <v/>
      </c>
      <c r="AC89" s="70">
        <f>IF('Final Calculation Sheet'!$AB$36="","",'Final Calculation Sheet'!$AB$36)</f>
        <v/>
      </c>
      <c r="AD89" s="70">
        <f>IF('Final Calculation Sheet'!$AC$36="","",'Final Calculation Sheet'!$AC$36)</f>
        <v/>
      </c>
      <c r="AE89" s="70">
        <f>IF('Final Calculation Sheet'!$AD$36="","",'Final Calculation Sheet'!$AD$36)</f>
        <v/>
      </c>
      <c r="AF89" s="75">
        <f>IF('Final Calculation Sheet'!$AD$36="","",IF('Final Calculation Sheet'!$AD$36&lt;=5,"SETTLED","OUTSTANDING"))</f>
        <v/>
      </c>
      <c r="AG89" s="70">
        <f>IF('Final Calculation Sheet'!$AF$36="","",'Final Calculation Sheet'!$AF$36)</f>
        <v/>
      </c>
      <c r="AH89" s="74">
        <f>IF('Final Calculation Sheet'!$AG$36="","",'Final Calculation Sheet'!$AG$36)</f>
        <v/>
      </c>
      <c r="AI89" s="70">
        <f>IF('Final Calculation Sheet'!$AH$36="","",'Final Calculation Sheet'!$AH$36)</f>
        <v/>
      </c>
    </row>
    <row r="90" ht="15" customHeight="1" s="137">
      <c r="A90" s="81" t="inlineStr">
        <is>
          <t>∑</t>
        </is>
      </c>
      <c r="B90" s="83" t="n"/>
      <c r="C90" s="83">
        <f>ROWS($C$83:$C$89)&amp;" lot(s)"</f>
        <v/>
      </c>
      <c r="D90" s="83" t="inlineStr">
        <is>
          <t>SUBTOTAL — STERLING ENTERPRISES</t>
        </is>
      </c>
      <c r="E90" s="83" t="inlineStr">
        <is>
          <t>–</t>
        </is>
      </c>
      <c r="F90" s="83">
        <f>SUM(F83:F89)</f>
        <v/>
      </c>
      <c r="G90" s="83" t="inlineStr">
        <is>
          <t>–</t>
        </is>
      </c>
      <c r="H90" s="84" t="inlineStr">
        <is>
          <t>–</t>
        </is>
      </c>
      <c r="I90" s="84">
        <f>SUM(I83:I89)</f>
        <v/>
      </c>
      <c r="J90" s="84">
        <f>SUM(J83:J89)</f>
        <v/>
      </c>
      <c r="K90" s="84">
        <f>SUM(K83:K89)</f>
        <v/>
      </c>
      <c r="L90" s="84">
        <f>SUM(L83:L89)</f>
        <v/>
      </c>
      <c r="M90" s="84">
        <f>SUM(M83:M89)</f>
        <v/>
      </c>
      <c r="N90" s="84">
        <f>SUM(N83:N89)</f>
        <v/>
      </c>
      <c r="O90" s="85">
        <f>SUM(O83:O89)</f>
        <v/>
      </c>
      <c r="P90" s="84">
        <f>SUM(P83:P89)</f>
        <v/>
      </c>
      <c r="Q90" s="84">
        <f>SUM(Q83:Q89)</f>
        <v/>
      </c>
      <c r="R90" s="86" t="inlineStr">
        <is>
          <t>–</t>
        </is>
      </c>
      <c r="S90" s="84">
        <f>SUM(S83:S89)</f>
        <v/>
      </c>
      <c r="T90" s="84">
        <f>SUM(T83:T89)</f>
        <v/>
      </c>
      <c r="U90" s="84">
        <f>SUM(U83:U89)</f>
        <v/>
      </c>
      <c r="V90" s="87">
        <f>SUM(V83:V89)</f>
        <v/>
      </c>
      <c r="W90" s="84" t="inlineStr">
        <is>
          <t>–</t>
        </is>
      </c>
      <c r="X90" s="84">
        <f>SUM(X83:X89)</f>
        <v/>
      </c>
      <c r="Y90" s="84">
        <f>SUM(Y83:Y89)</f>
        <v/>
      </c>
      <c r="Z90" s="84" t="inlineStr">
        <is>
          <t>–</t>
        </is>
      </c>
      <c r="AA90" s="84">
        <f>SUM(AA83:AA89)</f>
        <v/>
      </c>
      <c r="AB90" s="84">
        <f>SUM(AB83:AB89)</f>
        <v/>
      </c>
      <c r="AC90" s="84" t="inlineStr">
        <is>
          <t>–</t>
        </is>
      </c>
      <c r="AD90" s="84">
        <f>SUM(AD83:AD89)</f>
        <v/>
      </c>
      <c r="AE90" s="84">
        <f>SUM(AE83:AE89)</f>
        <v/>
      </c>
      <c r="AF90" s="89">
        <f>IF(AE90&lt;=5,"SETTLED","OUTSTANDING")</f>
        <v/>
      </c>
      <c r="AG90" s="84" t="inlineStr">
        <is>
          <t>–</t>
        </is>
      </c>
      <c r="AH90" s="88" t="inlineStr">
        <is>
          <t>–</t>
        </is>
      </c>
      <c r="AI90" s="84" t="inlineStr">
        <is>
          <t>–</t>
        </is>
      </c>
    </row>
    <row r="91" outlineLevel="1" ht="15" customHeight="1" s="137">
      <c r="A91" s="67" t="n">
        <v>1</v>
      </c>
      <c r="B91" s="76">
        <f>IF('Final Calculation Sheet'!$F$25="","",'Final Calculation Sheet'!$F$25)</f>
        <v/>
      </c>
      <c r="C91" s="76">
        <f>IF('Final Calculation Sheet'!$G$25="","",'Final Calculation Sheet'!$G$25)</f>
        <v/>
      </c>
      <c r="D91" s="80">
        <f>IF('Final Calculation Sheet'!$B$25="","",'Final Calculation Sheet'!$B$25)</f>
        <v/>
      </c>
      <c r="E91" s="80">
        <f>IF('Final Calculation Sheet'!$D$25="","",'Final Calculation Sheet'!$D$25)</f>
        <v/>
      </c>
      <c r="F91" s="80">
        <f>IF('Final Calculation Sheet'!$A$25="","",'Final Calculation Sheet'!$A$25)</f>
        <v/>
      </c>
      <c r="G91" s="80">
        <f>IF('Final Calculation Sheet'!$E$25="","",'Final Calculation Sheet'!$E$25)</f>
        <v/>
      </c>
      <c r="H91" s="70">
        <f>IF('Final Calculation Sheet'!$C$25="","",'Final Calculation Sheet'!$C$25)</f>
        <v/>
      </c>
      <c r="I91" s="70">
        <f>IF('Final Calculation Sheet'!$H$25="","",'Final Calculation Sheet'!$H$25)</f>
        <v/>
      </c>
      <c r="J91" s="70">
        <f>IF('Final Calculation Sheet'!$I$25="","",'Final Calculation Sheet'!$I$25)</f>
        <v/>
      </c>
      <c r="K91" s="70">
        <f>IF('Final Calculation Sheet'!$J$25="","",'Final Calculation Sheet'!$J$25)</f>
        <v/>
      </c>
      <c r="L91" s="70">
        <f>IF('Final Calculation Sheet'!$K$25="","",'Final Calculation Sheet'!$K$25)</f>
        <v/>
      </c>
      <c r="M91" s="70">
        <f>IF('Final Calculation Sheet'!$L$25="","",'Final Calculation Sheet'!$L$25)</f>
        <v/>
      </c>
      <c r="N91" s="70">
        <f>IF('Final Calculation Sheet'!$M$25="","",'Final Calculation Sheet'!$M$25)</f>
        <v/>
      </c>
      <c r="O91" s="71">
        <f>IF('Final Calculation Sheet'!$N$25="","",'Final Calculation Sheet'!$N$25)</f>
        <v/>
      </c>
      <c r="P91" s="70">
        <f>IF('Final Calculation Sheet'!$O$25="","",'Final Calculation Sheet'!$O$25)</f>
        <v/>
      </c>
      <c r="Q91" s="70">
        <f>IF('Final Calculation Sheet'!$P$25="","",'Final Calculation Sheet'!$P$25)</f>
        <v/>
      </c>
      <c r="R91" s="72">
        <f>IF('Final Calculation Sheet'!$Q$25="","",'Final Calculation Sheet'!$Q$25)</f>
        <v/>
      </c>
      <c r="S91" s="70">
        <f>IF('Final Calculation Sheet'!$R$25="","",'Final Calculation Sheet'!$R$25)</f>
        <v/>
      </c>
      <c r="T91" s="70">
        <f>IF('Final Calculation Sheet'!$S$25="","",'Final Calculation Sheet'!$S$25)</f>
        <v/>
      </c>
      <c r="U91" s="70">
        <f>IF('Final Calculation Sheet'!$T$25="","",'Final Calculation Sheet'!$T$25)</f>
        <v/>
      </c>
      <c r="V91" s="73">
        <f>IF('Final Calculation Sheet'!$U$25="","",'Final Calculation Sheet'!$U$25)</f>
        <v/>
      </c>
      <c r="W91" s="70">
        <f>IF('Final Calculation Sheet'!$V$25="","",'Final Calculation Sheet'!$V$25)</f>
        <v/>
      </c>
      <c r="X91" s="70">
        <f>IF('Final Calculation Sheet'!$W$25="","",'Final Calculation Sheet'!$W$25)</f>
        <v/>
      </c>
      <c r="Y91" s="70">
        <f>IF('Final Calculation Sheet'!$X$25="","",'Final Calculation Sheet'!$X$25)</f>
        <v/>
      </c>
      <c r="Z91" s="70">
        <f>IF('Final Calculation Sheet'!$Y$25="","",'Final Calculation Sheet'!$Y$25)</f>
        <v/>
      </c>
      <c r="AA91" s="70">
        <f>IF('Final Calculation Sheet'!$Z$25="","",'Final Calculation Sheet'!$Z$25)</f>
        <v/>
      </c>
      <c r="AB91" s="70">
        <f>IF('Final Calculation Sheet'!$AA$25="","",'Final Calculation Sheet'!$AA$25)</f>
        <v/>
      </c>
      <c r="AC91" s="70">
        <f>IF('Final Calculation Sheet'!$AB$25="","",'Final Calculation Sheet'!$AB$25)</f>
        <v/>
      </c>
      <c r="AD91" s="70">
        <f>IF('Final Calculation Sheet'!$AC$25="","",'Final Calculation Sheet'!$AC$25)</f>
        <v/>
      </c>
      <c r="AE91" s="70">
        <f>IF('Final Calculation Sheet'!$AD$25="","",'Final Calculation Sheet'!$AD$25)</f>
        <v/>
      </c>
      <c r="AF91" s="75">
        <f>IF('Final Calculation Sheet'!$AD$25="","",IF('Final Calculation Sheet'!$AD$25&lt;=5,"SETTLED","OUTSTANDING"))</f>
        <v/>
      </c>
      <c r="AG91" s="70">
        <f>IF('Final Calculation Sheet'!$AF$25="","",'Final Calculation Sheet'!$AF$25)</f>
        <v/>
      </c>
      <c r="AH91" s="74">
        <f>IF('Final Calculation Sheet'!$AG$25="","",'Final Calculation Sheet'!$AG$25)</f>
        <v/>
      </c>
      <c r="AI91" s="70">
        <f>IF('Final Calculation Sheet'!$AH$25="","",'Final Calculation Sheet'!$AH$25)</f>
        <v/>
      </c>
    </row>
    <row r="92" outlineLevel="1" ht="15" customHeight="1" s="137">
      <c r="A92" s="90" t="n">
        <v>2</v>
      </c>
      <c r="B92" s="92">
        <f>IF('Final Calculation Sheet'!$F$28="","",'Final Calculation Sheet'!$F$28)</f>
        <v/>
      </c>
      <c r="C92" s="92">
        <f>IF('Final Calculation Sheet'!$G$28="","",'Final Calculation Sheet'!$G$28)</f>
        <v/>
      </c>
      <c r="D92" s="94">
        <f>IF('Final Calculation Sheet'!$B$28="","",'Final Calculation Sheet'!$B$28)</f>
        <v/>
      </c>
      <c r="E92" s="94">
        <f>IF('Final Calculation Sheet'!$D$28="","",'Final Calculation Sheet'!$D$28)</f>
        <v/>
      </c>
      <c r="F92" s="94">
        <f>IF('Final Calculation Sheet'!$A$28="","",'Final Calculation Sheet'!$A$28)</f>
        <v/>
      </c>
      <c r="G92" s="94">
        <f>IF('Final Calculation Sheet'!$E$28="","",'Final Calculation Sheet'!$E$28)</f>
        <v/>
      </c>
      <c r="H92" s="95">
        <f>IF('Final Calculation Sheet'!$C$28="","",'Final Calculation Sheet'!$C$28)</f>
        <v/>
      </c>
      <c r="I92" s="95">
        <f>IF('Final Calculation Sheet'!$H$28="","",'Final Calculation Sheet'!$H$28)</f>
        <v/>
      </c>
      <c r="J92" s="95">
        <f>IF('Final Calculation Sheet'!$I$28="","",'Final Calculation Sheet'!$I$28)</f>
        <v/>
      </c>
      <c r="K92" s="95">
        <f>IF('Final Calculation Sheet'!$J$28="","",'Final Calculation Sheet'!$J$28)</f>
        <v/>
      </c>
      <c r="L92" s="95">
        <f>IF('Final Calculation Sheet'!$K$28="","",'Final Calculation Sheet'!$K$28)</f>
        <v/>
      </c>
      <c r="M92" s="95">
        <f>IF('Final Calculation Sheet'!$L$28="","",'Final Calculation Sheet'!$L$28)</f>
        <v/>
      </c>
      <c r="N92" s="95">
        <f>IF('Final Calculation Sheet'!$M$28="","",'Final Calculation Sheet'!$M$28)</f>
        <v/>
      </c>
      <c r="O92" s="96">
        <f>IF('Final Calculation Sheet'!$N$28="","",'Final Calculation Sheet'!$N$28)</f>
        <v/>
      </c>
      <c r="P92" s="95">
        <f>IF('Final Calculation Sheet'!$O$28="","",'Final Calculation Sheet'!$O$28)</f>
        <v/>
      </c>
      <c r="Q92" s="95">
        <f>IF('Final Calculation Sheet'!$P$28="","",'Final Calculation Sheet'!$P$28)</f>
        <v/>
      </c>
      <c r="R92" s="97">
        <f>IF('Final Calculation Sheet'!$Q$28="","",'Final Calculation Sheet'!$Q$28)</f>
        <v/>
      </c>
      <c r="S92" s="95">
        <f>IF('Final Calculation Sheet'!$R$28="","",'Final Calculation Sheet'!$R$28)</f>
        <v/>
      </c>
      <c r="T92" s="95">
        <f>IF('Final Calculation Sheet'!$S$28="","",'Final Calculation Sheet'!$S$28)</f>
        <v/>
      </c>
      <c r="U92" s="95">
        <f>IF('Final Calculation Sheet'!$T$28="","",'Final Calculation Sheet'!$T$28)</f>
        <v/>
      </c>
      <c r="V92" s="98">
        <f>IF('Final Calculation Sheet'!$U$28="","",'Final Calculation Sheet'!$U$28)</f>
        <v/>
      </c>
      <c r="W92" s="95">
        <f>IF('Final Calculation Sheet'!$V$28="","",'Final Calculation Sheet'!$V$28)</f>
        <v/>
      </c>
      <c r="X92" s="95">
        <f>IF('Final Calculation Sheet'!$W$28="","",'Final Calculation Sheet'!$W$28)</f>
        <v/>
      </c>
      <c r="Y92" s="95">
        <f>IF('Final Calculation Sheet'!$X$28="","",'Final Calculation Sheet'!$X$28)</f>
        <v/>
      </c>
      <c r="Z92" s="95">
        <f>IF('Final Calculation Sheet'!$Y$28="","",'Final Calculation Sheet'!$Y$28)</f>
        <v/>
      </c>
      <c r="AA92" s="95">
        <f>IF('Final Calculation Sheet'!$Z$28="","",'Final Calculation Sheet'!$Z$28)</f>
        <v/>
      </c>
      <c r="AB92" s="95">
        <f>IF('Final Calculation Sheet'!$AA$28="","",'Final Calculation Sheet'!$AA$28)</f>
        <v/>
      </c>
      <c r="AC92" s="95">
        <f>IF('Final Calculation Sheet'!$AB$28="","",'Final Calculation Sheet'!$AB$28)</f>
        <v/>
      </c>
      <c r="AD92" s="95">
        <f>IF('Final Calculation Sheet'!$AC$28="","",'Final Calculation Sheet'!$AC$28)</f>
        <v/>
      </c>
      <c r="AE92" s="95">
        <f>IF('Final Calculation Sheet'!$AD$28="","",'Final Calculation Sheet'!$AD$28)</f>
        <v/>
      </c>
      <c r="AF92" s="100">
        <f>IF('Final Calculation Sheet'!$AD$28="","",IF('Final Calculation Sheet'!$AD$28&lt;=5,"SETTLED","OUTSTANDING"))</f>
        <v/>
      </c>
      <c r="AG92" s="95">
        <f>IF('Final Calculation Sheet'!$AF$28="","",'Final Calculation Sheet'!$AF$28)</f>
        <v/>
      </c>
      <c r="AH92" s="99">
        <f>IF('Final Calculation Sheet'!$AG$28="","",'Final Calculation Sheet'!$AG$28)</f>
        <v/>
      </c>
      <c r="AI92" s="95">
        <f>IF('Final Calculation Sheet'!$AH$28="","",'Final Calculation Sheet'!$AH$28)</f>
        <v/>
      </c>
    </row>
    <row r="93" outlineLevel="1" ht="15" customHeight="1" s="137">
      <c r="A93" s="67" t="n">
        <v>3</v>
      </c>
      <c r="B93" s="76">
        <f>IF('Final Calculation Sheet'!$F$35="","",'Final Calculation Sheet'!$F$35)</f>
        <v/>
      </c>
      <c r="C93" s="76">
        <f>IF('Final Calculation Sheet'!$G$35="","",'Final Calculation Sheet'!$G$35)</f>
        <v/>
      </c>
      <c r="D93" s="80">
        <f>IF('Final Calculation Sheet'!$B$35="","",'Final Calculation Sheet'!$B$35)</f>
        <v/>
      </c>
      <c r="E93" s="80">
        <f>IF('Final Calculation Sheet'!$D$35="","",'Final Calculation Sheet'!$D$35)</f>
        <v/>
      </c>
      <c r="F93" s="80">
        <f>IF('Final Calculation Sheet'!$A$35="","",'Final Calculation Sheet'!$A$35)</f>
        <v/>
      </c>
      <c r="G93" s="80">
        <f>IF('Final Calculation Sheet'!$E$35="","",'Final Calculation Sheet'!$E$35)</f>
        <v/>
      </c>
      <c r="H93" s="70">
        <f>IF('Final Calculation Sheet'!$C$35="","",'Final Calculation Sheet'!$C$35)</f>
        <v/>
      </c>
      <c r="I93" s="70">
        <f>IF('Final Calculation Sheet'!$H$35="","",'Final Calculation Sheet'!$H$35)</f>
        <v/>
      </c>
      <c r="J93" s="70">
        <f>IF('Final Calculation Sheet'!$I$35="","",'Final Calculation Sheet'!$I$35)</f>
        <v/>
      </c>
      <c r="K93" s="70">
        <f>IF('Final Calculation Sheet'!$J$35="","",'Final Calculation Sheet'!$J$35)</f>
        <v/>
      </c>
      <c r="L93" s="70">
        <f>IF('Final Calculation Sheet'!$K$35="","",'Final Calculation Sheet'!$K$35)</f>
        <v/>
      </c>
      <c r="M93" s="70">
        <f>IF('Final Calculation Sheet'!$L$35="","",'Final Calculation Sheet'!$L$35)</f>
        <v/>
      </c>
      <c r="N93" s="70">
        <f>IF('Final Calculation Sheet'!$M$35="","",'Final Calculation Sheet'!$M$35)</f>
        <v/>
      </c>
      <c r="O93" s="71">
        <f>IF('Final Calculation Sheet'!$N$35="","",'Final Calculation Sheet'!$N$35)</f>
        <v/>
      </c>
      <c r="P93" s="70">
        <f>IF('Final Calculation Sheet'!$O$35="","",'Final Calculation Sheet'!$O$35)</f>
        <v/>
      </c>
      <c r="Q93" s="70">
        <f>IF('Final Calculation Sheet'!$P$35="","",'Final Calculation Sheet'!$P$35)</f>
        <v/>
      </c>
      <c r="R93" s="72">
        <f>IF('Final Calculation Sheet'!$Q$35="","",'Final Calculation Sheet'!$Q$35)</f>
        <v/>
      </c>
      <c r="S93" s="70">
        <f>IF('Final Calculation Sheet'!$R$35="","",'Final Calculation Sheet'!$R$35)</f>
        <v/>
      </c>
      <c r="T93" s="70">
        <f>IF('Final Calculation Sheet'!$S$35="","",'Final Calculation Sheet'!$S$35)</f>
        <v/>
      </c>
      <c r="U93" s="70">
        <f>IF('Final Calculation Sheet'!$T$35="","",'Final Calculation Sheet'!$T$35)</f>
        <v/>
      </c>
      <c r="V93" s="73">
        <f>IF('Final Calculation Sheet'!$U$35="","",'Final Calculation Sheet'!$U$35)</f>
        <v/>
      </c>
      <c r="W93" s="70">
        <f>IF('Final Calculation Sheet'!$V$35="","",'Final Calculation Sheet'!$V$35)</f>
        <v/>
      </c>
      <c r="X93" s="70">
        <f>IF('Final Calculation Sheet'!$W$35="","",'Final Calculation Sheet'!$W$35)</f>
        <v/>
      </c>
      <c r="Y93" s="70">
        <f>IF('Final Calculation Sheet'!$X$35="","",'Final Calculation Sheet'!$X$35)</f>
        <v/>
      </c>
      <c r="Z93" s="70">
        <f>IF('Final Calculation Sheet'!$Y$35="","",'Final Calculation Sheet'!$Y$35)</f>
        <v/>
      </c>
      <c r="AA93" s="70">
        <f>IF('Final Calculation Sheet'!$Z$35="","",'Final Calculation Sheet'!$Z$35)</f>
        <v/>
      </c>
      <c r="AB93" s="70">
        <f>IF('Final Calculation Sheet'!$AA$35="","",'Final Calculation Sheet'!$AA$35)</f>
        <v/>
      </c>
      <c r="AC93" s="70">
        <f>IF('Final Calculation Sheet'!$AB$35="","",'Final Calculation Sheet'!$AB$35)</f>
        <v/>
      </c>
      <c r="AD93" s="70">
        <f>IF('Final Calculation Sheet'!$AC$35="","",'Final Calculation Sheet'!$AC$35)</f>
        <v/>
      </c>
      <c r="AE93" s="70">
        <f>IF('Final Calculation Sheet'!$AD$35="","",'Final Calculation Sheet'!$AD$35)</f>
        <v/>
      </c>
      <c r="AF93" s="75">
        <f>IF('Final Calculation Sheet'!$AD$35="","",IF('Final Calculation Sheet'!$AD$35&lt;=5,"SETTLED","OUTSTANDING"))</f>
        <v/>
      </c>
      <c r="AG93" s="70">
        <f>IF('Final Calculation Sheet'!$AF$35="","",'Final Calculation Sheet'!$AF$35)</f>
        <v/>
      </c>
      <c r="AH93" s="74">
        <f>IF('Final Calculation Sheet'!$AG$35="","",'Final Calculation Sheet'!$AG$35)</f>
        <v/>
      </c>
      <c r="AI93" s="70">
        <f>IF('Final Calculation Sheet'!$AH$35="","",'Final Calculation Sheet'!$AH$35)</f>
        <v/>
      </c>
    </row>
    <row r="94" ht="15" customHeight="1" s="137">
      <c r="A94" s="81" t="inlineStr">
        <is>
          <t>∑</t>
        </is>
      </c>
      <c r="B94" s="83" t="n"/>
      <c r="C94" s="83">
        <f>ROWS($C$91:$C$93)&amp;" lot(s)"</f>
        <v/>
      </c>
      <c r="D94" s="83" t="inlineStr">
        <is>
          <t>SUBTOTAL — WATAN SCRAP TRADERS</t>
        </is>
      </c>
      <c r="E94" s="83" t="inlineStr">
        <is>
          <t>–</t>
        </is>
      </c>
      <c r="F94" s="83">
        <f>SUM(F91:F93)</f>
        <v/>
      </c>
      <c r="G94" s="83" t="inlineStr">
        <is>
          <t>–</t>
        </is>
      </c>
      <c r="H94" s="84" t="inlineStr">
        <is>
          <t>–</t>
        </is>
      </c>
      <c r="I94" s="84">
        <f>SUM(I91:I93)</f>
        <v/>
      </c>
      <c r="J94" s="84">
        <f>SUM(J91:J93)</f>
        <v/>
      </c>
      <c r="K94" s="84">
        <f>SUM(K91:K93)</f>
        <v/>
      </c>
      <c r="L94" s="84">
        <f>SUM(L91:L93)</f>
        <v/>
      </c>
      <c r="M94" s="84">
        <f>SUM(M91:M93)</f>
        <v/>
      </c>
      <c r="N94" s="84">
        <f>SUM(N91:N93)</f>
        <v/>
      </c>
      <c r="O94" s="85">
        <f>SUM(O91:O93)</f>
        <v/>
      </c>
      <c r="P94" s="84">
        <f>SUM(P91:P93)</f>
        <v/>
      </c>
      <c r="Q94" s="84">
        <f>SUM(Q91:Q93)</f>
        <v/>
      </c>
      <c r="R94" s="86" t="inlineStr">
        <is>
          <t>–</t>
        </is>
      </c>
      <c r="S94" s="84">
        <f>SUM(S91:S93)</f>
        <v/>
      </c>
      <c r="T94" s="84">
        <f>SUM(T91:T93)</f>
        <v/>
      </c>
      <c r="U94" s="84">
        <f>SUM(U91:U93)</f>
        <v/>
      </c>
      <c r="V94" s="87">
        <f>SUM(V91:V93)</f>
        <v/>
      </c>
      <c r="W94" s="84" t="inlineStr">
        <is>
          <t>–</t>
        </is>
      </c>
      <c r="X94" s="84">
        <f>SUM(X91:X93)</f>
        <v/>
      </c>
      <c r="Y94" s="84">
        <f>SUM(Y91:Y93)</f>
        <v/>
      </c>
      <c r="Z94" s="84" t="inlineStr">
        <is>
          <t>–</t>
        </is>
      </c>
      <c r="AA94" s="84">
        <f>SUM(AA91:AA93)</f>
        <v/>
      </c>
      <c r="AB94" s="84">
        <f>SUM(AB91:AB93)</f>
        <v/>
      </c>
      <c r="AC94" s="84" t="inlineStr">
        <is>
          <t>–</t>
        </is>
      </c>
      <c r="AD94" s="84">
        <f>SUM(AD91:AD93)</f>
        <v/>
      </c>
      <c r="AE94" s="84">
        <f>SUM(AE91:AE93)</f>
        <v/>
      </c>
      <c r="AF94" s="89">
        <f>IF(AE94&lt;=5,"SETTLED","OUTSTANDING")</f>
        <v/>
      </c>
      <c r="AG94" s="84" t="inlineStr">
        <is>
          <t>–</t>
        </is>
      </c>
      <c r="AH94" s="88" t="inlineStr">
        <is>
          <t>–</t>
        </is>
      </c>
      <c r="AI94" s="84" t="inlineStr">
        <is>
          <t>–</t>
        </is>
      </c>
    </row>
    <row r="95" ht="15" customHeight="1" s="137">
      <c r="A95" s="101" t="inlineStr">
        <is>
          <t>∑</t>
        </is>
      </c>
      <c r="B95" s="102" t="n"/>
      <c r="C95" s="102">
        <f>COUNTA('Final Calculation Sheet'!$G$4:$G$40)&amp;" lot(s)"</f>
        <v/>
      </c>
      <c r="D95" s="102" t="inlineStr">
        <is>
          <t>TOTAL — every buyer together</t>
        </is>
      </c>
      <c r="E95" s="102" t="inlineStr">
        <is>
          <t>–</t>
        </is>
      </c>
      <c r="F95" s="102">
        <f>SUM(F46,F49,F51,F53,F55,F69,F71,F74,F77,F79,F82,F90,F94)</f>
        <v/>
      </c>
      <c r="G95" s="102" t="inlineStr">
        <is>
          <t>–</t>
        </is>
      </c>
      <c r="H95" s="103" t="inlineStr">
        <is>
          <t>–</t>
        </is>
      </c>
      <c r="I95" s="103">
        <f>SUM(I46,I49,I51,I53,I55,I69,I71,I74,I77,I79,I82,I90,I94)</f>
        <v/>
      </c>
      <c r="J95" s="103">
        <f>SUM(J46,J49,J51,J53,J55,J69,J71,J74,J77,J79,J82,J90,J94)</f>
        <v/>
      </c>
      <c r="K95" s="103">
        <f>SUM(K46,K49,K51,K53,K55,K69,K71,K74,K77,K79,K82,K90,K94)</f>
        <v/>
      </c>
      <c r="L95" s="103">
        <f>SUM(L46,L49,L51,L53,L55,L69,L71,L74,L77,L79,L82,L90,L94)</f>
        <v/>
      </c>
      <c r="M95" s="103">
        <f>SUM(M46,M49,M51,M53,M55,M69,M71,M74,M77,M79,M82,M90,M94)</f>
        <v/>
      </c>
      <c r="N95" s="103">
        <f>SUM(N46,N49,N51,N53,N55,N69,N71,N74,N77,N79,N82,N90,N94)</f>
        <v/>
      </c>
      <c r="O95" s="104">
        <f>SUM(O46,O49,O51,O53,O55,O69,O71,O74,O77,O79,O82,O90,O94)</f>
        <v/>
      </c>
      <c r="P95" s="103">
        <f>SUM(P46,P49,P51,P53,P55,P69,P71,P74,P77,P79,P82,P90,P94)</f>
        <v/>
      </c>
      <c r="Q95" s="103">
        <f>SUM(Q46,Q49,Q51,Q53,Q55,Q69,Q71,Q74,Q77,Q79,Q82,Q90,Q94)</f>
        <v/>
      </c>
      <c r="R95" s="105" t="inlineStr">
        <is>
          <t>–</t>
        </is>
      </c>
      <c r="S95" s="103">
        <f>SUM(S46,S49,S51,S53,S55,S69,S71,S74,S77,S79,S82,S90,S94)</f>
        <v/>
      </c>
      <c r="T95" s="103">
        <f>SUM(T46,T49,T51,T53,T55,T69,T71,T74,T77,T79,T82,T90,T94)</f>
        <v/>
      </c>
      <c r="U95" s="103">
        <f>SUM(U46,U49,U51,U53,U55,U69,U71,U74,U77,U79,U82,U90,U94)</f>
        <v/>
      </c>
      <c r="V95" s="106">
        <f>SUM(V46,V49,V51,V53,V55,V69,V71,V74,V77,V79,V82,V90,V94)</f>
        <v/>
      </c>
      <c r="W95" s="103" t="inlineStr">
        <is>
          <t>–</t>
        </is>
      </c>
      <c r="X95" s="103">
        <f>SUM(X46,X49,X51,X53,X55,X69,X71,X74,X77,X79,X82,X90,X94)</f>
        <v/>
      </c>
      <c r="Y95" s="103">
        <f>SUM(Y46,Y49,Y51,Y53,Y55,Y69,Y71,Y74,Y77,Y79,Y82,Y90,Y94)</f>
        <v/>
      </c>
      <c r="Z95" s="103" t="inlineStr">
        <is>
          <t>–</t>
        </is>
      </c>
      <c r="AA95" s="103">
        <f>SUM(AA46,AA49,AA51,AA53,AA55,AA69,AA71,AA74,AA77,AA79,AA82,AA90,AA94)</f>
        <v/>
      </c>
      <c r="AB95" s="103">
        <f>SUM(AB46,AB49,AB51,AB53,AB55,AB69,AB71,AB74,AB77,AB79,AB82,AB90,AB94)</f>
        <v/>
      </c>
      <c r="AC95" s="103" t="inlineStr">
        <is>
          <t>–</t>
        </is>
      </c>
      <c r="AD95" s="103">
        <f>SUM(AD46,AD49,AD51,AD53,AD55,AD69,AD71,AD74,AD77,AD79,AD82,AD90,AD94)</f>
        <v/>
      </c>
      <c r="AE95" s="103">
        <f>SUM(AE46,AE49,AE51,AE53,AE55,AE69,AE71,AE74,AE77,AE79,AE82,AE90,AE94)</f>
        <v/>
      </c>
      <c r="AF95" s="108">
        <f>IF(AE95&lt;=5,"SETTLED","OUTSTANDING")</f>
        <v/>
      </c>
      <c r="AG95" s="103" t="inlineStr">
        <is>
          <t>–</t>
        </is>
      </c>
      <c r="AH95" s="107" t="inlineStr">
        <is>
          <t>–</t>
        </is>
      </c>
      <c r="AI95" s="103" t="inlineStr">
        <is>
          <t>–</t>
        </is>
      </c>
    </row>
    <row r="96" ht="15" customHeight="1" s="137">
      <c r="A96" s="109" t="inlineStr">
        <is>
          <t>∑</t>
        </is>
      </c>
      <c r="B96" s="110" t="n"/>
      <c r="C96" s="110">
        <f>COUNTA('Final Calculation Sheet'!$G$4:$G$40)&amp;" lot(s)"</f>
        <v/>
      </c>
      <c r="D96" s="110" t="inlineStr">
        <is>
          <t>GRAND TOTAL — cross-checked to source</t>
        </is>
      </c>
      <c r="E96" s="110" t="inlineStr">
        <is>
          <t>–</t>
        </is>
      </c>
      <c r="F96" s="110">
        <f>SUM('Final Calculation Sheet'!$A$4:$A$40)</f>
        <v/>
      </c>
      <c r="G96" s="110" t="inlineStr">
        <is>
          <t>–</t>
        </is>
      </c>
      <c r="H96" s="111" t="inlineStr">
        <is>
          <t>–</t>
        </is>
      </c>
      <c r="I96" s="111">
        <f>SUM('Final Calculation Sheet'!$H$4:$H$40)</f>
        <v/>
      </c>
      <c r="J96" s="111">
        <f>SUM('Final Calculation Sheet'!$I$4:$I$40)</f>
        <v/>
      </c>
      <c r="K96" s="111">
        <f>SUM('Final Calculation Sheet'!$J$4:$J$40)</f>
        <v/>
      </c>
      <c r="L96" s="111">
        <f>SUM('Final Calculation Sheet'!$K$4:$K$40)</f>
        <v/>
      </c>
      <c r="M96" s="111">
        <f>SUM('Final Calculation Sheet'!$L$4:$L$40)</f>
        <v/>
      </c>
      <c r="N96" s="111">
        <f>SUM('Final Calculation Sheet'!$M$4:$M$40)</f>
        <v/>
      </c>
      <c r="O96" s="112">
        <f>SUM('Final Calculation Sheet'!$N$4:$N$40)</f>
        <v/>
      </c>
      <c r="P96" s="111">
        <f>SUM('Final Calculation Sheet'!$O$4:$O$40)</f>
        <v/>
      </c>
      <c r="Q96" s="111">
        <f>SUM('Final Calculation Sheet'!$P$4:$P$40)</f>
        <v/>
      </c>
      <c r="R96" s="113" t="inlineStr">
        <is>
          <t>–</t>
        </is>
      </c>
      <c r="S96" s="111">
        <f>SUM('Final Calculation Sheet'!$R$4:$R$40)</f>
        <v/>
      </c>
      <c r="T96" s="111">
        <f>SUM('Final Calculation Sheet'!$S$4:$S$40)</f>
        <v/>
      </c>
      <c r="U96" s="111">
        <f>SUM('Final Calculation Sheet'!$T$4:$T$40)</f>
        <v/>
      </c>
      <c r="V96" s="114">
        <f>SUM('Final Calculation Sheet'!$U$4:$U$40)</f>
        <v/>
      </c>
      <c r="W96" s="111" t="inlineStr">
        <is>
          <t>–</t>
        </is>
      </c>
      <c r="X96" s="111">
        <f>SUM('Final Calculation Sheet'!$W$4:$W$40)</f>
        <v/>
      </c>
      <c r="Y96" s="111">
        <f>SUM('Final Calculation Sheet'!$X$4:$X$40)</f>
        <v/>
      </c>
      <c r="Z96" s="111" t="inlineStr">
        <is>
          <t>–</t>
        </is>
      </c>
      <c r="AA96" s="111">
        <f>SUM('Final Calculation Sheet'!$Z$4:$Z$40)</f>
        <v/>
      </c>
      <c r="AB96" s="111">
        <f>SUM('Final Calculation Sheet'!$AA$4:$AA$40)</f>
        <v/>
      </c>
      <c r="AC96" s="111" t="inlineStr">
        <is>
          <t>–</t>
        </is>
      </c>
      <c r="AD96" s="111">
        <f>SUM('Final Calculation Sheet'!$AC$4:$AC$40)</f>
        <v/>
      </c>
      <c r="AE96" s="111">
        <f>SUM('Final Calculation Sheet'!$AD$4:$AD$40)</f>
        <v/>
      </c>
      <c r="AF96" s="116">
        <f>IF(AE96&lt;=5,"SETTLED","OUTSTANDING")</f>
        <v/>
      </c>
      <c r="AG96" s="111" t="inlineStr">
        <is>
          <t>–</t>
        </is>
      </c>
      <c r="AH96" s="115" t="inlineStr">
        <is>
          <t>–</t>
        </is>
      </c>
      <c r="AI96" s="111" t="inlineStr">
        <is>
          <t>–</t>
        </is>
      </c>
    </row>
  </sheetData>
  <mergeCells count="2">
    <mergeCell ref="A2:AI2"/>
    <mergeCell ref="A1:AI1"/>
  </mergeCells>
  <conditionalFormatting sqref="A45:AI96">
    <cfRule type="expression" priority="1" dxfId="50">
      <formula>AND(ISNUMBER($A45),$B45&lt;&gt;"",COUNTIF($B$4:$AI$4,"&lt;&gt;")&gt;0,COUNTIFS($B$7:$B$43,$B45,$C$7:$C$43,$C45)=0)</formula>
    </cfRule>
  </conditionalFormatting>
  <conditionalFormatting sqref="AE45:AE96">
    <cfRule type="cellIs" priority="2" operator="greaterThan" dxfId="0">
      <formula>5</formula>
    </cfRule>
  </conditionalFormatting>
  <conditionalFormatting sqref="AF45:AF96">
    <cfRule type="cellIs" priority="3" operator="equal" dxfId="2">
      <formula>"SETTLED"</formula>
    </cfRule>
    <cfRule type="cellIs" priority="4" operator="equal" dxfId="0">
      <formula>"OUTSTANDING"</formula>
    </cfRule>
  </conditionalFormatting>
  <conditionalFormatting sqref="B45:B94">
    <cfRule type="expression" priority="5" dxfId="3">
      <formula>AND(ISNUMBER($A45),$B$4&lt;&gt;"",IF($B$4="(blank)",B45="",IF($B$4="(nonblank)",B45&lt;&gt;"",ISNUMBER(SEARCH($B$4,B45)))))</formula>
    </cfRule>
  </conditionalFormatting>
  <conditionalFormatting sqref="B7:B43">
    <cfRule type="expression" priority="42" dxfId="3">
      <formula>AND(ISNUMBER($A7),$B$4&lt;&gt;"",IF($B$4="(blank)",B7="",IF($B$4="(nonblank)",B7&lt;&gt;"",ISNUMBER(SEARCH($B$4,B7)))))</formula>
    </cfRule>
  </conditionalFormatting>
  <conditionalFormatting sqref="C45:C94">
    <cfRule type="expression" priority="6" dxfId="3">
      <formula>AND(ISNUMBER($A45),$C$4&lt;&gt;"",IF($C$4="(blank)",C45="",IF($C$4="(nonblank)",C45&lt;&gt;"",ISNUMBER(SEARCH($C$4,C45)))))</formula>
    </cfRule>
  </conditionalFormatting>
  <conditionalFormatting sqref="C7:C43">
    <cfRule type="expression" priority="43" dxfId="3">
      <formula>AND(ISNUMBER($A7),$C$4&lt;&gt;"",IF($C$4="(blank)",C7="",IF($C$4="(nonblank)",C7&lt;&gt;"",ISNUMBER(SEARCH($C$4,C7)))))</formula>
    </cfRule>
  </conditionalFormatting>
  <conditionalFormatting sqref="D45:D94">
    <cfRule type="expression" priority="7" dxfId="3">
      <formula>AND(ISNUMBER($A45),$D$4&lt;&gt;"",IF($D$4="(blank)",D45="",IF($D$4="(nonblank)",D45&lt;&gt;"",ISNUMBER(SEARCH($D$4,D45)))))</formula>
    </cfRule>
  </conditionalFormatting>
  <conditionalFormatting sqref="D7:D43">
    <cfRule type="expression" priority="44" dxfId="3">
      <formula>AND(ISNUMBER($A7),$D$4&lt;&gt;"",IF($D$4="(blank)",D7="",IF($D$4="(nonblank)",D7&lt;&gt;"",ISNUMBER(SEARCH($D$4,D7)))))</formula>
    </cfRule>
  </conditionalFormatting>
  <conditionalFormatting sqref="E45:E94">
    <cfRule type="expression" priority="8" dxfId="3">
      <formula>AND(ISNUMBER($A45),$E$4&lt;&gt;"",IF($E$4="(blank)",E45="",IF($E$4="(nonblank)",E45&lt;&gt;"",ISNUMBER(SEARCH($E$4,E45)))))</formula>
    </cfRule>
  </conditionalFormatting>
  <conditionalFormatting sqref="E7:E43">
    <cfRule type="expression" priority="45" dxfId="3">
      <formula>AND(ISNUMBER($A7),$E$4&lt;&gt;"",IF($E$4="(blank)",E7="",IF($E$4="(nonblank)",E7&lt;&gt;"",ISNUMBER(SEARCH($E$4,E7)))))</formula>
    </cfRule>
  </conditionalFormatting>
  <conditionalFormatting sqref="F45:F94">
    <cfRule type="expression" priority="9" dxfId="3">
      <formula>AND(ISNUMBER($A45),$F$4&lt;&gt;"",IF($F$4="(blank)",F45="",IF($F$4="(nonblank)",F45&lt;&gt;"",ISNUMBER(SEARCH($F$4,F45)))))</formula>
    </cfRule>
  </conditionalFormatting>
  <conditionalFormatting sqref="F7:F43">
    <cfRule type="expression" priority="46" dxfId="3">
      <formula>AND(ISNUMBER($A7),$F$4&lt;&gt;"",IF($F$4="(blank)",F7="",IF($F$4="(nonblank)",F7&lt;&gt;"",ISNUMBER(SEARCH($F$4,F7)))))</formula>
    </cfRule>
  </conditionalFormatting>
  <conditionalFormatting sqref="G45:G94">
    <cfRule type="expression" priority="10" dxfId="3">
      <formula>AND(ISNUMBER($A45),$G$4&lt;&gt;"",IF($G$4="(blank)",G45="",IF($G$4="(nonblank)",G45&lt;&gt;"",ISNUMBER(SEARCH($G$4,G45)))))</formula>
    </cfRule>
  </conditionalFormatting>
  <conditionalFormatting sqref="G7:G43">
    <cfRule type="expression" priority="47" dxfId="3">
      <formula>AND(ISNUMBER($A7),$G$4&lt;&gt;"",IF($G$4="(blank)",G7="",IF($G$4="(nonblank)",G7&lt;&gt;"",ISNUMBER(SEARCH($G$4,G7)))))</formula>
    </cfRule>
  </conditionalFormatting>
  <conditionalFormatting sqref="H45:H94">
    <cfRule type="expression" priority="11" dxfId="3">
      <formula>AND(ISNUMBER($A45),$H$4&lt;&gt;"",IF($H$4="(blank)",H45="",IF($H$4="(nonblank)",H45&lt;&gt;"",ISNUMBER(SEARCH($H$4,H45)))))</formula>
    </cfRule>
  </conditionalFormatting>
  <conditionalFormatting sqref="H7:H43">
    <cfRule type="expression" priority="48" dxfId="3">
      <formula>AND(ISNUMBER($A7),$H$4&lt;&gt;"",IF($H$4="(blank)",H7="",IF($H$4="(nonblank)",H7&lt;&gt;"",ISNUMBER(SEARCH($H$4,H7)))))</formula>
    </cfRule>
  </conditionalFormatting>
  <conditionalFormatting sqref="I45:I94">
    <cfRule type="expression" priority="12" dxfId="3">
      <formula>AND(ISNUMBER($A45),$I$4&lt;&gt;"",IF($I$4="(blank)",I45="",IF($I$4="(nonblank)",I45&lt;&gt;"",ISNUMBER(SEARCH($I$4,I45)))))</formula>
    </cfRule>
  </conditionalFormatting>
  <conditionalFormatting sqref="I7:I43">
    <cfRule type="expression" priority="49" dxfId="3">
      <formula>AND(ISNUMBER($A7),$I$4&lt;&gt;"",IF($I$4="(blank)",I7="",IF($I$4="(nonblank)",I7&lt;&gt;"",ISNUMBER(SEARCH($I$4,I7)))))</formula>
    </cfRule>
  </conditionalFormatting>
  <conditionalFormatting sqref="J45:J94">
    <cfRule type="expression" priority="13" dxfId="3">
      <formula>AND(ISNUMBER($A45),$J$4&lt;&gt;"",IF($J$4="(blank)",J45="",IF($J$4="(nonblank)",J45&lt;&gt;"",ISNUMBER(SEARCH($J$4,J45)))))</formula>
    </cfRule>
  </conditionalFormatting>
  <conditionalFormatting sqref="J7:J43">
    <cfRule type="expression" priority="50" dxfId="3">
      <formula>AND(ISNUMBER($A7),$J$4&lt;&gt;"",IF($J$4="(blank)",J7="",IF($J$4="(nonblank)",J7&lt;&gt;"",ISNUMBER(SEARCH($J$4,J7)))))</formula>
    </cfRule>
  </conditionalFormatting>
  <conditionalFormatting sqref="K45:K94">
    <cfRule type="expression" priority="14" dxfId="3">
      <formula>AND(ISNUMBER($A45),$K$4&lt;&gt;"",IF($K$4="(blank)",K45="",IF($K$4="(nonblank)",K45&lt;&gt;"",ISNUMBER(SEARCH($K$4,K45)))))</formula>
    </cfRule>
  </conditionalFormatting>
  <conditionalFormatting sqref="K7:K43">
    <cfRule type="expression" priority="51" dxfId="3">
      <formula>AND(ISNUMBER($A7),$K$4&lt;&gt;"",IF($K$4="(blank)",K7="",IF($K$4="(nonblank)",K7&lt;&gt;"",ISNUMBER(SEARCH($K$4,K7)))))</formula>
    </cfRule>
  </conditionalFormatting>
  <conditionalFormatting sqref="L45:L94">
    <cfRule type="expression" priority="15" dxfId="3">
      <formula>AND(ISNUMBER($A45),$L$4&lt;&gt;"",IF($L$4="(blank)",L45="",IF($L$4="(nonblank)",L45&lt;&gt;"",ISNUMBER(SEARCH($L$4,L45)))))</formula>
    </cfRule>
  </conditionalFormatting>
  <conditionalFormatting sqref="L7:L43">
    <cfRule type="expression" priority="52" dxfId="3">
      <formula>AND(ISNUMBER($A7),$L$4&lt;&gt;"",IF($L$4="(blank)",L7="",IF($L$4="(nonblank)",L7&lt;&gt;"",ISNUMBER(SEARCH($L$4,L7)))))</formula>
    </cfRule>
  </conditionalFormatting>
  <conditionalFormatting sqref="M45:M94">
    <cfRule type="expression" priority="16" dxfId="3">
      <formula>AND(ISNUMBER($A45),$M$4&lt;&gt;"",IF($M$4="(blank)",M45="",IF($M$4="(nonblank)",M45&lt;&gt;"",ISNUMBER(SEARCH($M$4,M45)))))</formula>
    </cfRule>
  </conditionalFormatting>
  <conditionalFormatting sqref="M7:M43">
    <cfRule type="expression" priority="53" dxfId="3">
      <formula>AND(ISNUMBER($A7),$M$4&lt;&gt;"",IF($M$4="(blank)",M7="",IF($M$4="(nonblank)",M7&lt;&gt;"",ISNUMBER(SEARCH($M$4,M7)))))</formula>
    </cfRule>
  </conditionalFormatting>
  <conditionalFormatting sqref="N45:N94">
    <cfRule type="expression" priority="17" dxfId="3">
      <formula>AND(ISNUMBER($A45),$N$4&lt;&gt;"",IF($N$4="(blank)",N45="",IF($N$4="(nonblank)",N45&lt;&gt;"",ISNUMBER(SEARCH($N$4,N45)))))</formula>
    </cfRule>
  </conditionalFormatting>
  <conditionalFormatting sqref="N7:N43">
    <cfRule type="expression" priority="54" dxfId="3">
      <formula>AND(ISNUMBER($A7),$N$4&lt;&gt;"",IF($N$4="(blank)",N7="",IF($N$4="(nonblank)",N7&lt;&gt;"",ISNUMBER(SEARCH($N$4,N7)))))</formula>
    </cfRule>
  </conditionalFormatting>
  <conditionalFormatting sqref="O45:O94">
    <cfRule type="expression" priority="18" dxfId="3">
      <formula>AND(ISNUMBER($A45),$O$4&lt;&gt;"",IF($O$4="(blank)",O45="",IF($O$4="(nonblank)",O45&lt;&gt;"",ISNUMBER(SEARCH($O$4,O45)))))</formula>
    </cfRule>
  </conditionalFormatting>
  <conditionalFormatting sqref="O7:O43">
    <cfRule type="expression" priority="55" dxfId="3">
      <formula>AND(ISNUMBER($A7),$O$4&lt;&gt;"",IF($O$4="(blank)",O7="",IF($O$4="(nonblank)",O7&lt;&gt;"",ISNUMBER(SEARCH($O$4,O7)))))</formula>
    </cfRule>
  </conditionalFormatting>
  <conditionalFormatting sqref="P45:P94">
    <cfRule type="expression" priority="19" dxfId="3">
      <formula>AND(ISNUMBER($A45),$P$4&lt;&gt;"",IF($P$4="(blank)",P45="",IF($P$4="(nonblank)",P45&lt;&gt;"",ISNUMBER(SEARCH($P$4,P45)))))</formula>
    </cfRule>
  </conditionalFormatting>
  <conditionalFormatting sqref="P7:P43">
    <cfRule type="expression" priority="56" dxfId="3">
      <formula>AND(ISNUMBER($A7),$P$4&lt;&gt;"",IF($P$4="(blank)",P7="",IF($P$4="(nonblank)",P7&lt;&gt;"",ISNUMBER(SEARCH($P$4,P7)))))</formula>
    </cfRule>
  </conditionalFormatting>
  <conditionalFormatting sqref="Q45:Q94">
    <cfRule type="expression" priority="20" dxfId="3">
      <formula>AND(ISNUMBER($A45),$Q$4&lt;&gt;"",IF($Q$4="(blank)",Q45="",IF($Q$4="(nonblank)",Q45&lt;&gt;"",ISNUMBER(SEARCH($Q$4,Q45)))))</formula>
    </cfRule>
  </conditionalFormatting>
  <conditionalFormatting sqref="Q7:Q43">
    <cfRule type="expression" priority="57" dxfId="3">
      <formula>AND(ISNUMBER($A7),$Q$4&lt;&gt;"",IF($Q$4="(blank)",Q7="",IF($Q$4="(nonblank)",Q7&lt;&gt;"",ISNUMBER(SEARCH($Q$4,Q7)))))</formula>
    </cfRule>
  </conditionalFormatting>
  <conditionalFormatting sqref="R45:R94">
    <cfRule type="expression" priority="21" dxfId="3">
      <formula>AND(ISNUMBER($A45),$R$4&lt;&gt;"",IF($R$4="(blank)",R45="",IF($R$4="(nonblank)",R45&lt;&gt;"",ISNUMBER(SEARCH($R$4,R45)))))</formula>
    </cfRule>
  </conditionalFormatting>
  <conditionalFormatting sqref="R7:R43">
    <cfRule type="expression" priority="58" dxfId="3">
      <formula>AND(ISNUMBER($A7),$R$4&lt;&gt;"",IF($R$4="(blank)",R7="",IF($R$4="(nonblank)",R7&lt;&gt;"",ISNUMBER(SEARCH($R$4,R7)))))</formula>
    </cfRule>
  </conditionalFormatting>
  <conditionalFormatting sqref="S45:S94">
    <cfRule type="expression" priority="22" dxfId="3">
      <formula>AND(ISNUMBER($A45),$S$4&lt;&gt;"",IF($S$4="(blank)",S45="",IF($S$4="(nonblank)",S45&lt;&gt;"",ISNUMBER(SEARCH($S$4,S45)))))</formula>
    </cfRule>
  </conditionalFormatting>
  <conditionalFormatting sqref="S7:S43">
    <cfRule type="expression" priority="59" dxfId="3">
      <formula>AND(ISNUMBER($A7),$S$4&lt;&gt;"",IF($S$4="(blank)",S7="",IF($S$4="(nonblank)",S7&lt;&gt;"",ISNUMBER(SEARCH($S$4,S7)))))</formula>
    </cfRule>
  </conditionalFormatting>
  <conditionalFormatting sqref="T45:T94">
    <cfRule type="expression" priority="23" dxfId="3">
      <formula>AND(ISNUMBER($A45),$T$4&lt;&gt;"",IF($T$4="(blank)",T45="",IF($T$4="(nonblank)",T45&lt;&gt;"",ISNUMBER(SEARCH($T$4,T45)))))</formula>
    </cfRule>
  </conditionalFormatting>
  <conditionalFormatting sqref="T7:T43">
    <cfRule type="expression" priority="60" dxfId="3">
      <formula>AND(ISNUMBER($A7),$T$4&lt;&gt;"",IF($T$4="(blank)",T7="",IF($T$4="(nonblank)",T7&lt;&gt;"",ISNUMBER(SEARCH($T$4,T7)))))</formula>
    </cfRule>
  </conditionalFormatting>
  <conditionalFormatting sqref="U45:U94">
    <cfRule type="expression" priority="24" dxfId="3">
      <formula>AND(ISNUMBER($A45),$U$4&lt;&gt;"",IF($U$4="(blank)",U45="",IF($U$4="(nonblank)",U45&lt;&gt;"",ISNUMBER(SEARCH($U$4,U45)))))</formula>
    </cfRule>
  </conditionalFormatting>
  <conditionalFormatting sqref="U7:U43">
    <cfRule type="expression" priority="61" dxfId="3">
      <formula>AND(ISNUMBER($A7),$U$4&lt;&gt;"",IF($U$4="(blank)",U7="",IF($U$4="(nonblank)",U7&lt;&gt;"",ISNUMBER(SEARCH($U$4,U7)))))</formula>
    </cfRule>
  </conditionalFormatting>
  <conditionalFormatting sqref="V45:V94">
    <cfRule type="expression" priority="25" dxfId="3">
      <formula>AND(ISNUMBER($A45),$V$4&lt;&gt;"",IF($V$4="(blank)",V45="",IF($V$4="(nonblank)",V45&lt;&gt;"",ISNUMBER(SEARCH($V$4,V45)))))</formula>
    </cfRule>
  </conditionalFormatting>
  <conditionalFormatting sqref="V7:V43">
    <cfRule type="expression" priority="62" dxfId="3">
      <formula>AND(ISNUMBER($A7),$V$4&lt;&gt;"",IF($V$4="(blank)",V7="",IF($V$4="(nonblank)",V7&lt;&gt;"",ISNUMBER(SEARCH($V$4,V7)))))</formula>
    </cfRule>
  </conditionalFormatting>
  <conditionalFormatting sqref="W45:W94">
    <cfRule type="expression" priority="26" dxfId="3">
      <formula>AND(ISNUMBER($A45),$W$4&lt;&gt;"",IF($W$4="(blank)",W45="",IF($W$4="(nonblank)",W45&lt;&gt;"",ISNUMBER(SEARCH($W$4,W45)))))</formula>
    </cfRule>
  </conditionalFormatting>
  <conditionalFormatting sqref="W7:W43">
    <cfRule type="expression" priority="63" dxfId="3">
      <formula>AND(ISNUMBER($A7),$W$4&lt;&gt;"",IF($W$4="(blank)",W7="",IF($W$4="(nonblank)",W7&lt;&gt;"",ISNUMBER(SEARCH($W$4,W7)))))</formula>
    </cfRule>
  </conditionalFormatting>
  <conditionalFormatting sqref="X45:X94">
    <cfRule type="expression" priority="27" dxfId="3">
      <formula>AND(ISNUMBER($A45),$X$4&lt;&gt;"",IF($X$4="(blank)",X45="",IF($X$4="(nonblank)",X45&lt;&gt;"",ISNUMBER(SEARCH($X$4,X45)))))</formula>
    </cfRule>
  </conditionalFormatting>
  <conditionalFormatting sqref="X7:X43">
    <cfRule type="expression" priority="64" dxfId="3">
      <formula>AND(ISNUMBER($A7),$X$4&lt;&gt;"",IF($X$4="(blank)",X7="",IF($X$4="(nonblank)",X7&lt;&gt;"",ISNUMBER(SEARCH($X$4,X7)))))</formula>
    </cfRule>
  </conditionalFormatting>
  <conditionalFormatting sqref="Y45:Y94">
    <cfRule type="expression" priority="28" dxfId="3">
      <formula>AND(ISNUMBER($A45),$Y$4&lt;&gt;"",IF($Y$4="(blank)",Y45="",IF($Y$4="(nonblank)",Y45&lt;&gt;"",ISNUMBER(SEARCH($Y$4,Y45)))))</formula>
    </cfRule>
  </conditionalFormatting>
  <conditionalFormatting sqref="Y7:Y43">
    <cfRule type="expression" priority="65" dxfId="3">
      <formula>AND(ISNUMBER($A7),$Y$4&lt;&gt;"",IF($Y$4="(blank)",Y7="",IF($Y$4="(nonblank)",Y7&lt;&gt;"",ISNUMBER(SEARCH($Y$4,Y7)))))</formula>
    </cfRule>
  </conditionalFormatting>
  <conditionalFormatting sqref="Z45:Z94">
    <cfRule type="expression" priority="29" dxfId="3">
      <formula>AND(ISNUMBER($A45),$Z$4&lt;&gt;"",IF($Z$4="(blank)",Z45="",IF($Z$4="(nonblank)",Z45&lt;&gt;"",ISNUMBER(SEARCH($Z$4,Z45)))))</formula>
    </cfRule>
  </conditionalFormatting>
  <conditionalFormatting sqref="Z7:Z43">
    <cfRule type="expression" priority="66" dxfId="3">
      <formula>AND(ISNUMBER($A7),$Z$4&lt;&gt;"",IF($Z$4="(blank)",Z7="",IF($Z$4="(nonblank)",Z7&lt;&gt;"",ISNUMBER(SEARCH($Z$4,Z7)))))</formula>
    </cfRule>
  </conditionalFormatting>
  <conditionalFormatting sqref="AA45:AA94">
    <cfRule type="expression" priority="30" dxfId="3">
      <formula>AND(ISNUMBER($A45),$AA$4&lt;&gt;"",IF($AA$4="(blank)",AA45="",IF($AA$4="(nonblank)",AA45&lt;&gt;"",ISNUMBER(SEARCH($AA$4,AA45)))))</formula>
    </cfRule>
  </conditionalFormatting>
  <conditionalFormatting sqref="AA7:AA43">
    <cfRule type="expression" priority="67" dxfId="3">
      <formula>AND(ISNUMBER($A7),$AA$4&lt;&gt;"",IF($AA$4="(blank)",AA7="",IF($AA$4="(nonblank)",AA7&lt;&gt;"",ISNUMBER(SEARCH($AA$4,AA7)))))</formula>
    </cfRule>
  </conditionalFormatting>
  <conditionalFormatting sqref="AB45:AB94">
    <cfRule type="expression" priority="31" dxfId="3">
      <formula>AND(ISNUMBER($A45),$AB$4&lt;&gt;"",IF($AB$4="(blank)",AB45="",IF($AB$4="(nonblank)",AB45&lt;&gt;"",ISNUMBER(SEARCH($AB$4,AB45)))))</formula>
    </cfRule>
  </conditionalFormatting>
  <conditionalFormatting sqref="AB7:AB43">
    <cfRule type="expression" priority="68" dxfId="3">
      <formula>AND(ISNUMBER($A7),$AB$4&lt;&gt;"",IF($AB$4="(blank)",AB7="",IF($AB$4="(nonblank)",AB7&lt;&gt;"",ISNUMBER(SEARCH($AB$4,AB7)))))</formula>
    </cfRule>
  </conditionalFormatting>
  <conditionalFormatting sqref="AC45:AC94">
    <cfRule type="expression" priority="32" dxfId="3">
      <formula>AND(ISNUMBER($A45),$AC$4&lt;&gt;"",IF($AC$4="(blank)",AC45="",IF($AC$4="(nonblank)",AC45&lt;&gt;"",ISNUMBER(SEARCH($AC$4,AC45)))))</formula>
    </cfRule>
  </conditionalFormatting>
  <conditionalFormatting sqref="AC7:AC43">
    <cfRule type="expression" priority="69" dxfId="3">
      <formula>AND(ISNUMBER($A7),$AC$4&lt;&gt;"",IF($AC$4="(blank)",AC7="",IF($AC$4="(nonblank)",AC7&lt;&gt;"",ISNUMBER(SEARCH($AC$4,AC7)))))</formula>
    </cfRule>
  </conditionalFormatting>
  <conditionalFormatting sqref="AD45:AD94">
    <cfRule type="expression" priority="33" dxfId="3">
      <formula>AND(ISNUMBER($A45),$AD$4&lt;&gt;"",IF($AD$4="(blank)",AD45="",IF($AD$4="(nonblank)",AD45&lt;&gt;"",ISNUMBER(SEARCH($AD$4,AD45)))))</formula>
    </cfRule>
  </conditionalFormatting>
  <conditionalFormatting sqref="AD7:AD43">
    <cfRule type="expression" priority="70" dxfId="3">
      <formula>AND(ISNUMBER($A7),$AD$4&lt;&gt;"",IF($AD$4="(blank)",AD7="",IF($AD$4="(nonblank)",AD7&lt;&gt;"",ISNUMBER(SEARCH($AD$4,AD7)))))</formula>
    </cfRule>
  </conditionalFormatting>
  <conditionalFormatting sqref="AE45:AE94">
    <cfRule type="expression" priority="34" dxfId="3">
      <formula>AND(ISNUMBER($A45),$AE$4&lt;&gt;"",IF($AE$4="(blank)",AE45="",IF($AE$4="(nonblank)",AE45&lt;&gt;"",ISNUMBER(SEARCH($AE$4,AE45)))))</formula>
    </cfRule>
  </conditionalFormatting>
  <conditionalFormatting sqref="AE7:AE43">
    <cfRule type="expression" priority="71" dxfId="3">
      <formula>AND(ISNUMBER($A7),$AE$4&lt;&gt;"",IF($AE$4="(blank)",AE7="",IF($AE$4="(nonblank)",AE7&lt;&gt;"",ISNUMBER(SEARCH($AE$4,AE7)))))</formula>
    </cfRule>
  </conditionalFormatting>
  <conditionalFormatting sqref="AG45:AG94">
    <cfRule type="expression" priority="35" dxfId="3">
      <formula>AND(ISNUMBER($A45),$AG$4&lt;&gt;"",IF($AG$4="(blank)",AG45="",IF($AG$4="(nonblank)",AG45&lt;&gt;"",ISNUMBER(SEARCH($AG$4,AG45)))))</formula>
    </cfRule>
  </conditionalFormatting>
  <conditionalFormatting sqref="AG7:AG43">
    <cfRule type="expression" priority="72" dxfId="3">
      <formula>AND(ISNUMBER($A7),$AG$4&lt;&gt;"",IF($AG$4="(blank)",AG7="",IF($AG$4="(nonblank)",AG7&lt;&gt;"",ISNUMBER(SEARCH($AG$4,AG7)))))</formula>
    </cfRule>
  </conditionalFormatting>
  <conditionalFormatting sqref="AH45:AH94">
    <cfRule type="expression" priority="36" dxfId="3">
      <formula>AND(ISNUMBER($A45),$AH$4&lt;&gt;"",IF($AH$4="(blank)",AH45="",IF($AH$4="(nonblank)",AH45&lt;&gt;"",ISNUMBER(SEARCH($AH$4,AH45)))))</formula>
    </cfRule>
  </conditionalFormatting>
  <conditionalFormatting sqref="AH7:AH43">
    <cfRule type="expression" priority="73" dxfId="3">
      <formula>AND(ISNUMBER($A7),$AH$4&lt;&gt;"",IF($AH$4="(blank)",AH7="",IF($AH$4="(nonblank)",AH7&lt;&gt;"",ISNUMBER(SEARCH($AH$4,AH7)))))</formula>
    </cfRule>
  </conditionalFormatting>
  <conditionalFormatting sqref="AI45:AI94">
    <cfRule type="expression" priority="37" dxfId="3">
      <formula>AND(ISNUMBER($A45),$AI$4&lt;&gt;"",IF($AI$4="(blank)",AI45="",IF($AI$4="(nonblank)",AI45&lt;&gt;"",ISNUMBER(SEARCH($AI$4,AI45)))))</formula>
    </cfRule>
  </conditionalFormatting>
  <conditionalFormatting sqref="AI7:AI43">
    <cfRule type="expression" priority="74" dxfId="3">
      <formula>AND(ISNUMBER($A7),$AI$4&lt;&gt;"",IF($AI$4="(blank)",AI7="",IF($AI$4="(nonblank)",AI7&lt;&gt;"",ISNUMBER(SEARCH($AI$4,AI7)))))</formula>
    </cfRule>
  </conditionalFormatting>
  <conditionalFormatting sqref="AF45:AF94">
    <cfRule type="expression" priority="38" dxfId="3">
      <formula>AND(ISNUMBER($A45),$AF$4&lt;&gt;"",IF($AF$4="(blank)",AF45="",IF($AF$4="(nonblank)",AF45&lt;&gt;"",ISNUMBER(SEARCH($AF$4,AF45)))))</formula>
    </cfRule>
  </conditionalFormatting>
  <conditionalFormatting sqref="AF7:AF43">
    <cfRule type="expression" priority="75" dxfId="3">
      <formula>AND(ISNUMBER($A7),$AF$4&lt;&gt;"",IF($AF$4="(blank)",AF7="",IF($AF$4="(nonblank)",AF7&lt;&gt;"",ISNUMBER(SEARCH($AF$4,AF7)))))</formula>
    </cfRule>
  </conditionalFormatting>
  <conditionalFormatting sqref="AF7:AF43">
    <cfRule type="cellIs" priority="39" operator="equal" dxfId="2">
      <formula>"SETTLED"</formula>
    </cfRule>
    <cfRule type="cellIs" priority="40" operator="equal" dxfId="0">
      <formula>"OUTSTANDING"</formula>
    </cfRule>
  </conditionalFormatting>
  <conditionalFormatting sqref="AE7:AE43">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Groups'!DH6:EN6,0)&gt;0,0,1)</f>
        <v/>
      </c>
      <c r="LF6">
        <f>IF($O$6="",FALSE,SUMPRODUCT(('Final Calculation Sheet'!$F$4:$F$40=$O$6)*($LE$6:$LE$42=1))&gt;0)</f>
        <v/>
      </c>
      <c r="LG6">
        <f>$LG$5+--($LF6)</f>
        <v/>
      </c>
      <c r="LH6">
        <f>IF(ROW()-3&gt;MAX($LG$4:$LG$40),"",INDEX($O$4:$O$40,MATCH(ROW()-3,$LG$4:$LG$40,0)))</f>
        <v/>
      </c>
      <c r="LI6">
        <f>IF(COUNTIF('Buyer Groups'!DG6:DG6,0)+COUNTIF('Buyer Groups'!DI6:EN6,0)&gt;0,0,1)</f>
        <v/>
      </c>
      <c r="LJ6">
        <f>IF($T$6="",FALSE,SUMPRODUCT(('Final Calculation Sheet'!$G$4:$G$40=$T$6)*($LI$6:$LI$42=1))&gt;0)</f>
        <v/>
      </c>
      <c r="LK6">
        <f>$LK$5+--($LJ6)</f>
        <v/>
      </c>
      <c r="LL6">
        <f>IF(ROW()-3&gt;MAX($LK$4:$LK$40),"",INDEX($T$4:$T$40,MATCH(ROW()-3,$LK$4:$LK$40,0)))</f>
        <v/>
      </c>
      <c r="LM6">
        <f>IF(COUNTIF('Buyer Groups'!DG6:DH6,0)+COUNTIF('Buyer Groups'!DJ6:EN6,0)&gt;0,0,1)</f>
        <v/>
      </c>
      <c r="LN6">
        <f>IF($Y$6="",FALSE,SUMPRODUCT(('Final Calculation Sheet'!$B$4:$B$40=$Y$6)*($LM$6:$LM$42=1))&gt;0)</f>
        <v/>
      </c>
      <c r="LO6">
        <f>$LO$5+--($LN6)</f>
        <v/>
      </c>
      <c r="LP6">
        <f>IF(ROW()-3&gt;MAX($LO$4:$LO$40),"",INDEX($Y$4:$Y$40,MATCH(ROW()-3,$LO$4:$LO$40,0)))</f>
        <v/>
      </c>
      <c r="LQ6">
        <f>IF(COUNTIF('Buyer Groups'!DG6:DI6,0)+COUNTIF('Buyer Groups'!DK6:EN6,0)&gt;0,0,1)</f>
        <v/>
      </c>
      <c r="LR6">
        <f>IF($AD$6="",FALSE,SUMPRODUCT(('Final Calculation Sheet'!$D$4:$D$40=$AD$6)*($LQ$6:$LQ$42=1))&gt;0)</f>
        <v/>
      </c>
      <c r="LS6">
        <f>$LS$5+--($LR6)</f>
        <v/>
      </c>
      <c r="LT6">
        <f>IF(ROW()-3&gt;MAX($LS$4:$LS$40),"",INDEX($AD$4:$AD$40,MATCH(ROW()-3,$LS$4:$LS$40,0)))</f>
        <v/>
      </c>
      <c r="LU6">
        <f>IF(COUNTIF('Buyer Groups'!DG6:DJ6,0)+COUNTIF('Buyer Groups'!DL6:EN6,0)&gt;0,0,1)</f>
        <v/>
      </c>
      <c r="LV6">
        <f>IF($AI$6="",FALSE,SUMPRODUCT(('Final Calculation Sheet'!$A$4:$A$40=$AI$6)*($LU$6:$LU$42=1))&gt;0)</f>
        <v/>
      </c>
      <c r="LW6">
        <f>$LW$5+--($LV6)</f>
        <v/>
      </c>
      <c r="LX6">
        <f>IF(ROW()-3&gt;MAX($LW$4:$LW$40),"",INDEX($AI$4:$AI$40,MATCH(ROW()-3,$LW$4:$LW$40,0)))</f>
        <v/>
      </c>
      <c r="LY6">
        <f>IF(COUNTIF('Buyer Groups'!DG6:DK6,0)+COUNTIF('Buyer Groups'!DM6:EN6,0)&gt;0,0,1)</f>
        <v/>
      </c>
      <c r="LZ6">
        <f>IF($AN$6="",FALSE,SUMPRODUCT(('Final Calculation Sheet'!$E$4:$E$40=$AN$6)*($LY$6:$LY$42=1))&gt;0)</f>
        <v/>
      </c>
      <c r="MA6">
        <f>$MA$5+--($LZ6)</f>
        <v/>
      </c>
      <c r="MB6">
        <f>IF(ROW()-3&gt;MAX($MA$4:$MA$40),"",INDEX($AN$4:$AN$40,MATCH(ROW()-3,$MA$4:$MA$40,0)))</f>
        <v/>
      </c>
      <c r="MC6">
        <f>IF(COUNTIF('Buyer Groups'!DG6:DL6,0)+COUNTIF('Buyer Groups'!DN6:EN6,0)&gt;0,0,1)</f>
        <v/>
      </c>
      <c r="MD6">
        <f>IF($AS$6="",FALSE,SUMPRODUCT(('Final Calculation Sheet'!$C$4:$C$40=$AS$6)*($MC$6:$MC$42=1))&gt;0)</f>
        <v/>
      </c>
      <c r="ME6">
        <f>$ME$5+--($MD6)</f>
        <v/>
      </c>
      <c r="MF6">
        <f>IF(ROW()-3&gt;MAX($ME$4:$ME$40),"",INDEX($AS$4:$AS$40,MATCH(ROW()-3,$ME$4:$ME$40,0)))</f>
        <v/>
      </c>
      <c r="MG6">
        <f>IF(COUNTIF('Buyer Groups'!DG6:DM6,0)+COUNTIF('Buyer Groups'!DO6:EN6,0)&gt;0,0,1)</f>
        <v/>
      </c>
      <c r="MH6">
        <f>IF($AX$6="",FALSE,SUMPRODUCT(('Final Calculation Sheet'!$H$4:$H$40=$AX$6)*($MG$6:$MG$42=1))&gt;0)</f>
        <v/>
      </c>
      <c r="MI6">
        <f>$MI$5+--($MH6)</f>
        <v/>
      </c>
      <c r="MJ6">
        <f>IF(ROW()-3&gt;MAX($MI$4:$MI$40),"",INDEX($AX$4:$AX$40,MATCH(ROW()-3,$MI$4:$MI$40,0)))</f>
        <v/>
      </c>
      <c r="MK6">
        <f>IF(COUNTIF('Buyer Groups'!DG6:DN6,0)+COUNTIF('Buyer Groups'!DP6:EN6,0)&gt;0,0,1)</f>
        <v/>
      </c>
      <c r="ML6">
        <f>IF($BC$6="",FALSE,SUMPRODUCT(('Final Calculation Sheet'!$I$4:$I$40=$BC$6)*($MK$6:$MK$42=1))&gt;0)</f>
        <v/>
      </c>
      <c r="MM6">
        <f>$MM$5+--($ML6)</f>
        <v/>
      </c>
      <c r="MN6">
        <f>IF(ROW()-3&gt;MAX($MM$4:$MM$40),"",INDEX($BC$4:$BC$40,MATCH(ROW()-3,$MM$4:$MM$40,0)))</f>
        <v/>
      </c>
      <c r="MO6">
        <f>IF(COUNTIF('Buyer Groups'!DG6:DO6,0)+COUNTIF('Buyer Groups'!DQ6:EN6,0)&gt;0,0,1)</f>
        <v/>
      </c>
      <c r="MP6">
        <f>IF($BH$6="",FALSE,SUMPRODUCT(('Final Calculation Sheet'!$J$4:$J$40=$BH$6)*($MO$6:$MO$42=1))&gt;0)</f>
        <v/>
      </c>
      <c r="MQ6">
        <f>$MQ$5+--($MP6)</f>
        <v/>
      </c>
      <c r="MR6">
        <f>IF(ROW()-3&gt;MAX($MQ$4:$MQ$40),"",INDEX($BH$4:$BH$40,MATCH(ROW()-3,$MQ$4:$MQ$40,0)))</f>
        <v/>
      </c>
      <c r="MS6">
        <f>IF(COUNTIF('Buyer Groups'!DG6:DP6,0)+COUNTIF('Buyer Groups'!DR6:EN6,0)&gt;0,0,1)</f>
        <v/>
      </c>
      <c r="MT6">
        <f>IF($BM$6="",FALSE,SUMPRODUCT(('Final Calculation Sheet'!$K$4:$K$40=$BM$6)*($MS$6:$MS$42=1))&gt;0)</f>
        <v/>
      </c>
      <c r="MU6">
        <f>$MU$5+--($MT6)</f>
        <v/>
      </c>
      <c r="MV6">
        <f>IF(ROW()-3&gt;MAX($MU$4:$MU$40),"",INDEX($BM$4:$BM$40,MATCH(ROW()-3,$MU$4:$MU$40,0)))</f>
        <v/>
      </c>
      <c r="MW6">
        <f>IF(COUNTIF('Buyer Groups'!DG6:DQ6,0)+COUNTIF('Buyer Groups'!DS6:EN6,0)&gt;0,0,1)</f>
        <v/>
      </c>
      <c r="MX6">
        <f>IF($BR$6="",FALSE,SUMPRODUCT(('Final Calculation Sheet'!$L$4:$L$40=$BR$6)*($MW$6:$MW$42=1))&gt;0)</f>
        <v/>
      </c>
      <c r="MY6">
        <f>$MY$5+--($MX6)</f>
        <v/>
      </c>
      <c r="MZ6">
        <f>IF(ROW()-3&gt;MAX($MY$4:$MY$40),"",INDEX($BR$4:$BR$40,MATCH(ROW()-3,$MY$4:$MY$40,0)))</f>
        <v/>
      </c>
      <c r="NA6">
        <f>IF(COUNTIF('Buyer Groups'!DG6:DR6,0)+COUNTIF('Buyer Groups'!DT6:EN6,0)&gt;0,0,1)</f>
        <v/>
      </c>
      <c r="NB6">
        <f>IF($BW$6="",FALSE,SUMPRODUCT(('Final Calculation Sheet'!$M$4:$M$40=$BW$6)*($NA$6:$NA$42=1))&gt;0)</f>
        <v/>
      </c>
      <c r="NC6">
        <f>$NC$5+--($NB6)</f>
        <v/>
      </c>
      <c r="ND6">
        <f>IF(ROW()-3&gt;MAX($NC$4:$NC$40),"",INDEX($BW$4:$BW$40,MATCH(ROW()-3,$NC$4:$NC$40,0)))</f>
        <v/>
      </c>
      <c r="NE6">
        <f>IF(COUNTIF('Buyer Groups'!DG6:DS6,0)+COUNTIF('Buyer Groups'!DU6:EN6,0)&gt;0,0,1)</f>
        <v/>
      </c>
      <c r="NF6">
        <f>IF($CB$6="",FALSE,SUMPRODUCT(('Final Calculation Sheet'!$N$4:$N$40=$CB$6)*($NE$6:$NE$42=1))&gt;0)</f>
        <v/>
      </c>
      <c r="NG6">
        <f>$NG$5+--($NF6)</f>
        <v/>
      </c>
      <c r="NH6">
        <f>IF(ROW()-3&gt;MAX($NG$4:$NG$40),"",INDEX($CB$4:$CB$40,MATCH(ROW()-3,$NG$4:$NG$40,0)))</f>
        <v/>
      </c>
      <c r="NI6">
        <f>IF(COUNTIF('Buyer Groups'!DG6:DT6,0)+COUNTIF('Buyer Groups'!DV6:EN6,0)&gt;0,0,1)</f>
        <v/>
      </c>
      <c r="NJ6">
        <f>IF($CG$6="",FALSE,SUMPRODUCT(('Final Calculation Sheet'!$O$4:$O$40=$CG$6)*($NI$6:$NI$42=1))&gt;0)</f>
        <v/>
      </c>
      <c r="NK6">
        <f>$NK$5+--($NJ6)</f>
        <v/>
      </c>
      <c r="NL6">
        <f>IF(ROW()-3&gt;MAX($NK$4:$NK$40),"",INDEX($CG$4:$CG$40,MATCH(ROW()-3,$NK$4:$NK$40,0)))</f>
        <v/>
      </c>
      <c r="NM6">
        <f>IF(COUNTIF('Buyer Groups'!DG6:DU6,0)+COUNTIF('Buyer Groups'!DW6:EN6,0)&gt;0,0,1)</f>
        <v/>
      </c>
      <c r="NN6">
        <f>IF($CL$6="",FALSE,SUMPRODUCT(('Final Calculation Sheet'!$P$4:$P$40=$CL$6)*($NM$6:$NM$42=1))&gt;0)</f>
        <v/>
      </c>
      <c r="NO6">
        <f>$NO$5+--($NN6)</f>
        <v/>
      </c>
      <c r="NP6">
        <f>IF(ROW()-3&gt;MAX($NO$4:$NO$40),"",INDEX($CL$4:$CL$40,MATCH(ROW()-3,$NO$4:$NO$40,0)))</f>
        <v/>
      </c>
      <c r="NQ6">
        <f>IF(COUNTIF('Buyer Groups'!DG6:DV6,0)+COUNTIF('Buyer Groups'!DX6:EN6,0)&gt;0,0,1)</f>
        <v/>
      </c>
      <c r="NR6">
        <f>IF($CQ$6="",FALSE,SUMPRODUCT(('Final Calculation Sheet'!$Q$4:$Q$40=$CQ$6)*($NQ$6:$NQ$42=1))&gt;0)</f>
        <v/>
      </c>
      <c r="NS6">
        <f>$NS$5+--($NR6)</f>
        <v/>
      </c>
      <c r="NT6">
        <f>IF(ROW()-3&gt;MAX($NS$4:$NS$40),"",INDEX($CQ$4:$CQ$40,MATCH(ROW()-3,$NS$4:$NS$40,0)))</f>
        <v/>
      </c>
      <c r="NU6">
        <f>IF(COUNTIF('Buyer Groups'!DG6:DW6,0)+COUNTIF('Buyer Groups'!DY6:EN6,0)&gt;0,0,1)</f>
        <v/>
      </c>
      <c r="NV6">
        <f>IF($CV$6="",FALSE,SUMPRODUCT(('Final Calculation Sheet'!$R$4:$R$40=$CV$6)*($NU$6:$NU$42=1))&gt;0)</f>
        <v/>
      </c>
      <c r="NW6">
        <f>$NW$5+--($NV6)</f>
        <v/>
      </c>
      <c r="NX6">
        <f>IF(ROW()-3&gt;MAX($NW$4:$NW$40),"",INDEX($CV$4:$CV$40,MATCH(ROW()-3,$NW$4:$NW$40,0)))</f>
        <v/>
      </c>
      <c r="NY6">
        <f>IF(COUNTIF('Buyer Groups'!DG6:DX6,0)+COUNTIF('Buyer Groups'!DZ6:EN6,0)&gt;0,0,1)</f>
        <v/>
      </c>
      <c r="NZ6">
        <f>IF($DA$6="",FALSE,SUMPRODUCT(('Final Calculation Sheet'!$S$4:$S$40=$DA$6)*($NY$6:$NY$42=1))&gt;0)</f>
        <v/>
      </c>
      <c r="OA6">
        <f>$OA$5+--($NZ6)</f>
        <v/>
      </c>
      <c r="OB6">
        <f>IF(ROW()-3&gt;MAX($OA$4:$OA$40),"",INDEX($DA$4:$DA$40,MATCH(ROW()-3,$OA$4:$OA$40,0)))</f>
        <v/>
      </c>
      <c r="OC6">
        <f>IF(COUNTIF('Buyer Groups'!DG6:DY6,0)+COUNTIF('Buyer Groups'!EA6:EN6,0)&gt;0,0,1)</f>
        <v/>
      </c>
      <c r="OD6">
        <f>IF($DF$6="",FALSE,SUMPRODUCT(('Final Calculation Sheet'!$T$4:$T$40=$DF$6)*($OC$6:$OC$42=1))&gt;0)</f>
        <v/>
      </c>
      <c r="OE6">
        <f>$OE$5+--($OD6)</f>
        <v/>
      </c>
      <c r="OF6">
        <f>IF(ROW()-3&gt;MAX($OE$4:$OE$40),"",INDEX($DF$4:$DF$40,MATCH(ROW()-3,$OE$4:$OE$40,0)))</f>
        <v/>
      </c>
      <c r="OG6">
        <f>IF(COUNTIF('Buyer Groups'!DG6:DZ6,0)+COUNTIF('Buyer Groups'!EB6:EN6,0)&gt;0,0,1)</f>
        <v/>
      </c>
      <c r="OH6">
        <f>IF($DK$6="",FALSE,SUMPRODUCT(('Final Calculation Sheet'!$U$4:$U$40=$DK$6)*($OG$6:$OG$42=1))&gt;0)</f>
        <v/>
      </c>
      <c r="OI6">
        <f>$OI$5+--($OH6)</f>
        <v/>
      </c>
      <c r="OJ6">
        <f>IF(ROW()-3&gt;MAX($OI$4:$OI$40),"",INDEX($DK$4:$DK$40,MATCH(ROW()-3,$OI$4:$OI$40,0)))</f>
        <v/>
      </c>
      <c r="OK6">
        <f>IF(COUNTIF('Buyer Groups'!DG6:EA6,0)+COUNTIF('Buyer Groups'!EC6:EN6,0)&gt;0,0,1)</f>
        <v/>
      </c>
      <c r="OL6">
        <f>IF($DP$6="",FALSE,SUMPRODUCT(('Final Calculation Sheet'!$V$4:$V$40=$DP$6)*($OK$6:$OK$42=1))&gt;0)</f>
        <v/>
      </c>
      <c r="OM6">
        <f>$OM$5+--($OL6)</f>
        <v/>
      </c>
      <c r="ON6">
        <f>IF(ROW()-3&gt;MAX($OM$4:$OM$40),"",INDEX($DP$4:$DP$40,MATCH(ROW()-3,$OM$4:$OM$40,0)))</f>
        <v/>
      </c>
      <c r="OO6">
        <f>IF(COUNTIF('Buyer Groups'!DG6:EB6,0)+COUNTIF('Buyer Groups'!ED6:EN6,0)&gt;0,0,1)</f>
        <v/>
      </c>
      <c r="OP6">
        <f>IF($DU$6="",FALSE,SUMPRODUCT(('Final Calculation Sheet'!$W$4:$W$40=$DU$6)*($OO$6:$OO$42=1))&gt;0)</f>
        <v/>
      </c>
      <c r="OQ6">
        <f>$OQ$5+--($OP6)</f>
        <v/>
      </c>
      <c r="OR6">
        <f>IF(ROW()-3&gt;MAX($OQ$4:$OQ$40),"",INDEX($DU$4:$DU$40,MATCH(ROW()-3,$OQ$4:$OQ$40,0)))</f>
        <v/>
      </c>
      <c r="OS6">
        <f>IF(COUNTIF('Buyer Groups'!DG6:EC6,0)+COUNTIF('Buyer Groups'!EE6:EN6,0)&gt;0,0,1)</f>
        <v/>
      </c>
      <c r="OT6">
        <f>IF($DZ$6="",FALSE,SUMPRODUCT(('Final Calculation Sheet'!$X$4:$X$40=$DZ$6)*($OS$6:$OS$42=1))&gt;0)</f>
        <v/>
      </c>
      <c r="OU6">
        <f>$OU$5+--($OT6)</f>
        <v/>
      </c>
      <c r="OV6">
        <f>IF(ROW()-3&gt;MAX($OU$4:$OU$40),"",INDEX($DZ$4:$DZ$40,MATCH(ROW()-3,$OU$4:$OU$40,0)))</f>
        <v/>
      </c>
      <c r="OW6">
        <f>IF(COUNTIF('Buyer Groups'!DG6:ED6,0)+COUNTIF('Buyer Groups'!EF6:EN6,0)&gt;0,0,1)</f>
        <v/>
      </c>
      <c r="OX6">
        <f>IF($EE$6="",FALSE,SUMPRODUCT(('Final Calculation Sheet'!$Y$4:$Y$40=$EE$6)*($OW$6:$OW$42=1))&gt;0)</f>
        <v/>
      </c>
      <c r="OY6">
        <f>$OY$5+--($OX6)</f>
        <v/>
      </c>
      <c r="OZ6">
        <f>IF(ROW()-3&gt;MAX($OY$4:$OY$40),"",INDEX($EE$4:$EE$40,MATCH(ROW()-3,$OY$4:$OY$40,0)))</f>
        <v/>
      </c>
      <c r="PA6">
        <f>IF(COUNTIF('Buyer Groups'!DG6:EE6,0)+COUNTIF('Buyer Groups'!EG6:EN6,0)&gt;0,0,1)</f>
        <v/>
      </c>
      <c r="PB6">
        <f>IF($EJ$6="",FALSE,SUMPRODUCT(('Final Calculation Sheet'!$Z$4:$Z$40=$EJ$6)*($PA$6:$PA$42=1))&gt;0)</f>
        <v/>
      </c>
      <c r="PC6">
        <f>$PC$5+--($PB6)</f>
        <v/>
      </c>
      <c r="PD6">
        <f>IF(ROW()-3&gt;MAX($PC$4:$PC$40),"",INDEX($EJ$4:$EJ$40,MATCH(ROW()-3,$PC$4:$PC$40,0)))</f>
        <v/>
      </c>
      <c r="PE6">
        <f>IF(COUNTIF('Buyer Groups'!DG6:EF6,0)+COUNTIF('Buyer Groups'!EH6:EN6,0)&gt;0,0,1)</f>
        <v/>
      </c>
      <c r="PF6">
        <f>IF($EO$6="",FALSE,SUMPRODUCT(('Final Calculation Sheet'!$AA$4:$AA$40=$EO$6)*($PE$6:$PE$42=1))&gt;0)</f>
        <v/>
      </c>
      <c r="PG6">
        <f>$PG$5+--($PF6)</f>
        <v/>
      </c>
      <c r="PH6">
        <f>IF(ROW()-3&gt;MAX($PG$4:$PG$40),"",INDEX($EO$4:$EO$40,MATCH(ROW()-3,$PG$4:$PG$40,0)))</f>
        <v/>
      </c>
      <c r="PI6">
        <f>IF(COUNTIF('Buyer Groups'!DG6:EG6,0)+COUNTIF('Buyer Groups'!EI6:EN6,0)&gt;0,0,1)</f>
        <v/>
      </c>
      <c r="PJ6">
        <f>IF($ET$6="",FALSE,SUMPRODUCT(('Final Calculation Sheet'!$AB$4:$AB$40=$ET$6)*($PI$6:$PI$42=1))&gt;0)</f>
        <v/>
      </c>
      <c r="PK6">
        <f>$PK$5+--($PJ6)</f>
        <v/>
      </c>
      <c r="PL6">
        <f>IF(ROW()-3&gt;MAX($PK$4:$PK$40),"",INDEX($ET$4:$ET$40,MATCH(ROW()-3,$PK$4:$PK$40,0)))</f>
        <v/>
      </c>
      <c r="PM6">
        <f>IF(COUNTIF('Buyer Groups'!DG6:EH6,0)+COUNTIF('Buyer Groups'!EJ6:EN6,0)&gt;0,0,1)</f>
        <v/>
      </c>
      <c r="PN6">
        <f>IF($EY$6="",FALSE,SUMPRODUCT(('Final Calculation Sheet'!$AC$4:$AC$40=$EY$6)*($PM$6:$PM$42=1))&gt;0)</f>
        <v/>
      </c>
      <c r="PO6">
        <f>$PO$5+--($PN6)</f>
        <v/>
      </c>
      <c r="PP6">
        <f>IF(ROW()-3&gt;MAX($PO$4:$PO$40),"",INDEX($EY$4:$EY$40,MATCH(ROW()-3,$PO$4:$PO$40,0)))</f>
        <v/>
      </c>
      <c r="PQ6">
        <f>IF(COUNTIF('Buyer Groups'!DG6:EI6,0)+COUNTIF('Buyer Groups'!EK6:EN6,0)&gt;0,0,1)</f>
        <v/>
      </c>
      <c r="PR6">
        <f>IF($FD$6="",FALSE,SUMPRODUCT(('Final Calculation Sheet'!$AD$4:$AD$40=$FD$6)*($PQ$6:$PQ$42=1))&gt;0)</f>
        <v/>
      </c>
      <c r="PS6">
        <f>$PS$5+--($PR6)</f>
        <v/>
      </c>
      <c r="PT6">
        <f>IF(ROW()-3&gt;MAX($PS$4:$PS$40),"",INDEX($FD$4:$FD$40,MATCH(ROW()-3,$PS$4:$PS$40,0)))</f>
        <v/>
      </c>
      <c r="PU6">
        <f>IF(COUNTIF('Buyer Groups'!DG6:EJ6,0)+COUNTIF('Buyer Groups'!EL6:EN6,0)&gt;0,0,1)</f>
        <v/>
      </c>
      <c r="PV6">
        <f>IF($FX$6="",FALSE,SUMPRODUCT((IF('Final Calculation Sheet'!$AD$4:$AD$40&lt;=5,"SETTLED","OUTSTANDING")=$FX$6)*($PU$6:$PU$42=1))&gt;0)</f>
        <v/>
      </c>
      <c r="PW6">
        <f>$PW$5+--($PV6)</f>
        <v/>
      </c>
      <c r="PX6">
        <f>IF(ROW()-3&gt;MAX($PW$4:$PW$40),"",INDEX($FX$4:$FX$40,MATCH(ROW()-3,$PW$4:$PW$40,0)))</f>
        <v/>
      </c>
      <c r="PY6">
        <f>IF(COUNTIF('Buyer Groups'!DG6:EK6,0)+COUNTIF('Buyer Groups'!EM6:EN6,0)&gt;0,0,1)</f>
        <v/>
      </c>
      <c r="PZ6">
        <f>IF($FI$6="",FALSE,SUMPRODUCT(('Final Calculation Sheet'!$AF$4:$AF$40=$FI$6)*($PY$6:$PY$42=1))&gt;0)</f>
        <v/>
      </c>
      <c r="QA6">
        <f>$QA$5+--($PZ6)</f>
        <v/>
      </c>
      <c r="QB6">
        <f>IF(ROW()-3&gt;MAX($QA$4:$QA$40),"",INDEX($FI$4:$FI$40,MATCH(ROW()-3,$QA$4:$QA$40,0)))</f>
        <v/>
      </c>
      <c r="QC6">
        <f>IF(COUNTIF('Buyer Groups'!DG6:EL6,0)+COUNTIF('Buyer Groups'!EN6:EN6,0)&gt;0,0,1)</f>
        <v/>
      </c>
      <c r="QD6">
        <f>IF($FN$6="",FALSE,SUMPRODUCT(('Final Calculation Sheet'!$AG$4:$AG$40=$FN$6)*($QC$6:$QC$42=1))&gt;0)</f>
        <v/>
      </c>
      <c r="QE6">
        <f>$QE$5+--($QD6)</f>
        <v/>
      </c>
      <c r="QF6">
        <f>IF(ROW()-3&gt;MAX($QE$4:$QE$40),"",INDEX($FN$4:$FN$40,MATCH(ROW()-3,$QE$4:$QE$40,0)))</f>
        <v/>
      </c>
      <c r="QG6">
        <f>IF(COUNTIF('Buyer Groups'!DG6:EM6,0)&gt;0,0,1)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Groups'!DH7:EN7,0)&gt;0,0,1)</f>
        <v/>
      </c>
      <c r="LF7">
        <f>IF($O$7="",FALSE,SUMPRODUCT(('Final Calculation Sheet'!$F$4:$F$40=$O$7)*($LE$6:$LE$42=1))&gt;0)</f>
        <v/>
      </c>
      <c r="LG7">
        <f>$LG$6+--($LF7)</f>
        <v/>
      </c>
      <c r="LH7">
        <f>IF(ROW()-3&gt;MAX($LG$4:$LG$40),"",INDEX($O$4:$O$40,MATCH(ROW()-3,$LG$4:$LG$40,0)))</f>
        <v/>
      </c>
      <c r="LI7">
        <f>IF(COUNTIF('Buyer Groups'!DG7:DG7,0)+COUNTIF('Buyer Groups'!DI7:EN7,0)&gt;0,0,1)</f>
        <v/>
      </c>
      <c r="LJ7">
        <f>IF($T$7="",FALSE,SUMPRODUCT(('Final Calculation Sheet'!$G$4:$G$40=$T$7)*($LI$6:$LI$42=1))&gt;0)</f>
        <v/>
      </c>
      <c r="LK7">
        <f>$LK$6+--($LJ7)</f>
        <v/>
      </c>
      <c r="LL7">
        <f>IF(ROW()-3&gt;MAX($LK$4:$LK$40),"",INDEX($T$4:$T$40,MATCH(ROW()-3,$LK$4:$LK$40,0)))</f>
        <v/>
      </c>
      <c r="LM7">
        <f>IF(COUNTIF('Buyer Groups'!DG7:DH7,0)+COUNTIF('Buyer Groups'!DJ7:EN7,0)&gt;0,0,1)</f>
        <v/>
      </c>
      <c r="LN7">
        <f>IF($Y$7="",FALSE,SUMPRODUCT(('Final Calculation Sheet'!$B$4:$B$40=$Y$7)*($LM$6:$LM$42=1))&gt;0)</f>
        <v/>
      </c>
      <c r="LO7">
        <f>$LO$6+--($LN7)</f>
        <v/>
      </c>
      <c r="LP7">
        <f>IF(ROW()-3&gt;MAX($LO$4:$LO$40),"",INDEX($Y$4:$Y$40,MATCH(ROW()-3,$LO$4:$LO$40,0)))</f>
        <v/>
      </c>
      <c r="LQ7">
        <f>IF(COUNTIF('Buyer Groups'!DG7:DI7,0)+COUNTIF('Buyer Groups'!DK7:EN7,0)&gt;0,0,1)</f>
        <v/>
      </c>
      <c r="LR7">
        <f>IF($AD$7="",FALSE,SUMPRODUCT(('Final Calculation Sheet'!$D$4:$D$40=$AD$7)*($LQ$6:$LQ$42=1))&gt;0)</f>
        <v/>
      </c>
      <c r="LS7">
        <f>$LS$6+--($LR7)</f>
        <v/>
      </c>
      <c r="LT7">
        <f>IF(ROW()-3&gt;MAX($LS$4:$LS$40),"",INDEX($AD$4:$AD$40,MATCH(ROW()-3,$LS$4:$LS$40,0)))</f>
        <v/>
      </c>
      <c r="LU7">
        <f>IF(COUNTIF('Buyer Groups'!DG7:DJ7,0)+COUNTIF('Buyer Groups'!DL7:EN7,0)&gt;0,0,1)</f>
        <v/>
      </c>
      <c r="LV7">
        <f>IF($AI$7="",FALSE,SUMPRODUCT(('Final Calculation Sheet'!$A$4:$A$40=$AI$7)*($LU$6:$LU$42=1))&gt;0)</f>
        <v/>
      </c>
      <c r="LW7">
        <f>$LW$6+--($LV7)</f>
        <v/>
      </c>
      <c r="LX7">
        <f>IF(ROW()-3&gt;MAX($LW$4:$LW$40),"",INDEX($AI$4:$AI$40,MATCH(ROW()-3,$LW$4:$LW$40,0)))</f>
        <v/>
      </c>
      <c r="LY7">
        <f>IF(COUNTIF('Buyer Groups'!DG7:DK7,0)+COUNTIF('Buyer Groups'!DM7:EN7,0)&gt;0,0,1)</f>
        <v/>
      </c>
      <c r="LZ7">
        <f>IF($AN$7="",FALSE,SUMPRODUCT(('Final Calculation Sheet'!$E$4:$E$40=$AN$7)*($LY$6:$LY$42=1))&gt;0)</f>
        <v/>
      </c>
      <c r="MA7">
        <f>$MA$6+--($LZ7)</f>
        <v/>
      </c>
      <c r="MB7">
        <f>IF(ROW()-3&gt;MAX($MA$4:$MA$40),"",INDEX($AN$4:$AN$40,MATCH(ROW()-3,$MA$4:$MA$40,0)))</f>
        <v/>
      </c>
      <c r="MC7">
        <f>IF(COUNTIF('Buyer Groups'!DG7:DL7,0)+COUNTIF('Buyer Groups'!DN7:EN7,0)&gt;0,0,1)</f>
        <v/>
      </c>
      <c r="MD7">
        <f>IF($AS$7="",FALSE,SUMPRODUCT(('Final Calculation Sheet'!$C$4:$C$40=$AS$7)*($MC$6:$MC$42=1))&gt;0)</f>
        <v/>
      </c>
      <c r="ME7">
        <f>$ME$6+--($MD7)</f>
        <v/>
      </c>
      <c r="MF7">
        <f>IF(ROW()-3&gt;MAX($ME$4:$ME$40),"",INDEX($AS$4:$AS$40,MATCH(ROW()-3,$ME$4:$ME$40,0)))</f>
        <v/>
      </c>
      <c r="MG7">
        <f>IF(COUNTIF('Buyer Groups'!DG7:DM7,0)+COUNTIF('Buyer Groups'!DO7:EN7,0)&gt;0,0,1)</f>
        <v/>
      </c>
      <c r="MH7">
        <f>IF($AX$7="",FALSE,SUMPRODUCT(('Final Calculation Sheet'!$H$4:$H$40=$AX$7)*($MG$6:$MG$42=1))&gt;0)</f>
        <v/>
      </c>
      <c r="MI7">
        <f>$MI$6+--($MH7)</f>
        <v/>
      </c>
      <c r="MJ7">
        <f>IF(ROW()-3&gt;MAX($MI$4:$MI$40),"",INDEX($AX$4:$AX$40,MATCH(ROW()-3,$MI$4:$MI$40,0)))</f>
        <v/>
      </c>
      <c r="MK7">
        <f>IF(COUNTIF('Buyer Groups'!DG7:DN7,0)+COUNTIF('Buyer Groups'!DP7:EN7,0)&gt;0,0,1)</f>
        <v/>
      </c>
      <c r="ML7">
        <f>IF($BC$7="",FALSE,SUMPRODUCT(('Final Calculation Sheet'!$I$4:$I$40=$BC$7)*($MK$6:$MK$42=1))&gt;0)</f>
        <v/>
      </c>
      <c r="MM7">
        <f>$MM$6+--($ML7)</f>
        <v/>
      </c>
      <c r="MN7">
        <f>IF(ROW()-3&gt;MAX($MM$4:$MM$40),"",INDEX($BC$4:$BC$40,MATCH(ROW()-3,$MM$4:$MM$40,0)))</f>
        <v/>
      </c>
      <c r="MO7">
        <f>IF(COUNTIF('Buyer Groups'!DG7:DO7,0)+COUNTIF('Buyer Groups'!DQ7:EN7,0)&gt;0,0,1)</f>
        <v/>
      </c>
      <c r="MP7">
        <f>IF($BH$7="",FALSE,SUMPRODUCT(('Final Calculation Sheet'!$J$4:$J$40=$BH$7)*($MO$6:$MO$42=1))&gt;0)</f>
        <v/>
      </c>
      <c r="MQ7">
        <f>$MQ$6+--($MP7)</f>
        <v/>
      </c>
      <c r="MR7">
        <f>IF(ROW()-3&gt;MAX($MQ$4:$MQ$40),"",INDEX($BH$4:$BH$40,MATCH(ROW()-3,$MQ$4:$MQ$40,0)))</f>
        <v/>
      </c>
      <c r="MS7">
        <f>IF(COUNTIF('Buyer Groups'!DG7:DP7,0)+COUNTIF('Buyer Groups'!DR7:EN7,0)&gt;0,0,1)</f>
        <v/>
      </c>
      <c r="MT7">
        <f>IF($BM$7="",FALSE,SUMPRODUCT(('Final Calculation Sheet'!$K$4:$K$40=$BM$7)*($MS$6:$MS$42=1))&gt;0)</f>
        <v/>
      </c>
      <c r="MU7">
        <f>$MU$6+--($MT7)</f>
        <v/>
      </c>
      <c r="MV7">
        <f>IF(ROW()-3&gt;MAX($MU$4:$MU$40),"",INDEX($BM$4:$BM$40,MATCH(ROW()-3,$MU$4:$MU$40,0)))</f>
        <v/>
      </c>
      <c r="MW7">
        <f>IF(COUNTIF('Buyer Groups'!DG7:DQ7,0)+COUNTIF('Buyer Groups'!DS7:EN7,0)&gt;0,0,1)</f>
        <v/>
      </c>
      <c r="MX7">
        <f>IF($BR$7="",FALSE,SUMPRODUCT(('Final Calculation Sheet'!$L$4:$L$40=$BR$7)*($MW$6:$MW$42=1))&gt;0)</f>
        <v/>
      </c>
      <c r="MY7">
        <f>$MY$6+--($MX7)</f>
        <v/>
      </c>
      <c r="MZ7">
        <f>IF(ROW()-3&gt;MAX($MY$4:$MY$40),"",INDEX($BR$4:$BR$40,MATCH(ROW()-3,$MY$4:$MY$40,0)))</f>
        <v/>
      </c>
      <c r="NA7">
        <f>IF(COUNTIF('Buyer Groups'!DG7:DR7,0)+COUNTIF('Buyer Groups'!DT7:EN7,0)&gt;0,0,1)</f>
        <v/>
      </c>
      <c r="NB7">
        <f>IF($BW$7="",FALSE,SUMPRODUCT(('Final Calculation Sheet'!$M$4:$M$40=$BW$7)*($NA$6:$NA$42=1))&gt;0)</f>
        <v/>
      </c>
      <c r="NC7">
        <f>$NC$6+--($NB7)</f>
        <v/>
      </c>
      <c r="ND7">
        <f>IF(ROW()-3&gt;MAX($NC$4:$NC$40),"",INDEX($BW$4:$BW$40,MATCH(ROW()-3,$NC$4:$NC$40,0)))</f>
        <v/>
      </c>
      <c r="NE7">
        <f>IF(COUNTIF('Buyer Groups'!DG7:DS7,0)+COUNTIF('Buyer Groups'!DU7:EN7,0)&gt;0,0,1)</f>
        <v/>
      </c>
      <c r="NF7">
        <f>IF($CB$7="",FALSE,SUMPRODUCT(('Final Calculation Sheet'!$N$4:$N$40=$CB$7)*($NE$6:$NE$42=1))&gt;0)</f>
        <v/>
      </c>
      <c r="NG7">
        <f>$NG$6+--($NF7)</f>
        <v/>
      </c>
      <c r="NH7">
        <f>IF(ROW()-3&gt;MAX($NG$4:$NG$40),"",INDEX($CB$4:$CB$40,MATCH(ROW()-3,$NG$4:$NG$40,0)))</f>
        <v/>
      </c>
      <c r="NI7">
        <f>IF(COUNTIF('Buyer Groups'!DG7:DT7,0)+COUNTIF('Buyer Groups'!DV7:EN7,0)&gt;0,0,1)</f>
        <v/>
      </c>
      <c r="NJ7">
        <f>IF($CG$7="",FALSE,SUMPRODUCT(('Final Calculation Sheet'!$O$4:$O$40=$CG$7)*($NI$6:$NI$42=1))&gt;0)</f>
        <v/>
      </c>
      <c r="NK7">
        <f>$NK$6+--($NJ7)</f>
        <v/>
      </c>
      <c r="NL7">
        <f>IF(ROW()-3&gt;MAX($NK$4:$NK$40),"",INDEX($CG$4:$CG$40,MATCH(ROW()-3,$NK$4:$NK$40,0)))</f>
        <v/>
      </c>
      <c r="NM7">
        <f>IF(COUNTIF('Buyer Groups'!DG7:DU7,0)+COUNTIF('Buyer Groups'!DW7:EN7,0)&gt;0,0,1)</f>
        <v/>
      </c>
      <c r="NN7">
        <f>IF($CL$7="",FALSE,SUMPRODUCT(('Final Calculation Sheet'!$P$4:$P$40=$CL$7)*($NM$6:$NM$42=1))&gt;0)</f>
        <v/>
      </c>
      <c r="NO7">
        <f>$NO$6+--($NN7)</f>
        <v/>
      </c>
      <c r="NP7">
        <f>IF(ROW()-3&gt;MAX($NO$4:$NO$40),"",INDEX($CL$4:$CL$40,MATCH(ROW()-3,$NO$4:$NO$40,0)))</f>
        <v/>
      </c>
      <c r="NQ7">
        <f>IF(COUNTIF('Buyer Groups'!DG7:DV7,0)+COUNTIF('Buyer Groups'!DX7:EN7,0)&gt;0,0,1)</f>
        <v/>
      </c>
      <c r="NR7">
        <f>IF($CQ$7="",FALSE,SUMPRODUCT(('Final Calculation Sheet'!$Q$4:$Q$40=$CQ$7)*($NQ$6:$NQ$42=1))&gt;0)</f>
        <v/>
      </c>
      <c r="NS7">
        <f>$NS$6+--($NR7)</f>
        <v/>
      </c>
      <c r="NT7">
        <f>IF(ROW()-3&gt;MAX($NS$4:$NS$40),"",INDEX($CQ$4:$CQ$40,MATCH(ROW()-3,$NS$4:$NS$40,0)))</f>
        <v/>
      </c>
      <c r="NU7">
        <f>IF(COUNTIF('Buyer Groups'!DG7:DW7,0)+COUNTIF('Buyer Groups'!DY7:EN7,0)&gt;0,0,1)</f>
        <v/>
      </c>
      <c r="NV7">
        <f>IF($CV$7="",FALSE,SUMPRODUCT(('Final Calculation Sheet'!$R$4:$R$40=$CV$7)*($NU$6:$NU$42=1))&gt;0)</f>
        <v/>
      </c>
      <c r="NW7">
        <f>$NW$6+--($NV7)</f>
        <v/>
      </c>
      <c r="NX7">
        <f>IF(ROW()-3&gt;MAX($NW$4:$NW$40),"",INDEX($CV$4:$CV$40,MATCH(ROW()-3,$NW$4:$NW$40,0)))</f>
        <v/>
      </c>
      <c r="NY7">
        <f>IF(COUNTIF('Buyer Groups'!DG7:DX7,0)+COUNTIF('Buyer Groups'!DZ7:EN7,0)&gt;0,0,1)</f>
        <v/>
      </c>
      <c r="NZ7">
        <f>IF($DA$7="",FALSE,SUMPRODUCT(('Final Calculation Sheet'!$S$4:$S$40=$DA$7)*($NY$6:$NY$42=1))&gt;0)</f>
        <v/>
      </c>
      <c r="OA7">
        <f>$OA$6+--($NZ7)</f>
        <v/>
      </c>
      <c r="OB7">
        <f>IF(ROW()-3&gt;MAX($OA$4:$OA$40),"",INDEX($DA$4:$DA$40,MATCH(ROW()-3,$OA$4:$OA$40,0)))</f>
        <v/>
      </c>
      <c r="OC7">
        <f>IF(COUNTIF('Buyer Groups'!DG7:DY7,0)+COUNTIF('Buyer Groups'!EA7:EN7,0)&gt;0,0,1)</f>
        <v/>
      </c>
      <c r="OD7">
        <f>IF($DF$7="",FALSE,SUMPRODUCT(('Final Calculation Sheet'!$T$4:$T$40=$DF$7)*($OC$6:$OC$42=1))&gt;0)</f>
        <v/>
      </c>
      <c r="OE7">
        <f>$OE$6+--($OD7)</f>
        <v/>
      </c>
      <c r="OF7">
        <f>IF(ROW()-3&gt;MAX($OE$4:$OE$40),"",INDEX($DF$4:$DF$40,MATCH(ROW()-3,$OE$4:$OE$40,0)))</f>
        <v/>
      </c>
      <c r="OG7">
        <f>IF(COUNTIF('Buyer Groups'!DG7:DZ7,0)+COUNTIF('Buyer Groups'!EB7:EN7,0)&gt;0,0,1)</f>
        <v/>
      </c>
      <c r="OH7">
        <f>IF($DK$7="",FALSE,SUMPRODUCT(('Final Calculation Sheet'!$U$4:$U$40=$DK$7)*($OG$6:$OG$42=1))&gt;0)</f>
        <v/>
      </c>
      <c r="OI7">
        <f>$OI$6+--($OH7)</f>
        <v/>
      </c>
      <c r="OJ7">
        <f>IF(ROW()-3&gt;MAX($OI$4:$OI$40),"",INDEX($DK$4:$DK$40,MATCH(ROW()-3,$OI$4:$OI$40,0)))</f>
        <v/>
      </c>
      <c r="OK7">
        <f>IF(COUNTIF('Buyer Groups'!DG7:EA7,0)+COUNTIF('Buyer Groups'!EC7:EN7,0)&gt;0,0,1)</f>
        <v/>
      </c>
      <c r="OL7">
        <f>IF($DP$7="",FALSE,SUMPRODUCT(('Final Calculation Sheet'!$V$4:$V$40=$DP$7)*($OK$6:$OK$42=1))&gt;0)</f>
        <v/>
      </c>
      <c r="OM7">
        <f>$OM$6+--($OL7)</f>
        <v/>
      </c>
      <c r="ON7">
        <f>IF(ROW()-3&gt;MAX($OM$4:$OM$40),"",INDEX($DP$4:$DP$40,MATCH(ROW()-3,$OM$4:$OM$40,0)))</f>
        <v/>
      </c>
      <c r="OO7">
        <f>IF(COUNTIF('Buyer Groups'!DG7:EB7,0)+COUNTIF('Buyer Groups'!ED7:EN7,0)&gt;0,0,1)</f>
        <v/>
      </c>
      <c r="OP7">
        <f>IF($DU$7="",FALSE,SUMPRODUCT(('Final Calculation Sheet'!$W$4:$W$40=$DU$7)*($OO$6:$OO$42=1))&gt;0)</f>
        <v/>
      </c>
      <c r="OQ7">
        <f>$OQ$6+--($OP7)</f>
        <v/>
      </c>
      <c r="OR7">
        <f>IF(ROW()-3&gt;MAX($OQ$4:$OQ$40),"",INDEX($DU$4:$DU$40,MATCH(ROW()-3,$OQ$4:$OQ$40,0)))</f>
        <v/>
      </c>
      <c r="OS7">
        <f>IF(COUNTIF('Buyer Groups'!DG7:EC7,0)+COUNTIF('Buyer Groups'!EE7:EN7,0)&gt;0,0,1)</f>
        <v/>
      </c>
      <c r="OT7">
        <f>IF($DZ$7="",FALSE,SUMPRODUCT(('Final Calculation Sheet'!$X$4:$X$40=$DZ$7)*($OS$6:$OS$42=1))&gt;0)</f>
        <v/>
      </c>
      <c r="OU7">
        <f>$OU$6+--($OT7)</f>
        <v/>
      </c>
      <c r="OV7">
        <f>IF(ROW()-3&gt;MAX($OU$4:$OU$40),"",INDEX($DZ$4:$DZ$40,MATCH(ROW()-3,$OU$4:$OU$40,0)))</f>
        <v/>
      </c>
      <c r="OW7">
        <f>IF(COUNTIF('Buyer Groups'!DG7:ED7,0)+COUNTIF('Buyer Groups'!EF7:EN7,0)&gt;0,0,1)</f>
        <v/>
      </c>
      <c r="OX7">
        <f>IF($EE$7="",FALSE,SUMPRODUCT(('Final Calculation Sheet'!$Y$4:$Y$40=$EE$7)*($OW$6:$OW$42=1))&gt;0)</f>
        <v/>
      </c>
      <c r="OY7">
        <f>$OY$6+--($OX7)</f>
        <v/>
      </c>
      <c r="OZ7">
        <f>IF(ROW()-3&gt;MAX($OY$4:$OY$40),"",INDEX($EE$4:$EE$40,MATCH(ROW()-3,$OY$4:$OY$40,0)))</f>
        <v/>
      </c>
      <c r="PA7">
        <f>IF(COUNTIF('Buyer Groups'!DG7:EE7,0)+COUNTIF('Buyer Groups'!EG7:EN7,0)&gt;0,0,1)</f>
        <v/>
      </c>
      <c r="PB7">
        <f>IF($EJ$7="",FALSE,SUMPRODUCT(('Final Calculation Sheet'!$Z$4:$Z$40=$EJ$7)*($PA$6:$PA$42=1))&gt;0)</f>
        <v/>
      </c>
      <c r="PC7">
        <f>$PC$6+--($PB7)</f>
        <v/>
      </c>
      <c r="PD7">
        <f>IF(ROW()-3&gt;MAX($PC$4:$PC$40),"",INDEX($EJ$4:$EJ$40,MATCH(ROW()-3,$PC$4:$PC$40,0)))</f>
        <v/>
      </c>
      <c r="PE7">
        <f>IF(COUNTIF('Buyer Groups'!DG7:EF7,0)+COUNTIF('Buyer Groups'!EH7:EN7,0)&gt;0,0,1)</f>
        <v/>
      </c>
      <c r="PF7">
        <f>IF($EO$7="",FALSE,SUMPRODUCT(('Final Calculation Sheet'!$AA$4:$AA$40=$EO$7)*($PE$6:$PE$42=1))&gt;0)</f>
        <v/>
      </c>
      <c r="PG7">
        <f>$PG$6+--($PF7)</f>
        <v/>
      </c>
      <c r="PH7">
        <f>IF(ROW()-3&gt;MAX($PG$4:$PG$40),"",INDEX($EO$4:$EO$40,MATCH(ROW()-3,$PG$4:$PG$40,0)))</f>
        <v/>
      </c>
      <c r="PI7">
        <f>IF(COUNTIF('Buyer Groups'!DG7:EG7,0)+COUNTIF('Buyer Groups'!EI7:EN7,0)&gt;0,0,1)</f>
        <v/>
      </c>
      <c r="PJ7">
        <f>IF($ET$7="",FALSE,SUMPRODUCT(('Final Calculation Sheet'!$AB$4:$AB$40=$ET$7)*($PI$6:$PI$42=1))&gt;0)</f>
        <v/>
      </c>
      <c r="PK7">
        <f>$PK$6+--($PJ7)</f>
        <v/>
      </c>
      <c r="PL7">
        <f>IF(ROW()-3&gt;MAX($PK$4:$PK$40),"",INDEX($ET$4:$ET$40,MATCH(ROW()-3,$PK$4:$PK$40,0)))</f>
        <v/>
      </c>
      <c r="PM7">
        <f>IF(COUNTIF('Buyer Groups'!DG7:EH7,0)+COUNTIF('Buyer Groups'!EJ7:EN7,0)&gt;0,0,1)</f>
        <v/>
      </c>
      <c r="PN7">
        <f>IF($EY$7="",FALSE,SUMPRODUCT(('Final Calculation Sheet'!$AC$4:$AC$40=$EY$7)*($PM$6:$PM$42=1))&gt;0)</f>
        <v/>
      </c>
      <c r="PO7">
        <f>$PO$6+--($PN7)</f>
        <v/>
      </c>
      <c r="PP7">
        <f>IF(ROW()-3&gt;MAX($PO$4:$PO$40),"",INDEX($EY$4:$EY$40,MATCH(ROW()-3,$PO$4:$PO$40,0)))</f>
        <v/>
      </c>
      <c r="PQ7">
        <f>IF(COUNTIF('Buyer Groups'!DG7:EI7,0)+COUNTIF('Buyer Groups'!EK7:EN7,0)&gt;0,0,1)</f>
        <v/>
      </c>
      <c r="PR7">
        <f>IF($FD$7="",FALSE,SUMPRODUCT(('Final Calculation Sheet'!$AD$4:$AD$40=$FD$7)*($PQ$6:$PQ$42=1))&gt;0)</f>
        <v/>
      </c>
      <c r="PS7">
        <f>$PS$6+--($PR7)</f>
        <v/>
      </c>
      <c r="PT7">
        <f>IF(ROW()-3&gt;MAX($PS$4:$PS$40),"",INDEX($FD$4:$FD$40,MATCH(ROW()-3,$PS$4:$PS$40,0)))</f>
        <v/>
      </c>
      <c r="PU7">
        <f>IF(COUNTIF('Buyer Groups'!DG7:EJ7,0)+COUNTIF('Buyer Groups'!EL7:EN7,0)&gt;0,0,1)</f>
        <v/>
      </c>
      <c r="PV7">
        <f>IF($FX$7="",FALSE,SUMPRODUCT((IF('Final Calculation Sheet'!$AD$4:$AD$40&lt;=5,"SETTLED","OUTSTANDING")=$FX$7)*($PU$6:$PU$42=1))&gt;0)</f>
        <v/>
      </c>
      <c r="PW7">
        <f>$PW$6+--($PV7)</f>
        <v/>
      </c>
      <c r="PX7">
        <f>IF(ROW()-3&gt;MAX($PW$4:$PW$40),"",INDEX($FX$4:$FX$40,MATCH(ROW()-3,$PW$4:$PW$40,0)))</f>
        <v/>
      </c>
      <c r="PY7">
        <f>IF(COUNTIF('Buyer Groups'!DG7:EK7,0)+COUNTIF('Buyer Groups'!EM7:EN7,0)&gt;0,0,1)</f>
        <v/>
      </c>
      <c r="PZ7">
        <f>IF($FI$7="",FALSE,SUMPRODUCT(('Final Calculation Sheet'!$AF$4:$AF$40=$FI$7)*($PY$6:$PY$42=1))&gt;0)</f>
        <v/>
      </c>
      <c r="QA7">
        <f>$QA$6+--($PZ7)</f>
        <v/>
      </c>
      <c r="QB7">
        <f>IF(ROW()-3&gt;MAX($QA$4:$QA$40),"",INDEX($FI$4:$FI$40,MATCH(ROW()-3,$QA$4:$QA$40,0)))</f>
        <v/>
      </c>
      <c r="QC7">
        <f>IF(COUNTIF('Buyer Groups'!DG7:EL7,0)+COUNTIF('Buyer Groups'!EN7:EN7,0)&gt;0,0,1)</f>
        <v/>
      </c>
      <c r="QD7">
        <f>IF($FN$7="",FALSE,SUMPRODUCT(('Final Calculation Sheet'!$AG$4:$AG$40=$FN$7)*($QC$6:$QC$42=1))&gt;0)</f>
        <v/>
      </c>
      <c r="QE7">
        <f>$QE$6+--($QD7)</f>
        <v/>
      </c>
      <c r="QF7">
        <f>IF(ROW()-3&gt;MAX($QE$4:$QE$40),"",INDEX($FN$4:$FN$40,MATCH(ROW()-3,$QE$4:$QE$40,0)))</f>
        <v/>
      </c>
      <c r="QG7">
        <f>IF(COUNTIF('Buyer Groups'!DG7:EM7,0)&gt;0,0,1)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Groups'!DH8:EN8,0)&gt;0,0,1)</f>
        <v/>
      </c>
      <c r="LF8">
        <f>IF($O$8="",FALSE,SUMPRODUCT(('Final Calculation Sheet'!$F$4:$F$40=$O$8)*($LE$6:$LE$42=1))&gt;0)</f>
        <v/>
      </c>
      <c r="LG8">
        <f>$LG$7+--($LF8)</f>
        <v/>
      </c>
      <c r="LH8">
        <f>IF(ROW()-3&gt;MAX($LG$4:$LG$40),"",INDEX($O$4:$O$40,MATCH(ROW()-3,$LG$4:$LG$40,0)))</f>
        <v/>
      </c>
      <c r="LI8">
        <f>IF(COUNTIF('Buyer Groups'!DG8:DG8,0)+COUNTIF('Buyer Groups'!DI8:EN8,0)&gt;0,0,1)</f>
        <v/>
      </c>
      <c r="LJ8">
        <f>IF($T$8="",FALSE,SUMPRODUCT(('Final Calculation Sheet'!$G$4:$G$40=$T$8)*($LI$6:$LI$42=1))&gt;0)</f>
        <v/>
      </c>
      <c r="LK8">
        <f>$LK$7+--($LJ8)</f>
        <v/>
      </c>
      <c r="LL8">
        <f>IF(ROW()-3&gt;MAX($LK$4:$LK$40),"",INDEX($T$4:$T$40,MATCH(ROW()-3,$LK$4:$LK$40,0)))</f>
        <v/>
      </c>
      <c r="LM8">
        <f>IF(COUNTIF('Buyer Groups'!DG8:DH8,0)+COUNTIF('Buyer Groups'!DJ8:EN8,0)&gt;0,0,1)</f>
        <v/>
      </c>
      <c r="LN8">
        <f>IF($Y$8="",FALSE,SUMPRODUCT(('Final Calculation Sheet'!$B$4:$B$40=$Y$8)*($LM$6:$LM$42=1))&gt;0)</f>
        <v/>
      </c>
      <c r="LO8">
        <f>$LO$7+--($LN8)</f>
        <v/>
      </c>
      <c r="LP8">
        <f>IF(ROW()-3&gt;MAX($LO$4:$LO$40),"",INDEX($Y$4:$Y$40,MATCH(ROW()-3,$LO$4:$LO$40,0)))</f>
        <v/>
      </c>
      <c r="LQ8">
        <f>IF(COUNTIF('Buyer Groups'!DG8:DI8,0)+COUNTIF('Buyer Groups'!DK8:EN8,0)&gt;0,0,1)</f>
        <v/>
      </c>
      <c r="LR8">
        <f>IF($AD$8="",FALSE,SUMPRODUCT(('Final Calculation Sheet'!$D$4:$D$40=$AD$8)*($LQ$6:$LQ$42=1))&gt;0)</f>
        <v/>
      </c>
      <c r="LS8">
        <f>$LS$7+--($LR8)</f>
        <v/>
      </c>
      <c r="LT8">
        <f>IF(ROW()-3&gt;MAX($LS$4:$LS$40),"",INDEX($AD$4:$AD$40,MATCH(ROW()-3,$LS$4:$LS$40,0)))</f>
        <v/>
      </c>
      <c r="LU8">
        <f>IF(COUNTIF('Buyer Groups'!DG8:DJ8,0)+COUNTIF('Buyer Groups'!DL8:EN8,0)&gt;0,0,1)</f>
        <v/>
      </c>
      <c r="LV8">
        <f>IF($AI$8="",FALSE,SUMPRODUCT(('Final Calculation Sheet'!$A$4:$A$40=$AI$8)*($LU$6:$LU$42=1))&gt;0)</f>
        <v/>
      </c>
      <c r="LW8">
        <f>$LW$7+--($LV8)</f>
        <v/>
      </c>
      <c r="LX8">
        <f>IF(ROW()-3&gt;MAX($LW$4:$LW$40),"",INDEX($AI$4:$AI$40,MATCH(ROW()-3,$LW$4:$LW$40,0)))</f>
        <v/>
      </c>
      <c r="LY8">
        <f>IF(COUNTIF('Buyer Groups'!DG8:DK8,0)+COUNTIF('Buyer Groups'!DM8:EN8,0)&gt;0,0,1)</f>
        <v/>
      </c>
      <c r="LZ8">
        <f>IF($AN$8="",FALSE,SUMPRODUCT(('Final Calculation Sheet'!$E$4:$E$40=$AN$8)*($LY$6:$LY$42=1))&gt;0)</f>
        <v/>
      </c>
      <c r="MA8">
        <f>$MA$7+--($LZ8)</f>
        <v/>
      </c>
      <c r="MB8">
        <f>IF(ROW()-3&gt;MAX($MA$4:$MA$40),"",INDEX($AN$4:$AN$40,MATCH(ROW()-3,$MA$4:$MA$40,0)))</f>
        <v/>
      </c>
      <c r="MC8">
        <f>IF(COUNTIF('Buyer Groups'!DG8:DL8,0)+COUNTIF('Buyer Groups'!DN8:EN8,0)&gt;0,0,1)</f>
        <v/>
      </c>
      <c r="MD8">
        <f>IF($AS$8="",FALSE,SUMPRODUCT(('Final Calculation Sheet'!$C$4:$C$40=$AS$8)*($MC$6:$MC$42=1))&gt;0)</f>
        <v/>
      </c>
      <c r="ME8">
        <f>$ME$7+--($MD8)</f>
        <v/>
      </c>
      <c r="MF8">
        <f>IF(ROW()-3&gt;MAX($ME$4:$ME$40),"",INDEX($AS$4:$AS$40,MATCH(ROW()-3,$ME$4:$ME$40,0)))</f>
        <v/>
      </c>
      <c r="MG8">
        <f>IF(COUNTIF('Buyer Groups'!DG8:DM8,0)+COUNTIF('Buyer Groups'!DO8:EN8,0)&gt;0,0,1)</f>
        <v/>
      </c>
      <c r="MH8">
        <f>IF($AX$8="",FALSE,SUMPRODUCT(('Final Calculation Sheet'!$H$4:$H$40=$AX$8)*($MG$6:$MG$42=1))&gt;0)</f>
        <v/>
      </c>
      <c r="MI8">
        <f>$MI$7+--($MH8)</f>
        <v/>
      </c>
      <c r="MJ8">
        <f>IF(ROW()-3&gt;MAX($MI$4:$MI$40),"",INDEX($AX$4:$AX$40,MATCH(ROW()-3,$MI$4:$MI$40,0)))</f>
        <v/>
      </c>
      <c r="MK8">
        <f>IF(COUNTIF('Buyer Groups'!DG8:DN8,0)+COUNTIF('Buyer Groups'!DP8:EN8,0)&gt;0,0,1)</f>
        <v/>
      </c>
      <c r="ML8">
        <f>IF($BC$8="",FALSE,SUMPRODUCT(('Final Calculation Sheet'!$I$4:$I$40=$BC$8)*($MK$6:$MK$42=1))&gt;0)</f>
        <v/>
      </c>
      <c r="MM8">
        <f>$MM$7+--($ML8)</f>
        <v/>
      </c>
      <c r="MN8">
        <f>IF(ROW()-3&gt;MAX($MM$4:$MM$40),"",INDEX($BC$4:$BC$40,MATCH(ROW()-3,$MM$4:$MM$40,0)))</f>
        <v/>
      </c>
      <c r="MO8">
        <f>IF(COUNTIF('Buyer Groups'!DG8:DO8,0)+COUNTIF('Buyer Groups'!DQ8:EN8,0)&gt;0,0,1)</f>
        <v/>
      </c>
      <c r="MP8">
        <f>IF($BH$8="",FALSE,SUMPRODUCT(('Final Calculation Sheet'!$J$4:$J$40=$BH$8)*($MO$6:$MO$42=1))&gt;0)</f>
        <v/>
      </c>
      <c r="MQ8">
        <f>$MQ$7+--($MP8)</f>
        <v/>
      </c>
      <c r="MR8">
        <f>IF(ROW()-3&gt;MAX($MQ$4:$MQ$40),"",INDEX($BH$4:$BH$40,MATCH(ROW()-3,$MQ$4:$MQ$40,0)))</f>
        <v/>
      </c>
      <c r="MS8">
        <f>IF(COUNTIF('Buyer Groups'!DG8:DP8,0)+COUNTIF('Buyer Groups'!DR8:EN8,0)&gt;0,0,1)</f>
        <v/>
      </c>
      <c r="MT8">
        <f>IF($BM$8="",FALSE,SUMPRODUCT(('Final Calculation Sheet'!$K$4:$K$40=$BM$8)*($MS$6:$MS$42=1))&gt;0)</f>
        <v/>
      </c>
      <c r="MU8">
        <f>$MU$7+--($MT8)</f>
        <v/>
      </c>
      <c r="MV8">
        <f>IF(ROW()-3&gt;MAX($MU$4:$MU$40),"",INDEX($BM$4:$BM$40,MATCH(ROW()-3,$MU$4:$MU$40,0)))</f>
        <v/>
      </c>
      <c r="MW8">
        <f>IF(COUNTIF('Buyer Groups'!DG8:DQ8,0)+COUNTIF('Buyer Groups'!DS8:EN8,0)&gt;0,0,1)</f>
        <v/>
      </c>
      <c r="MX8">
        <f>IF($BR$8="",FALSE,SUMPRODUCT(('Final Calculation Sheet'!$L$4:$L$40=$BR$8)*($MW$6:$MW$42=1))&gt;0)</f>
        <v/>
      </c>
      <c r="MY8">
        <f>$MY$7+--($MX8)</f>
        <v/>
      </c>
      <c r="MZ8">
        <f>IF(ROW()-3&gt;MAX($MY$4:$MY$40),"",INDEX($BR$4:$BR$40,MATCH(ROW()-3,$MY$4:$MY$40,0)))</f>
        <v/>
      </c>
      <c r="NA8">
        <f>IF(COUNTIF('Buyer Groups'!DG8:DR8,0)+COUNTIF('Buyer Groups'!DT8:EN8,0)&gt;0,0,1)</f>
        <v/>
      </c>
      <c r="NB8">
        <f>IF($BW$8="",FALSE,SUMPRODUCT(('Final Calculation Sheet'!$M$4:$M$40=$BW$8)*($NA$6:$NA$42=1))&gt;0)</f>
        <v/>
      </c>
      <c r="NC8">
        <f>$NC$7+--($NB8)</f>
        <v/>
      </c>
      <c r="ND8">
        <f>IF(ROW()-3&gt;MAX($NC$4:$NC$40),"",INDEX($BW$4:$BW$40,MATCH(ROW()-3,$NC$4:$NC$40,0)))</f>
        <v/>
      </c>
      <c r="NE8">
        <f>IF(COUNTIF('Buyer Groups'!DG8:DS8,0)+COUNTIF('Buyer Groups'!DU8:EN8,0)&gt;0,0,1)</f>
        <v/>
      </c>
      <c r="NF8">
        <f>IF($CB$8="",FALSE,SUMPRODUCT(('Final Calculation Sheet'!$N$4:$N$40=$CB$8)*($NE$6:$NE$42=1))&gt;0)</f>
        <v/>
      </c>
      <c r="NG8">
        <f>$NG$7+--($NF8)</f>
        <v/>
      </c>
      <c r="NH8">
        <f>IF(ROW()-3&gt;MAX($NG$4:$NG$40),"",INDEX($CB$4:$CB$40,MATCH(ROW()-3,$NG$4:$NG$40,0)))</f>
        <v/>
      </c>
      <c r="NI8">
        <f>IF(COUNTIF('Buyer Groups'!DG8:DT8,0)+COUNTIF('Buyer Groups'!DV8:EN8,0)&gt;0,0,1)</f>
        <v/>
      </c>
      <c r="NJ8">
        <f>IF($CG$8="",FALSE,SUMPRODUCT(('Final Calculation Sheet'!$O$4:$O$40=$CG$8)*($NI$6:$NI$42=1))&gt;0)</f>
        <v/>
      </c>
      <c r="NK8">
        <f>$NK$7+--($NJ8)</f>
        <v/>
      </c>
      <c r="NL8">
        <f>IF(ROW()-3&gt;MAX($NK$4:$NK$40),"",INDEX($CG$4:$CG$40,MATCH(ROW()-3,$NK$4:$NK$40,0)))</f>
        <v/>
      </c>
      <c r="NM8">
        <f>IF(COUNTIF('Buyer Groups'!DG8:DU8,0)+COUNTIF('Buyer Groups'!DW8:EN8,0)&gt;0,0,1)</f>
        <v/>
      </c>
      <c r="NN8">
        <f>IF($CL$8="",FALSE,SUMPRODUCT(('Final Calculation Sheet'!$P$4:$P$40=$CL$8)*($NM$6:$NM$42=1))&gt;0)</f>
        <v/>
      </c>
      <c r="NO8">
        <f>$NO$7+--($NN8)</f>
        <v/>
      </c>
      <c r="NP8">
        <f>IF(ROW()-3&gt;MAX($NO$4:$NO$40),"",INDEX($CL$4:$CL$40,MATCH(ROW()-3,$NO$4:$NO$40,0)))</f>
        <v/>
      </c>
      <c r="NQ8">
        <f>IF(COUNTIF('Buyer Groups'!DG8:DV8,0)+COUNTIF('Buyer Groups'!DX8:EN8,0)&gt;0,0,1)</f>
        <v/>
      </c>
      <c r="NR8">
        <f>IF($CQ$8="",FALSE,SUMPRODUCT(('Final Calculation Sheet'!$Q$4:$Q$40=$CQ$8)*($NQ$6:$NQ$42=1))&gt;0)</f>
        <v/>
      </c>
      <c r="NS8">
        <f>$NS$7+--($NR8)</f>
        <v/>
      </c>
      <c r="NT8">
        <f>IF(ROW()-3&gt;MAX($NS$4:$NS$40),"",INDEX($CQ$4:$CQ$40,MATCH(ROW()-3,$NS$4:$NS$40,0)))</f>
        <v/>
      </c>
      <c r="NU8">
        <f>IF(COUNTIF('Buyer Groups'!DG8:DW8,0)+COUNTIF('Buyer Groups'!DY8:EN8,0)&gt;0,0,1)</f>
        <v/>
      </c>
      <c r="NV8">
        <f>IF($CV$8="",FALSE,SUMPRODUCT(('Final Calculation Sheet'!$R$4:$R$40=$CV$8)*($NU$6:$NU$42=1))&gt;0)</f>
        <v/>
      </c>
      <c r="NW8">
        <f>$NW$7+--($NV8)</f>
        <v/>
      </c>
      <c r="NX8">
        <f>IF(ROW()-3&gt;MAX($NW$4:$NW$40),"",INDEX($CV$4:$CV$40,MATCH(ROW()-3,$NW$4:$NW$40,0)))</f>
        <v/>
      </c>
      <c r="NY8">
        <f>IF(COUNTIF('Buyer Groups'!DG8:DX8,0)+COUNTIF('Buyer Groups'!DZ8:EN8,0)&gt;0,0,1)</f>
        <v/>
      </c>
      <c r="NZ8">
        <f>IF($DA$8="",FALSE,SUMPRODUCT(('Final Calculation Sheet'!$S$4:$S$40=$DA$8)*($NY$6:$NY$42=1))&gt;0)</f>
        <v/>
      </c>
      <c r="OA8">
        <f>$OA$7+--($NZ8)</f>
        <v/>
      </c>
      <c r="OB8">
        <f>IF(ROW()-3&gt;MAX($OA$4:$OA$40),"",INDEX($DA$4:$DA$40,MATCH(ROW()-3,$OA$4:$OA$40,0)))</f>
        <v/>
      </c>
      <c r="OC8">
        <f>IF(COUNTIF('Buyer Groups'!DG8:DY8,0)+COUNTIF('Buyer Groups'!EA8:EN8,0)&gt;0,0,1)</f>
        <v/>
      </c>
      <c r="OD8">
        <f>IF($DF$8="",FALSE,SUMPRODUCT(('Final Calculation Sheet'!$T$4:$T$40=$DF$8)*($OC$6:$OC$42=1))&gt;0)</f>
        <v/>
      </c>
      <c r="OE8">
        <f>$OE$7+--($OD8)</f>
        <v/>
      </c>
      <c r="OF8">
        <f>IF(ROW()-3&gt;MAX($OE$4:$OE$40),"",INDEX($DF$4:$DF$40,MATCH(ROW()-3,$OE$4:$OE$40,0)))</f>
        <v/>
      </c>
      <c r="OG8">
        <f>IF(COUNTIF('Buyer Groups'!DG8:DZ8,0)+COUNTIF('Buyer Groups'!EB8:EN8,0)&gt;0,0,1)</f>
        <v/>
      </c>
      <c r="OH8">
        <f>IF($DK$8="",FALSE,SUMPRODUCT(('Final Calculation Sheet'!$U$4:$U$40=$DK$8)*($OG$6:$OG$42=1))&gt;0)</f>
        <v/>
      </c>
      <c r="OI8">
        <f>$OI$7+--($OH8)</f>
        <v/>
      </c>
      <c r="OJ8">
        <f>IF(ROW()-3&gt;MAX($OI$4:$OI$40),"",INDEX($DK$4:$DK$40,MATCH(ROW()-3,$OI$4:$OI$40,0)))</f>
        <v/>
      </c>
      <c r="OK8">
        <f>IF(COUNTIF('Buyer Groups'!DG8:EA8,0)+COUNTIF('Buyer Groups'!EC8:EN8,0)&gt;0,0,1)</f>
        <v/>
      </c>
      <c r="OL8">
        <f>IF($DP$8="",FALSE,SUMPRODUCT(('Final Calculation Sheet'!$V$4:$V$40=$DP$8)*($OK$6:$OK$42=1))&gt;0)</f>
        <v/>
      </c>
      <c r="OM8">
        <f>$OM$7+--($OL8)</f>
        <v/>
      </c>
      <c r="ON8">
        <f>IF(ROW()-3&gt;MAX($OM$4:$OM$40),"",INDEX($DP$4:$DP$40,MATCH(ROW()-3,$OM$4:$OM$40,0)))</f>
        <v/>
      </c>
      <c r="OO8">
        <f>IF(COUNTIF('Buyer Groups'!DG8:EB8,0)+COUNTIF('Buyer Groups'!ED8:EN8,0)&gt;0,0,1)</f>
        <v/>
      </c>
      <c r="OP8">
        <f>IF($DU$8="",FALSE,SUMPRODUCT(('Final Calculation Sheet'!$W$4:$W$40=$DU$8)*($OO$6:$OO$42=1))&gt;0)</f>
        <v/>
      </c>
      <c r="OQ8">
        <f>$OQ$7+--($OP8)</f>
        <v/>
      </c>
      <c r="OR8">
        <f>IF(ROW()-3&gt;MAX($OQ$4:$OQ$40),"",INDEX($DU$4:$DU$40,MATCH(ROW()-3,$OQ$4:$OQ$40,0)))</f>
        <v/>
      </c>
      <c r="OS8">
        <f>IF(COUNTIF('Buyer Groups'!DG8:EC8,0)+COUNTIF('Buyer Groups'!EE8:EN8,0)&gt;0,0,1)</f>
        <v/>
      </c>
      <c r="OT8">
        <f>IF($DZ$8="",FALSE,SUMPRODUCT(('Final Calculation Sheet'!$X$4:$X$40=$DZ$8)*($OS$6:$OS$42=1))&gt;0)</f>
        <v/>
      </c>
      <c r="OU8">
        <f>$OU$7+--($OT8)</f>
        <v/>
      </c>
      <c r="OV8">
        <f>IF(ROW()-3&gt;MAX($OU$4:$OU$40),"",INDEX($DZ$4:$DZ$40,MATCH(ROW()-3,$OU$4:$OU$40,0)))</f>
        <v/>
      </c>
      <c r="OW8">
        <f>IF(COUNTIF('Buyer Groups'!DG8:ED8,0)+COUNTIF('Buyer Groups'!EF8:EN8,0)&gt;0,0,1)</f>
        <v/>
      </c>
      <c r="OX8">
        <f>IF($EE$8="",FALSE,SUMPRODUCT(('Final Calculation Sheet'!$Y$4:$Y$40=$EE$8)*($OW$6:$OW$42=1))&gt;0)</f>
        <v/>
      </c>
      <c r="OY8">
        <f>$OY$7+--($OX8)</f>
        <v/>
      </c>
      <c r="OZ8">
        <f>IF(ROW()-3&gt;MAX($OY$4:$OY$40),"",INDEX($EE$4:$EE$40,MATCH(ROW()-3,$OY$4:$OY$40,0)))</f>
        <v/>
      </c>
      <c r="PA8">
        <f>IF(COUNTIF('Buyer Groups'!DG8:EE8,0)+COUNTIF('Buyer Groups'!EG8:EN8,0)&gt;0,0,1)</f>
        <v/>
      </c>
      <c r="PB8">
        <f>IF($EJ$8="",FALSE,SUMPRODUCT(('Final Calculation Sheet'!$Z$4:$Z$40=$EJ$8)*($PA$6:$PA$42=1))&gt;0)</f>
        <v/>
      </c>
      <c r="PC8">
        <f>$PC$7+--($PB8)</f>
        <v/>
      </c>
      <c r="PD8">
        <f>IF(ROW()-3&gt;MAX($PC$4:$PC$40),"",INDEX($EJ$4:$EJ$40,MATCH(ROW()-3,$PC$4:$PC$40,0)))</f>
        <v/>
      </c>
      <c r="PE8">
        <f>IF(COUNTIF('Buyer Groups'!DG8:EF8,0)+COUNTIF('Buyer Groups'!EH8:EN8,0)&gt;0,0,1)</f>
        <v/>
      </c>
      <c r="PF8">
        <f>IF($EO$8="",FALSE,SUMPRODUCT(('Final Calculation Sheet'!$AA$4:$AA$40=$EO$8)*($PE$6:$PE$42=1))&gt;0)</f>
        <v/>
      </c>
      <c r="PG8">
        <f>$PG$7+--($PF8)</f>
        <v/>
      </c>
      <c r="PH8">
        <f>IF(ROW()-3&gt;MAX($PG$4:$PG$40),"",INDEX($EO$4:$EO$40,MATCH(ROW()-3,$PG$4:$PG$40,0)))</f>
        <v/>
      </c>
      <c r="PI8">
        <f>IF(COUNTIF('Buyer Groups'!DG8:EG8,0)+COUNTIF('Buyer Groups'!EI8:EN8,0)&gt;0,0,1)</f>
        <v/>
      </c>
      <c r="PJ8">
        <f>IF($ET$8="",FALSE,SUMPRODUCT(('Final Calculation Sheet'!$AB$4:$AB$40=$ET$8)*($PI$6:$PI$42=1))&gt;0)</f>
        <v/>
      </c>
      <c r="PK8">
        <f>$PK$7+--($PJ8)</f>
        <v/>
      </c>
      <c r="PL8">
        <f>IF(ROW()-3&gt;MAX($PK$4:$PK$40),"",INDEX($ET$4:$ET$40,MATCH(ROW()-3,$PK$4:$PK$40,0)))</f>
        <v/>
      </c>
      <c r="PM8">
        <f>IF(COUNTIF('Buyer Groups'!DG8:EH8,0)+COUNTIF('Buyer Groups'!EJ8:EN8,0)&gt;0,0,1)</f>
        <v/>
      </c>
      <c r="PN8">
        <f>IF($EY$8="",FALSE,SUMPRODUCT(('Final Calculation Sheet'!$AC$4:$AC$40=$EY$8)*($PM$6:$PM$42=1))&gt;0)</f>
        <v/>
      </c>
      <c r="PO8">
        <f>$PO$7+--($PN8)</f>
        <v/>
      </c>
      <c r="PP8">
        <f>IF(ROW()-3&gt;MAX($PO$4:$PO$40),"",INDEX($EY$4:$EY$40,MATCH(ROW()-3,$PO$4:$PO$40,0)))</f>
        <v/>
      </c>
      <c r="PQ8">
        <f>IF(COUNTIF('Buyer Groups'!DG8:EI8,0)+COUNTIF('Buyer Groups'!EK8:EN8,0)&gt;0,0,1)</f>
        <v/>
      </c>
      <c r="PR8">
        <f>IF($FD$8="",FALSE,SUMPRODUCT(('Final Calculation Sheet'!$AD$4:$AD$40=$FD$8)*($PQ$6:$PQ$42=1))&gt;0)</f>
        <v/>
      </c>
      <c r="PS8">
        <f>$PS$7+--($PR8)</f>
        <v/>
      </c>
      <c r="PT8">
        <f>IF(ROW()-3&gt;MAX($PS$4:$PS$40),"",INDEX($FD$4:$FD$40,MATCH(ROW()-3,$PS$4:$PS$40,0)))</f>
        <v/>
      </c>
      <c r="PU8">
        <f>IF(COUNTIF('Buyer Groups'!DG8:EJ8,0)+COUNTIF('Buyer Groups'!EL8:EN8,0)&gt;0,0,1)</f>
        <v/>
      </c>
      <c r="PV8">
        <f>IF($FX$8="",FALSE,SUMPRODUCT((IF('Final Calculation Sheet'!$AD$4:$AD$40&lt;=5,"SETTLED","OUTSTANDING")=$FX$8)*($PU$6:$PU$42=1))&gt;0)</f>
        <v/>
      </c>
      <c r="PW8">
        <f>$PW$7+--($PV8)</f>
        <v/>
      </c>
      <c r="PX8">
        <f>IF(ROW()-3&gt;MAX($PW$4:$PW$40),"",INDEX($FX$4:$FX$40,MATCH(ROW()-3,$PW$4:$PW$40,0)))</f>
        <v/>
      </c>
      <c r="PY8">
        <f>IF(COUNTIF('Buyer Groups'!DG8:EK8,0)+COUNTIF('Buyer Groups'!EM8:EN8,0)&gt;0,0,1)</f>
        <v/>
      </c>
      <c r="PZ8">
        <f>IF($FI$8="",FALSE,SUMPRODUCT(('Final Calculation Sheet'!$AF$4:$AF$40=$FI$8)*($PY$6:$PY$42=1))&gt;0)</f>
        <v/>
      </c>
      <c r="QA8">
        <f>$QA$7+--($PZ8)</f>
        <v/>
      </c>
      <c r="QB8">
        <f>IF(ROW()-3&gt;MAX($QA$4:$QA$40),"",INDEX($FI$4:$FI$40,MATCH(ROW()-3,$QA$4:$QA$40,0)))</f>
        <v/>
      </c>
      <c r="QC8">
        <f>IF(COUNTIF('Buyer Groups'!DG8:EL8,0)+COUNTIF('Buyer Groups'!EN8:EN8,0)&gt;0,0,1)</f>
        <v/>
      </c>
      <c r="QD8">
        <f>IF($FN$8="",FALSE,SUMPRODUCT(('Final Calculation Sheet'!$AG$4:$AG$40=$FN$8)*($QC$6:$QC$42=1))&gt;0)</f>
        <v/>
      </c>
      <c r="QE8">
        <f>$QE$7+--($QD8)</f>
        <v/>
      </c>
      <c r="QF8">
        <f>IF(ROW()-3&gt;MAX($QE$4:$QE$40),"",INDEX($FN$4:$FN$40,MATCH(ROW()-3,$QE$4:$QE$40,0)))</f>
        <v/>
      </c>
      <c r="QG8">
        <f>IF(COUNTIF('Buyer Groups'!DG8:EM8,0)&gt;0,0,1)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Groups'!DH9:EN9,0)&gt;0,0,1)</f>
        <v/>
      </c>
      <c r="LF9">
        <f>IF($O$9="",FALSE,SUMPRODUCT(('Final Calculation Sheet'!$F$4:$F$40=$O$9)*($LE$6:$LE$42=1))&gt;0)</f>
        <v/>
      </c>
      <c r="LG9">
        <f>$LG$8+--($LF9)</f>
        <v/>
      </c>
      <c r="LH9">
        <f>IF(ROW()-3&gt;MAX($LG$4:$LG$40),"",INDEX($O$4:$O$40,MATCH(ROW()-3,$LG$4:$LG$40,0)))</f>
        <v/>
      </c>
      <c r="LI9">
        <f>IF(COUNTIF('Buyer Groups'!DG9:DG9,0)+COUNTIF('Buyer Groups'!DI9:EN9,0)&gt;0,0,1)</f>
        <v/>
      </c>
      <c r="LJ9">
        <f>IF($T$9="",FALSE,SUMPRODUCT(('Final Calculation Sheet'!$G$4:$G$40=$T$9)*($LI$6:$LI$42=1))&gt;0)</f>
        <v/>
      </c>
      <c r="LK9">
        <f>$LK$8+--($LJ9)</f>
        <v/>
      </c>
      <c r="LL9">
        <f>IF(ROW()-3&gt;MAX($LK$4:$LK$40),"",INDEX($T$4:$T$40,MATCH(ROW()-3,$LK$4:$LK$40,0)))</f>
        <v/>
      </c>
      <c r="LM9">
        <f>IF(COUNTIF('Buyer Groups'!DG9:DH9,0)+COUNTIF('Buyer Groups'!DJ9:EN9,0)&gt;0,0,1)</f>
        <v/>
      </c>
      <c r="LN9">
        <f>IF($Y$9="",FALSE,SUMPRODUCT(('Final Calculation Sheet'!$B$4:$B$40=$Y$9)*($LM$6:$LM$42=1))&gt;0)</f>
        <v/>
      </c>
      <c r="LO9">
        <f>$LO$8+--($LN9)</f>
        <v/>
      </c>
      <c r="LP9">
        <f>IF(ROW()-3&gt;MAX($LO$4:$LO$40),"",INDEX($Y$4:$Y$40,MATCH(ROW()-3,$LO$4:$LO$40,0)))</f>
        <v/>
      </c>
      <c r="LQ9">
        <f>IF(COUNTIF('Buyer Groups'!DG9:DI9,0)+COUNTIF('Buyer Groups'!DK9:EN9,0)&gt;0,0,1)</f>
        <v/>
      </c>
      <c r="LR9">
        <f>IF($AD$9="",FALSE,SUMPRODUCT(('Final Calculation Sheet'!$D$4:$D$40=$AD$9)*($LQ$6:$LQ$42=1))&gt;0)</f>
        <v/>
      </c>
      <c r="LS9">
        <f>$LS$8+--($LR9)</f>
        <v/>
      </c>
      <c r="LT9">
        <f>IF(ROW()-3&gt;MAX($LS$4:$LS$40),"",INDEX($AD$4:$AD$40,MATCH(ROW()-3,$LS$4:$LS$40,0)))</f>
        <v/>
      </c>
      <c r="LU9">
        <f>IF(COUNTIF('Buyer Groups'!DG9:DJ9,0)+COUNTIF('Buyer Groups'!DL9:EN9,0)&gt;0,0,1)</f>
        <v/>
      </c>
      <c r="LV9">
        <f>IF($AI$9="",FALSE,SUMPRODUCT(('Final Calculation Sheet'!$A$4:$A$40=$AI$9)*($LU$6:$LU$42=1))&gt;0)</f>
        <v/>
      </c>
      <c r="LW9">
        <f>$LW$8+--($LV9)</f>
        <v/>
      </c>
      <c r="LX9">
        <f>IF(ROW()-3&gt;MAX($LW$4:$LW$40),"",INDEX($AI$4:$AI$40,MATCH(ROW()-3,$LW$4:$LW$40,0)))</f>
        <v/>
      </c>
      <c r="LY9">
        <f>IF(COUNTIF('Buyer Groups'!DG9:DK9,0)+COUNTIF('Buyer Groups'!DM9:EN9,0)&gt;0,0,1)</f>
        <v/>
      </c>
      <c r="LZ9">
        <f>IF($AN$9="",FALSE,SUMPRODUCT(('Final Calculation Sheet'!$E$4:$E$40=$AN$9)*($LY$6:$LY$42=1))&gt;0)</f>
        <v/>
      </c>
      <c r="MA9">
        <f>$MA$8+--($LZ9)</f>
        <v/>
      </c>
      <c r="MB9">
        <f>IF(ROW()-3&gt;MAX($MA$4:$MA$40),"",INDEX($AN$4:$AN$40,MATCH(ROW()-3,$MA$4:$MA$40,0)))</f>
        <v/>
      </c>
      <c r="MC9">
        <f>IF(COUNTIF('Buyer Groups'!DG9:DL9,0)+COUNTIF('Buyer Groups'!DN9:EN9,0)&gt;0,0,1)</f>
        <v/>
      </c>
      <c r="MD9">
        <f>IF($AS$9="",FALSE,SUMPRODUCT(('Final Calculation Sheet'!$C$4:$C$40=$AS$9)*($MC$6:$MC$42=1))&gt;0)</f>
        <v/>
      </c>
      <c r="ME9">
        <f>$ME$8+--($MD9)</f>
        <v/>
      </c>
      <c r="MF9">
        <f>IF(ROW()-3&gt;MAX($ME$4:$ME$40),"",INDEX($AS$4:$AS$40,MATCH(ROW()-3,$ME$4:$ME$40,0)))</f>
        <v/>
      </c>
      <c r="MG9">
        <f>IF(COUNTIF('Buyer Groups'!DG9:DM9,0)+COUNTIF('Buyer Groups'!DO9:EN9,0)&gt;0,0,1)</f>
        <v/>
      </c>
      <c r="MH9">
        <f>IF($AX$9="",FALSE,SUMPRODUCT(('Final Calculation Sheet'!$H$4:$H$40=$AX$9)*($MG$6:$MG$42=1))&gt;0)</f>
        <v/>
      </c>
      <c r="MI9">
        <f>$MI$8+--($MH9)</f>
        <v/>
      </c>
      <c r="MJ9">
        <f>IF(ROW()-3&gt;MAX($MI$4:$MI$40),"",INDEX($AX$4:$AX$40,MATCH(ROW()-3,$MI$4:$MI$40,0)))</f>
        <v/>
      </c>
      <c r="MK9">
        <f>IF(COUNTIF('Buyer Groups'!DG9:DN9,0)+COUNTIF('Buyer Groups'!DP9:EN9,0)&gt;0,0,1)</f>
        <v/>
      </c>
      <c r="ML9">
        <f>IF($BC$9="",FALSE,SUMPRODUCT(('Final Calculation Sheet'!$I$4:$I$40=$BC$9)*($MK$6:$MK$42=1))&gt;0)</f>
        <v/>
      </c>
      <c r="MM9">
        <f>$MM$8+--($ML9)</f>
        <v/>
      </c>
      <c r="MN9">
        <f>IF(ROW()-3&gt;MAX($MM$4:$MM$40),"",INDEX($BC$4:$BC$40,MATCH(ROW()-3,$MM$4:$MM$40,0)))</f>
        <v/>
      </c>
      <c r="MO9">
        <f>IF(COUNTIF('Buyer Groups'!DG9:DO9,0)+COUNTIF('Buyer Groups'!DQ9:EN9,0)&gt;0,0,1)</f>
        <v/>
      </c>
      <c r="MP9">
        <f>IF($BH$9="",FALSE,SUMPRODUCT(('Final Calculation Sheet'!$J$4:$J$40=$BH$9)*($MO$6:$MO$42=1))&gt;0)</f>
        <v/>
      </c>
      <c r="MQ9">
        <f>$MQ$8+--($MP9)</f>
        <v/>
      </c>
      <c r="MR9">
        <f>IF(ROW()-3&gt;MAX($MQ$4:$MQ$40),"",INDEX($BH$4:$BH$40,MATCH(ROW()-3,$MQ$4:$MQ$40,0)))</f>
        <v/>
      </c>
      <c r="MS9">
        <f>IF(COUNTIF('Buyer Groups'!DG9:DP9,0)+COUNTIF('Buyer Groups'!DR9:EN9,0)&gt;0,0,1)</f>
        <v/>
      </c>
      <c r="MT9">
        <f>IF($BM$9="",FALSE,SUMPRODUCT(('Final Calculation Sheet'!$K$4:$K$40=$BM$9)*($MS$6:$MS$42=1))&gt;0)</f>
        <v/>
      </c>
      <c r="MU9">
        <f>$MU$8+--($MT9)</f>
        <v/>
      </c>
      <c r="MV9">
        <f>IF(ROW()-3&gt;MAX($MU$4:$MU$40),"",INDEX($BM$4:$BM$40,MATCH(ROW()-3,$MU$4:$MU$40,0)))</f>
        <v/>
      </c>
      <c r="MW9">
        <f>IF(COUNTIF('Buyer Groups'!DG9:DQ9,0)+COUNTIF('Buyer Groups'!DS9:EN9,0)&gt;0,0,1)</f>
        <v/>
      </c>
      <c r="MX9">
        <f>IF($BR$9="",FALSE,SUMPRODUCT(('Final Calculation Sheet'!$L$4:$L$40=$BR$9)*($MW$6:$MW$42=1))&gt;0)</f>
        <v/>
      </c>
      <c r="MY9">
        <f>$MY$8+--($MX9)</f>
        <v/>
      </c>
      <c r="MZ9">
        <f>IF(ROW()-3&gt;MAX($MY$4:$MY$40),"",INDEX($BR$4:$BR$40,MATCH(ROW()-3,$MY$4:$MY$40,0)))</f>
        <v/>
      </c>
      <c r="NA9">
        <f>IF(COUNTIF('Buyer Groups'!DG9:DR9,0)+COUNTIF('Buyer Groups'!DT9:EN9,0)&gt;0,0,1)</f>
        <v/>
      </c>
      <c r="NB9">
        <f>IF($BW$9="",FALSE,SUMPRODUCT(('Final Calculation Sheet'!$M$4:$M$40=$BW$9)*($NA$6:$NA$42=1))&gt;0)</f>
        <v/>
      </c>
      <c r="NC9">
        <f>$NC$8+--($NB9)</f>
        <v/>
      </c>
      <c r="ND9">
        <f>IF(ROW()-3&gt;MAX($NC$4:$NC$40),"",INDEX($BW$4:$BW$40,MATCH(ROW()-3,$NC$4:$NC$40,0)))</f>
        <v/>
      </c>
      <c r="NE9">
        <f>IF(COUNTIF('Buyer Groups'!DG9:DS9,0)+COUNTIF('Buyer Groups'!DU9:EN9,0)&gt;0,0,1)</f>
        <v/>
      </c>
      <c r="NF9">
        <f>IF($CB$9="",FALSE,SUMPRODUCT(('Final Calculation Sheet'!$N$4:$N$40=$CB$9)*($NE$6:$NE$42=1))&gt;0)</f>
        <v/>
      </c>
      <c r="NG9">
        <f>$NG$8+--($NF9)</f>
        <v/>
      </c>
      <c r="NH9">
        <f>IF(ROW()-3&gt;MAX($NG$4:$NG$40),"",INDEX($CB$4:$CB$40,MATCH(ROW()-3,$NG$4:$NG$40,0)))</f>
        <v/>
      </c>
      <c r="NI9">
        <f>IF(COUNTIF('Buyer Groups'!DG9:DT9,0)+COUNTIF('Buyer Groups'!DV9:EN9,0)&gt;0,0,1)</f>
        <v/>
      </c>
      <c r="NJ9">
        <f>IF($CG$9="",FALSE,SUMPRODUCT(('Final Calculation Sheet'!$O$4:$O$40=$CG$9)*($NI$6:$NI$42=1))&gt;0)</f>
        <v/>
      </c>
      <c r="NK9">
        <f>$NK$8+--($NJ9)</f>
        <v/>
      </c>
      <c r="NL9">
        <f>IF(ROW()-3&gt;MAX($NK$4:$NK$40),"",INDEX($CG$4:$CG$40,MATCH(ROW()-3,$NK$4:$NK$40,0)))</f>
        <v/>
      </c>
      <c r="NM9">
        <f>IF(COUNTIF('Buyer Groups'!DG9:DU9,0)+COUNTIF('Buyer Groups'!DW9:EN9,0)&gt;0,0,1)</f>
        <v/>
      </c>
      <c r="NN9">
        <f>IF($CL$9="",FALSE,SUMPRODUCT(('Final Calculation Sheet'!$P$4:$P$40=$CL$9)*($NM$6:$NM$42=1))&gt;0)</f>
        <v/>
      </c>
      <c r="NO9">
        <f>$NO$8+--($NN9)</f>
        <v/>
      </c>
      <c r="NP9">
        <f>IF(ROW()-3&gt;MAX($NO$4:$NO$40),"",INDEX($CL$4:$CL$40,MATCH(ROW()-3,$NO$4:$NO$40,0)))</f>
        <v/>
      </c>
      <c r="NQ9">
        <f>IF(COUNTIF('Buyer Groups'!DG9:DV9,0)+COUNTIF('Buyer Groups'!DX9:EN9,0)&gt;0,0,1)</f>
        <v/>
      </c>
      <c r="NR9">
        <f>IF($CQ$9="",FALSE,SUMPRODUCT(('Final Calculation Sheet'!$Q$4:$Q$40=$CQ$9)*($NQ$6:$NQ$42=1))&gt;0)</f>
        <v/>
      </c>
      <c r="NS9">
        <f>$NS$8+--($NR9)</f>
        <v/>
      </c>
      <c r="NT9">
        <f>IF(ROW()-3&gt;MAX($NS$4:$NS$40),"",INDEX($CQ$4:$CQ$40,MATCH(ROW()-3,$NS$4:$NS$40,0)))</f>
        <v/>
      </c>
      <c r="NU9">
        <f>IF(COUNTIF('Buyer Groups'!DG9:DW9,0)+COUNTIF('Buyer Groups'!DY9:EN9,0)&gt;0,0,1)</f>
        <v/>
      </c>
      <c r="NV9">
        <f>IF($CV$9="",FALSE,SUMPRODUCT(('Final Calculation Sheet'!$R$4:$R$40=$CV$9)*($NU$6:$NU$42=1))&gt;0)</f>
        <v/>
      </c>
      <c r="NW9">
        <f>$NW$8+--($NV9)</f>
        <v/>
      </c>
      <c r="NX9">
        <f>IF(ROW()-3&gt;MAX($NW$4:$NW$40),"",INDEX($CV$4:$CV$40,MATCH(ROW()-3,$NW$4:$NW$40,0)))</f>
        <v/>
      </c>
      <c r="NY9">
        <f>IF(COUNTIF('Buyer Groups'!DG9:DX9,0)+COUNTIF('Buyer Groups'!DZ9:EN9,0)&gt;0,0,1)</f>
        <v/>
      </c>
      <c r="NZ9">
        <f>IF($DA$9="",FALSE,SUMPRODUCT(('Final Calculation Sheet'!$S$4:$S$40=$DA$9)*($NY$6:$NY$42=1))&gt;0)</f>
        <v/>
      </c>
      <c r="OA9">
        <f>$OA$8+--($NZ9)</f>
        <v/>
      </c>
      <c r="OB9">
        <f>IF(ROW()-3&gt;MAX($OA$4:$OA$40),"",INDEX($DA$4:$DA$40,MATCH(ROW()-3,$OA$4:$OA$40,0)))</f>
        <v/>
      </c>
      <c r="OC9">
        <f>IF(COUNTIF('Buyer Groups'!DG9:DY9,0)+COUNTIF('Buyer Groups'!EA9:EN9,0)&gt;0,0,1)</f>
        <v/>
      </c>
      <c r="OD9">
        <f>IF($DF$9="",FALSE,SUMPRODUCT(('Final Calculation Sheet'!$T$4:$T$40=$DF$9)*($OC$6:$OC$42=1))&gt;0)</f>
        <v/>
      </c>
      <c r="OE9">
        <f>$OE$8+--($OD9)</f>
        <v/>
      </c>
      <c r="OF9">
        <f>IF(ROW()-3&gt;MAX($OE$4:$OE$40),"",INDEX($DF$4:$DF$40,MATCH(ROW()-3,$OE$4:$OE$40,0)))</f>
        <v/>
      </c>
      <c r="OG9">
        <f>IF(COUNTIF('Buyer Groups'!DG9:DZ9,0)+COUNTIF('Buyer Groups'!EB9:EN9,0)&gt;0,0,1)</f>
        <v/>
      </c>
      <c r="OH9">
        <f>IF($DK$9="",FALSE,SUMPRODUCT(('Final Calculation Sheet'!$U$4:$U$40=$DK$9)*($OG$6:$OG$42=1))&gt;0)</f>
        <v/>
      </c>
      <c r="OI9">
        <f>$OI$8+--($OH9)</f>
        <v/>
      </c>
      <c r="OJ9">
        <f>IF(ROW()-3&gt;MAX($OI$4:$OI$40),"",INDEX($DK$4:$DK$40,MATCH(ROW()-3,$OI$4:$OI$40,0)))</f>
        <v/>
      </c>
      <c r="OK9">
        <f>IF(COUNTIF('Buyer Groups'!DG9:EA9,0)+COUNTIF('Buyer Groups'!EC9:EN9,0)&gt;0,0,1)</f>
        <v/>
      </c>
      <c r="OL9">
        <f>IF($DP$9="",FALSE,SUMPRODUCT(('Final Calculation Sheet'!$V$4:$V$40=$DP$9)*($OK$6:$OK$42=1))&gt;0)</f>
        <v/>
      </c>
      <c r="OM9">
        <f>$OM$8+--($OL9)</f>
        <v/>
      </c>
      <c r="ON9">
        <f>IF(ROW()-3&gt;MAX($OM$4:$OM$40),"",INDEX($DP$4:$DP$40,MATCH(ROW()-3,$OM$4:$OM$40,0)))</f>
        <v/>
      </c>
      <c r="OO9">
        <f>IF(COUNTIF('Buyer Groups'!DG9:EB9,0)+COUNTIF('Buyer Groups'!ED9:EN9,0)&gt;0,0,1)</f>
        <v/>
      </c>
      <c r="OP9">
        <f>IF($DU$9="",FALSE,SUMPRODUCT(('Final Calculation Sheet'!$W$4:$W$40=$DU$9)*($OO$6:$OO$42=1))&gt;0)</f>
        <v/>
      </c>
      <c r="OQ9">
        <f>$OQ$8+--($OP9)</f>
        <v/>
      </c>
      <c r="OR9">
        <f>IF(ROW()-3&gt;MAX($OQ$4:$OQ$40),"",INDEX($DU$4:$DU$40,MATCH(ROW()-3,$OQ$4:$OQ$40,0)))</f>
        <v/>
      </c>
      <c r="OS9">
        <f>IF(COUNTIF('Buyer Groups'!DG9:EC9,0)+COUNTIF('Buyer Groups'!EE9:EN9,0)&gt;0,0,1)</f>
        <v/>
      </c>
      <c r="OT9">
        <f>IF($DZ$9="",FALSE,SUMPRODUCT(('Final Calculation Sheet'!$X$4:$X$40=$DZ$9)*($OS$6:$OS$42=1))&gt;0)</f>
        <v/>
      </c>
      <c r="OU9">
        <f>$OU$8+--($OT9)</f>
        <v/>
      </c>
      <c r="OV9">
        <f>IF(ROW()-3&gt;MAX($OU$4:$OU$40),"",INDEX($DZ$4:$DZ$40,MATCH(ROW()-3,$OU$4:$OU$40,0)))</f>
        <v/>
      </c>
      <c r="OW9">
        <f>IF(COUNTIF('Buyer Groups'!DG9:ED9,0)+COUNTIF('Buyer Groups'!EF9:EN9,0)&gt;0,0,1)</f>
        <v/>
      </c>
      <c r="OX9">
        <f>IF($EE$9="",FALSE,SUMPRODUCT(('Final Calculation Sheet'!$Y$4:$Y$40=$EE$9)*($OW$6:$OW$42=1))&gt;0)</f>
        <v/>
      </c>
      <c r="OY9">
        <f>$OY$8+--($OX9)</f>
        <v/>
      </c>
      <c r="OZ9">
        <f>IF(ROW()-3&gt;MAX($OY$4:$OY$40),"",INDEX($EE$4:$EE$40,MATCH(ROW()-3,$OY$4:$OY$40,0)))</f>
        <v/>
      </c>
      <c r="PA9">
        <f>IF(COUNTIF('Buyer Groups'!DG9:EE9,0)+COUNTIF('Buyer Groups'!EG9:EN9,0)&gt;0,0,1)</f>
        <v/>
      </c>
      <c r="PB9">
        <f>IF($EJ$9="",FALSE,SUMPRODUCT(('Final Calculation Sheet'!$Z$4:$Z$40=$EJ$9)*($PA$6:$PA$42=1))&gt;0)</f>
        <v/>
      </c>
      <c r="PC9">
        <f>$PC$8+--($PB9)</f>
        <v/>
      </c>
      <c r="PD9">
        <f>IF(ROW()-3&gt;MAX($PC$4:$PC$40),"",INDEX($EJ$4:$EJ$40,MATCH(ROW()-3,$PC$4:$PC$40,0)))</f>
        <v/>
      </c>
      <c r="PE9">
        <f>IF(COUNTIF('Buyer Groups'!DG9:EF9,0)+COUNTIF('Buyer Groups'!EH9:EN9,0)&gt;0,0,1)</f>
        <v/>
      </c>
      <c r="PF9">
        <f>IF($EO$9="",FALSE,SUMPRODUCT(('Final Calculation Sheet'!$AA$4:$AA$40=$EO$9)*($PE$6:$PE$42=1))&gt;0)</f>
        <v/>
      </c>
      <c r="PG9">
        <f>$PG$8+--($PF9)</f>
        <v/>
      </c>
      <c r="PH9">
        <f>IF(ROW()-3&gt;MAX($PG$4:$PG$40),"",INDEX($EO$4:$EO$40,MATCH(ROW()-3,$PG$4:$PG$40,0)))</f>
        <v/>
      </c>
      <c r="PI9">
        <f>IF(COUNTIF('Buyer Groups'!DG9:EG9,0)+COUNTIF('Buyer Groups'!EI9:EN9,0)&gt;0,0,1)</f>
        <v/>
      </c>
      <c r="PJ9">
        <f>IF($ET$9="",FALSE,SUMPRODUCT(('Final Calculation Sheet'!$AB$4:$AB$40=$ET$9)*($PI$6:$PI$42=1))&gt;0)</f>
        <v/>
      </c>
      <c r="PK9">
        <f>$PK$8+--($PJ9)</f>
        <v/>
      </c>
      <c r="PL9">
        <f>IF(ROW()-3&gt;MAX($PK$4:$PK$40),"",INDEX($ET$4:$ET$40,MATCH(ROW()-3,$PK$4:$PK$40,0)))</f>
        <v/>
      </c>
      <c r="PM9">
        <f>IF(COUNTIF('Buyer Groups'!DG9:EH9,0)+COUNTIF('Buyer Groups'!EJ9:EN9,0)&gt;0,0,1)</f>
        <v/>
      </c>
      <c r="PN9">
        <f>IF($EY$9="",FALSE,SUMPRODUCT(('Final Calculation Sheet'!$AC$4:$AC$40=$EY$9)*($PM$6:$PM$42=1))&gt;0)</f>
        <v/>
      </c>
      <c r="PO9">
        <f>$PO$8+--($PN9)</f>
        <v/>
      </c>
      <c r="PP9">
        <f>IF(ROW()-3&gt;MAX($PO$4:$PO$40),"",INDEX($EY$4:$EY$40,MATCH(ROW()-3,$PO$4:$PO$40,0)))</f>
        <v/>
      </c>
      <c r="PQ9">
        <f>IF(COUNTIF('Buyer Groups'!DG9:EI9,0)+COUNTIF('Buyer Groups'!EK9:EN9,0)&gt;0,0,1)</f>
        <v/>
      </c>
      <c r="PR9">
        <f>IF($FD$9="",FALSE,SUMPRODUCT(('Final Calculation Sheet'!$AD$4:$AD$40=$FD$9)*($PQ$6:$PQ$42=1))&gt;0)</f>
        <v/>
      </c>
      <c r="PS9">
        <f>$PS$8+--($PR9)</f>
        <v/>
      </c>
      <c r="PT9">
        <f>IF(ROW()-3&gt;MAX($PS$4:$PS$40),"",INDEX($FD$4:$FD$40,MATCH(ROW()-3,$PS$4:$PS$40,0)))</f>
        <v/>
      </c>
      <c r="PU9">
        <f>IF(COUNTIF('Buyer Groups'!DG9:EJ9,0)+COUNTIF('Buyer Groups'!EL9:EN9,0)&gt;0,0,1)</f>
        <v/>
      </c>
      <c r="PV9">
        <f>IF($FX$9="",FALSE,SUMPRODUCT((IF('Final Calculation Sheet'!$AD$4:$AD$40&lt;=5,"SETTLED","OUTSTANDING")=$FX$9)*($PU$6:$PU$42=1))&gt;0)</f>
        <v/>
      </c>
      <c r="PW9">
        <f>$PW$8+--($PV9)</f>
        <v/>
      </c>
      <c r="PX9">
        <f>IF(ROW()-3&gt;MAX($PW$4:$PW$40),"",INDEX($FX$4:$FX$40,MATCH(ROW()-3,$PW$4:$PW$40,0)))</f>
        <v/>
      </c>
      <c r="PY9">
        <f>IF(COUNTIF('Buyer Groups'!DG9:EK9,0)+COUNTIF('Buyer Groups'!EM9:EN9,0)&gt;0,0,1)</f>
        <v/>
      </c>
      <c r="PZ9">
        <f>IF($FI$9="",FALSE,SUMPRODUCT(('Final Calculation Sheet'!$AF$4:$AF$40=$FI$9)*($PY$6:$PY$42=1))&gt;0)</f>
        <v/>
      </c>
      <c r="QA9">
        <f>$QA$8+--($PZ9)</f>
        <v/>
      </c>
      <c r="QB9">
        <f>IF(ROW()-3&gt;MAX($QA$4:$QA$40),"",INDEX($FI$4:$FI$40,MATCH(ROW()-3,$QA$4:$QA$40,0)))</f>
        <v/>
      </c>
      <c r="QC9">
        <f>IF(COUNTIF('Buyer Groups'!DG9:EL9,0)+COUNTIF('Buyer Groups'!EN9:EN9,0)&gt;0,0,1)</f>
        <v/>
      </c>
      <c r="QD9">
        <f>IF($FN$9="",FALSE,SUMPRODUCT(('Final Calculation Sheet'!$AG$4:$AG$40=$FN$9)*($QC$6:$QC$42=1))&gt;0)</f>
        <v/>
      </c>
      <c r="QE9">
        <f>$QE$8+--($QD9)</f>
        <v/>
      </c>
      <c r="QF9">
        <f>IF(ROW()-3&gt;MAX($QE$4:$QE$40),"",INDEX($FN$4:$FN$40,MATCH(ROW()-3,$QE$4:$QE$40,0)))</f>
        <v/>
      </c>
      <c r="QG9">
        <f>IF(COUNTIF('Buyer Groups'!DG9:EM9,0)&gt;0,0,1)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Groups'!DH10:EN10,0)&gt;0,0,1)</f>
        <v/>
      </c>
      <c r="LF10">
        <f>IF($O$10="",FALSE,SUMPRODUCT(('Final Calculation Sheet'!$F$4:$F$40=$O$10)*($LE$6:$LE$42=1))&gt;0)</f>
        <v/>
      </c>
      <c r="LG10">
        <f>$LG$9+--($LF10)</f>
        <v/>
      </c>
      <c r="LH10">
        <f>IF(ROW()-3&gt;MAX($LG$4:$LG$40),"",INDEX($O$4:$O$40,MATCH(ROW()-3,$LG$4:$LG$40,0)))</f>
        <v/>
      </c>
      <c r="LI10">
        <f>IF(COUNTIF('Buyer Groups'!DG10:DG10,0)+COUNTIF('Buyer Groups'!DI10:EN10,0)&gt;0,0,1)</f>
        <v/>
      </c>
      <c r="LJ10">
        <f>IF($T$10="",FALSE,SUMPRODUCT(('Final Calculation Sheet'!$G$4:$G$40=$T$10)*($LI$6:$LI$42=1))&gt;0)</f>
        <v/>
      </c>
      <c r="LK10">
        <f>$LK$9+--($LJ10)</f>
        <v/>
      </c>
      <c r="LL10">
        <f>IF(ROW()-3&gt;MAX($LK$4:$LK$40),"",INDEX($T$4:$T$40,MATCH(ROW()-3,$LK$4:$LK$40,0)))</f>
        <v/>
      </c>
      <c r="LM10">
        <f>IF(COUNTIF('Buyer Groups'!DG10:DH10,0)+COUNTIF('Buyer Groups'!DJ10:EN10,0)&gt;0,0,1)</f>
        <v/>
      </c>
      <c r="LN10">
        <f>IF($Y$10="",FALSE,SUMPRODUCT(('Final Calculation Sheet'!$B$4:$B$40=$Y$10)*($LM$6:$LM$42=1))&gt;0)</f>
        <v/>
      </c>
      <c r="LO10">
        <f>$LO$9+--($LN10)</f>
        <v/>
      </c>
      <c r="LP10">
        <f>IF(ROW()-3&gt;MAX($LO$4:$LO$40),"",INDEX($Y$4:$Y$40,MATCH(ROW()-3,$LO$4:$LO$40,0)))</f>
        <v/>
      </c>
      <c r="LQ10">
        <f>IF(COUNTIF('Buyer Groups'!DG10:DI10,0)+COUNTIF('Buyer Groups'!DK10:EN10,0)&gt;0,0,1)</f>
        <v/>
      </c>
      <c r="LR10">
        <f>IF($AD$10="",FALSE,SUMPRODUCT(('Final Calculation Sheet'!$D$4:$D$40=$AD$10)*($LQ$6:$LQ$42=1))&gt;0)</f>
        <v/>
      </c>
      <c r="LS10">
        <f>$LS$9+--($LR10)</f>
        <v/>
      </c>
      <c r="LT10">
        <f>IF(ROW()-3&gt;MAX($LS$4:$LS$40),"",INDEX($AD$4:$AD$40,MATCH(ROW()-3,$LS$4:$LS$40,0)))</f>
        <v/>
      </c>
      <c r="LU10">
        <f>IF(COUNTIF('Buyer Groups'!DG10:DJ10,0)+COUNTIF('Buyer Groups'!DL10:EN10,0)&gt;0,0,1)</f>
        <v/>
      </c>
      <c r="LV10">
        <f>IF($AI$10="",FALSE,SUMPRODUCT(('Final Calculation Sheet'!$A$4:$A$40=$AI$10)*($LU$6:$LU$42=1))&gt;0)</f>
        <v/>
      </c>
      <c r="LW10">
        <f>$LW$9+--($LV10)</f>
        <v/>
      </c>
      <c r="LX10">
        <f>IF(ROW()-3&gt;MAX($LW$4:$LW$40),"",INDEX($AI$4:$AI$40,MATCH(ROW()-3,$LW$4:$LW$40,0)))</f>
        <v/>
      </c>
      <c r="LY10">
        <f>IF(COUNTIF('Buyer Groups'!DG10:DK10,0)+COUNTIF('Buyer Groups'!DM10:EN10,0)&gt;0,0,1)</f>
        <v/>
      </c>
      <c r="LZ10">
        <f>IF($AN$10="",FALSE,SUMPRODUCT(('Final Calculation Sheet'!$E$4:$E$40=$AN$10)*($LY$6:$LY$42=1))&gt;0)</f>
        <v/>
      </c>
      <c r="MA10">
        <f>$MA$9+--($LZ10)</f>
        <v/>
      </c>
      <c r="MB10">
        <f>IF(ROW()-3&gt;MAX($MA$4:$MA$40),"",INDEX($AN$4:$AN$40,MATCH(ROW()-3,$MA$4:$MA$40,0)))</f>
        <v/>
      </c>
      <c r="MC10">
        <f>IF(COUNTIF('Buyer Groups'!DG10:DL10,0)+COUNTIF('Buyer Groups'!DN10:EN10,0)&gt;0,0,1)</f>
        <v/>
      </c>
      <c r="MD10">
        <f>IF($AS$10="",FALSE,SUMPRODUCT(('Final Calculation Sheet'!$C$4:$C$40=$AS$10)*($MC$6:$MC$42=1))&gt;0)</f>
        <v/>
      </c>
      <c r="ME10">
        <f>$ME$9+--($MD10)</f>
        <v/>
      </c>
      <c r="MF10">
        <f>IF(ROW()-3&gt;MAX($ME$4:$ME$40),"",INDEX($AS$4:$AS$40,MATCH(ROW()-3,$ME$4:$ME$40,0)))</f>
        <v/>
      </c>
      <c r="MG10">
        <f>IF(COUNTIF('Buyer Groups'!DG10:DM10,0)+COUNTIF('Buyer Groups'!DO10:EN10,0)&gt;0,0,1)</f>
        <v/>
      </c>
      <c r="MH10">
        <f>IF($AX$10="",FALSE,SUMPRODUCT(('Final Calculation Sheet'!$H$4:$H$40=$AX$10)*($MG$6:$MG$42=1))&gt;0)</f>
        <v/>
      </c>
      <c r="MI10">
        <f>$MI$9+--($MH10)</f>
        <v/>
      </c>
      <c r="MJ10">
        <f>IF(ROW()-3&gt;MAX($MI$4:$MI$40),"",INDEX($AX$4:$AX$40,MATCH(ROW()-3,$MI$4:$MI$40,0)))</f>
        <v/>
      </c>
      <c r="MK10">
        <f>IF(COUNTIF('Buyer Groups'!DG10:DN10,0)+COUNTIF('Buyer Groups'!DP10:EN10,0)&gt;0,0,1)</f>
        <v/>
      </c>
      <c r="ML10">
        <f>IF($BC$10="",FALSE,SUMPRODUCT(('Final Calculation Sheet'!$I$4:$I$40=$BC$10)*($MK$6:$MK$42=1))&gt;0)</f>
        <v/>
      </c>
      <c r="MM10">
        <f>$MM$9+--($ML10)</f>
        <v/>
      </c>
      <c r="MN10">
        <f>IF(ROW()-3&gt;MAX($MM$4:$MM$40),"",INDEX($BC$4:$BC$40,MATCH(ROW()-3,$MM$4:$MM$40,0)))</f>
        <v/>
      </c>
      <c r="MO10">
        <f>IF(COUNTIF('Buyer Groups'!DG10:DO10,0)+COUNTIF('Buyer Groups'!DQ10:EN10,0)&gt;0,0,1)</f>
        <v/>
      </c>
      <c r="MP10">
        <f>IF($BH$10="",FALSE,SUMPRODUCT(('Final Calculation Sheet'!$J$4:$J$40=$BH$10)*($MO$6:$MO$42=1))&gt;0)</f>
        <v/>
      </c>
      <c r="MQ10">
        <f>$MQ$9+--($MP10)</f>
        <v/>
      </c>
      <c r="MR10">
        <f>IF(ROW()-3&gt;MAX($MQ$4:$MQ$40),"",INDEX($BH$4:$BH$40,MATCH(ROW()-3,$MQ$4:$MQ$40,0)))</f>
        <v/>
      </c>
      <c r="MS10">
        <f>IF(COUNTIF('Buyer Groups'!DG10:DP10,0)+COUNTIF('Buyer Groups'!DR10:EN10,0)&gt;0,0,1)</f>
        <v/>
      </c>
      <c r="MT10">
        <f>IF($BM$10="",FALSE,SUMPRODUCT(('Final Calculation Sheet'!$K$4:$K$40=$BM$10)*($MS$6:$MS$42=1))&gt;0)</f>
        <v/>
      </c>
      <c r="MU10">
        <f>$MU$9+--($MT10)</f>
        <v/>
      </c>
      <c r="MV10">
        <f>IF(ROW()-3&gt;MAX($MU$4:$MU$40),"",INDEX($BM$4:$BM$40,MATCH(ROW()-3,$MU$4:$MU$40,0)))</f>
        <v/>
      </c>
      <c r="MW10">
        <f>IF(COUNTIF('Buyer Groups'!DG10:DQ10,0)+COUNTIF('Buyer Groups'!DS10:EN10,0)&gt;0,0,1)</f>
        <v/>
      </c>
      <c r="MX10">
        <f>IF($BR$10="",FALSE,SUMPRODUCT(('Final Calculation Sheet'!$L$4:$L$40=$BR$10)*($MW$6:$MW$42=1))&gt;0)</f>
        <v/>
      </c>
      <c r="MY10">
        <f>$MY$9+--($MX10)</f>
        <v/>
      </c>
      <c r="MZ10">
        <f>IF(ROW()-3&gt;MAX($MY$4:$MY$40),"",INDEX($BR$4:$BR$40,MATCH(ROW()-3,$MY$4:$MY$40,0)))</f>
        <v/>
      </c>
      <c r="NA10">
        <f>IF(COUNTIF('Buyer Groups'!DG10:DR10,0)+COUNTIF('Buyer Groups'!DT10:EN10,0)&gt;0,0,1)</f>
        <v/>
      </c>
      <c r="NB10">
        <f>IF($BW$10="",FALSE,SUMPRODUCT(('Final Calculation Sheet'!$M$4:$M$40=$BW$10)*($NA$6:$NA$42=1))&gt;0)</f>
        <v/>
      </c>
      <c r="NC10">
        <f>$NC$9+--($NB10)</f>
        <v/>
      </c>
      <c r="ND10">
        <f>IF(ROW()-3&gt;MAX($NC$4:$NC$40),"",INDEX($BW$4:$BW$40,MATCH(ROW()-3,$NC$4:$NC$40,0)))</f>
        <v/>
      </c>
      <c r="NE10">
        <f>IF(COUNTIF('Buyer Groups'!DG10:DS10,0)+COUNTIF('Buyer Groups'!DU10:EN10,0)&gt;0,0,1)</f>
        <v/>
      </c>
      <c r="NF10">
        <f>IF($CB$10="",FALSE,SUMPRODUCT(('Final Calculation Sheet'!$N$4:$N$40=$CB$10)*($NE$6:$NE$42=1))&gt;0)</f>
        <v/>
      </c>
      <c r="NG10">
        <f>$NG$9+--($NF10)</f>
        <v/>
      </c>
      <c r="NH10">
        <f>IF(ROW()-3&gt;MAX($NG$4:$NG$40),"",INDEX($CB$4:$CB$40,MATCH(ROW()-3,$NG$4:$NG$40,0)))</f>
        <v/>
      </c>
      <c r="NI10">
        <f>IF(COUNTIF('Buyer Groups'!DG10:DT10,0)+COUNTIF('Buyer Groups'!DV10:EN10,0)&gt;0,0,1)</f>
        <v/>
      </c>
      <c r="NJ10">
        <f>IF($CG$10="",FALSE,SUMPRODUCT(('Final Calculation Sheet'!$O$4:$O$40=$CG$10)*($NI$6:$NI$42=1))&gt;0)</f>
        <v/>
      </c>
      <c r="NK10">
        <f>$NK$9+--($NJ10)</f>
        <v/>
      </c>
      <c r="NL10">
        <f>IF(ROW()-3&gt;MAX($NK$4:$NK$40),"",INDEX($CG$4:$CG$40,MATCH(ROW()-3,$NK$4:$NK$40,0)))</f>
        <v/>
      </c>
      <c r="NM10">
        <f>IF(COUNTIF('Buyer Groups'!DG10:DU10,0)+COUNTIF('Buyer Groups'!DW10:EN10,0)&gt;0,0,1)</f>
        <v/>
      </c>
      <c r="NN10">
        <f>IF($CL$10="",FALSE,SUMPRODUCT(('Final Calculation Sheet'!$P$4:$P$40=$CL$10)*($NM$6:$NM$42=1))&gt;0)</f>
        <v/>
      </c>
      <c r="NO10">
        <f>$NO$9+--($NN10)</f>
        <v/>
      </c>
      <c r="NP10">
        <f>IF(ROW()-3&gt;MAX($NO$4:$NO$40),"",INDEX($CL$4:$CL$40,MATCH(ROW()-3,$NO$4:$NO$40,0)))</f>
        <v/>
      </c>
      <c r="NQ10">
        <f>IF(COUNTIF('Buyer Groups'!DG10:DV10,0)+COUNTIF('Buyer Groups'!DX10:EN10,0)&gt;0,0,1)</f>
        <v/>
      </c>
      <c r="NR10">
        <f>IF($CQ$10="",FALSE,SUMPRODUCT(('Final Calculation Sheet'!$Q$4:$Q$40=$CQ$10)*($NQ$6:$NQ$42=1))&gt;0)</f>
        <v/>
      </c>
      <c r="NS10">
        <f>$NS$9+--($NR10)</f>
        <v/>
      </c>
      <c r="NT10">
        <f>IF(ROW()-3&gt;MAX($NS$4:$NS$40),"",INDEX($CQ$4:$CQ$40,MATCH(ROW()-3,$NS$4:$NS$40,0)))</f>
        <v/>
      </c>
      <c r="NU10">
        <f>IF(COUNTIF('Buyer Groups'!DG10:DW10,0)+COUNTIF('Buyer Groups'!DY10:EN10,0)&gt;0,0,1)</f>
        <v/>
      </c>
      <c r="NV10">
        <f>IF($CV$10="",FALSE,SUMPRODUCT(('Final Calculation Sheet'!$R$4:$R$40=$CV$10)*($NU$6:$NU$42=1))&gt;0)</f>
        <v/>
      </c>
      <c r="NW10">
        <f>$NW$9+--($NV10)</f>
        <v/>
      </c>
      <c r="NX10">
        <f>IF(ROW()-3&gt;MAX($NW$4:$NW$40),"",INDEX($CV$4:$CV$40,MATCH(ROW()-3,$NW$4:$NW$40,0)))</f>
        <v/>
      </c>
      <c r="NY10">
        <f>IF(COUNTIF('Buyer Groups'!DG10:DX10,0)+COUNTIF('Buyer Groups'!DZ10:EN10,0)&gt;0,0,1)</f>
        <v/>
      </c>
      <c r="NZ10">
        <f>IF($DA$10="",FALSE,SUMPRODUCT(('Final Calculation Sheet'!$S$4:$S$40=$DA$10)*($NY$6:$NY$42=1))&gt;0)</f>
        <v/>
      </c>
      <c r="OA10">
        <f>$OA$9+--($NZ10)</f>
        <v/>
      </c>
      <c r="OB10">
        <f>IF(ROW()-3&gt;MAX($OA$4:$OA$40),"",INDEX($DA$4:$DA$40,MATCH(ROW()-3,$OA$4:$OA$40,0)))</f>
        <v/>
      </c>
      <c r="OC10">
        <f>IF(COUNTIF('Buyer Groups'!DG10:DY10,0)+COUNTIF('Buyer Groups'!EA10:EN10,0)&gt;0,0,1)</f>
        <v/>
      </c>
      <c r="OD10">
        <f>IF($DF$10="",FALSE,SUMPRODUCT(('Final Calculation Sheet'!$T$4:$T$40=$DF$10)*($OC$6:$OC$42=1))&gt;0)</f>
        <v/>
      </c>
      <c r="OE10">
        <f>$OE$9+--($OD10)</f>
        <v/>
      </c>
      <c r="OF10">
        <f>IF(ROW()-3&gt;MAX($OE$4:$OE$40),"",INDEX($DF$4:$DF$40,MATCH(ROW()-3,$OE$4:$OE$40,0)))</f>
        <v/>
      </c>
      <c r="OG10">
        <f>IF(COUNTIF('Buyer Groups'!DG10:DZ10,0)+COUNTIF('Buyer Groups'!EB10:EN10,0)&gt;0,0,1)</f>
        <v/>
      </c>
      <c r="OH10">
        <f>IF($DK$10="",FALSE,SUMPRODUCT(('Final Calculation Sheet'!$U$4:$U$40=$DK$10)*($OG$6:$OG$42=1))&gt;0)</f>
        <v/>
      </c>
      <c r="OI10">
        <f>$OI$9+--($OH10)</f>
        <v/>
      </c>
      <c r="OJ10">
        <f>IF(ROW()-3&gt;MAX($OI$4:$OI$40),"",INDEX($DK$4:$DK$40,MATCH(ROW()-3,$OI$4:$OI$40,0)))</f>
        <v/>
      </c>
      <c r="OK10">
        <f>IF(COUNTIF('Buyer Groups'!DG10:EA10,0)+COUNTIF('Buyer Groups'!EC10:EN10,0)&gt;0,0,1)</f>
        <v/>
      </c>
      <c r="OL10">
        <f>IF($DP$10="",FALSE,SUMPRODUCT(('Final Calculation Sheet'!$V$4:$V$40=$DP$10)*($OK$6:$OK$42=1))&gt;0)</f>
        <v/>
      </c>
      <c r="OM10">
        <f>$OM$9+--($OL10)</f>
        <v/>
      </c>
      <c r="ON10">
        <f>IF(ROW()-3&gt;MAX($OM$4:$OM$40),"",INDEX($DP$4:$DP$40,MATCH(ROW()-3,$OM$4:$OM$40,0)))</f>
        <v/>
      </c>
      <c r="OO10">
        <f>IF(COUNTIF('Buyer Groups'!DG10:EB10,0)+COUNTIF('Buyer Groups'!ED10:EN10,0)&gt;0,0,1)</f>
        <v/>
      </c>
      <c r="OP10">
        <f>IF($DU$10="",FALSE,SUMPRODUCT(('Final Calculation Sheet'!$W$4:$W$40=$DU$10)*($OO$6:$OO$42=1))&gt;0)</f>
        <v/>
      </c>
      <c r="OQ10">
        <f>$OQ$9+--($OP10)</f>
        <v/>
      </c>
      <c r="OR10">
        <f>IF(ROW()-3&gt;MAX($OQ$4:$OQ$40),"",INDEX($DU$4:$DU$40,MATCH(ROW()-3,$OQ$4:$OQ$40,0)))</f>
        <v/>
      </c>
      <c r="OS10">
        <f>IF(COUNTIF('Buyer Groups'!DG10:EC10,0)+COUNTIF('Buyer Groups'!EE10:EN10,0)&gt;0,0,1)</f>
        <v/>
      </c>
      <c r="OT10">
        <f>IF($DZ$10="",FALSE,SUMPRODUCT(('Final Calculation Sheet'!$X$4:$X$40=$DZ$10)*($OS$6:$OS$42=1))&gt;0)</f>
        <v/>
      </c>
      <c r="OU10">
        <f>$OU$9+--($OT10)</f>
        <v/>
      </c>
      <c r="OV10">
        <f>IF(ROW()-3&gt;MAX($OU$4:$OU$40),"",INDEX($DZ$4:$DZ$40,MATCH(ROW()-3,$OU$4:$OU$40,0)))</f>
        <v/>
      </c>
      <c r="OW10">
        <f>IF(COUNTIF('Buyer Groups'!DG10:ED10,0)+COUNTIF('Buyer Groups'!EF10:EN10,0)&gt;0,0,1)</f>
        <v/>
      </c>
      <c r="OX10">
        <f>IF($EE$10="",FALSE,SUMPRODUCT(('Final Calculation Sheet'!$Y$4:$Y$40=$EE$10)*($OW$6:$OW$42=1))&gt;0)</f>
        <v/>
      </c>
      <c r="OY10">
        <f>$OY$9+--($OX10)</f>
        <v/>
      </c>
      <c r="OZ10">
        <f>IF(ROW()-3&gt;MAX($OY$4:$OY$40),"",INDEX($EE$4:$EE$40,MATCH(ROW()-3,$OY$4:$OY$40,0)))</f>
        <v/>
      </c>
      <c r="PA10">
        <f>IF(COUNTIF('Buyer Groups'!DG10:EE10,0)+COUNTIF('Buyer Groups'!EG10:EN10,0)&gt;0,0,1)</f>
        <v/>
      </c>
      <c r="PB10">
        <f>IF($EJ$10="",FALSE,SUMPRODUCT(('Final Calculation Sheet'!$Z$4:$Z$40=$EJ$10)*($PA$6:$PA$42=1))&gt;0)</f>
        <v/>
      </c>
      <c r="PC10">
        <f>$PC$9+--($PB10)</f>
        <v/>
      </c>
      <c r="PD10">
        <f>IF(ROW()-3&gt;MAX($PC$4:$PC$40),"",INDEX($EJ$4:$EJ$40,MATCH(ROW()-3,$PC$4:$PC$40,0)))</f>
        <v/>
      </c>
      <c r="PE10">
        <f>IF(COUNTIF('Buyer Groups'!DG10:EF10,0)+COUNTIF('Buyer Groups'!EH10:EN10,0)&gt;0,0,1)</f>
        <v/>
      </c>
      <c r="PF10">
        <f>IF($EO$10="",FALSE,SUMPRODUCT(('Final Calculation Sheet'!$AA$4:$AA$40=$EO$10)*($PE$6:$PE$42=1))&gt;0)</f>
        <v/>
      </c>
      <c r="PG10">
        <f>$PG$9+--($PF10)</f>
        <v/>
      </c>
      <c r="PH10">
        <f>IF(ROW()-3&gt;MAX($PG$4:$PG$40),"",INDEX($EO$4:$EO$40,MATCH(ROW()-3,$PG$4:$PG$40,0)))</f>
        <v/>
      </c>
      <c r="PI10">
        <f>IF(COUNTIF('Buyer Groups'!DG10:EG10,0)+COUNTIF('Buyer Groups'!EI10:EN10,0)&gt;0,0,1)</f>
        <v/>
      </c>
      <c r="PJ10">
        <f>IF($ET$10="",FALSE,SUMPRODUCT(('Final Calculation Sheet'!$AB$4:$AB$40=$ET$10)*($PI$6:$PI$42=1))&gt;0)</f>
        <v/>
      </c>
      <c r="PK10">
        <f>$PK$9+--($PJ10)</f>
        <v/>
      </c>
      <c r="PL10">
        <f>IF(ROW()-3&gt;MAX($PK$4:$PK$40),"",INDEX($ET$4:$ET$40,MATCH(ROW()-3,$PK$4:$PK$40,0)))</f>
        <v/>
      </c>
      <c r="PM10">
        <f>IF(COUNTIF('Buyer Groups'!DG10:EH10,0)+COUNTIF('Buyer Groups'!EJ10:EN10,0)&gt;0,0,1)</f>
        <v/>
      </c>
      <c r="PN10">
        <f>IF($EY$10="",FALSE,SUMPRODUCT(('Final Calculation Sheet'!$AC$4:$AC$40=$EY$10)*($PM$6:$PM$42=1))&gt;0)</f>
        <v/>
      </c>
      <c r="PO10">
        <f>$PO$9+--($PN10)</f>
        <v/>
      </c>
      <c r="PP10">
        <f>IF(ROW()-3&gt;MAX($PO$4:$PO$40),"",INDEX($EY$4:$EY$40,MATCH(ROW()-3,$PO$4:$PO$40,0)))</f>
        <v/>
      </c>
      <c r="PQ10">
        <f>IF(COUNTIF('Buyer Groups'!DG10:EI10,0)+COUNTIF('Buyer Groups'!EK10:EN10,0)&gt;0,0,1)</f>
        <v/>
      </c>
      <c r="PR10">
        <f>IF($FD$10="",FALSE,SUMPRODUCT(('Final Calculation Sheet'!$AD$4:$AD$40=$FD$10)*($PQ$6:$PQ$42=1))&gt;0)</f>
        <v/>
      </c>
      <c r="PS10">
        <f>$PS$9+--($PR10)</f>
        <v/>
      </c>
      <c r="PT10">
        <f>IF(ROW()-3&gt;MAX($PS$4:$PS$40),"",INDEX($FD$4:$FD$40,MATCH(ROW()-3,$PS$4:$PS$40,0)))</f>
        <v/>
      </c>
      <c r="PU10">
        <f>IF(COUNTIF('Buyer Groups'!DG10:EJ10,0)+COUNTIF('Buyer Groups'!EL10:EN10,0)&gt;0,0,1)</f>
        <v/>
      </c>
      <c r="PV10">
        <f>IF($FX$10="",FALSE,SUMPRODUCT((IF('Final Calculation Sheet'!$AD$4:$AD$40&lt;=5,"SETTLED","OUTSTANDING")=$FX$10)*($PU$6:$PU$42=1))&gt;0)</f>
        <v/>
      </c>
      <c r="PW10">
        <f>$PW$9+--($PV10)</f>
        <v/>
      </c>
      <c r="PX10">
        <f>IF(ROW()-3&gt;MAX($PW$4:$PW$40),"",INDEX($FX$4:$FX$40,MATCH(ROW()-3,$PW$4:$PW$40,0)))</f>
        <v/>
      </c>
      <c r="PY10">
        <f>IF(COUNTIF('Buyer Groups'!DG10:EK10,0)+COUNTIF('Buyer Groups'!EM10:EN10,0)&gt;0,0,1)</f>
        <v/>
      </c>
      <c r="PZ10">
        <f>IF($FI$10="",FALSE,SUMPRODUCT(('Final Calculation Sheet'!$AF$4:$AF$40=$FI$10)*($PY$6:$PY$42=1))&gt;0)</f>
        <v/>
      </c>
      <c r="QA10">
        <f>$QA$9+--($PZ10)</f>
        <v/>
      </c>
      <c r="QB10">
        <f>IF(ROW()-3&gt;MAX($QA$4:$QA$40),"",INDEX($FI$4:$FI$40,MATCH(ROW()-3,$QA$4:$QA$40,0)))</f>
        <v/>
      </c>
      <c r="QC10">
        <f>IF(COUNTIF('Buyer Groups'!DG10:EL10,0)+COUNTIF('Buyer Groups'!EN10:EN10,0)&gt;0,0,1)</f>
        <v/>
      </c>
      <c r="QD10">
        <f>IF($FN$10="",FALSE,SUMPRODUCT(('Final Calculation Sheet'!$AG$4:$AG$40=$FN$10)*($QC$6:$QC$42=1))&gt;0)</f>
        <v/>
      </c>
      <c r="QE10">
        <f>$QE$9+--($QD10)</f>
        <v/>
      </c>
      <c r="QF10">
        <f>IF(ROW()-3&gt;MAX($QE$4:$QE$40),"",INDEX($FN$4:$FN$40,MATCH(ROW()-3,$QE$4:$QE$40,0)))</f>
        <v/>
      </c>
      <c r="QG10">
        <f>IF(COUNTIF('Buyer Groups'!DG10:EM10,0)&gt;0,0,1)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Groups'!DH11:EN11,0)&gt;0,0,1)</f>
        <v/>
      </c>
      <c r="LF11">
        <f>IF($O$11="",FALSE,SUMPRODUCT(('Final Calculation Sheet'!$F$4:$F$40=$O$11)*($LE$6:$LE$42=1))&gt;0)</f>
        <v/>
      </c>
      <c r="LG11">
        <f>$LG$10+--($LF11)</f>
        <v/>
      </c>
      <c r="LH11">
        <f>IF(ROW()-3&gt;MAX($LG$4:$LG$40),"",INDEX($O$4:$O$40,MATCH(ROW()-3,$LG$4:$LG$40,0)))</f>
        <v/>
      </c>
      <c r="LI11">
        <f>IF(COUNTIF('Buyer Groups'!DG11:DG11,0)+COUNTIF('Buyer Groups'!DI11:EN11,0)&gt;0,0,1)</f>
        <v/>
      </c>
      <c r="LJ11">
        <f>IF($T$11="",FALSE,SUMPRODUCT(('Final Calculation Sheet'!$G$4:$G$40=$T$11)*($LI$6:$LI$42=1))&gt;0)</f>
        <v/>
      </c>
      <c r="LK11">
        <f>$LK$10+--($LJ11)</f>
        <v/>
      </c>
      <c r="LL11">
        <f>IF(ROW()-3&gt;MAX($LK$4:$LK$40),"",INDEX($T$4:$T$40,MATCH(ROW()-3,$LK$4:$LK$40,0)))</f>
        <v/>
      </c>
      <c r="LM11">
        <f>IF(COUNTIF('Buyer Groups'!DG11:DH11,0)+COUNTIF('Buyer Groups'!DJ11:EN11,0)&gt;0,0,1)</f>
        <v/>
      </c>
      <c r="LN11">
        <f>IF($Y$11="",FALSE,SUMPRODUCT(('Final Calculation Sheet'!$B$4:$B$40=$Y$11)*($LM$6:$LM$42=1))&gt;0)</f>
        <v/>
      </c>
      <c r="LO11">
        <f>$LO$10+--($LN11)</f>
        <v/>
      </c>
      <c r="LP11">
        <f>IF(ROW()-3&gt;MAX($LO$4:$LO$40),"",INDEX($Y$4:$Y$40,MATCH(ROW()-3,$LO$4:$LO$40,0)))</f>
        <v/>
      </c>
      <c r="LQ11">
        <f>IF(COUNTIF('Buyer Groups'!DG11:DI11,0)+COUNTIF('Buyer Groups'!DK11:EN11,0)&gt;0,0,1)</f>
        <v/>
      </c>
      <c r="LR11">
        <f>IF($AD$11="",FALSE,SUMPRODUCT(('Final Calculation Sheet'!$D$4:$D$40=$AD$11)*($LQ$6:$LQ$42=1))&gt;0)</f>
        <v/>
      </c>
      <c r="LS11">
        <f>$LS$10+--($LR11)</f>
        <v/>
      </c>
      <c r="LT11">
        <f>IF(ROW()-3&gt;MAX($LS$4:$LS$40),"",INDEX($AD$4:$AD$40,MATCH(ROW()-3,$LS$4:$LS$40,0)))</f>
        <v/>
      </c>
      <c r="LU11">
        <f>IF(COUNTIF('Buyer Groups'!DG11:DJ11,0)+COUNTIF('Buyer Groups'!DL11:EN11,0)&gt;0,0,1)</f>
        <v/>
      </c>
      <c r="LV11">
        <f>IF($AI$11="",FALSE,SUMPRODUCT(('Final Calculation Sheet'!$A$4:$A$40=$AI$11)*($LU$6:$LU$42=1))&gt;0)</f>
        <v/>
      </c>
      <c r="LW11">
        <f>$LW$10+--($LV11)</f>
        <v/>
      </c>
      <c r="LX11">
        <f>IF(ROW()-3&gt;MAX($LW$4:$LW$40),"",INDEX($AI$4:$AI$40,MATCH(ROW()-3,$LW$4:$LW$40,0)))</f>
        <v/>
      </c>
      <c r="LY11">
        <f>IF(COUNTIF('Buyer Groups'!DG11:DK11,0)+COUNTIF('Buyer Groups'!DM11:EN11,0)&gt;0,0,1)</f>
        <v/>
      </c>
      <c r="LZ11">
        <f>IF($AN$11="",FALSE,SUMPRODUCT(('Final Calculation Sheet'!$E$4:$E$40=$AN$11)*($LY$6:$LY$42=1))&gt;0)</f>
        <v/>
      </c>
      <c r="MA11">
        <f>$MA$10+--($LZ11)</f>
        <v/>
      </c>
      <c r="MB11">
        <f>IF(ROW()-3&gt;MAX($MA$4:$MA$40),"",INDEX($AN$4:$AN$40,MATCH(ROW()-3,$MA$4:$MA$40,0)))</f>
        <v/>
      </c>
      <c r="MC11">
        <f>IF(COUNTIF('Buyer Groups'!DG11:DL11,0)+COUNTIF('Buyer Groups'!DN11:EN11,0)&gt;0,0,1)</f>
        <v/>
      </c>
      <c r="MD11">
        <f>IF($AS$11="",FALSE,SUMPRODUCT(('Final Calculation Sheet'!$C$4:$C$40=$AS$11)*($MC$6:$MC$42=1))&gt;0)</f>
        <v/>
      </c>
      <c r="ME11">
        <f>$ME$10+--($MD11)</f>
        <v/>
      </c>
      <c r="MF11">
        <f>IF(ROW()-3&gt;MAX($ME$4:$ME$40),"",INDEX($AS$4:$AS$40,MATCH(ROW()-3,$ME$4:$ME$40,0)))</f>
        <v/>
      </c>
      <c r="MG11">
        <f>IF(COUNTIF('Buyer Groups'!DG11:DM11,0)+COUNTIF('Buyer Groups'!DO11:EN11,0)&gt;0,0,1)</f>
        <v/>
      </c>
      <c r="MH11">
        <f>IF($AX$11="",FALSE,SUMPRODUCT(('Final Calculation Sheet'!$H$4:$H$40=$AX$11)*($MG$6:$MG$42=1))&gt;0)</f>
        <v/>
      </c>
      <c r="MI11">
        <f>$MI$10+--($MH11)</f>
        <v/>
      </c>
      <c r="MJ11">
        <f>IF(ROW()-3&gt;MAX($MI$4:$MI$40),"",INDEX($AX$4:$AX$40,MATCH(ROW()-3,$MI$4:$MI$40,0)))</f>
        <v/>
      </c>
      <c r="MK11">
        <f>IF(COUNTIF('Buyer Groups'!DG11:DN11,0)+COUNTIF('Buyer Groups'!DP11:EN11,0)&gt;0,0,1)</f>
        <v/>
      </c>
      <c r="ML11">
        <f>IF($BC$11="",FALSE,SUMPRODUCT(('Final Calculation Sheet'!$I$4:$I$40=$BC$11)*($MK$6:$MK$42=1))&gt;0)</f>
        <v/>
      </c>
      <c r="MM11">
        <f>$MM$10+--($ML11)</f>
        <v/>
      </c>
      <c r="MN11">
        <f>IF(ROW()-3&gt;MAX($MM$4:$MM$40),"",INDEX($BC$4:$BC$40,MATCH(ROW()-3,$MM$4:$MM$40,0)))</f>
        <v/>
      </c>
      <c r="MO11">
        <f>IF(COUNTIF('Buyer Groups'!DG11:DO11,0)+COUNTIF('Buyer Groups'!DQ11:EN11,0)&gt;0,0,1)</f>
        <v/>
      </c>
      <c r="MP11">
        <f>IF($BH$11="",FALSE,SUMPRODUCT(('Final Calculation Sheet'!$J$4:$J$40=$BH$11)*($MO$6:$MO$42=1))&gt;0)</f>
        <v/>
      </c>
      <c r="MQ11">
        <f>$MQ$10+--($MP11)</f>
        <v/>
      </c>
      <c r="MR11">
        <f>IF(ROW()-3&gt;MAX($MQ$4:$MQ$40),"",INDEX($BH$4:$BH$40,MATCH(ROW()-3,$MQ$4:$MQ$40,0)))</f>
        <v/>
      </c>
      <c r="MS11">
        <f>IF(COUNTIF('Buyer Groups'!DG11:DP11,0)+COUNTIF('Buyer Groups'!DR11:EN11,0)&gt;0,0,1)</f>
        <v/>
      </c>
      <c r="MT11">
        <f>IF($BM$11="",FALSE,SUMPRODUCT(('Final Calculation Sheet'!$K$4:$K$40=$BM$11)*($MS$6:$MS$42=1))&gt;0)</f>
        <v/>
      </c>
      <c r="MU11">
        <f>$MU$10+--($MT11)</f>
        <v/>
      </c>
      <c r="MV11">
        <f>IF(ROW()-3&gt;MAX($MU$4:$MU$40),"",INDEX($BM$4:$BM$40,MATCH(ROW()-3,$MU$4:$MU$40,0)))</f>
        <v/>
      </c>
      <c r="MW11">
        <f>IF(COUNTIF('Buyer Groups'!DG11:DQ11,0)+COUNTIF('Buyer Groups'!DS11:EN11,0)&gt;0,0,1)</f>
        <v/>
      </c>
      <c r="MX11">
        <f>IF($BR$11="",FALSE,SUMPRODUCT(('Final Calculation Sheet'!$L$4:$L$40=$BR$11)*($MW$6:$MW$42=1))&gt;0)</f>
        <v/>
      </c>
      <c r="MY11">
        <f>$MY$10+--($MX11)</f>
        <v/>
      </c>
      <c r="MZ11">
        <f>IF(ROW()-3&gt;MAX($MY$4:$MY$40),"",INDEX($BR$4:$BR$40,MATCH(ROW()-3,$MY$4:$MY$40,0)))</f>
        <v/>
      </c>
      <c r="NA11">
        <f>IF(COUNTIF('Buyer Groups'!DG11:DR11,0)+COUNTIF('Buyer Groups'!DT11:EN11,0)&gt;0,0,1)</f>
        <v/>
      </c>
      <c r="NB11">
        <f>IF($BW$11="",FALSE,SUMPRODUCT(('Final Calculation Sheet'!$M$4:$M$40=$BW$11)*($NA$6:$NA$42=1))&gt;0)</f>
        <v/>
      </c>
      <c r="NC11">
        <f>$NC$10+--($NB11)</f>
        <v/>
      </c>
      <c r="ND11">
        <f>IF(ROW()-3&gt;MAX($NC$4:$NC$40),"",INDEX($BW$4:$BW$40,MATCH(ROW()-3,$NC$4:$NC$40,0)))</f>
        <v/>
      </c>
      <c r="NE11">
        <f>IF(COUNTIF('Buyer Groups'!DG11:DS11,0)+COUNTIF('Buyer Groups'!DU11:EN11,0)&gt;0,0,1)</f>
        <v/>
      </c>
      <c r="NF11">
        <f>IF($CB$11="",FALSE,SUMPRODUCT(('Final Calculation Sheet'!$N$4:$N$40=$CB$11)*($NE$6:$NE$42=1))&gt;0)</f>
        <v/>
      </c>
      <c r="NG11">
        <f>$NG$10+--($NF11)</f>
        <v/>
      </c>
      <c r="NH11">
        <f>IF(ROW()-3&gt;MAX($NG$4:$NG$40),"",INDEX($CB$4:$CB$40,MATCH(ROW()-3,$NG$4:$NG$40,0)))</f>
        <v/>
      </c>
      <c r="NI11">
        <f>IF(COUNTIF('Buyer Groups'!DG11:DT11,0)+COUNTIF('Buyer Groups'!DV11:EN11,0)&gt;0,0,1)</f>
        <v/>
      </c>
      <c r="NJ11">
        <f>IF($CG$11="",FALSE,SUMPRODUCT(('Final Calculation Sheet'!$O$4:$O$40=$CG$11)*($NI$6:$NI$42=1))&gt;0)</f>
        <v/>
      </c>
      <c r="NK11">
        <f>$NK$10+--($NJ11)</f>
        <v/>
      </c>
      <c r="NL11">
        <f>IF(ROW()-3&gt;MAX($NK$4:$NK$40),"",INDEX($CG$4:$CG$40,MATCH(ROW()-3,$NK$4:$NK$40,0)))</f>
        <v/>
      </c>
      <c r="NM11">
        <f>IF(COUNTIF('Buyer Groups'!DG11:DU11,0)+COUNTIF('Buyer Groups'!DW11:EN11,0)&gt;0,0,1)</f>
        <v/>
      </c>
      <c r="NN11">
        <f>IF($CL$11="",FALSE,SUMPRODUCT(('Final Calculation Sheet'!$P$4:$P$40=$CL$11)*($NM$6:$NM$42=1))&gt;0)</f>
        <v/>
      </c>
      <c r="NO11">
        <f>$NO$10+--($NN11)</f>
        <v/>
      </c>
      <c r="NP11">
        <f>IF(ROW()-3&gt;MAX($NO$4:$NO$40),"",INDEX($CL$4:$CL$40,MATCH(ROW()-3,$NO$4:$NO$40,0)))</f>
        <v/>
      </c>
      <c r="NQ11">
        <f>IF(COUNTIF('Buyer Groups'!DG11:DV11,0)+COUNTIF('Buyer Groups'!DX11:EN11,0)&gt;0,0,1)</f>
        <v/>
      </c>
      <c r="NR11">
        <f>IF($CQ$11="",FALSE,SUMPRODUCT(('Final Calculation Sheet'!$Q$4:$Q$40=$CQ$11)*($NQ$6:$NQ$42=1))&gt;0)</f>
        <v/>
      </c>
      <c r="NS11">
        <f>$NS$10+--($NR11)</f>
        <v/>
      </c>
      <c r="NT11">
        <f>IF(ROW()-3&gt;MAX($NS$4:$NS$40),"",INDEX($CQ$4:$CQ$40,MATCH(ROW()-3,$NS$4:$NS$40,0)))</f>
        <v/>
      </c>
      <c r="NU11">
        <f>IF(COUNTIF('Buyer Groups'!DG11:DW11,0)+COUNTIF('Buyer Groups'!DY11:EN11,0)&gt;0,0,1)</f>
        <v/>
      </c>
      <c r="NV11">
        <f>IF($CV$11="",FALSE,SUMPRODUCT(('Final Calculation Sheet'!$R$4:$R$40=$CV$11)*($NU$6:$NU$42=1))&gt;0)</f>
        <v/>
      </c>
      <c r="NW11">
        <f>$NW$10+--($NV11)</f>
        <v/>
      </c>
      <c r="NX11">
        <f>IF(ROW()-3&gt;MAX($NW$4:$NW$40),"",INDEX($CV$4:$CV$40,MATCH(ROW()-3,$NW$4:$NW$40,0)))</f>
        <v/>
      </c>
      <c r="NY11">
        <f>IF(COUNTIF('Buyer Groups'!DG11:DX11,0)+COUNTIF('Buyer Groups'!DZ11:EN11,0)&gt;0,0,1)</f>
        <v/>
      </c>
      <c r="NZ11">
        <f>IF($DA$11="",FALSE,SUMPRODUCT(('Final Calculation Sheet'!$S$4:$S$40=$DA$11)*($NY$6:$NY$42=1))&gt;0)</f>
        <v/>
      </c>
      <c r="OA11">
        <f>$OA$10+--($NZ11)</f>
        <v/>
      </c>
      <c r="OB11">
        <f>IF(ROW()-3&gt;MAX($OA$4:$OA$40),"",INDEX($DA$4:$DA$40,MATCH(ROW()-3,$OA$4:$OA$40,0)))</f>
        <v/>
      </c>
      <c r="OC11">
        <f>IF(COUNTIF('Buyer Groups'!DG11:DY11,0)+COUNTIF('Buyer Groups'!EA11:EN11,0)&gt;0,0,1)</f>
        <v/>
      </c>
      <c r="OD11">
        <f>IF($DF$11="",FALSE,SUMPRODUCT(('Final Calculation Sheet'!$T$4:$T$40=$DF$11)*($OC$6:$OC$42=1))&gt;0)</f>
        <v/>
      </c>
      <c r="OE11">
        <f>$OE$10+--($OD11)</f>
        <v/>
      </c>
      <c r="OF11">
        <f>IF(ROW()-3&gt;MAX($OE$4:$OE$40),"",INDEX($DF$4:$DF$40,MATCH(ROW()-3,$OE$4:$OE$40,0)))</f>
        <v/>
      </c>
      <c r="OG11">
        <f>IF(COUNTIF('Buyer Groups'!DG11:DZ11,0)+COUNTIF('Buyer Groups'!EB11:EN11,0)&gt;0,0,1)</f>
        <v/>
      </c>
      <c r="OH11">
        <f>IF($DK$11="",FALSE,SUMPRODUCT(('Final Calculation Sheet'!$U$4:$U$40=$DK$11)*($OG$6:$OG$42=1))&gt;0)</f>
        <v/>
      </c>
      <c r="OI11">
        <f>$OI$10+--($OH11)</f>
        <v/>
      </c>
      <c r="OJ11">
        <f>IF(ROW()-3&gt;MAX($OI$4:$OI$40),"",INDEX($DK$4:$DK$40,MATCH(ROW()-3,$OI$4:$OI$40,0)))</f>
        <v/>
      </c>
      <c r="OK11">
        <f>IF(COUNTIF('Buyer Groups'!DG11:EA11,0)+COUNTIF('Buyer Groups'!EC11:EN11,0)&gt;0,0,1)</f>
        <v/>
      </c>
      <c r="OL11">
        <f>IF($DP$11="",FALSE,SUMPRODUCT(('Final Calculation Sheet'!$V$4:$V$40=$DP$11)*($OK$6:$OK$42=1))&gt;0)</f>
        <v/>
      </c>
      <c r="OM11">
        <f>$OM$10+--($OL11)</f>
        <v/>
      </c>
      <c r="ON11">
        <f>IF(ROW()-3&gt;MAX($OM$4:$OM$40),"",INDEX($DP$4:$DP$40,MATCH(ROW()-3,$OM$4:$OM$40,0)))</f>
        <v/>
      </c>
      <c r="OO11">
        <f>IF(COUNTIF('Buyer Groups'!DG11:EB11,0)+COUNTIF('Buyer Groups'!ED11:EN11,0)&gt;0,0,1)</f>
        <v/>
      </c>
      <c r="OP11">
        <f>IF($DU$11="",FALSE,SUMPRODUCT(('Final Calculation Sheet'!$W$4:$W$40=$DU$11)*($OO$6:$OO$42=1))&gt;0)</f>
        <v/>
      </c>
      <c r="OQ11">
        <f>$OQ$10+--($OP11)</f>
        <v/>
      </c>
      <c r="OR11">
        <f>IF(ROW()-3&gt;MAX($OQ$4:$OQ$40),"",INDEX($DU$4:$DU$40,MATCH(ROW()-3,$OQ$4:$OQ$40,0)))</f>
        <v/>
      </c>
      <c r="OS11">
        <f>IF(COUNTIF('Buyer Groups'!DG11:EC11,0)+COUNTIF('Buyer Groups'!EE11:EN11,0)&gt;0,0,1)</f>
        <v/>
      </c>
      <c r="OT11">
        <f>IF($DZ$11="",FALSE,SUMPRODUCT(('Final Calculation Sheet'!$X$4:$X$40=$DZ$11)*($OS$6:$OS$42=1))&gt;0)</f>
        <v/>
      </c>
      <c r="OU11">
        <f>$OU$10+--($OT11)</f>
        <v/>
      </c>
      <c r="OV11">
        <f>IF(ROW()-3&gt;MAX($OU$4:$OU$40),"",INDEX($DZ$4:$DZ$40,MATCH(ROW()-3,$OU$4:$OU$40,0)))</f>
        <v/>
      </c>
      <c r="OW11">
        <f>IF(COUNTIF('Buyer Groups'!DG11:ED11,0)+COUNTIF('Buyer Groups'!EF11:EN11,0)&gt;0,0,1)</f>
        <v/>
      </c>
      <c r="OX11">
        <f>IF($EE$11="",FALSE,SUMPRODUCT(('Final Calculation Sheet'!$Y$4:$Y$40=$EE$11)*($OW$6:$OW$42=1))&gt;0)</f>
        <v/>
      </c>
      <c r="OY11">
        <f>$OY$10+--($OX11)</f>
        <v/>
      </c>
      <c r="OZ11">
        <f>IF(ROW()-3&gt;MAX($OY$4:$OY$40),"",INDEX($EE$4:$EE$40,MATCH(ROW()-3,$OY$4:$OY$40,0)))</f>
        <v/>
      </c>
      <c r="PA11">
        <f>IF(COUNTIF('Buyer Groups'!DG11:EE11,0)+COUNTIF('Buyer Groups'!EG11:EN11,0)&gt;0,0,1)</f>
        <v/>
      </c>
      <c r="PB11">
        <f>IF($EJ$11="",FALSE,SUMPRODUCT(('Final Calculation Sheet'!$Z$4:$Z$40=$EJ$11)*($PA$6:$PA$42=1))&gt;0)</f>
        <v/>
      </c>
      <c r="PC11">
        <f>$PC$10+--($PB11)</f>
        <v/>
      </c>
      <c r="PD11">
        <f>IF(ROW()-3&gt;MAX($PC$4:$PC$40),"",INDEX($EJ$4:$EJ$40,MATCH(ROW()-3,$PC$4:$PC$40,0)))</f>
        <v/>
      </c>
      <c r="PE11">
        <f>IF(COUNTIF('Buyer Groups'!DG11:EF11,0)+COUNTIF('Buyer Groups'!EH11:EN11,0)&gt;0,0,1)</f>
        <v/>
      </c>
      <c r="PF11">
        <f>IF($EO$11="",FALSE,SUMPRODUCT(('Final Calculation Sheet'!$AA$4:$AA$40=$EO$11)*($PE$6:$PE$42=1))&gt;0)</f>
        <v/>
      </c>
      <c r="PG11">
        <f>$PG$10+--($PF11)</f>
        <v/>
      </c>
      <c r="PH11">
        <f>IF(ROW()-3&gt;MAX($PG$4:$PG$40),"",INDEX($EO$4:$EO$40,MATCH(ROW()-3,$PG$4:$PG$40,0)))</f>
        <v/>
      </c>
      <c r="PI11">
        <f>IF(COUNTIF('Buyer Groups'!DG11:EG11,0)+COUNTIF('Buyer Groups'!EI11:EN11,0)&gt;0,0,1)</f>
        <v/>
      </c>
      <c r="PJ11">
        <f>IF($ET$11="",FALSE,SUMPRODUCT(('Final Calculation Sheet'!$AB$4:$AB$40=$ET$11)*($PI$6:$PI$42=1))&gt;0)</f>
        <v/>
      </c>
      <c r="PK11">
        <f>$PK$10+--($PJ11)</f>
        <v/>
      </c>
      <c r="PL11">
        <f>IF(ROW()-3&gt;MAX($PK$4:$PK$40),"",INDEX($ET$4:$ET$40,MATCH(ROW()-3,$PK$4:$PK$40,0)))</f>
        <v/>
      </c>
      <c r="PM11">
        <f>IF(COUNTIF('Buyer Groups'!DG11:EH11,0)+COUNTIF('Buyer Groups'!EJ11:EN11,0)&gt;0,0,1)</f>
        <v/>
      </c>
      <c r="PN11">
        <f>IF($EY$11="",FALSE,SUMPRODUCT(('Final Calculation Sheet'!$AC$4:$AC$40=$EY$11)*($PM$6:$PM$42=1))&gt;0)</f>
        <v/>
      </c>
      <c r="PO11">
        <f>$PO$10+--($PN11)</f>
        <v/>
      </c>
      <c r="PP11">
        <f>IF(ROW()-3&gt;MAX($PO$4:$PO$40),"",INDEX($EY$4:$EY$40,MATCH(ROW()-3,$PO$4:$PO$40,0)))</f>
        <v/>
      </c>
      <c r="PQ11">
        <f>IF(COUNTIF('Buyer Groups'!DG11:EI11,0)+COUNTIF('Buyer Groups'!EK11:EN11,0)&gt;0,0,1)</f>
        <v/>
      </c>
      <c r="PR11">
        <f>IF($FD$11="",FALSE,SUMPRODUCT(('Final Calculation Sheet'!$AD$4:$AD$40=$FD$11)*($PQ$6:$PQ$42=1))&gt;0)</f>
        <v/>
      </c>
      <c r="PS11">
        <f>$PS$10+--($PR11)</f>
        <v/>
      </c>
      <c r="PT11">
        <f>IF(ROW()-3&gt;MAX($PS$4:$PS$40),"",INDEX($FD$4:$FD$40,MATCH(ROW()-3,$PS$4:$PS$40,0)))</f>
        <v/>
      </c>
      <c r="PU11">
        <f>IF(COUNTIF('Buyer Groups'!DG11:EJ11,0)+COUNTIF('Buyer Groups'!EL11:EN11,0)&gt;0,0,1)</f>
        <v/>
      </c>
      <c r="PV11">
        <f>IF($FX$11="",FALSE,SUMPRODUCT((IF('Final Calculation Sheet'!$AD$4:$AD$40&lt;=5,"SETTLED","OUTSTANDING")=$FX$11)*($PU$6:$PU$42=1))&gt;0)</f>
        <v/>
      </c>
      <c r="PW11">
        <f>$PW$10+--($PV11)</f>
        <v/>
      </c>
      <c r="PX11">
        <f>IF(ROW()-3&gt;MAX($PW$4:$PW$40),"",INDEX($FX$4:$FX$40,MATCH(ROW()-3,$PW$4:$PW$40,0)))</f>
        <v/>
      </c>
      <c r="PY11">
        <f>IF(COUNTIF('Buyer Groups'!DG11:EK11,0)+COUNTIF('Buyer Groups'!EM11:EN11,0)&gt;0,0,1)</f>
        <v/>
      </c>
      <c r="PZ11">
        <f>IF($FI$11="",FALSE,SUMPRODUCT(('Final Calculation Sheet'!$AF$4:$AF$40=$FI$11)*($PY$6:$PY$42=1))&gt;0)</f>
        <v/>
      </c>
      <c r="QA11">
        <f>$QA$10+--($PZ11)</f>
        <v/>
      </c>
      <c r="QB11">
        <f>IF(ROW()-3&gt;MAX($QA$4:$QA$40),"",INDEX($FI$4:$FI$40,MATCH(ROW()-3,$QA$4:$QA$40,0)))</f>
        <v/>
      </c>
      <c r="QC11">
        <f>IF(COUNTIF('Buyer Groups'!DG11:EL11,0)+COUNTIF('Buyer Groups'!EN11:EN11,0)&gt;0,0,1)</f>
        <v/>
      </c>
      <c r="QD11">
        <f>IF($FN$11="",FALSE,SUMPRODUCT(('Final Calculation Sheet'!$AG$4:$AG$40=$FN$11)*($QC$6:$QC$42=1))&gt;0)</f>
        <v/>
      </c>
      <c r="QE11">
        <f>$QE$10+--($QD11)</f>
        <v/>
      </c>
      <c r="QF11">
        <f>IF(ROW()-3&gt;MAX($QE$4:$QE$40),"",INDEX($FN$4:$FN$40,MATCH(ROW()-3,$QE$4:$QE$40,0)))</f>
        <v/>
      </c>
      <c r="QG11">
        <f>IF(COUNTIF('Buyer Groups'!DG11:EM11,0)&gt;0,0,1)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Groups'!DH12:EN12,0)&gt;0,0,1)</f>
        <v/>
      </c>
      <c r="LF12">
        <f>IF($O$12="",FALSE,SUMPRODUCT(('Final Calculation Sheet'!$F$4:$F$40=$O$12)*($LE$6:$LE$42=1))&gt;0)</f>
        <v/>
      </c>
      <c r="LG12">
        <f>$LG$11+--($LF12)</f>
        <v/>
      </c>
      <c r="LH12">
        <f>IF(ROW()-3&gt;MAX($LG$4:$LG$40),"",INDEX($O$4:$O$40,MATCH(ROW()-3,$LG$4:$LG$40,0)))</f>
        <v/>
      </c>
      <c r="LI12">
        <f>IF(COUNTIF('Buyer Groups'!DG12:DG12,0)+COUNTIF('Buyer Groups'!DI12:EN12,0)&gt;0,0,1)</f>
        <v/>
      </c>
      <c r="LJ12">
        <f>IF($T$12="",FALSE,SUMPRODUCT(('Final Calculation Sheet'!$G$4:$G$40=$T$12)*($LI$6:$LI$42=1))&gt;0)</f>
        <v/>
      </c>
      <c r="LK12">
        <f>$LK$11+--($LJ12)</f>
        <v/>
      </c>
      <c r="LL12">
        <f>IF(ROW()-3&gt;MAX($LK$4:$LK$40),"",INDEX($T$4:$T$40,MATCH(ROW()-3,$LK$4:$LK$40,0)))</f>
        <v/>
      </c>
      <c r="LM12">
        <f>IF(COUNTIF('Buyer Groups'!DG12:DH12,0)+COUNTIF('Buyer Groups'!DJ12:EN12,0)&gt;0,0,1)</f>
        <v/>
      </c>
      <c r="LN12">
        <f>IF($Y$12="",FALSE,SUMPRODUCT(('Final Calculation Sheet'!$B$4:$B$40=$Y$12)*($LM$6:$LM$42=1))&gt;0)</f>
        <v/>
      </c>
      <c r="LO12">
        <f>$LO$11+--($LN12)</f>
        <v/>
      </c>
      <c r="LP12">
        <f>IF(ROW()-3&gt;MAX($LO$4:$LO$40),"",INDEX($Y$4:$Y$40,MATCH(ROW()-3,$LO$4:$LO$40,0)))</f>
        <v/>
      </c>
      <c r="LQ12">
        <f>IF(COUNTIF('Buyer Groups'!DG12:DI12,0)+COUNTIF('Buyer Groups'!DK12:EN12,0)&gt;0,0,1)</f>
        <v/>
      </c>
      <c r="LR12">
        <f>IF($AD$12="",FALSE,SUMPRODUCT(('Final Calculation Sheet'!$D$4:$D$40=$AD$12)*($LQ$6:$LQ$42=1))&gt;0)</f>
        <v/>
      </c>
      <c r="LS12">
        <f>$LS$11+--($LR12)</f>
        <v/>
      </c>
      <c r="LT12">
        <f>IF(ROW()-3&gt;MAX($LS$4:$LS$40),"",INDEX($AD$4:$AD$40,MATCH(ROW()-3,$LS$4:$LS$40,0)))</f>
        <v/>
      </c>
      <c r="LU12">
        <f>IF(COUNTIF('Buyer Groups'!DG12:DJ12,0)+COUNTIF('Buyer Groups'!DL12:EN12,0)&gt;0,0,1)</f>
        <v/>
      </c>
      <c r="LV12">
        <f>IF($AI$12="",FALSE,SUMPRODUCT(('Final Calculation Sheet'!$A$4:$A$40=$AI$12)*($LU$6:$LU$42=1))&gt;0)</f>
        <v/>
      </c>
      <c r="LW12">
        <f>$LW$11+--($LV12)</f>
        <v/>
      </c>
      <c r="LX12">
        <f>IF(ROW()-3&gt;MAX($LW$4:$LW$40),"",INDEX($AI$4:$AI$40,MATCH(ROW()-3,$LW$4:$LW$40,0)))</f>
        <v/>
      </c>
      <c r="LY12">
        <f>IF(COUNTIF('Buyer Groups'!DG12:DK12,0)+COUNTIF('Buyer Groups'!DM12:EN12,0)&gt;0,0,1)</f>
        <v/>
      </c>
      <c r="LZ12">
        <f>IF($AN$12="",FALSE,SUMPRODUCT(('Final Calculation Sheet'!$E$4:$E$40=$AN$12)*($LY$6:$LY$42=1))&gt;0)</f>
        <v/>
      </c>
      <c r="MA12">
        <f>$MA$11+--($LZ12)</f>
        <v/>
      </c>
      <c r="MB12">
        <f>IF(ROW()-3&gt;MAX($MA$4:$MA$40),"",INDEX($AN$4:$AN$40,MATCH(ROW()-3,$MA$4:$MA$40,0)))</f>
        <v/>
      </c>
      <c r="MC12">
        <f>IF(COUNTIF('Buyer Groups'!DG12:DL12,0)+COUNTIF('Buyer Groups'!DN12:EN12,0)&gt;0,0,1)</f>
        <v/>
      </c>
      <c r="MD12">
        <f>IF($AS$12="",FALSE,SUMPRODUCT(('Final Calculation Sheet'!$C$4:$C$40=$AS$12)*($MC$6:$MC$42=1))&gt;0)</f>
        <v/>
      </c>
      <c r="ME12">
        <f>$ME$11+--($MD12)</f>
        <v/>
      </c>
      <c r="MF12">
        <f>IF(ROW()-3&gt;MAX($ME$4:$ME$40),"",INDEX($AS$4:$AS$40,MATCH(ROW()-3,$ME$4:$ME$40,0)))</f>
        <v/>
      </c>
      <c r="MG12">
        <f>IF(COUNTIF('Buyer Groups'!DG12:DM12,0)+COUNTIF('Buyer Groups'!DO12:EN12,0)&gt;0,0,1)</f>
        <v/>
      </c>
      <c r="MH12">
        <f>IF($AX$12="",FALSE,SUMPRODUCT(('Final Calculation Sheet'!$H$4:$H$40=$AX$12)*($MG$6:$MG$42=1))&gt;0)</f>
        <v/>
      </c>
      <c r="MI12">
        <f>$MI$11+--($MH12)</f>
        <v/>
      </c>
      <c r="MJ12">
        <f>IF(ROW()-3&gt;MAX($MI$4:$MI$40),"",INDEX($AX$4:$AX$40,MATCH(ROW()-3,$MI$4:$MI$40,0)))</f>
        <v/>
      </c>
      <c r="MK12">
        <f>IF(COUNTIF('Buyer Groups'!DG12:DN12,0)+COUNTIF('Buyer Groups'!DP12:EN12,0)&gt;0,0,1)</f>
        <v/>
      </c>
      <c r="ML12">
        <f>IF($BC$12="",FALSE,SUMPRODUCT(('Final Calculation Sheet'!$I$4:$I$40=$BC$12)*($MK$6:$MK$42=1))&gt;0)</f>
        <v/>
      </c>
      <c r="MM12">
        <f>$MM$11+--($ML12)</f>
        <v/>
      </c>
      <c r="MN12">
        <f>IF(ROW()-3&gt;MAX($MM$4:$MM$40),"",INDEX($BC$4:$BC$40,MATCH(ROW()-3,$MM$4:$MM$40,0)))</f>
        <v/>
      </c>
      <c r="MO12">
        <f>IF(COUNTIF('Buyer Groups'!DG12:DO12,0)+COUNTIF('Buyer Groups'!DQ12:EN12,0)&gt;0,0,1)</f>
        <v/>
      </c>
      <c r="MP12">
        <f>IF($BH$12="",FALSE,SUMPRODUCT(('Final Calculation Sheet'!$J$4:$J$40=$BH$12)*($MO$6:$MO$42=1))&gt;0)</f>
        <v/>
      </c>
      <c r="MQ12">
        <f>$MQ$11+--($MP12)</f>
        <v/>
      </c>
      <c r="MR12">
        <f>IF(ROW()-3&gt;MAX($MQ$4:$MQ$40),"",INDEX($BH$4:$BH$40,MATCH(ROW()-3,$MQ$4:$MQ$40,0)))</f>
        <v/>
      </c>
      <c r="MS12">
        <f>IF(COUNTIF('Buyer Groups'!DG12:DP12,0)+COUNTIF('Buyer Groups'!DR12:EN12,0)&gt;0,0,1)</f>
        <v/>
      </c>
      <c r="MT12">
        <f>IF($BM$12="",FALSE,SUMPRODUCT(('Final Calculation Sheet'!$K$4:$K$40=$BM$12)*($MS$6:$MS$42=1))&gt;0)</f>
        <v/>
      </c>
      <c r="MU12">
        <f>$MU$11+--($MT12)</f>
        <v/>
      </c>
      <c r="MV12">
        <f>IF(ROW()-3&gt;MAX($MU$4:$MU$40),"",INDEX($BM$4:$BM$40,MATCH(ROW()-3,$MU$4:$MU$40,0)))</f>
        <v/>
      </c>
      <c r="MW12">
        <f>IF(COUNTIF('Buyer Groups'!DG12:DQ12,0)+COUNTIF('Buyer Groups'!DS12:EN12,0)&gt;0,0,1)</f>
        <v/>
      </c>
      <c r="MX12">
        <f>IF($BR$12="",FALSE,SUMPRODUCT(('Final Calculation Sheet'!$L$4:$L$40=$BR$12)*($MW$6:$MW$42=1))&gt;0)</f>
        <v/>
      </c>
      <c r="MY12">
        <f>$MY$11+--($MX12)</f>
        <v/>
      </c>
      <c r="MZ12">
        <f>IF(ROW()-3&gt;MAX($MY$4:$MY$40),"",INDEX($BR$4:$BR$40,MATCH(ROW()-3,$MY$4:$MY$40,0)))</f>
        <v/>
      </c>
      <c r="NA12">
        <f>IF(COUNTIF('Buyer Groups'!DG12:DR12,0)+COUNTIF('Buyer Groups'!DT12:EN12,0)&gt;0,0,1)</f>
        <v/>
      </c>
      <c r="NB12">
        <f>IF($BW$12="",FALSE,SUMPRODUCT(('Final Calculation Sheet'!$M$4:$M$40=$BW$12)*($NA$6:$NA$42=1))&gt;0)</f>
        <v/>
      </c>
      <c r="NC12">
        <f>$NC$11+--($NB12)</f>
        <v/>
      </c>
      <c r="ND12">
        <f>IF(ROW()-3&gt;MAX($NC$4:$NC$40),"",INDEX($BW$4:$BW$40,MATCH(ROW()-3,$NC$4:$NC$40,0)))</f>
        <v/>
      </c>
      <c r="NE12">
        <f>IF(COUNTIF('Buyer Groups'!DG12:DS12,0)+COUNTIF('Buyer Groups'!DU12:EN12,0)&gt;0,0,1)</f>
        <v/>
      </c>
      <c r="NF12">
        <f>IF($CB$12="",FALSE,SUMPRODUCT(('Final Calculation Sheet'!$N$4:$N$40=$CB$12)*($NE$6:$NE$42=1))&gt;0)</f>
        <v/>
      </c>
      <c r="NG12">
        <f>$NG$11+--($NF12)</f>
        <v/>
      </c>
      <c r="NH12">
        <f>IF(ROW()-3&gt;MAX($NG$4:$NG$40),"",INDEX($CB$4:$CB$40,MATCH(ROW()-3,$NG$4:$NG$40,0)))</f>
        <v/>
      </c>
      <c r="NI12">
        <f>IF(COUNTIF('Buyer Groups'!DG12:DT12,0)+COUNTIF('Buyer Groups'!DV12:EN12,0)&gt;0,0,1)</f>
        <v/>
      </c>
      <c r="NJ12">
        <f>IF($CG$12="",FALSE,SUMPRODUCT(('Final Calculation Sheet'!$O$4:$O$40=$CG$12)*($NI$6:$NI$42=1))&gt;0)</f>
        <v/>
      </c>
      <c r="NK12">
        <f>$NK$11+--($NJ12)</f>
        <v/>
      </c>
      <c r="NL12">
        <f>IF(ROW()-3&gt;MAX($NK$4:$NK$40),"",INDEX($CG$4:$CG$40,MATCH(ROW()-3,$NK$4:$NK$40,0)))</f>
        <v/>
      </c>
      <c r="NM12">
        <f>IF(COUNTIF('Buyer Groups'!DG12:DU12,0)+COUNTIF('Buyer Groups'!DW12:EN12,0)&gt;0,0,1)</f>
        <v/>
      </c>
      <c r="NN12">
        <f>IF($CL$12="",FALSE,SUMPRODUCT(('Final Calculation Sheet'!$P$4:$P$40=$CL$12)*($NM$6:$NM$42=1))&gt;0)</f>
        <v/>
      </c>
      <c r="NO12">
        <f>$NO$11+--($NN12)</f>
        <v/>
      </c>
      <c r="NP12">
        <f>IF(ROW()-3&gt;MAX($NO$4:$NO$40),"",INDEX($CL$4:$CL$40,MATCH(ROW()-3,$NO$4:$NO$40,0)))</f>
        <v/>
      </c>
      <c r="NQ12">
        <f>IF(COUNTIF('Buyer Groups'!DG12:DV12,0)+COUNTIF('Buyer Groups'!DX12:EN12,0)&gt;0,0,1)</f>
        <v/>
      </c>
      <c r="NR12">
        <f>IF($CQ$12="",FALSE,SUMPRODUCT(('Final Calculation Sheet'!$Q$4:$Q$40=$CQ$12)*($NQ$6:$NQ$42=1))&gt;0)</f>
        <v/>
      </c>
      <c r="NS12">
        <f>$NS$11+--($NR12)</f>
        <v/>
      </c>
      <c r="NT12">
        <f>IF(ROW()-3&gt;MAX($NS$4:$NS$40),"",INDEX($CQ$4:$CQ$40,MATCH(ROW()-3,$NS$4:$NS$40,0)))</f>
        <v/>
      </c>
      <c r="NU12">
        <f>IF(COUNTIF('Buyer Groups'!DG12:DW12,0)+COUNTIF('Buyer Groups'!DY12:EN12,0)&gt;0,0,1)</f>
        <v/>
      </c>
      <c r="NV12">
        <f>IF($CV$12="",FALSE,SUMPRODUCT(('Final Calculation Sheet'!$R$4:$R$40=$CV$12)*($NU$6:$NU$42=1))&gt;0)</f>
        <v/>
      </c>
      <c r="NW12">
        <f>$NW$11+--($NV12)</f>
        <v/>
      </c>
      <c r="NX12">
        <f>IF(ROW()-3&gt;MAX($NW$4:$NW$40),"",INDEX($CV$4:$CV$40,MATCH(ROW()-3,$NW$4:$NW$40,0)))</f>
        <v/>
      </c>
      <c r="NY12">
        <f>IF(COUNTIF('Buyer Groups'!DG12:DX12,0)+COUNTIF('Buyer Groups'!DZ12:EN12,0)&gt;0,0,1)</f>
        <v/>
      </c>
      <c r="NZ12">
        <f>IF($DA$12="",FALSE,SUMPRODUCT(('Final Calculation Sheet'!$S$4:$S$40=$DA$12)*($NY$6:$NY$42=1))&gt;0)</f>
        <v/>
      </c>
      <c r="OA12">
        <f>$OA$11+--($NZ12)</f>
        <v/>
      </c>
      <c r="OB12">
        <f>IF(ROW()-3&gt;MAX($OA$4:$OA$40),"",INDEX($DA$4:$DA$40,MATCH(ROW()-3,$OA$4:$OA$40,0)))</f>
        <v/>
      </c>
      <c r="OC12">
        <f>IF(COUNTIF('Buyer Groups'!DG12:DY12,0)+COUNTIF('Buyer Groups'!EA12:EN12,0)&gt;0,0,1)</f>
        <v/>
      </c>
      <c r="OD12">
        <f>IF($DF$12="",FALSE,SUMPRODUCT(('Final Calculation Sheet'!$T$4:$T$40=$DF$12)*($OC$6:$OC$42=1))&gt;0)</f>
        <v/>
      </c>
      <c r="OE12">
        <f>$OE$11+--($OD12)</f>
        <v/>
      </c>
      <c r="OF12">
        <f>IF(ROW()-3&gt;MAX($OE$4:$OE$40),"",INDEX($DF$4:$DF$40,MATCH(ROW()-3,$OE$4:$OE$40,0)))</f>
        <v/>
      </c>
      <c r="OG12">
        <f>IF(COUNTIF('Buyer Groups'!DG12:DZ12,0)+COUNTIF('Buyer Groups'!EB12:EN12,0)&gt;0,0,1)</f>
        <v/>
      </c>
      <c r="OH12">
        <f>IF($DK$12="",FALSE,SUMPRODUCT(('Final Calculation Sheet'!$U$4:$U$40=$DK$12)*($OG$6:$OG$42=1))&gt;0)</f>
        <v/>
      </c>
      <c r="OI12">
        <f>$OI$11+--($OH12)</f>
        <v/>
      </c>
      <c r="OJ12">
        <f>IF(ROW()-3&gt;MAX($OI$4:$OI$40),"",INDEX($DK$4:$DK$40,MATCH(ROW()-3,$OI$4:$OI$40,0)))</f>
        <v/>
      </c>
      <c r="OK12">
        <f>IF(COUNTIF('Buyer Groups'!DG12:EA12,0)+COUNTIF('Buyer Groups'!EC12:EN12,0)&gt;0,0,1)</f>
        <v/>
      </c>
      <c r="OL12">
        <f>IF($DP$12="",FALSE,SUMPRODUCT(('Final Calculation Sheet'!$V$4:$V$40=$DP$12)*($OK$6:$OK$42=1))&gt;0)</f>
        <v/>
      </c>
      <c r="OM12">
        <f>$OM$11+--($OL12)</f>
        <v/>
      </c>
      <c r="ON12">
        <f>IF(ROW()-3&gt;MAX($OM$4:$OM$40),"",INDEX($DP$4:$DP$40,MATCH(ROW()-3,$OM$4:$OM$40,0)))</f>
        <v/>
      </c>
      <c r="OO12">
        <f>IF(COUNTIF('Buyer Groups'!DG12:EB12,0)+COUNTIF('Buyer Groups'!ED12:EN12,0)&gt;0,0,1)</f>
        <v/>
      </c>
      <c r="OP12">
        <f>IF($DU$12="",FALSE,SUMPRODUCT(('Final Calculation Sheet'!$W$4:$W$40=$DU$12)*($OO$6:$OO$42=1))&gt;0)</f>
        <v/>
      </c>
      <c r="OQ12">
        <f>$OQ$11+--($OP12)</f>
        <v/>
      </c>
      <c r="OR12">
        <f>IF(ROW()-3&gt;MAX($OQ$4:$OQ$40),"",INDEX($DU$4:$DU$40,MATCH(ROW()-3,$OQ$4:$OQ$40,0)))</f>
        <v/>
      </c>
      <c r="OS12">
        <f>IF(COUNTIF('Buyer Groups'!DG12:EC12,0)+COUNTIF('Buyer Groups'!EE12:EN12,0)&gt;0,0,1)</f>
        <v/>
      </c>
      <c r="OT12">
        <f>IF($DZ$12="",FALSE,SUMPRODUCT(('Final Calculation Sheet'!$X$4:$X$40=$DZ$12)*($OS$6:$OS$42=1))&gt;0)</f>
        <v/>
      </c>
      <c r="OU12">
        <f>$OU$11+--($OT12)</f>
        <v/>
      </c>
      <c r="OV12">
        <f>IF(ROW()-3&gt;MAX($OU$4:$OU$40),"",INDEX($DZ$4:$DZ$40,MATCH(ROW()-3,$OU$4:$OU$40,0)))</f>
        <v/>
      </c>
      <c r="OW12">
        <f>IF(COUNTIF('Buyer Groups'!DG12:ED12,0)+COUNTIF('Buyer Groups'!EF12:EN12,0)&gt;0,0,1)</f>
        <v/>
      </c>
      <c r="OX12">
        <f>IF($EE$12="",FALSE,SUMPRODUCT(('Final Calculation Sheet'!$Y$4:$Y$40=$EE$12)*($OW$6:$OW$42=1))&gt;0)</f>
        <v/>
      </c>
      <c r="OY12">
        <f>$OY$11+--($OX12)</f>
        <v/>
      </c>
      <c r="OZ12">
        <f>IF(ROW()-3&gt;MAX($OY$4:$OY$40),"",INDEX($EE$4:$EE$40,MATCH(ROW()-3,$OY$4:$OY$40,0)))</f>
        <v/>
      </c>
      <c r="PA12">
        <f>IF(COUNTIF('Buyer Groups'!DG12:EE12,0)+COUNTIF('Buyer Groups'!EG12:EN12,0)&gt;0,0,1)</f>
        <v/>
      </c>
      <c r="PB12">
        <f>IF($EJ$12="",FALSE,SUMPRODUCT(('Final Calculation Sheet'!$Z$4:$Z$40=$EJ$12)*($PA$6:$PA$42=1))&gt;0)</f>
        <v/>
      </c>
      <c r="PC12">
        <f>$PC$11+--($PB12)</f>
        <v/>
      </c>
      <c r="PD12">
        <f>IF(ROW()-3&gt;MAX($PC$4:$PC$40),"",INDEX($EJ$4:$EJ$40,MATCH(ROW()-3,$PC$4:$PC$40,0)))</f>
        <v/>
      </c>
      <c r="PE12">
        <f>IF(COUNTIF('Buyer Groups'!DG12:EF12,0)+COUNTIF('Buyer Groups'!EH12:EN12,0)&gt;0,0,1)</f>
        <v/>
      </c>
      <c r="PF12">
        <f>IF($EO$12="",FALSE,SUMPRODUCT(('Final Calculation Sheet'!$AA$4:$AA$40=$EO$12)*($PE$6:$PE$42=1))&gt;0)</f>
        <v/>
      </c>
      <c r="PG12">
        <f>$PG$11+--($PF12)</f>
        <v/>
      </c>
      <c r="PH12">
        <f>IF(ROW()-3&gt;MAX($PG$4:$PG$40),"",INDEX($EO$4:$EO$40,MATCH(ROW()-3,$PG$4:$PG$40,0)))</f>
        <v/>
      </c>
      <c r="PI12">
        <f>IF(COUNTIF('Buyer Groups'!DG12:EG12,0)+COUNTIF('Buyer Groups'!EI12:EN12,0)&gt;0,0,1)</f>
        <v/>
      </c>
      <c r="PJ12">
        <f>IF($ET$12="",FALSE,SUMPRODUCT(('Final Calculation Sheet'!$AB$4:$AB$40=$ET$12)*($PI$6:$PI$42=1))&gt;0)</f>
        <v/>
      </c>
      <c r="PK12">
        <f>$PK$11+--($PJ12)</f>
        <v/>
      </c>
      <c r="PL12">
        <f>IF(ROW()-3&gt;MAX($PK$4:$PK$40),"",INDEX($ET$4:$ET$40,MATCH(ROW()-3,$PK$4:$PK$40,0)))</f>
        <v/>
      </c>
      <c r="PM12">
        <f>IF(COUNTIF('Buyer Groups'!DG12:EH12,0)+COUNTIF('Buyer Groups'!EJ12:EN12,0)&gt;0,0,1)</f>
        <v/>
      </c>
      <c r="PN12">
        <f>IF($EY$12="",FALSE,SUMPRODUCT(('Final Calculation Sheet'!$AC$4:$AC$40=$EY$12)*($PM$6:$PM$42=1))&gt;0)</f>
        <v/>
      </c>
      <c r="PO12">
        <f>$PO$11+--($PN12)</f>
        <v/>
      </c>
      <c r="PP12">
        <f>IF(ROW()-3&gt;MAX($PO$4:$PO$40),"",INDEX($EY$4:$EY$40,MATCH(ROW()-3,$PO$4:$PO$40,0)))</f>
        <v/>
      </c>
      <c r="PQ12">
        <f>IF(COUNTIF('Buyer Groups'!DG12:EI12,0)+COUNTIF('Buyer Groups'!EK12:EN12,0)&gt;0,0,1)</f>
        <v/>
      </c>
      <c r="PR12">
        <f>IF($FD$12="",FALSE,SUMPRODUCT(('Final Calculation Sheet'!$AD$4:$AD$40=$FD$12)*($PQ$6:$PQ$42=1))&gt;0)</f>
        <v/>
      </c>
      <c r="PS12">
        <f>$PS$11+--($PR12)</f>
        <v/>
      </c>
      <c r="PT12">
        <f>IF(ROW()-3&gt;MAX($PS$4:$PS$40),"",INDEX($FD$4:$FD$40,MATCH(ROW()-3,$PS$4:$PS$40,0)))</f>
        <v/>
      </c>
      <c r="PU12">
        <f>IF(COUNTIF('Buyer Groups'!DG12:EJ12,0)+COUNTIF('Buyer Groups'!EL12:EN12,0)&gt;0,0,1)</f>
        <v/>
      </c>
      <c r="PV12">
        <f>IF($FX$12="",FALSE,SUMPRODUCT((IF('Final Calculation Sheet'!$AD$4:$AD$40&lt;=5,"SETTLED","OUTSTANDING")=$FX$12)*($PU$6:$PU$42=1))&gt;0)</f>
        <v/>
      </c>
      <c r="PW12">
        <f>$PW$11+--($PV12)</f>
        <v/>
      </c>
      <c r="PX12">
        <f>IF(ROW()-3&gt;MAX($PW$4:$PW$40),"",INDEX($FX$4:$FX$40,MATCH(ROW()-3,$PW$4:$PW$40,0)))</f>
        <v/>
      </c>
      <c r="PY12">
        <f>IF(COUNTIF('Buyer Groups'!DG12:EK12,0)+COUNTIF('Buyer Groups'!EM12:EN12,0)&gt;0,0,1)</f>
        <v/>
      </c>
      <c r="PZ12">
        <f>IF($FI$12="",FALSE,SUMPRODUCT(('Final Calculation Sheet'!$AF$4:$AF$40=$FI$12)*($PY$6:$PY$42=1))&gt;0)</f>
        <v/>
      </c>
      <c r="QA12">
        <f>$QA$11+--($PZ12)</f>
        <v/>
      </c>
      <c r="QB12">
        <f>IF(ROW()-3&gt;MAX($QA$4:$QA$40),"",INDEX($FI$4:$FI$40,MATCH(ROW()-3,$QA$4:$QA$40,0)))</f>
        <v/>
      </c>
      <c r="QC12">
        <f>IF(COUNTIF('Buyer Groups'!DG12:EL12,0)+COUNTIF('Buyer Groups'!EN12:EN12,0)&gt;0,0,1)</f>
        <v/>
      </c>
      <c r="QD12">
        <f>IF($FN$12="",FALSE,SUMPRODUCT(('Final Calculation Sheet'!$AG$4:$AG$40=$FN$12)*($QC$6:$QC$42=1))&gt;0)</f>
        <v/>
      </c>
      <c r="QE12">
        <f>$QE$11+--($QD12)</f>
        <v/>
      </c>
      <c r="QF12">
        <f>IF(ROW()-3&gt;MAX($QE$4:$QE$40),"",INDEX($FN$4:$FN$40,MATCH(ROW()-3,$QE$4:$QE$40,0)))</f>
        <v/>
      </c>
      <c r="QG12">
        <f>IF(COUNTIF('Buyer Groups'!DG12:EM12,0)&gt;0,0,1)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Groups'!DH13:EN13,0)&gt;0,0,1)</f>
        <v/>
      </c>
      <c r="LF13">
        <f>IF($O$13="",FALSE,SUMPRODUCT(('Final Calculation Sheet'!$F$4:$F$40=$O$13)*($LE$6:$LE$42=1))&gt;0)</f>
        <v/>
      </c>
      <c r="LG13">
        <f>$LG$12+--($LF13)</f>
        <v/>
      </c>
      <c r="LH13">
        <f>IF(ROW()-3&gt;MAX($LG$4:$LG$40),"",INDEX($O$4:$O$40,MATCH(ROW()-3,$LG$4:$LG$40,0)))</f>
        <v/>
      </c>
      <c r="LI13">
        <f>IF(COUNTIF('Buyer Groups'!DG13:DG13,0)+COUNTIF('Buyer Groups'!DI13:EN13,0)&gt;0,0,1)</f>
        <v/>
      </c>
      <c r="LJ13">
        <f>IF($T$13="",FALSE,SUMPRODUCT(('Final Calculation Sheet'!$G$4:$G$40=$T$13)*($LI$6:$LI$42=1))&gt;0)</f>
        <v/>
      </c>
      <c r="LK13">
        <f>$LK$12+--($LJ13)</f>
        <v/>
      </c>
      <c r="LL13">
        <f>IF(ROW()-3&gt;MAX($LK$4:$LK$40),"",INDEX($T$4:$T$40,MATCH(ROW()-3,$LK$4:$LK$40,0)))</f>
        <v/>
      </c>
      <c r="LM13">
        <f>IF(COUNTIF('Buyer Groups'!DG13:DH13,0)+COUNTIF('Buyer Groups'!DJ13:EN13,0)&gt;0,0,1)</f>
        <v/>
      </c>
      <c r="LN13">
        <f>IF($Y$13="",FALSE,SUMPRODUCT(('Final Calculation Sheet'!$B$4:$B$40=$Y$13)*($LM$6:$LM$42=1))&gt;0)</f>
        <v/>
      </c>
      <c r="LO13">
        <f>$LO$12+--($LN13)</f>
        <v/>
      </c>
      <c r="LP13">
        <f>IF(ROW()-3&gt;MAX($LO$4:$LO$40),"",INDEX($Y$4:$Y$40,MATCH(ROW()-3,$LO$4:$LO$40,0)))</f>
        <v/>
      </c>
      <c r="LQ13">
        <f>IF(COUNTIF('Buyer Groups'!DG13:DI13,0)+COUNTIF('Buyer Groups'!DK13:EN13,0)&gt;0,0,1)</f>
        <v/>
      </c>
      <c r="LR13">
        <f>IF($AD$13="",FALSE,SUMPRODUCT(('Final Calculation Sheet'!$D$4:$D$40=$AD$13)*($LQ$6:$LQ$42=1))&gt;0)</f>
        <v/>
      </c>
      <c r="LS13">
        <f>$LS$12+--($LR13)</f>
        <v/>
      </c>
      <c r="LT13">
        <f>IF(ROW()-3&gt;MAX($LS$4:$LS$40),"",INDEX($AD$4:$AD$40,MATCH(ROW()-3,$LS$4:$LS$40,0)))</f>
        <v/>
      </c>
      <c r="LU13">
        <f>IF(COUNTIF('Buyer Groups'!DG13:DJ13,0)+COUNTIF('Buyer Groups'!DL13:EN13,0)&gt;0,0,1)</f>
        <v/>
      </c>
      <c r="LV13">
        <f>IF($AI$13="",FALSE,SUMPRODUCT(('Final Calculation Sheet'!$A$4:$A$40=$AI$13)*($LU$6:$LU$42=1))&gt;0)</f>
        <v/>
      </c>
      <c r="LW13">
        <f>$LW$12+--($LV13)</f>
        <v/>
      </c>
      <c r="LX13">
        <f>IF(ROW()-3&gt;MAX($LW$4:$LW$40),"",INDEX($AI$4:$AI$40,MATCH(ROW()-3,$LW$4:$LW$40,0)))</f>
        <v/>
      </c>
      <c r="LY13">
        <f>IF(COUNTIF('Buyer Groups'!DG13:DK13,0)+COUNTIF('Buyer Groups'!DM13:EN13,0)&gt;0,0,1)</f>
        <v/>
      </c>
      <c r="LZ13">
        <f>IF($AN$13="",FALSE,SUMPRODUCT(('Final Calculation Sheet'!$E$4:$E$40=$AN$13)*($LY$6:$LY$42=1))&gt;0)</f>
        <v/>
      </c>
      <c r="MA13">
        <f>$MA$12+--($LZ13)</f>
        <v/>
      </c>
      <c r="MB13">
        <f>IF(ROW()-3&gt;MAX($MA$4:$MA$40),"",INDEX($AN$4:$AN$40,MATCH(ROW()-3,$MA$4:$MA$40,0)))</f>
        <v/>
      </c>
      <c r="MC13">
        <f>IF(COUNTIF('Buyer Groups'!DG13:DL13,0)+COUNTIF('Buyer Groups'!DN13:EN13,0)&gt;0,0,1)</f>
        <v/>
      </c>
      <c r="MD13">
        <f>IF($AS$13="",FALSE,SUMPRODUCT(('Final Calculation Sheet'!$C$4:$C$40=$AS$13)*($MC$6:$MC$42=1))&gt;0)</f>
        <v/>
      </c>
      <c r="ME13">
        <f>$ME$12+--($MD13)</f>
        <v/>
      </c>
      <c r="MF13">
        <f>IF(ROW()-3&gt;MAX($ME$4:$ME$40),"",INDEX($AS$4:$AS$40,MATCH(ROW()-3,$ME$4:$ME$40,0)))</f>
        <v/>
      </c>
      <c r="MG13">
        <f>IF(COUNTIF('Buyer Groups'!DG13:DM13,0)+COUNTIF('Buyer Groups'!DO13:EN13,0)&gt;0,0,1)</f>
        <v/>
      </c>
      <c r="MH13">
        <f>IF($AX$13="",FALSE,SUMPRODUCT(('Final Calculation Sheet'!$H$4:$H$40=$AX$13)*($MG$6:$MG$42=1))&gt;0)</f>
        <v/>
      </c>
      <c r="MI13">
        <f>$MI$12+--($MH13)</f>
        <v/>
      </c>
      <c r="MJ13">
        <f>IF(ROW()-3&gt;MAX($MI$4:$MI$40),"",INDEX($AX$4:$AX$40,MATCH(ROW()-3,$MI$4:$MI$40,0)))</f>
        <v/>
      </c>
      <c r="MK13">
        <f>IF(COUNTIF('Buyer Groups'!DG13:DN13,0)+COUNTIF('Buyer Groups'!DP13:EN13,0)&gt;0,0,1)</f>
        <v/>
      </c>
      <c r="ML13">
        <f>IF($BC$13="",FALSE,SUMPRODUCT(('Final Calculation Sheet'!$I$4:$I$40=$BC$13)*($MK$6:$MK$42=1))&gt;0)</f>
        <v/>
      </c>
      <c r="MM13">
        <f>$MM$12+--($ML13)</f>
        <v/>
      </c>
      <c r="MN13">
        <f>IF(ROW()-3&gt;MAX($MM$4:$MM$40),"",INDEX($BC$4:$BC$40,MATCH(ROW()-3,$MM$4:$MM$40,0)))</f>
        <v/>
      </c>
      <c r="MO13">
        <f>IF(COUNTIF('Buyer Groups'!DG13:DO13,0)+COUNTIF('Buyer Groups'!DQ13:EN13,0)&gt;0,0,1)</f>
        <v/>
      </c>
      <c r="MP13">
        <f>IF($BH$13="",FALSE,SUMPRODUCT(('Final Calculation Sheet'!$J$4:$J$40=$BH$13)*($MO$6:$MO$42=1))&gt;0)</f>
        <v/>
      </c>
      <c r="MQ13">
        <f>$MQ$12+--($MP13)</f>
        <v/>
      </c>
      <c r="MR13">
        <f>IF(ROW()-3&gt;MAX($MQ$4:$MQ$40),"",INDEX($BH$4:$BH$40,MATCH(ROW()-3,$MQ$4:$MQ$40,0)))</f>
        <v/>
      </c>
      <c r="MS13">
        <f>IF(COUNTIF('Buyer Groups'!DG13:DP13,0)+COUNTIF('Buyer Groups'!DR13:EN13,0)&gt;0,0,1)</f>
        <v/>
      </c>
      <c r="MT13">
        <f>IF($BM$13="",FALSE,SUMPRODUCT(('Final Calculation Sheet'!$K$4:$K$40=$BM$13)*($MS$6:$MS$42=1))&gt;0)</f>
        <v/>
      </c>
      <c r="MU13">
        <f>$MU$12+--($MT13)</f>
        <v/>
      </c>
      <c r="MV13">
        <f>IF(ROW()-3&gt;MAX($MU$4:$MU$40),"",INDEX($BM$4:$BM$40,MATCH(ROW()-3,$MU$4:$MU$40,0)))</f>
        <v/>
      </c>
      <c r="MW13">
        <f>IF(COUNTIF('Buyer Groups'!DG13:DQ13,0)+COUNTIF('Buyer Groups'!DS13:EN13,0)&gt;0,0,1)</f>
        <v/>
      </c>
      <c r="MX13">
        <f>IF($BR$13="",FALSE,SUMPRODUCT(('Final Calculation Sheet'!$L$4:$L$40=$BR$13)*($MW$6:$MW$42=1))&gt;0)</f>
        <v/>
      </c>
      <c r="MY13">
        <f>$MY$12+--($MX13)</f>
        <v/>
      </c>
      <c r="MZ13">
        <f>IF(ROW()-3&gt;MAX($MY$4:$MY$40),"",INDEX($BR$4:$BR$40,MATCH(ROW()-3,$MY$4:$MY$40,0)))</f>
        <v/>
      </c>
      <c r="NA13">
        <f>IF(COUNTIF('Buyer Groups'!DG13:DR13,0)+COUNTIF('Buyer Groups'!DT13:EN13,0)&gt;0,0,1)</f>
        <v/>
      </c>
      <c r="NB13">
        <f>IF($BW$13="",FALSE,SUMPRODUCT(('Final Calculation Sheet'!$M$4:$M$40=$BW$13)*($NA$6:$NA$42=1))&gt;0)</f>
        <v/>
      </c>
      <c r="NC13">
        <f>$NC$12+--($NB13)</f>
        <v/>
      </c>
      <c r="ND13">
        <f>IF(ROW()-3&gt;MAX($NC$4:$NC$40),"",INDEX($BW$4:$BW$40,MATCH(ROW()-3,$NC$4:$NC$40,0)))</f>
        <v/>
      </c>
      <c r="NE13">
        <f>IF(COUNTIF('Buyer Groups'!DG13:DS13,0)+COUNTIF('Buyer Groups'!DU13:EN13,0)&gt;0,0,1)</f>
        <v/>
      </c>
      <c r="NF13">
        <f>IF($CB$13="",FALSE,SUMPRODUCT(('Final Calculation Sheet'!$N$4:$N$40=$CB$13)*($NE$6:$NE$42=1))&gt;0)</f>
        <v/>
      </c>
      <c r="NG13">
        <f>$NG$12+--($NF13)</f>
        <v/>
      </c>
      <c r="NH13">
        <f>IF(ROW()-3&gt;MAX($NG$4:$NG$40),"",INDEX($CB$4:$CB$40,MATCH(ROW()-3,$NG$4:$NG$40,0)))</f>
        <v/>
      </c>
      <c r="NI13">
        <f>IF(COUNTIF('Buyer Groups'!DG13:DT13,0)+COUNTIF('Buyer Groups'!DV13:EN13,0)&gt;0,0,1)</f>
        <v/>
      </c>
      <c r="NJ13">
        <f>IF($CG$13="",FALSE,SUMPRODUCT(('Final Calculation Sheet'!$O$4:$O$40=$CG$13)*($NI$6:$NI$42=1))&gt;0)</f>
        <v/>
      </c>
      <c r="NK13">
        <f>$NK$12+--($NJ13)</f>
        <v/>
      </c>
      <c r="NL13">
        <f>IF(ROW()-3&gt;MAX($NK$4:$NK$40),"",INDEX($CG$4:$CG$40,MATCH(ROW()-3,$NK$4:$NK$40,0)))</f>
        <v/>
      </c>
      <c r="NM13">
        <f>IF(COUNTIF('Buyer Groups'!DG13:DU13,0)+COUNTIF('Buyer Groups'!DW13:EN13,0)&gt;0,0,1)</f>
        <v/>
      </c>
      <c r="NN13">
        <f>IF($CL$13="",FALSE,SUMPRODUCT(('Final Calculation Sheet'!$P$4:$P$40=$CL$13)*($NM$6:$NM$42=1))&gt;0)</f>
        <v/>
      </c>
      <c r="NO13">
        <f>$NO$12+--($NN13)</f>
        <v/>
      </c>
      <c r="NP13">
        <f>IF(ROW()-3&gt;MAX($NO$4:$NO$40),"",INDEX($CL$4:$CL$40,MATCH(ROW()-3,$NO$4:$NO$40,0)))</f>
        <v/>
      </c>
      <c r="NQ13">
        <f>IF(COUNTIF('Buyer Groups'!DG13:DV13,0)+COUNTIF('Buyer Groups'!DX13:EN13,0)&gt;0,0,1)</f>
        <v/>
      </c>
      <c r="NR13">
        <f>IF($CQ$13="",FALSE,SUMPRODUCT(('Final Calculation Sheet'!$Q$4:$Q$40=$CQ$13)*($NQ$6:$NQ$42=1))&gt;0)</f>
        <v/>
      </c>
      <c r="NS13">
        <f>$NS$12+--($NR13)</f>
        <v/>
      </c>
      <c r="NT13">
        <f>IF(ROW()-3&gt;MAX($NS$4:$NS$40),"",INDEX($CQ$4:$CQ$40,MATCH(ROW()-3,$NS$4:$NS$40,0)))</f>
        <v/>
      </c>
      <c r="NU13">
        <f>IF(COUNTIF('Buyer Groups'!DG13:DW13,0)+COUNTIF('Buyer Groups'!DY13:EN13,0)&gt;0,0,1)</f>
        <v/>
      </c>
      <c r="NV13">
        <f>IF($CV$13="",FALSE,SUMPRODUCT(('Final Calculation Sheet'!$R$4:$R$40=$CV$13)*($NU$6:$NU$42=1))&gt;0)</f>
        <v/>
      </c>
      <c r="NW13">
        <f>$NW$12+--($NV13)</f>
        <v/>
      </c>
      <c r="NX13">
        <f>IF(ROW()-3&gt;MAX($NW$4:$NW$40),"",INDEX($CV$4:$CV$40,MATCH(ROW()-3,$NW$4:$NW$40,0)))</f>
        <v/>
      </c>
      <c r="NY13">
        <f>IF(COUNTIF('Buyer Groups'!DG13:DX13,0)+COUNTIF('Buyer Groups'!DZ13:EN13,0)&gt;0,0,1)</f>
        <v/>
      </c>
      <c r="NZ13">
        <f>IF($DA$13="",FALSE,SUMPRODUCT(('Final Calculation Sheet'!$S$4:$S$40=$DA$13)*($NY$6:$NY$42=1))&gt;0)</f>
        <v/>
      </c>
      <c r="OA13">
        <f>$OA$12+--($NZ13)</f>
        <v/>
      </c>
      <c r="OB13">
        <f>IF(ROW()-3&gt;MAX($OA$4:$OA$40),"",INDEX($DA$4:$DA$40,MATCH(ROW()-3,$OA$4:$OA$40,0)))</f>
        <v/>
      </c>
      <c r="OC13">
        <f>IF(COUNTIF('Buyer Groups'!DG13:DY13,0)+COUNTIF('Buyer Groups'!EA13:EN13,0)&gt;0,0,1)</f>
        <v/>
      </c>
      <c r="OD13">
        <f>IF($DF$13="",FALSE,SUMPRODUCT(('Final Calculation Sheet'!$T$4:$T$40=$DF$13)*($OC$6:$OC$42=1))&gt;0)</f>
        <v/>
      </c>
      <c r="OE13">
        <f>$OE$12+--($OD13)</f>
        <v/>
      </c>
      <c r="OF13">
        <f>IF(ROW()-3&gt;MAX($OE$4:$OE$40),"",INDEX($DF$4:$DF$40,MATCH(ROW()-3,$OE$4:$OE$40,0)))</f>
        <v/>
      </c>
      <c r="OG13">
        <f>IF(COUNTIF('Buyer Groups'!DG13:DZ13,0)+COUNTIF('Buyer Groups'!EB13:EN13,0)&gt;0,0,1)</f>
        <v/>
      </c>
      <c r="OH13">
        <f>IF($DK$13="",FALSE,SUMPRODUCT(('Final Calculation Sheet'!$U$4:$U$40=$DK$13)*($OG$6:$OG$42=1))&gt;0)</f>
        <v/>
      </c>
      <c r="OI13">
        <f>$OI$12+--($OH13)</f>
        <v/>
      </c>
      <c r="OJ13">
        <f>IF(ROW()-3&gt;MAX($OI$4:$OI$40),"",INDEX($DK$4:$DK$40,MATCH(ROW()-3,$OI$4:$OI$40,0)))</f>
        <v/>
      </c>
      <c r="OK13">
        <f>IF(COUNTIF('Buyer Groups'!DG13:EA13,0)+COUNTIF('Buyer Groups'!EC13:EN13,0)&gt;0,0,1)</f>
        <v/>
      </c>
      <c r="OL13">
        <f>IF($DP$13="",FALSE,SUMPRODUCT(('Final Calculation Sheet'!$V$4:$V$40=$DP$13)*($OK$6:$OK$42=1))&gt;0)</f>
        <v/>
      </c>
      <c r="OM13">
        <f>$OM$12+--($OL13)</f>
        <v/>
      </c>
      <c r="ON13">
        <f>IF(ROW()-3&gt;MAX($OM$4:$OM$40),"",INDEX($DP$4:$DP$40,MATCH(ROW()-3,$OM$4:$OM$40,0)))</f>
        <v/>
      </c>
      <c r="OO13">
        <f>IF(COUNTIF('Buyer Groups'!DG13:EB13,0)+COUNTIF('Buyer Groups'!ED13:EN13,0)&gt;0,0,1)</f>
        <v/>
      </c>
      <c r="OP13">
        <f>IF($DU$13="",FALSE,SUMPRODUCT(('Final Calculation Sheet'!$W$4:$W$40=$DU$13)*($OO$6:$OO$42=1))&gt;0)</f>
        <v/>
      </c>
      <c r="OQ13">
        <f>$OQ$12+--($OP13)</f>
        <v/>
      </c>
      <c r="OR13">
        <f>IF(ROW()-3&gt;MAX($OQ$4:$OQ$40),"",INDEX($DU$4:$DU$40,MATCH(ROW()-3,$OQ$4:$OQ$40,0)))</f>
        <v/>
      </c>
      <c r="OS13">
        <f>IF(COUNTIF('Buyer Groups'!DG13:EC13,0)+COUNTIF('Buyer Groups'!EE13:EN13,0)&gt;0,0,1)</f>
        <v/>
      </c>
      <c r="OT13">
        <f>IF($DZ$13="",FALSE,SUMPRODUCT(('Final Calculation Sheet'!$X$4:$X$40=$DZ$13)*($OS$6:$OS$42=1))&gt;0)</f>
        <v/>
      </c>
      <c r="OU13">
        <f>$OU$12+--($OT13)</f>
        <v/>
      </c>
      <c r="OV13">
        <f>IF(ROW()-3&gt;MAX($OU$4:$OU$40),"",INDEX($DZ$4:$DZ$40,MATCH(ROW()-3,$OU$4:$OU$40,0)))</f>
        <v/>
      </c>
      <c r="OW13">
        <f>IF(COUNTIF('Buyer Groups'!DG13:ED13,0)+COUNTIF('Buyer Groups'!EF13:EN13,0)&gt;0,0,1)</f>
        <v/>
      </c>
      <c r="OX13">
        <f>IF($EE$13="",FALSE,SUMPRODUCT(('Final Calculation Sheet'!$Y$4:$Y$40=$EE$13)*($OW$6:$OW$42=1))&gt;0)</f>
        <v/>
      </c>
      <c r="OY13">
        <f>$OY$12+--($OX13)</f>
        <v/>
      </c>
      <c r="OZ13">
        <f>IF(ROW()-3&gt;MAX($OY$4:$OY$40),"",INDEX($EE$4:$EE$40,MATCH(ROW()-3,$OY$4:$OY$40,0)))</f>
        <v/>
      </c>
      <c r="PA13">
        <f>IF(COUNTIF('Buyer Groups'!DG13:EE13,0)+COUNTIF('Buyer Groups'!EG13:EN13,0)&gt;0,0,1)</f>
        <v/>
      </c>
      <c r="PB13">
        <f>IF($EJ$13="",FALSE,SUMPRODUCT(('Final Calculation Sheet'!$Z$4:$Z$40=$EJ$13)*($PA$6:$PA$42=1))&gt;0)</f>
        <v/>
      </c>
      <c r="PC13">
        <f>$PC$12+--($PB13)</f>
        <v/>
      </c>
      <c r="PD13">
        <f>IF(ROW()-3&gt;MAX($PC$4:$PC$40),"",INDEX($EJ$4:$EJ$40,MATCH(ROW()-3,$PC$4:$PC$40,0)))</f>
        <v/>
      </c>
      <c r="PE13">
        <f>IF(COUNTIF('Buyer Groups'!DG13:EF13,0)+COUNTIF('Buyer Groups'!EH13:EN13,0)&gt;0,0,1)</f>
        <v/>
      </c>
      <c r="PF13">
        <f>IF($EO$13="",FALSE,SUMPRODUCT(('Final Calculation Sheet'!$AA$4:$AA$40=$EO$13)*($PE$6:$PE$42=1))&gt;0)</f>
        <v/>
      </c>
      <c r="PG13">
        <f>$PG$12+--($PF13)</f>
        <v/>
      </c>
      <c r="PH13">
        <f>IF(ROW()-3&gt;MAX($PG$4:$PG$40),"",INDEX($EO$4:$EO$40,MATCH(ROW()-3,$PG$4:$PG$40,0)))</f>
        <v/>
      </c>
      <c r="PI13">
        <f>IF(COUNTIF('Buyer Groups'!DG13:EG13,0)+COUNTIF('Buyer Groups'!EI13:EN13,0)&gt;0,0,1)</f>
        <v/>
      </c>
      <c r="PJ13">
        <f>IF($ET$13="",FALSE,SUMPRODUCT(('Final Calculation Sheet'!$AB$4:$AB$40=$ET$13)*($PI$6:$PI$42=1))&gt;0)</f>
        <v/>
      </c>
      <c r="PK13">
        <f>$PK$12+--($PJ13)</f>
        <v/>
      </c>
      <c r="PL13">
        <f>IF(ROW()-3&gt;MAX($PK$4:$PK$40),"",INDEX($ET$4:$ET$40,MATCH(ROW()-3,$PK$4:$PK$40,0)))</f>
        <v/>
      </c>
      <c r="PM13">
        <f>IF(COUNTIF('Buyer Groups'!DG13:EH13,0)+COUNTIF('Buyer Groups'!EJ13:EN13,0)&gt;0,0,1)</f>
        <v/>
      </c>
      <c r="PN13">
        <f>IF($EY$13="",FALSE,SUMPRODUCT(('Final Calculation Sheet'!$AC$4:$AC$40=$EY$13)*($PM$6:$PM$42=1))&gt;0)</f>
        <v/>
      </c>
      <c r="PO13">
        <f>$PO$12+--($PN13)</f>
        <v/>
      </c>
      <c r="PP13">
        <f>IF(ROW()-3&gt;MAX($PO$4:$PO$40),"",INDEX($EY$4:$EY$40,MATCH(ROW()-3,$PO$4:$PO$40,0)))</f>
        <v/>
      </c>
      <c r="PQ13">
        <f>IF(COUNTIF('Buyer Groups'!DG13:EI13,0)+COUNTIF('Buyer Groups'!EK13:EN13,0)&gt;0,0,1)</f>
        <v/>
      </c>
      <c r="PR13">
        <f>IF($FD$13="",FALSE,SUMPRODUCT(('Final Calculation Sheet'!$AD$4:$AD$40=$FD$13)*($PQ$6:$PQ$42=1))&gt;0)</f>
        <v/>
      </c>
      <c r="PS13">
        <f>$PS$12+--($PR13)</f>
        <v/>
      </c>
      <c r="PT13">
        <f>IF(ROW()-3&gt;MAX($PS$4:$PS$40),"",INDEX($FD$4:$FD$40,MATCH(ROW()-3,$PS$4:$PS$40,0)))</f>
        <v/>
      </c>
      <c r="PU13">
        <f>IF(COUNTIF('Buyer Groups'!DG13:EJ13,0)+COUNTIF('Buyer Groups'!EL13:EN13,0)&gt;0,0,1)</f>
        <v/>
      </c>
      <c r="PV13">
        <f>IF($FX$13="",FALSE,SUMPRODUCT((IF('Final Calculation Sheet'!$AD$4:$AD$40&lt;=5,"SETTLED","OUTSTANDING")=$FX$13)*($PU$6:$PU$42=1))&gt;0)</f>
        <v/>
      </c>
      <c r="PW13">
        <f>$PW$12+--($PV13)</f>
        <v/>
      </c>
      <c r="PX13">
        <f>IF(ROW()-3&gt;MAX($PW$4:$PW$40),"",INDEX($FX$4:$FX$40,MATCH(ROW()-3,$PW$4:$PW$40,0)))</f>
        <v/>
      </c>
      <c r="PY13">
        <f>IF(COUNTIF('Buyer Groups'!DG13:EK13,0)+COUNTIF('Buyer Groups'!EM13:EN13,0)&gt;0,0,1)</f>
        <v/>
      </c>
      <c r="PZ13">
        <f>IF($FI$13="",FALSE,SUMPRODUCT(('Final Calculation Sheet'!$AF$4:$AF$40=$FI$13)*($PY$6:$PY$42=1))&gt;0)</f>
        <v/>
      </c>
      <c r="QA13">
        <f>$QA$12+--($PZ13)</f>
        <v/>
      </c>
      <c r="QB13">
        <f>IF(ROW()-3&gt;MAX($QA$4:$QA$40),"",INDEX($FI$4:$FI$40,MATCH(ROW()-3,$QA$4:$QA$40,0)))</f>
        <v/>
      </c>
      <c r="QC13">
        <f>IF(COUNTIF('Buyer Groups'!DG13:EL13,0)+COUNTIF('Buyer Groups'!EN13:EN13,0)&gt;0,0,1)</f>
        <v/>
      </c>
      <c r="QD13">
        <f>IF($FN$13="",FALSE,SUMPRODUCT(('Final Calculation Sheet'!$AG$4:$AG$40=$FN$13)*($QC$6:$QC$42=1))&gt;0)</f>
        <v/>
      </c>
      <c r="QE13">
        <f>$QE$12+--($QD13)</f>
        <v/>
      </c>
      <c r="QF13">
        <f>IF(ROW()-3&gt;MAX($QE$4:$QE$40),"",INDEX($FN$4:$FN$40,MATCH(ROW()-3,$QE$4:$QE$40,0)))</f>
        <v/>
      </c>
      <c r="QG13">
        <f>IF(COUNTIF('Buyer Groups'!DG13:EM13,0)&gt;0,0,1)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Groups'!DH14:EN14,0)&gt;0,0,1)</f>
        <v/>
      </c>
      <c r="LF14">
        <f>IF($O$14="",FALSE,SUMPRODUCT(('Final Calculation Sheet'!$F$4:$F$40=$O$14)*($LE$6:$LE$42=1))&gt;0)</f>
        <v/>
      </c>
      <c r="LG14">
        <f>$LG$13+--($LF14)</f>
        <v/>
      </c>
      <c r="LH14">
        <f>IF(ROW()-3&gt;MAX($LG$4:$LG$40),"",INDEX($O$4:$O$40,MATCH(ROW()-3,$LG$4:$LG$40,0)))</f>
        <v/>
      </c>
      <c r="LI14">
        <f>IF(COUNTIF('Buyer Groups'!DG14:DG14,0)+COUNTIF('Buyer Groups'!DI14:EN14,0)&gt;0,0,1)</f>
        <v/>
      </c>
      <c r="LJ14">
        <f>IF($T$14="",FALSE,SUMPRODUCT(('Final Calculation Sheet'!$G$4:$G$40=$T$14)*($LI$6:$LI$42=1))&gt;0)</f>
        <v/>
      </c>
      <c r="LK14">
        <f>$LK$13+--($LJ14)</f>
        <v/>
      </c>
      <c r="LL14">
        <f>IF(ROW()-3&gt;MAX($LK$4:$LK$40),"",INDEX($T$4:$T$40,MATCH(ROW()-3,$LK$4:$LK$40,0)))</f>
        <v/>
      </c>
      <c r="LM14">
        <f>IF(COUNTIF('Buyer Groups'!DG14:DH14,0)+COUNTIF('Buyer Groups'!DJ14:EN14,0)&gt;0,0,1)</f>
        <v/>
      </c>
      <c r="LN14">
        <f>IF($Y$14="",FALSE,SUMPRODUCT(('Final Calculation Sheet'!$B$4:$B$40=$Y$14)*($LM$6:$LM$42=1))&gt;0)</f>
        <v/>
      </c>
      <c r="LO14">
        <f>$LO$13+--($LN14)</f>
        <v/>
      </c>
      <c r="LP14">
        <f>IF(ROW()-3&gt;MAX($LO$4:$LO$40),"",INDEX($Y$4:$Y$40,MATCH(ROW()-3,$LO$4:$LO$40,0)))</f>
        <v/>
      </c>
      <c r="LQ14">
        <f>IF(COUNTIF('Buyer Groups'!DG14:DI14,0)+COUNTIF('Buyer Groups'!DK14:EN14,0)&gt;0,0,1)</f>
        <v/>
      </c>
      <c r="LR14">
        <f>IF($AD$14="",FALSE,SUMPRODUCT(('Final Calculation Sheet'!$D$4:$D$40=$AD$14)*($LQ$6:$LQ$42=1))&gt;0)</f>
        <v/>
      </c>
      <c r="LS14">
        <f>$LS$13+--($LR14)</f>
        <v/>
      </c>
      <c r="LT14">
        <f>IF(ROW()-3&gt;MAX($LS$4:$LS$40),"",INDEX($AD$4:$AD$40,MATCH(ROW()-3,$LS$4:$LS$40,0)))</f>
        <v/>
      </c>
      <c r="LU14">
        <f>IF(COUNTIF('Buyer Groups'!DG14:DJ14,0)+COUNTIF('Buyer Groups'!DL14:EN14,0)&gt;0,0,1)</f>
        <v/>
      </c>
      <c r="LV14">
        <f>IF($AI$14="",FALSE,SUMPRODUCT(('Final Calculation Sheet'!$A$4:$A$40=$AI$14)*($LU$6:$LU$42=1))&gt;0)</f>
        <v/>
      </c>
      <c r="LW14">
        <f>$LW$13+--($LV14)</f>
        <v/>
      </c>
      <c r="LX14">
        <f>IF(ROW()-3&gt;MAX($LW$4:$LW$40),"",INDEX($AI$4:$AI$40,MATCH(ROW()-3,$LW$4:$LW$40,0)))</f>
        <v/>
      </c>
      <c r="LY14">
        <f>IF(COUNTIF('Buyer Groups'!DG14:DK14,0)+COUNTIF('Buyer Groups'!DM14:EN14,0)&gt;0,0,1)</f>
        <v/>
      </c>
      <c r="LZ14">
        <f>IF($AN$14="",FALSE,SUMPRODUCT(('Final Calculation Sheet'!$E$4:$E$40=$AN$14)*($LY$6:$LY$42=1))&gt;0)</f>
        <v/>
      </c>
      <c r="MA14">
        <f>$MA$13+--($LZ14)</f>
        <v/>
      </c>
      <c r="MB14">
        <f>IF(ROW()-3&gt;MAX($MA$4:$MA$40),"",INDEX($AN$4:$AN$40,MATCH(ROW()-3,$MA$4:$MA$40,0)))</f>
        <v/>
      </c>
      <c r="MC14">
        <f>IF(COUNTIF('Buyer Groups'!DG14:DL14,0)+COUNTIF('Buyer Groups'!DN14:EN14,0)&gt;0,0,1)</f>
        <v/>
      </c>
      <c r="MD14">
        <f>IF($AS$14="",FALSE,SUMPRODUCT(('Final Calculation Sheet'!$C$4:$C$40=$AS$14)*($MC$6:$MC$42=1))&gt;0)</f>
        <v/>
      </c>
      <c r="ME14">
        <f>$ME$13+--($MD14)</f>
        <v/>
      </c>
      <c r="MF14">
        <f>IF(ROW()-3&gt;MAX($ME$4:$ME$40),"",INDEX($AS$4:$AS$40,MATCH(ROW()-3,$ME$4:$ME$40,0)))</f>
        <v/>
      </c>
      <c r="MG14">
        <f>IF(COUNTIF('Buyer Groups'!DG14:DM14,0)+COUNTIF('Buyer Groups'!DO14:EN14,0)&gt;0,0,1)</f>
        <v/>
      </c>
      <c r="MH14">
        <f>IF($AX$14="",FALSE,SUMPRODUCT(('Final Calculation Sheet'!$H$4:$H$40=$AX$14)*($MG$6:$MG$42=1))&gt;0)</f>
        <v/>
      </c>
      <c r="MI14">
        <f>$MI$13+--($MH14)</f>
        <v/>
      </c>
      <c r="MJ14">
        <f>IF(ROW()-3&gt;MAX($MI$4:$MI$40),"",INDEX($AX$4:$AX$40,MATCH(ROW()-3,$MI$4:$MI$40,0)))</f>
        <v/>
      </c>
      <c r="MK14">
        <f>IF(COUNTIF('Buyer Groups'!DG14:DN14,0)+COUNTIF('Buyer Groups'!DP14:EN14,0)&gt;0,0,1)</f>
        <v/>
      </c>
      <c r="ML14">
        <f>IF($BC$14="",FALSE,SUMPRODUCT(('Final Calculation Sheet'!$I$4:$I$40=$BC$14)*($MK$6:$MK$42=1))&gt;0)</f>
        <v/>
      </c>
      <c r="MM14">
        <f>$MM$13+--($ML14)</f>
        <v/>
      </c>
      <c r="MN14">
        <f>IF(ROW()-3&gt;MAX($MM$4:$MM$40),"",INDEX($BC$4:$BC$40,MATCH(ROW()-3,$MM$4:$MM$40,0)))</f>
        <v/>
      </c>
      <c r="MO14">
        <f>IF(COUNTIF('Buyer Groups'!DG14:DO14,0)+COUNTIF('Buyer Groups'!DQ14:EN14,0)&gt;0,0,1)</f>
        <v/>
      </c>
      <c r="MP14">
        <f>IF($BH$14="",FALSE,SUMPRODUCT(('Final Calculation Sheet'!$J$4:$J$40=$BH$14)*($MO$6:$MO$42=1))&gt;0)</f>
        <v/>
      </c>
      <c r="MQ14">
        <f>$MQ$13+--($MP14)</f>
        <v/>
      </c>
      <c r="MR14">
        <f>IF(ROW()-3&gt;MAX($MQ$4:$MQ$40),"",INDEX($BH$4:$BH$40,MATCH(ROW()-3,$MQ$4:$MQ$40,0)))</f>
        <v/>
      </c>
      <c r="MS14">
        <f>IF(COUNTIF('Buyer Groups'!DG14:DP14,0)+COUNTIF('Buyer Groups'!DR14:EN14,0)&gt;0,0,1)</f>
        <v/>
      </c>
      <c r="MT14">
        <f>IF($BM$14="",FALSE,SUMPRODUCT(('Final Calculation Sheet'!$K$4:$K$40=$BM$14)*($MS$6:$MS$42=1))&gt;0)</f>
        <v/>
      </c>
      <c r="MU14">
        <f>$MU$13+--($MT14)</f>
        <v/>
      </c>
      <c r="MV14">
        <f>IF(ROW()-3&gt;MAX($MU$4:$MU$40),"",INDEX($BM$4:$BM$40,MATCH(ROW()-3,$MU$4:$MU$40,0)))</f>
        <v/>
      </c>
      <c r="MW14">
        <f>IF(COUNTIF('Buyer Groups'!DG14:DQ14,0)+COUNTIF('Buyer Groups'!DS14:EN14,0)&gt;0,0,1)</f>
        <v/>
      </c>
      <c r="MX14">
        <f>IF($BR$14="",FALSE,SUMPRODUCT(('Final Calculation Sheet'!$L$4:$L$40=$BR$14)*($MW$6:$MW$42=1))&gt;0)</f>
        <v/>
      </c>
      <c r="MY14">
        <f>$MY$13+--($MX14)</f>
        <v/>
      </c>
      <c r="MZ14">
        <f>IF(ROW()-3&gt;MAX($MY$4:$MY$40),"",INDEX($BR$4:$BR$40,MATCH(ROW()-3,$MY$4:$MY$40,0)))</f>
        <v/>
      </c>
      <c r="NA14">
        <f>IF(COUNTIF('Buyer Groups'!DG14:DR14,0)+COUNTIF('Buyer Groups'!DT14:EN14,0)&gt;0,0,1)</f>
        <v/>
      </c>
      <c r="NB14">
        <f>IF($BW$14="",FALSE,SUMPRODUCT(('Final Calculation Sheet'!$M$4:$M$40=$BW$14)*($NA$6:$NA$42=1))&gt;0)</f>
        <v/>
      </c>
      <c r="NC14">
        <f>$NC$13+--($NB14)</f>
        <v/>
      </c>
      <c r="ND14">
        <f>IF(ROW()-3&gt;MAX($NC$4:$NC$40),"",INDEX($BW$4:$BW$40,MATCH(ROW()-3,$NC$4:$NC$40,0)))</f>
        <v/>
      </c>
      <c r="NE14">
        <f>IF(COUNTIF('Buyer Groups'!DG14:DS14,0)+COUNTIF('Buyer Groups'!DU14:EN14,0)&gt;0,0,1)</f>
        <v/>
      </c>
      <c r="NF14">
        <f>IF($CB$14="",FALSE,SUMPRODUCT(('Final Calculation Sheet'!$N$4:$N$40=$CB$14)*($NE$6:$NE$42=1))&gt;0)</f>
        <v/>
      </c>
      <c r="NG14">
        <f>$NG$13+--($NF14)</f>
        <v/>
      </c>
      <c r="NH14">
        <f>IF(ROW()-3&gt;MAX($NG$4:$NG$40),"",INDEX($CB$4:$CB$40,MATCH(ROW()-3,$NG$4:$NG$40,0)))</f>
        <v/>
      </c>
      <c r="NI14">
        <f>IF(COUNTIF('Buyer Groups'!DG14:DT14,0)+COUNTIF('Buyer Groups'!DV14:EN14,0)&gt;0,0,1)</f>
        <v/>
      </c>
      <c r="NJ14">
        <f>IF($CG$14="",FALSE,SUMPRODUCT(('Final Calculation Sheet'!$O$4:$O$40=$CG$14)*($NI$6:$NI$42=1))&gt;0)</f>
        <v/>
      </c>
      <c r="NK14">
        <f>$NK$13+--($NJ14)</f>
        <v/>
      </c>
      <c r="NL14">
        <f>IF(ROW()-3&gt;MAX($NK$4:$NK$40),"",INDEX($CG$4:$CG$40,MATCH(ROW()-3,$NK$4:$NK$40,0)))</f>
        <v/>
      </c>
      <c r="NM14">
        <f>IF(COUNTIF('Buyer Groups'!DG14:DU14,0)+COUNTIF('Buyer Groups'!DW14:EN14,0)&gt;0,0,1)</f>
        <v/>
      </c>
      <c r="NN14">
        <f>IF($CL$14="",FALSE,SUMPRODUCT(('Final Calculation Sheet'!$P$4:$P$40=$CL$14)*($NM$6:$NM$42=1))&gt;0)</f>
        <v/>
      </c>
      <c r="NO14">
        <f>$NO$13+--($NN14)</f>
        <v/>
      </c>
      <c r="NP14">
        <f>IF(ROW()-3&gt;MAX($NO$4:$NO$40),"",INDEX($CL$4:$CL$40,MATCH(ROW()-3,$NO$4:$NO$40,0)))</f>
        <v/>
      </c>
      <c r="NQ14">
        <f>IF(COUNTIF('Buyer Groups'!DG14:DV14,0)+COUNTIF('Buyer Groups'!DX14:EN14,0)&gt;0,0,1)</f>
        <v/>
      </c>
      <c r="NR14">
        <f>IF($CQ$14="",FALSE,SUMPRODUCT(('Final Calculation Sheet'!$Q$4:$Q$40=$CQ$14)*($NQ$6:$NQ$42=1))&gt;0)</f>
        <v/>
      </c>
      <c r="NS14">
        <f>$NS$13+--($NR14)</f>
        <v/>
      </c>
      <c r="NT14">
        <f>IF(ROW()-3&gt;MAX($NS$4:$NS$40),"",INDEX($CQ$4:$CQ$40,MATCH(ROW()-3,$NS$4:$NS$40,0)))</f>
        <v/>
      </c>
      <c r="NU14">
        <f>IF(COUNTIF('Buyer Groups'!DG14:DW14,0)+COUNTIF('Buyer Groups'!DY14:EN14,0)&gt;0,0,1)</f>
        <v/>
      </c>
      <c r="NV14">
        <f>IF($CV$14="",FALSE,SUMPRODUCT(('Final Calculation Sheet'!$R$4:$R$40=$CV$14)*($NU$6:$NU$42=1))&gt;0)</f>
        <v/>
      </c>
      <c r="NW14">
        <f>$NW$13+--($NV14)</f>
        <v/>
      </c>
      <c r="NX14">
        <f>IF(ROW()-3&gt;MAX($NW$4:$NW$40),"",INDEX($CV$4:$CV$40,MATCH(ROW()-3,$NW$4:$NW$40,0)))</f>
        <v/>
      </c>
      <c r="NY14">
        <f>IF(COUNTIF('Buyer Groups'!DG14:DX14,0)+COUNTIF('Buyer Groups'!DZ14:EN14,0)&gt;0,0,1)</f>
        <v/>
      </c>
      <c r="NZ14">
        <f>IF($DA$14="",FALSE,SUMPRODUCT(('Final Calculation Sheet'!$S$4:$S$40=$DA$14)*($NY$6:$NY$42=1))&gt;0)</f>
        <v/>
      </c>
      <c r="OA14">
        <f>$OA$13+--($NZ14)</f>
        <v/>
      </c>
      <c r="OB14">
        <f>IF(ROW()-3&gt;MAX($OA$4:$OA$40),"",INDEX($DA$4:$DA$40,MATCH(ROW()-3,$OA$4:$OA$40,0)))</f>
        <v/>
      </c>
      <c r="OC14">
        <f>IF(COUNTIF('Buyer Groups'!DG14:DY14,0)+COUNTIF('Buyer Groups'!EA14:EN14,0)&gt;0,0,1)</f>
        <v/>
      </c>
      <c r="OD14">
        <f>IF($DF$14="",FALSE,SUMPRODUCT(('Final Calculation Sheet'!$T$4:$T$40=$DF$14)*($OC$6:$OC$42=1))&gt;0)</f>
        <v/>
      </c>
      <c r="OE14">
        <f>$OE$13+--($OD14)</f>
        <v/>
      </c>
      <c r="OF14">
        <f>IF(ROW()-3&gt;MAX($OE$4:$OE$40),"",INDEX($DF$4:$DF$40,MATCH(ROW()-3,$OE$4:$OE$40,0)))</f>
        <v/>
      </c>
      <c r="OG14">
        <f>IF(COUNTIF('Buyer Groups'!DG14:DZ14,0)+COUNTIF('Buyer Groups'!EB14:EN14,0)&gt;0,0,1)</f>
        <v/>
      </c>
      <c r="OH14">
        <f>IF($DK$14="",FALSE,SUMPRODUCT(('Final Calculation Sheet'!$U$4:$U$40=$DK$14)*($OG$6:$OG$42=1))&gt;0)</f>
        <v/>
      </c>
      <c r="OI14">
        <f>$OI$13+--($OH14)</f>
        <v/>
      </c>
      <c r="OJ14">
        <f>IF(ROW()-3&gt;MAX($OI$4:$OI$40),"",INDEX($DK$4:$DK$40,MATCH(ROW()-3,$OI$4:$OI$40,0)))</f>
        <v/>
      </c>
      <c r="OK14">
        <f>IF(COUNTIF('Buyer Groups'!DG14:EA14,0)+COUNTIF('Buyer Groups'!EC14:EN14,0)&gt;0,0,1)</f>
        <v/>
      </c>
      <c r="OL14">
        <f>IF($DP$14="",FALSE,SUMPRODUCT(('Final Calculation Sheet'!$V$4:$V$40=$DP$14)*($OK$6:$OK$42=1))&gt;0)</f>
        <v/>
      </c>
      <c r="OM14">
        <f>$OM$13+--($OL14)</f>
        <v/>
      </c>
      <c r="ON14">
        <f>IF(ROW()-3&gt;MAX($OM$4:$OM$40),"",INDEX($DP$4:$DP$40,MATCH(ROW()-3,$OM$4:$OM$40,0)))</f>
        <v/>
      </c>
      <c r="OO14">
        <f>IF(COUNTIF('Buyer Groups'!DG14:EB14,0)+COUNTIF('Buyer Groups'!ED14:EN14,0)&gt;0,0,1)</f>
        <v/>
      </c>
      <c r="OP14">
        <f>IF($DU$14="",FALSE,SUMPRODUCT(('Final Calculation Sheet'!$W$4:$W$40=$DU$14)*($OO$6:$OO$42=1))&gt;0)</f>
        <v/>
      </c>
      <c r="OQ14">
        <f>$OQ$13+--($OP14)</f>
        <v/>
      </c>
      <c r="OR14">
        <f>IF(ROW()-3&gt;MAX($OQ$4:$OQ$40),"",INDEX($DU$4:$DU$40,MATCH(ROW()-3,$OQ$4:$OQ$40,0)))</f>
        <v/>
      </c>
      <c r="OS14">
        <f>IF(COUNTIF('Buyer Groups'!DG14:EC14,0)+COUNTIF('Buyer Groups'!EE14:EN14,0)&gt;0,0,1)</f>
        <v/>
      </c>
      <c r="OT14">
        <f>IF($DZ$14="",FALSE,SUMPRODUCT(('Final Calculation Sheet'!$X$4:$X$40=$DZ$14)*($OS$6:$OS$42=1))&gt;0)</f>
        <v/>
      </c>
      <c r="OU14">
        <f>$OU$13+--($OT14)</f>
        <v/>
      </c>
      <c r="OV14">
        <f>IF(ROW()-3&gt;MAX($OU$4:$OU$40),"",INDEX($DZ$4:$DZ$40,MATCH(ROW()-3,$OU$4:$OU$40,0)))</f>
        <v/>
      </c>
      <c r="OW14">
        <f>IF(COUNTIF('Buyer Groups'!DG14:ED14,0)+COUNTIF('Buyer Groups'!EF14:EN14,0)&gt;0,0,1)</f>
        <v/>
      </c>
      <c r="OX14">
        <f>IF($EE$14="",FALSE,SUMPRODUCT(('Final Calculation Sheet'!$Y$4:$Y$40=$EE$14)*($OW$6:$OW$42=1))&gt;0)</f>
        <v/>
      </c>
      <c r="OY14">
        <f>$OY$13+--($OX14)</f>
        <v/>
      </c>
      <c r="OZ14">
        <f>IF(ROW()-3&gt;MAX($OY$4:$OY$40),"",INDEX($EE$4:$EE$40,MATCH(ROW()-3,$OY$4:$OY$40,0)))</f>
        <v/>
      </c>
      <c r="PA14">
        <f>IF(COUNTIF('Buyer Groups'!DG14:EE14,0)+COUNTIF('Buyer Groups'!EG14:EN14,0)&gt;0,0,1)</f>
        <v/>
      </c>
      <c r="PB14">
        <f>IF($EJ$14="",FALSE,SUMPRODUCT(('Final Calculation Sheet'!$Z$4:$Z$40=$EJ$14)*($PA$6:$PA$42=1))&gt;0)</f>
        <v/>
      </c>
      <c r="PC14">
        <f>$PC$13+--($PB14)</f>
        <v/>
      </c>
      <c r="PD14">
        <f>IF(ROW()-3&gt;MAX($PC$4:$PC$40),"",INDEX($EJ$4:$EJ$40,MATCH(ROW()-3,$PC$4:$PC$40,0)))</f>
        <v/>
      </c>
      <c r="PE14">
        <f>IF(COUNTIF('Buyer Groups'!DG14:EF14,0)+COUNTIF('Buyer Groups'!EH14:EN14,0)&gt;0,0,1)</f>
        <v/>
      </c>
      <c r="PF14">
        <f>IF($EO$14="",FALSE,SUMPRODUCT(('Final Calculation Sheet'!$AA$4:$AA$40=$EO$14)*($PE$6:$PE$42=1))&gt;0)</f>
        <v/>
      </c>
      <c r="PG14">
        <f>$PG$13+--($PF14)</f>
        <v/>
      </c>
      <c r="PH14">
        <f>IF(ROW()-3&gt;MAX($PG$4:$PG$40),"",INDEX($EO$4:$EO$40,MATCH(ROW()-3,$PG$4:$PG$40,0)))</f>
        <v/>
      </c>
      <c r="PI14">
        <f>IF(COUNTIF('Buyer Groups'!DG14:EG14,0)+COUNTIF('Buyer Groups'!EI14:EN14,0)&gt;0,0,1)</f>
        <v/>
      </c>
      <c r="PJ14">
        <f>IF($ET$14="",FALSE,SUMPRODUCT(('Final Calculation Sheet'!$AB$4:$AB$40=$ET$14)*($PI$6:$PI$42=1))&gt;0)</f>
        <v/>
      </c>
      <c r="PK14">
        <f>$PK$13+--($PJ14)</f>
        <v/>
      </c>
      <c r="PL14">
        <f>IF(ROW()-3&gt;MAX($PK$4:$PK$40),"",INDEX($ET$4:$ET$40,MATCH(ROW()-3,$PK$4:$PK$40,0)))</f>
        <v/>
      </c>
      <c r="PM14">
        <f>IF(COUNTIF('Buyer Groups'!DG14:EH14,0)+COUNTIF('Buyer Groups'!EJ14:EN14,0)&gt;0,0,1)</f>
        <v/>
      </c>
      <c r="PN14">
        <f>IF($EY$14="",FALSE,SUMPRODUCT(('Final Calculation Sheet'!$AC$4:$AC$40=$EY$14)*($PM$6:$PM$42=1))&gt;0)</f>
        <v/>
      </c>
      <c r="PO14">
        <f>$PO$13+--($PN14)</f>
        <v/>
      </c>
      <c r="PP14">
        <f>IF(ROW()-3&gt;MAX($PO$4:$PO$40),"",INDEX($EY$4:$EY$40,MATCH(ROW()-3,$PO$4:$PO$40,0)))</f>
        <v/>
      </c>
      <c r="PQ14">
        <f>IF(COUNTIF('Buyer Groups'!DG14:EI14,0)+COUNTIF('Buyer Groups'!EK14:EN14,0)&gt;0,0,1)</f>
        <v/>
      </c>
      <c r="PR14">
        <f>IF($FD$14="",FALSE,SUMPRODUCT(('Final Calculation Sheet'!$AD$4:$AD$40=$FD$14)*($PQ$6:$PQ$42=1))&gt;0)</f>
        <v/>
      </c>
      <c r="PS14">
        <f>$PS$13+--($PR14)</f>
        <v/>
      </c>
      <c r="PT14">
        <f>IF(ROW()-3&gt;MAX($PS$4:$PS$40),"",INDEX($FD$4:$FD$40,MATCH(ROW()-3,$PS$4:$PS$40,0)))</f>
        <v/>
      </c>
      <c r="PU14">
        <f>IF(COUNTIF('Buyer Groups'!DG14:EJ14,0)+COUNTIF('Buyer Groups'!EL14:EN14,0)&gt;0,0,1)</f>
        <v/>
      </c>
      <c r="PV14">
        <f>IF($FX$14="",FALSE,SUMPRODUCT((IF('Final Calculation Sheet'!$AD$4:$AD$40&lt;=5,"SETTLED","OUTSTANDING")=$FX$14)*($PU$6:$PU$42=1))&gt;0)</f>
        <v/>
      </c>
      <c r="PW14">
        <f>$PW$13+--($PV14)</f>
        <v/>
      </c>
      <c r="PX14">
        <f>IF(ROW()-3&gt;MAX($PW$4:$PW$40),"",INDEX($FX$4:$FX$40,MATCH(ROW()-3,$PW$4:$PW$40,0)))</f>
        <v/>
      </c>
      <c r="PY14">
        <f>IF(COUNTIF('Buyer Groups'!DG14:EK14,0)+COUNTIF('Buyer Groups'!EM14:EN14,0)&gt;0,0,1)</f>
        <v/>
      </c>
      <c r="PZ14">
        <f>IF($FI$14="",FALSE,SUMPRODUCT(('Final Calculation Sheet'!$AF$4:$AF$40=$FI$14)*($PY$6:$PY$42=1))&gt;0)</f>
        <v/>
      </c>
      <c r="QA14">
        <f>$QA$13+--($PZ14)</f>
        <v/>
      </c>
      <c r="QB14">
        <f>IF(ROW()-3&gt;MAX($QA$4:$QA$40),"",INDEX($FI$4:$FI$40,MATCH(ROW()-3,$QA$4:$QA$40,0)))</f>
        <v/>
      </c>
      <c r="QC14">
        <f>IF(COUNTIF('Buyer Groups'!DG14:EL14,0)+COUNTIF('Buyer Groups'!EN14:EN14,0)&gt;0,0,1)</f>
        <v/>
      </c>
      <c r="QD14">
        <f>IF($FN$14="",FALSE,SUMPRODUCT(('Final Calculation Sheet'!$AG$4:$AG$40=$FN$14)*($QC$6:$QC$42=1))&gt;0)</f>
        <v/>
      </c>
      <c r="QE14">
        <f>$QE$13+--($QD14)</f>
        <v/>
      </c>
      <c r="QF14">
        <f>IF(ROW()-3&gt;MAX($QE$4:$QE$40),"",INDEX($FN$4:$FN$40,MATCH(ROW()-3,$QE$4:$QE$40,0)))</f>
        <v/>
      </c>
      <c r="QG14">
        <f>IF(COUNTIF('Buyer Groups'!DG14:EM14,0)&gt;0,0,1)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Groups'!DH15:EN15,0)&gt;0,0,1)</f>
        <v/>
      </c>
      <c r="LF15">
        <f>IF($O$15="",FALSE,SUMPRODUCT(('Final Calculation Sheet'!$F$4:$F$40=$O$15)*($LE$6:$LE$42=1))&gt;0)</f>
        <v/>
      </c>
      <c r="LG15">
        <f>$LG$14+--($LF15)</f>
        <v/>
      </c>
      <c r="LH15">
        <f>IF(ROW()-3&gt;MAX($LG$4:$LG$40),"",INDEX($O$4:$O$40,MATCH(ROW()-3,$LG$4:$LG$40,0)))</f>
        <v/>
      </c>
      <c r="LI15">
        <f>IF(COUNTIF('Buyer Groups'!DG15:DG15,0)+COUNTIF('Buyer Groups'!DI15:EN15,0)&gt;0,0,1)</f>
        <v/>
      </c>
      <c r="LJ15">
        <f>IF($T$15="",FALSE,SUMPRODUCT(('Final Calculation Sheet'!$G$4:$G$40=$T$15)*($LI$6:$LI$42=1))&gt;0)</f>
        <v/>
      </c>
      <c r="LK15">
        <f>$LK$14+--($LJ15)</f>
        <v/>
      </c>
      <c r="LL15">
        <f>IF(ROW()-3&gt;MAX($LK$4:$LK$40),"",INDEX($T$4:$T$40,MATCH(ROW()-3,$LK$4:$LK$40,0)))</f>
        <v/>
      </c>
      <c r="LM15">
        <f>IF(COUNTIF('Buyer Groups'!DG15:DH15,0)+COUNTIF('Buyer Groups'!DJ15:EN15,0)&gt;0,0,1)</f>
        <v/>
      </c>
      <c r="LN15">
        <f>IF($Y$15="",FALSE,SUMPRODUCT(('Final Calculation Sheet'!$B$4:$B$40=$Y$15)*($LM$6:$LM$42=1))&gt;0)</f>
        <v/>
      </c>
      <c r="LO15">
        <f>$LO$14+--($LN15)</f>
        <v/>
      </c>
      <c r="LP15">
        <f>IF(ROW()-3&gt;MAX($LO$4:$LO$40),"",INDEX($Y$4:$Y$40,MATCH(ROW()-3,$LO$4:$LO$40,0)))</f>
        <v/>
      </c>
      <c r="LQ15">
        <f>IF(COUNTIF('Buyer Groups'!DG15:DI15,0)+COUNTIF('Buyer Groups'!DK15:EN15,0)&gt;0,0,1)</f>
        <v/>
      </c>
      <c r="LR15">
        <f>IF($AD$15="",FALSE,SUMPRODUCT(('Final Calculation Sheet'!$D$4:$D$40=$AD$15)*($LQ$6:$LQ$42=1))&gt;0)</f>
        <v/>
      </c>
      <c r="LS15">
        <f>$LS$14+--($LR15)</f>
        <v/>
      </c>
      <c r="LT15">
        <f>IF(ROW()-3&gt;MAX($LS$4:$LS$40),"",INDEX($AD$4:$AD$40,MATCH(ROW()-3,$LS$4:$LS$40,0)))</f>
        <v/>
      </c>
      <c r="LU15">
        <f>IF(COUNTIF('Buyer Groups'!DG15:DJ15,0)+COUNTIF('Buyer Groups'!DL15:EN15,0)&gt;0,0,1)</f>
        <v/>
      </c>
      <c r="LV15">
        <f>IF($AI$15="",FALSE,SUMPRODUCT(('Final Calculation Sheet'!$A$4:$A$40=$AI$15)*($LU$6:$LU$42=1))&gt;0)</f>
        <v/>
      </c>
      <c r="LW15">
        <f>$LW$14+--($LV15)</f>
        <v/>
      </c>
      <c r="LX15">
        <f>IF(ROW()-3&gt;MAX($LW$4:$LW$40),"",INDEX($AI$4:$AI$40,MATCH(ROW()-3,$LW$4:$LW$40,0)))</f>
        <v/>
      </c>
      <c r="LY15">
        <f>IF(COUNTIF('Buyer Groups'!DG15:DK15,0)+COUNTIF('Buyer Groups'!DM15:EN15,0)&gt;0,0,1)</f>
        <v/>
      </c>
      <c r="LZ15">
        <f>IF($AN$15="",FALSE,SUMPRODUCT(('Final Calculation Sheet'!$E$4:$E$40=$AN$15)*($LY$6:$LY$42=1))&gt;0)</f>
        <v/>
      </c>
      <c r="MA15">
        <f>$MA$14+--($LZ15)</f>
        <v/>
      </c>
      <c r="MB15">
        <f>IF(ROW()-3&gt;MAX($MA$4:$MA$40),"",INDEX($AN$4:$AN$40,MATCH(ROW()-3,$MA$4:$MA$40,0)))</f>
        <v/>
      </c>
      <c r="MC15">
        <f>IF(COUNTIF('Buyer Groups'!DG15:DL15,0)+COUNTIF('Buyer Groups'!DN15:EN15,0)&gt;0,0,1)</f>
        <v/>
      </c>
      <c r="MD15">
        <f>IF($AS$15="",FALSE,SUMPRODUCT(('Final Calculation Sheet'!$C$4:$C$40=$AS$15)*($MC$6:$MC$42=1))&gt;0)</f>
        <v/>
      </c>
      <c r="ME15">
        <f>$ME$14+--($MD15)</f>
        <v/>
      </c>
      <c r="MF15">
        <f>IF(ROW()-3&gt;MAX($ME$4:$ME$40),"",INDEX($AS$4:$AS$40,MATCH(ROW()-3,$ME$4:$ME$40,0)))</f>
        <v/>
      </c>
      <c r="MG15">
        <f>IF(COUNTIF('Buyer Groups'!DG15:DM15,0)+COUNTIF('Buyer Groups'!DO15:EN15,0)&gt;0,0,1)</f>
        <v/>
      </c>
      <c r="MH15">
        <f>IF($AX$15="",FALSE,SUMPRODUCT(('Final Calculation Sheet'!$H$4:$H$40=$AX$15)*($MG$6:$MG$42=1))&gt;0)</f>
        <v/>
      </c>
      <c r="MI15">
        <f>$MI$14+--($MH15)</f>
        <v/>
      </c>
      <c r="MJ15">
        <f>IF(ROW()-3&gt;MAX($MI$4:$MI$40),"",INDEX($AX$4:$AX$40,MATCH(ROW()-3,$MI$4:$MI$40,0)))</f>
        <v/>
      </c>
      <c r="MK15">
        <f>IF(COUNTIF('Buyer Groups'!DG15:DN15,0)+COUNTIF('Buyer Groups'!DP15:EN15,0)&gt;0,0,1)</f>
        <v/>
      </c>
      <c r="ML15">
        <f>IF($BC$15="",FALSE,SUMPRODUCT(('Final Calculation Sheet'!$I$4:$I$40=$BC$15)*($MK$6:$MK$42=1))&gt;0)</f>
        <v/>
      </c>
      <c r="MM15">
        <f>$MM$14+--($ML15)</f>
        <v/>
      </c>
      <c r="MN15">
        <f>IF(ROW()-3&gt;MAX($MM$4:$MM$40),"",INDEX($BC$4:$BC$40,MATCH(ROW()-3,$MM$4:$MM$40,0)))</f>
        <v/>
      </c>
      <c r="MO15">
        <f>IF(COUNTIF('Buyer Groups'!DG15:DO15,0)+COUNTIF('Buyer Groups'!DQ15:EN15,0)&gt;0,0,1)</f>
        <v/>
      </c>
      <c r="MP15">
        <f>IF($BH$15="",FALSE,SUMPRODUCT(('Final Calculation Sheet'!$J$4:$J$40=$BH$15)*($MO$6:$MO$42=1))&gt;0)</f>
        <v/>
      </c>
      <c r="MQ15">
        <f>$MQ$14+--($MP15)</f>
        <v/>
      </c>
      <c r="MR15">
        <f>IF(ROW()-3&gt;MAX($MQ$4:$MQ$40),"",INDEX($BH$4:$BH$40,MATCH(ROW()-3,$MQ$4:$MQ$40,0)))</f>
        <v/>
      </c>
      <c r="MS15">
        <f>IF(COUNTIF('Buyer Groups'!DG15:DP15,0)+COUNTIF('Buyer Groups'!DR15:EN15,0)&gt;0,0,1)</f>
        <v/>
      </c>
      <c r="MT15">
        <f>IF($BM$15="",FALSE,SUMPRODUCT(('Final Calculation Sheet'!$K$4:$K$40=$BM$15)*($MS$6:$MS$42=1))&gt;0)</f>
        <v/>
      </c>
      <c r="MU15">
        <f>$MU$14+--($MT15)</f>
        <v/>
      </c>
      <c r="MV15">
        <f>IF(ROW()-3&gt;MAX($MU$4:$MU$40),"",INDEX($BM$4:$BM$40,MATCH(ROW()-3,$MU$4:$MU$40,0)))</f>
        <v/>
      </c>
      <c r="MW15">
        <f>IF(COUNTIF('Buyer Groups'!DG15:DQ15,0)+COUNTIF('Buyer Groups'!DS15:EN15,0)&gt;0,0,1)</f>
        <v/>
      </c>
      <c r="MX15">
        <f>IF($BR$15="",FALSE,SUMPRODUCT(('Final Calculation Sheet'!$L$4:$L$40=$BR$15)*($MW$6:$MW$42=1))&gt;0)</f>
        <v/>
      </c>
      <c r="MY15">
        <f>$MY$14+--($MX15)</f>
        <v/>
      </c>
      <c r="MZ15">
        <f>IF(ROW()-3&gt;MAX($MY$4:$MY$40),"",INDEX($BR$4:$BR$40,MATCH(ROW()-3,$MY$4:$MY$40,0)))</f>
        <v/>
      </c>
      <c r="NA15">
        <f>IF(COUNTIF('Buyer Groups'!DG15:DR15,0)+COUNTIF('Buyer Groups'!DT15:EN15,0)&gt;0,0,1)</f>
        <v/>
      </c>
      <c r="NB15">
        <f>IF($BW$15="",FALSE,SUMPRODUCT(('Final Calculation Sheet'!$M$4:$M$40=$BW$15)*($NA$6:$NA$42=1))&gt;0)</f>
        <v/>
      </c>
      <c r="NC15">
        <f>$NC$14+--($NB15)</f>
        <v/>
      </c>
      <c r="ND15">
        <f>IF(ROW()-3&gt;MAX($NC$4:$NC$40),"",INDEX($BW$4:$BW$40,MATCH(ROW()-3,$NC$4:$NC$40,0)))</f>
        <v/>
      </c>
      <c r="NE15">
        <f>IF(COUNTIF('Buyer Groups'!DG15:DS15,0)+COUNTIF('Buyer Groups'!DU15:EN15,0)&gt;0,0,1)</f>
        <v/>
      </c>
      <c r="NF15">
        <f>IF($CB$15="",FALSE,SUMPRODUCT(('Final Calculation Sheet'!$N$4:$N$40=$CB$15)*($NE$6:$NE$42=1))&gt;0)</f>
        <v/>
      </c>
      <c r="NG15">
        <f>$NG$14+--($NF15)</f>
        <v/>
      </c>
      <c r="NH15">
        <f>IF(ROW()-3&gt;MAX($NG$4:$NG$40),"",INDEX($CB$4:$CB$40,MATCH(ROW()-3,$NG$4:$NG$40,0)))</f>
        <v/>
      </c>
      <c r="NI15">
        <f>IF(COUNTIF('Buyer Groups'!DG15:DT15,0)+COUNTIF('Buyer Groups'!DV15:EN15,0)&gt;0,0,1)</f>
        <v/>
      </c>
      <c r="NJ15">
        <f>IF($CG$15="",FALSE,SUMPRODUCT(('Final Calculation Sheet'!$O$4:$O$40=$CG$15)*($NI$6:$NI$42=1))&gt;0)</f>
        <v/>
      </c>
      <c r="NK15">
        <f>$NK$14+--($NJ15)</f>
        <v/>
      </c>
      <c r="NL15">
        <f>IF(ROW()-3&gt;MAX($NK$4:$NK$40),"",INDEX($CG$4:$CG$40,MATCH(ROW()-3,$NK$4:$NK$40,0)))</f>
        <v/>
      </c>
      <c r="NM15">
        <f>IF(COUNTIF('Buyer Groups'!DG15:DU15,0)+COUNTIF('Buyer Groups'!DW15:EN15,0)&gt;0,0,1)</f>
        <v/>
      </c>
      <c r="NN15">
        <f>IF($CL$15="",FALSE,SUMPRODUCT(('Final Calculation Sheet'!$P$4:$P$40=$CL$15)*($NM$6:$NM$42=1))&gt;0)</f>
        <v/>
      </c>
      <c r="NO15">
        <f>$NO$14+--($NN15)</f>
        <v/>
      </c>
      <c r="NP15">
        <f>IF(ROW()-3&gt;MAX($NO$4:$NO$40),"",INDEX($CL$4:$CL$40,MATCH(ROW()-3,$NO$4:$NO$40,0)))</f>
        <v/>
      </c>
      <c r="NQ15">
        <f>IF(COUNTIF('Buyer Groups'!DG15:DV15,0)+COUNTIF('Buyer Groups'!DX15:EN15,0)&gt;0,0,1)</f>
        <v/>
      </c>
      <c r="NR15">
        <f>IF($CQ$15="",FALSE,SUMPRODUCT(('Final Calculation Sheet'!$Q$4:$Q$40=$CQ$15)*($NQ$6:$NQ$42=1))&gt;0)</f>
        <v/>
      </c>
      <c r="NS15">
        <f>$NS$14+--($NR15)</f>
        <v/>
      </c>
      <c r="NT15">
        <f>IF(ROW()-3&gt;MAX($NS$4:$NS$40),"",INDEX($CQ$4:$CQ$40,MATCH(ROW()-3,$NS$4:$NS$40,0)))</f>
        <v/>
      </c>
      <c r="NU15">
        <f>IF(COUNTIF('Buyer Groups'!DG15:DW15,0)+COUNTIF('Buyer Groups'!DY15:EN15,0)&gt;0,0,1)</f>
        <v/>
      </c>
      <c r="NV15">
        <f>IF($CV$15="",FALSE,SUMPRODUCT(('Final Calculation Sheet'!$R$4:$R$40=$CV$15)*($NU$6:$NU$42=1))&gt;0)</f>
        <v/>
      </c>
      <c r="NW15">
        <f>$NW$14+--($NV15)</f>
        <v/>
      </c>
      <c r="NX15">
        <f>IF(ROW()-3&gt;MAX($NW$4:$NW$40),"",INDEX($CV$4:$CV$40,MATCH(ROW()-3,$NW$4:$NW$40,0)))</f>
        <v/>
      </c>
      <c r="NY15">
        <f>IF(COUNTIF('Buyer Groups'!DG15:DX15,0)+COUNTIF('Buyer Groups'!DZ15:EN15,0)&gt;0,0,1)</f>
        <v/>
      </c>
      <c r="NZ15">
        <f>IF($DA$15="",FALSE,SUMPRODUCT(('Final Calculation Sheet'!$S$4:$S$40=$DA$15)*($NY$6:$NY$42=1))&gt;0)</f>
        <v/>
      </c>
      <c r="OA15">
        <f>$OA$14+--($NZ15)</f>
        <v/>
      </c>
      <c r="OB15">
        <f>IF(ROW()-3&gt;MAX($OA$4:$OA$40),"",INDEX($DA$4:$DA$40,MATCH(ROW()-3,$OA$4:$OA$40,0)))</f>
        <v/>
      </c>
      <c r="OC15">
        <f>IF(COUNTIF('Buyer Groups'!DG15:DY15,0)+COUNTIF('Buyer Groups'!EA15:EN15,0)&gt;0,0,1)</f>
        <v/>
      </c>
      <c r="OD15">
        <f>IF($DF$15="",FALSE,SUMPRODUCT(('Final Calculation Sheet'!$T$4:$T$40=$DF$15)*($OC$6:$OC$42=1))&gt;0)</f>
        <v/>
      </c>
      <c r="OE15">
        <f>$OE$14+--($OD15)</f>
        <v/>
      </c>
      <c r="OF15">
        <f>IF(ROW()-3&gt;MAX($OE$4:$OE$40),"",INDEX($DF$4:$DF$40,MATCH(ROW()-3,$OE$4:$OE$40,0)))</f>
        <v/>
      </c>
      <c r="OG15">
        <f>IF(COUNTIF('Buyer Groups'!DG15:DZ15,0)+COUNTIF('Buyer Groups'!EB15:EN15,0)&gt;0,0,1)</f>
        <v/>
      </c>
      <c r="OH15">
        <f>IF($DK$15="",FALSE,SUMPRODUCT(('Final Calculation Sheet'!$U$4:$U$40=$DK$15)*($OG$6:$OG$42=1))&gt;0)</f>
        <v/>
      </c>
      <c r="OI15">
        <f>$OI$14+--($OH15)</f>
        <v/>
      </c>
      <c r="OJ15">
        <f>IF(ROW()-3&gt;MAX($OI$4:$OI$40),"",INDEX($DK$4:$DK$40,MATCH(ROW()-3,$OI$4:$OI$40,0)))</f>
        <v/>
      </c>
      <c r="OK15">
        <f>IF(COUNTIF('Buyer Groups'!DG15:EA15,0)+COUNTIF('Buyer Groups'!EC15:EN15,0)&gt;0,0,1)</f>
        <v/>
      </c>
      <c r="OL15">
        <f>IF($DP$15="",FALSE,SUMPRODUCT(('Final Calculation Sheet'!$V$4:$V$40=$DP$15)*($OK$6:$OK$42=1))&gt;0)</f>
        <v/>
      </c>
      <c r="OM15">
        <f>$OM$14+--($OL15)</f>
        <v/>
      </c>
      <c r="ON15">
        <f>IF(ROW()-3&gt;MAX($OM$4:$OM$40),"",INDEX($DP$4:$DP$40,MATCH(ROW()-3,$OM$4:$OM$40,0)))</f>
        <v/>
      </c>
      <c r="OO15">
        <f>IF(COUNTIF('Buyer Groups'!DG15:EB15,0)+COUNTIF('Buyer Groups'!ED15:EN15,0)&gt;0,0,1)</f>
        <v/>
      </c>
      <c r="OP15">
        <f>IF($DU$15="",FALSE,SUMPRODUCT(('Final Calculation Sheet'!$W$4:$W$40=$DU$15)*($OO$6:$OO$42=1))&gt;0)</f>
        <v/>
      </c>
      <c r="OQ15">
        <f>$OQ$14+--($OP15)</f>
        <v/>
      </c>
      <c r="OR15">
        <f>IF(ROW()-3&gt;MAX($OQ$4:$OQ$40),"",INDEX($DU$4:$DU$40,MATCH(ROW()-3,$OQ$4:$OQ$40,0)))</f>
        <v/>
      </c>
      <c r="OS15">
        <f>IF(COUNTIF('Buyer Groups'!DG15:EC15,0)+COUNTIF('Buyer Groups'!EE15:EN15,0)&gt;0,0,1)</f>
        <v/>
      </c>
      <c r="OT15">
        <f>IF($DZ$15="",FALSE,SUMPRODUCT(('Final Calculation Sheet'!$X$4:$X$40=$DZ$15)*($OS$6:$OS$42=1))&gt;0)</f>
        <v/>
      </c>
      <c r="OU15">
        <f>$OU$14+--($OT15)</f>
        <v/>
      </c>
      <c r="OV15">
        <f>IF(ROW()-3&gt;MAX($OU$4:$OU$40),"",INDEX($DZ$4:$DZ$40,MATCH(ROW()-3,$OU$4:$OU$40,0)))</f>
        <v/>
      </c>
      <c r="OW15">
        <f>IF(COUNTIF('Buyer Groups'!DG15:ED15,0)+COUNTIF('Buyer Groups'!EF15:EN15,0)&gt;0,0,1)</f>
        <v/>
      </c>
      <c r="OX15">
        <f>IF($EE$15="",FALSE,SUMPRODUCT(('Final Calculation Sheet'!$Y$4:$Y$40=$EE$15)*($OW$6:$OW$42=1))&gt;0)</f>
        <v/>
      </c>
      <c r="OY15">
        <f>$OY$14+--($OX15)</f>
        <v/>
      </c>
      <c r="OZ15">
        <f>IF(ROW()-3&gt;MAX($OY$4:$OY$40),"",INDEX($EE$4:$EE$40,MATCH(ROW()-3,$OY$4:$OY$40,0)))</f>
        <v/>
      </c>
      <c r="PA15">
        <f>IF(COUNTIF('Buyer Groups'!DG15:EE15,0)+COUNTIF('Buyer Groups'!EG15:EN15,0)&gt;0,0,1)</f>
        <v/>
      </c>
      <c r="PB15">
        <f>IF($EJ$15="",FALSE,SUMPRODUCT(('Final Calculation Sheet'!$Z$4:$Z$40=$EJ$15)*($PA$6:$PA$42=1))&gt;0)</f>
        <v/>
      </c>
      <c r="PC15">
        <f>$PC$14+--($PB15)</f>
        <v/>
      </c>
      <c r="PD15">
        <f>IF(ROW()-3&gt;MAX($PC$4:$PC$40),"",INDEX($EJ$4:$EJ$40,MATCH(ROW()-3,$PC$4:$PC$40,0)))</f>
        <v/>
      </c>
      <c r="PE15">
        <f>IF(COUNTIF('Buyer Groups'!DG15:EF15,0)+COUNTIF('Buyer Groups'!EH15:EN15,0)&gt;0,0,1)</f>
        <v/>
      </c>
      <c r="PF15">
        <f>IF($EO$15="",FALSE,SUMPRODUCT(('Final Calculation Sheet'!$AA$4:$AA$40=$EO$15)*($PE$6:$PE$42=1))&gt;0)</f>
        <v/>
      </c>
      <c r="PG15">
        <f>$PG$14+--($PF15)</f>
        <v/>
      </c>
      <c r="PH15">
        <f>IF(ROW()-3&gt;MAX($PG$4:$PG$40),"",INDEX($EO$4:$EO$40,MATCH(ROW()-3,$PG$4:$PG$40,0)))</f>
        <v/>
      </c>
      <c r="PI15">
        <f>IF(COUNTIF('Buyer Groups'!DG15:EG15,0)+COUNTIF('Buyer Groups'!EI15:EN15,0)&gt;0,0,1)</f>
        <v/>
      </c>
      <c r="PJ15">
        <f>IF($ET$15="",FALSE,SUMPRODUCT(('Final Calculation Sheet'!$AB$4:$AB$40=$ET$15)*($PI$6:$PI$42=1))&gt;0)</f>
        <v/>
      </c>
      <c r="PK15">
        <f>$PK$14+--($PJ15)</f>
        <v/>
      </c>
      <c r="PL15">
        <f>IF(ROW()-3&gt;MAX($PK$4:$PK$40),"",INDEX($ET$4:$ET$40,MATCH(ROW()-3,$PK$4:$PK$40,0)))</f>
        <v/>
      </c>
      <c r="PM15">
        <f>IF(COUNTIF('Buyer Groups'!DG15:EH15,0)+COUNTIF('Buyer Groups'!EJ15:EN15,0)&gt;0,0,1)</f>
        <v/>
      </c>
      <c r="PN15">
        <f>IF($EY$15="",FALSE,SUMPRODUCT(('Final Calculation Sheet'!$AC$4:$AC$40=$EY$15)*($PM$6:$PM$42=1))&gt;0)</f>
        <v/>
      </c>
      <c r="PO15">
        <f>$PO$14+--($PN15)</f>
        <v/>
      </c>
      <c r="PP15">
        <f>IF(ROW()-3&gt;MAX($PO$4:$PO$40),"",INDEX($EY$4:$EY$40,MATCH(ROW()-3,$PO$4:$PO$40,0)))</f>
        <v/>
      </c>
      <c r="PQ15">
        <f>IF(COUNTIF('Buyer Groups'!DG15:EI15,0)+COUNTIF('Buyer Groups'!EK15:EN15,0)&gt;0,0,1)</f>
        <v/>
      </c>
      <c r="PR15">
        <f>IF($FD$15="",FALSE,SUMPRODUCT(('Final Calculation Sheet'!$AD$4:$AD$40=$FD$15)*($PQ$6:$PQ$42=1))&gt;0)</f>
        <v/>
      </c>
      <c r="PS15">
        <f>$PS$14+--($PR15)</f>
        <v/>
      </c>
      <c r="PT15">
        <f>IF(ROW()-3&gt;MAX($PS$4:$PS$40),"",INDEX($FD$4:$FD$40,MATCH(ROW()-3,$PS$4:$PS$40,0)))</f>
        <v/>
      </c>
      <c r="PU15">
        <f>IF(COUNTIF('Buyer Groups'!DG15:EJ15,0)+COUNTIF('Buyer Groups'!EL15:EN15,0)&gt;0,0,1)</f>
        <v/>
      </c>
      <c r="PV15">
        <f>IF($FX$15="",FALSE,SUMPRODUCT((IF('Final Calculation Sheet'!$AD$4:$AD$40&lt;=5,"SETTLED","OUTSTANDING")=$FX$15)*($PU$6:$PU$42=1))&gt;0)</f>
        <v/>
      </c>
      <c r="PW15">
        <f>$PW$14+--($PV15)</f>
        <v/>
      </c>
      <c r="PX15">
        <f>IF(ROW()-3&gt;MAX($PW$4:$PW$40),"",INDEX($FX$4:$FX$40,MATCH(ROW()-3,$PW$4:$PW$40,0)))</f>
        <v/>
      </c>
      <c r="PY15">
        <f>IF(COUNTIF('Buyer Groups'!DG15:EK15,0)+COUNTIF('Buyer Groups'!EM15:EN15,0)&gt;0,0,1)</f>
        <v/>
      </c>
      <c r="PZ15">
        <f>IF($FI$15="",FALSE,SUMPRODUCT(('Final Calculation Sheet'!$AF$4:$AF$40=$FI$15)*($PY$6:$PY$42=1))&gt;0)</f>
        <v/>
      </c>
      <c r="QA15">
        <f>$QA$14+--($PZ15)</f>
        <v/>
      </c>
      <c r="QB15">
        <f>IF(ROW()-3&gt;MAX($QA$4:$QA$40),"",INDEX($FI$4:$FI$40,MATCH(ROW()-3,$QA$4:$QA$40,0)))</f>
        <v/>
      </c>
      <c r="QC15">
        <f>IF(COUNTIF('Buyer Groups'!DG15:EL15,0)+COUNTIF('Buyer Groups'!EN15:EN15,0)&gt;0,0,1)</f>
        <v/>
      </c>
      <c r="QD15">
        <f>IF($FN$15="",FALSE,SUMPRODUCT(('Final Calculation Sheet'!$AG$4:$AG$40=$FN$15)*($QC$6:$QC$42=1))&gt;0)</f>
        <v/>
      </c>
      <c r="QE15">
        <f>$QE$14+--($QD15)</f>
        <v/>
      </c>
      <c r="QF15">
        <f>IF(ROW()-3&gt;MAX($QE$4:$QE$40),"",INDEX($FN$4:$FN$40,MATCH(ROW()-3,$QE$4:$QE$40,0)))</f>
        <v/>
      </c>
      <c r="QG15">
        <f>IF(COUNTIF('Buyer Groups'!DG15:EM15,0)&gt;0,0,1)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Groups'!DH16:EN16,0)&gt;0,0,1)</f>
        <v/>
      </c>
      <c r="LF16">
        <f>IF($O$16="",FALSE,SUMPRODUCT(('Final Calculation Sheet'!$F$4:$F$40=$O$16)*($LE$6:$LE$42=1))&gt;0)</f>
        <v/>
      </c>
      <c r="LG16">
        <f>$LG$15+--($LF16)</f>
        <v/>
      </c>
      <c r="LH16">
        <f>IF(ROW()-3&gt;MAX($LG$4:$LG$40),"",INDEX($O$4:$O$40,MATCH(ROW()-3,$LG$4:$LG$40,0)))</f>
        <v/>
      </c>
      <c r="LI16">
        <f>IF(COUNTIF('Buyer Groups'!DG16:DG16,0)+COUNTIF('Buyer Groups'!DI16:EN16,0)&gt;0,0,1)</f>
        <v/>
      </c>
      <c r="LJ16">
        <f>IF($T$16="",FALSE,SUMPRODUCT(('Final Calculation Sheet'!$G$4:$G$40=$T$16)*($LI$6:$LI$42=1))&gt;0)</f>
        <v/>
      </c>
      <c r="LK16">
        <f>$LK$15+--($LJ16)</f>
        <v/>
      </c>
      <c r="LL16">
        <f>IF(ROW()-3&gt;MAX($LK$4:$LK$40),"",INDEX($T$4:$T$40,MATCH(ROW()-3,$LK$4:$LK$40,0)))</f>
        <v/>
      </c>
      <c r="LM16">
        <f>IF(COUNTIF('Buyer Groups'!DG16:DH16,0)+COUNTIF('Buyer Groups'!DJ16:EN16,0)&gt;0,0,1)</f>
        <v/>
      </c>
      <c r="LN16">
        <f>IF($Y$16="",FALSE,SUMPRODUCT(('Final Calculation Sheet'!$B$4:$B$40=$Y$16)*($LM$6:$LM$42=1))&gt;0)</f>
        <v/>
      </c>
      <c r="LO16">
        <f>$LO$15+--($LN16)</f>
        <v/>
      </c>
      <c r="LP16">
        <f>IF(ROW()-3&gt;MAX($LO$4:$LO$40),"",INDEX($Y$4:$Y$40,MATCH(ROW()-3,$LO$4:$LO$40,0)))</f>
        <v/>
      </c>
      <c r="LQ16">
        <f>IF(COUNTIF('Buyer Groups'!DG16:DI16,0)+COUNTIF('Buyer Groups'!DK16:EN16,0)&gt;0,0,1)</f>
        <v/>
      </c>
      <c r="LR16">
        <f>IF($AD$16="",FALSE,SUMPRODUCT(('Final Calculation Sheet'!$D$4:$D$40=$AD$16)*($LQ$6:$LQ$42=1))&gt;0)</f>
        <v/>
      </c>
      <c r="LS16">
        <f>$LS$15+--($LR16)</f>
        <v/>
      </c>
      <c r="LT16">
        <f>IF(ROW()-3&gt;MAX($LS$4:$LS$40),"",INDEX($AD$4:$AD$40,MATCH(ROW()-3,$LS$4:$LS$40,0)))</f>
        <v/>
      </c>
      <c r="LU16">
        <f>IF(COUNTIF('Buyer Groups'!DG16:DJ16,0)+COUNTIF('Buyer Groups'!DL16:EN16,0)&gt;0,0,1)</f>
        <v/>
      </c>
      <c r="LV16">
        <f>IF($AI$16="",FALSE,SUMPRODUCT(('Final Calculation Sheet'!$A$4:$A$40=$AI$16)*($LU$6:$LU$42=1))&gt;0)</f>
        <v/>
      </c>
      <c r="LW16">
        <f>$LW$15+--($LV16)</f>
        <v/>
      </c>
      <c r="LX16">
        <f>IF(ROW()-3&gt;MAX($LW$4:$LW$40),"",INDEX($AI$4:$AI$40,MATCH(ROW()-3,$LW$4:$LW$40,0)))</f>
        <v/>
      </c>
      <c r="LY16">
        <f>IF(COUNTIF('Buyer Groups'!DG16:DK16,0)+COUNTIF('Buyer Groups'!DM16:EN16,0)&gt;0,0,1)</f>
        <v/>
      </c>
      <c r="LZ16">
        <f>IF($AN$16="",FALSE,SUMPRODUCT(('Final Calculation Sheet'!$E$4:$E$40=$AN$16)*($LY$6:$LY$42=1))&gt;0)</f>
        <v/>
      </c>
      <c r="MA16">
        <f>$MA$15+--($LZ16)</f>
        <v/>
      </c>
      <c r="MB16">
        <f>IF(ROW()-3&gt;MAX($MA$4:$MA$40),"",INDEX($AN$4:$AN$40,MATCH(ROW()-3,$MA$4:$MA$40,0)))</f>
        <v/>
      </c>
      <c r="MC16">
        <f>IF(COUNTIF('Buyer Groups'!DG16:DL16,0)+COUNTIF('Buyer Groups'!DN16:EN16,0)&gt;0,0,1)</f>
        <v/>
      </c>
      <c r="MD16">
        <f>IF($AS$16="",FALSE,SUMPRODUCT(('Final Calculation Sheet'!$C$4:$C$40=$AS$16)*($MC$6:$MC$42=1))&gt;0)</f>
        <v/>
      </c>
      <c r="ME16">
        <f>$ME$15+--($MD16)</f>
        <v/>
      </c>
      <c r="MF16">
        <f>IF(ROW()-3&gt;MAX($ME$4:$ME$40),"",INDEX($AS$4:$AS$40,MATCH(ROW()-3,$ME$4:$ME$40,0)))</f>
        <v/>
      </c>
      <c r="MG16">
        <f>IF(COUNTIF('Buyer Groups'!DG16:DM16,0)+COUNTIF('Buyer Groups'!DO16:EN16,0)&gt;0,0,1)</f>
        <v/>
      </c>
      <c r="MH16">
        <f>IF($AX$16="",FALSE,SUMPRODUCT(('Final Calculation Sheet'!$H$4:$H$40=$AX$16)*($MG$6:$MG$42=1))&gt;0)</f>
        <v/>
      </c>
      <c r="MI16">
        <f>$MI$15+--($MH16)</f>
        <v/>
      </c>
      <c r="MJ16">
        <f>IF(ROW()-3&gt;MAX($MI$4:$MI$40),"",INDEX($AX$4:$AX$40,MATCH(ROW()-3,$MI$4:$MI$40,0)))</f>
        <v/>
      </c>
      <c r="MK16">
        <f>IF(COUNTIF('Buyer Groups'!DG16:DN16,0)+COUNTIF('Buyer Groups'!DP16:EN16,0)&gt;0,0,1)</f>
        <v/>
      </c>
      <c r="ML16">
        <f>IF($BC$16="",FALSE,SUMPRODUCT(('Final Calculation Sheet'!$I$4:$I$40=$BC$16)*($MK$6:$MK$42=1))&gt;0)</f>
        <v/>
      </c>
      <c r="MM16">
        <f>$MM$15+--($ML16)</f>
        <v/>
      </c>
      <c r="MN16">
        <f>IF(ROW()-3&gt;MAX($MM$4:$MM$40),"",INDEX($BC$4:$BC$40,MATCH(ROW()-3,$MM$4:$MM$40,0)))</f>
        <v/>
      </c>
      <c r="MO16">
        <f>IF(COUNTIF('Buyer Groups'!DG16:DO16,0)+COUNTIF('Buyer Groups'!DQ16:EN16,0)&gt;0,0,1)</f>
        <v/>
      </c>
      <c r="MP16">
        <f>IF($BH$16="",FALSE,SUMPRODUCT(('Final Calculation Sheet'!$J$4:$J$40=$BH$16)*($MO$6:$MO$42=1))&gt;0)</f>
        <v/>
      </c>
      <c r="MQ16">
        <f>$MQ$15+--($MP16)</f>
        <v/>
      </c>
      <c r="MR16">
        <f>IF(ROW()-3&gt;MAX($MQ$4:$MQ$40),"",INDEX($BH$4:$BH$40,MATCH(ROW()-3,$MQ$4:$MQ$40,0)))</f>
        <v/>
      </c>
      <c r="MS16">
        <f>IF(COUNTIF('Buyer Groups'!DG16:DP16,0)+COUNTIF('Buyer Groups'!DR16:EN16,0)&gt;0,0,1)</f>
        <v/>
      </c>
      <c r="MT16">
        <f>IF($BM$16="",FALSE,SUMPRODUCT(('Final Calculation Sheet'!$K$4:$K$40=$BM$16)*($MS$6:$MS$42=1))&gt;0)</f>
        <v/>
      </c>
      <c r="MU16">
        <f>$MU$15+--($MT16)</f>
        <v/>
      </c>
      <c r="MV16">
        <f>IF(ROW()-3&gt;MAX($MU$4:$MU$40),"",INDEX($BM$4:$BM$40,MATCH(ROW()-3,$MU$4:$MU$40,0)))</f>
        <v/>
      </c>
      <c r="MW16">
        <f>IF(COUNTIF('Buyer Groups'!DG16:DQ16,0)+COUNTIF('Buyer Groups'!DS16:EN16,0)&gt;0,0,1)</f>
        <v/>
      </c>
      <c r="MX16">
        <f>IF($BR$16="",FALSE,SUMPRODUCT(('Final Calculation Sheet'!$L$4:$L$40=$BR$16)*($MW$6:$MW$42=1))&gt;0)</f>
        <v/>
      </c>
      <c r="MY16">
        <f>$MY$15+--($MX16)</f>
        <v/>
      </c>
      <c r="MZ16">
        <f>IF(ROW()-3&gt;MAX($MY$4:$MY$40),"",INDEX($BR$4:$BR$40,MATCH(ROW()-3,$MY$4:$MY$40,0)))</f>
        <v/>
      </c>
      <c r="NA16">
        <f>IF(COUNTIF('Buyer Groups'!DG16:DR16,0)+COUNTIF('Buyer Groups'!DT16:EN16,0)&gt;0,0,1)</f>
        <v/>
      </c>
      <c r="NB16">
        <f>IF($BW$16="",FALSE,SUMPRODUCT(('Final Calculation Sheet'!$M$4:$M$40=$BW$16)*($NA$6:$NA$42=1))&gt;0)</f>
        <v/>
      </c>
      <c r="NC16">
        <f>$NC$15+--($NB16)</f>
        <v/>
      </c>
      <c r="ND16">
        <f>IF(ROW()-3&gt;MAX($NC$4:$NC$40),"",INDEX($BW$4:$BW$40,MATCH(ROW()-3,$NC$4:$NC$40,0)))</f>
        <v/>
      </c>
      <c r="NE16">
        <f>IF(COUNTIF('Buyer Groups'!DG16:DS16,0)+COUNTIF('Buyer Groups'!DU16:EN16,0)&gt;0,0,1)</f>
        <v/>
      </c>
      <c r="NF16">
        <f>IF($CB$16="",FALSE,SUMPRODUCT(('Final Calculation Sheet'!$N$4:$N$40=$CB$16)*($NE$6:$NE$42=1))&gt;0)</f>
        <v/>
      </c>
      <c r="NG16">
        <f>$NG$15+--($NF16)</f>
        <v/>
      </c>
      <c r="NH16">
        <f>IF(ROW()-3&gt;MAX($NG$4:$NG$40),"",INDEX($CB$4:$CB$40,MATCH(ROW()-3,$NG$4:$NG$40,0)))</f>
        <v/>
      </c>
      <c r="NI16">
        <f>IF(COUNTIF('Buyer Groups'!DG16:DT16,0)+COUNTIF('Buyer Groups'!DV16:EN16,0)&gt;0,0,1)</f>
        <v/>
      </c>
      <c r="NJ16">
        <f>IF($CG$16="",FALSE,SUMPRODUCT(('Final Calculation Sheet'!$O$4:$O$40=$CG$16)*($NI$6:$NI$42=1))&gt;0)</f>
        <v/>
      </c>
      <c r="NK16">
        <f>$NK$15+--($NJ16)</f>
        <v/>
      </c>
      <c r="NL16">
        <f>IF(ROW()-3&gt;MAX($NK$4:$NK$40),"",INDEX($CG$4:$CG$40,MATCH(ROW()-3,$NK$4:$NK$40,0)))</f>
        <v/>
      </c>
      <c r="NM16">
        <f>IF(COUNTIF('Buyer Groups'!DG16:DU16,0)+COUNTIF('Buyer Groups'!DW16:EN16,0)&gt;0,0,1)</f>
        <v/>
      </c>
      <c r="NN16">
        <f>IF($CL$16="",FALSE,SUMPRODUCT(('Final Calculation Sheet'!$P$4:$P$40=$CL$16)*($NM$6:$NM$42=1))&gt;0)</f>
        <v/>
      </c>
      <c r="NO16">
        <f>$NO$15+--($NN16)</f>
        <v/>
      </c>
      <c r="NP16">
        <f>IF(ROW()-3&gt;MAX($NO$4:$NO$40),"",INDEX($CL$4:$CL$40,MATCH(ROW()-3,$NO$4:$NO$40,0)))</f>
        <v/>
      </c>
      <c r="NQ16">
        <f>IF(COUNTIF('Buyer Groups'!DG16:DV16,0)+COUNTIF('Buyer Groups'!DX16:EN16,0)&gt;0,0,1)</f>
        <v/>
      </c>
      <c r="NR16">
        <f>IF($CQ$16="",FALSE,SUMPRODUCT(('Final Calculation Sheet'!$Q$4:$Q$40=$CQ$16)*($NQ$6:$NQ$42=1))&gt;0)</f>
        <v/>
      </c>
      <c r="NS16">
        <f>$NS$15+--($NR16)</f>
        <v/>
      </c>
      <c r="NT16">
        <f>IF(ROW()-3&gt;MAX($NS$4:$NS$40),"",INDEX($CQ$4:$CQ$40,MATCH(ROW()-3,$NS$4:$NS$40,0)))</f>
        <v/>
      </c>
      <c r="NU16">
        <f>IF(COUNTIF('Buyer Groups'!DG16:DW16,0)+COUNTIF('Buyer Groups'!DY16:EN16,0)&gt;0,0,1)</f>
        <v/>
      </c>
      <c r="NV16">
        <f>IF($CV$16="",FALSE,SUMPRODUCT(('Final Calculation Sheet'!$R$4:$R$40=$CV$16)*($NU$6:$NU$42=1))&gt;0)</f>
        <v/>
      </c>
      <c r="NW16">
        <f>$NW$15+--($NV16)</f>
        <v/>
      </c>
      <c r="NX16">
        <f>IF(ROW()-3&gt;MAX($NW$4:$NW$40),"",INDEX($CV$4:$CV$40,MATCH(ROW()-3,$NW$4:$NW$40,0)))</f>
        <v/>
      </c>
      <c r="NY16">
        <f>IF(COUNTIF('Buyer Groups'!DG16:DX16,0)+COUNTIF('Buyer Groups'!DZ16:EN16,0)&gt;0,0,1)</f>
        <v/>
      </c>
      <c r="NZ16">
        <f>IF($DA$16="",FALSE,SUMPRODUCT(('Final Calculation Sheet'!$S$4:$S$40=$DA$16)*($NY$6:$NY$42=1))&gt;0)</f>
        <v/>
      </c>
      <c r="OA16">
        <f>$OA$15+--($NZ16)</f>
        <v/>
      </c>
      <c r="OB16">
        <f>IF(ROW()-3&gt;MAX($OA$4:$OA$40),"",INDEX($DA$4:$DA$40,MATCH(ROW()-3,$OA$4:$OA$40,0)))</f>
        <v/>
      </c>
      <c r="OC16">
        <f>IF(COUNTIF('Buyer Groups'!DG16:DY16,0)+COUNTIF('Buyer Groups'!EA16:EN16,0)&gt;0,0,1)</f>
        <v/>
      </c>
      <c r="OD16">
        <f>IF($DF$16="",FALSE,SUMPRODUCT(('Final Calculation Sheet'!$T$4:$T$40=$DF$16)*($OC$6:$OC$42=1))&gt;0)</f>
        <v/>
      </c>
      <c r="OE16">
        <f>$OE$15+--($OD16)</f>
        <v/>
      </c>
      <c r="OF16">
        <f>IF(ROW()-3&gt;MAX($OE$4:$OE$40),"",INDEX($DF$4:$DF$40,MATCH(ROW()-3,$OE$4:$OE$40,0)))</f>
        <v/>
      </c>
      <c r="OG16">
        <f>IF(COUNTIF('Buyer Groups'!DG16:DZ16,0)+COUNTIF('Buyer Groups'!EB16:EN16,0)&gt;0,0,1)</f>
        <v/>
      </c>
      <c r="OH16">
        <f>IF($DK$16="",FALSE,SUMPRODUCT(('Final Calculation Sheet'!$U$4:$U$40=$DK$16)*($OG$6:$OG$42=1))&gt;0)</f>
        <v/>
      </c>
      <c r="OI16">
        <f>$OI$15+--($OH16)</f>
        <v/>
      </c>
      <c r="OJ16">
        <f>IF(ROW()-3&gt;MAX($OI$4:$OI$40),"",INDEX($DK$4:$DK$40,MATCH(ROW()-3,$OI$4:$OI$40,0)))</f>
        <v/>
      </c>
      <c r="OK16">
        <f>IF(COUNTIF('Buyer Groups'!DG16:EA16,0)+COUNTIF('Buyer Groups'!EC16:EN16,0)&gt;0,0,1)</f>
        <v/>
      </c>
      <c r="OL16">
        <f>IF($DP$16="",FALSE,SUMPRODUCT(('Final Calculation Sheet'!$V$4:$V$40=$DP$16)*($OK$6:$OK$42=1))&gt;0)</f>
        <v/>
      </c>
      <c r="OM16">
        <f>$OM$15+--($OL16)</f>
        <v/>
      </c>
      <c r="ON16">
        <f>IF(ROW()-3&gt;MAX($OM$4:$OM$40),"",INDEX($DP$4:$DP$40,MATCH(ROW()-3,$OM$4:$OM$40,0)))</f>
        <v/>
      </c>
      <c r="OO16">
        <f>IF(COUNTIF('Buyer Groups'!DG16:EB16,0)+COUNTIF('Buyer Groups'!ED16:EN16,0)&gt;0,0,1)</f>
        <v/>
      </c>
      <c r="OP16">
        <f>IF($DU$16="",FALSE,SUMPRODUCT(('Final Calculation Sheet'!$W$4:$W$40=$DU$16)*($OO$6:$OO$42=1))&gt;0)</f>
        <v/>
      </c>
      <c r="OQ16">
        <f>$OQ$15+--($OP16)</f>
        <v/>
      </c>
      <c r="OR16">
        <f>IF(ROW()-3&gt;MAX($OQ$4:$OQ$40),"",INDEX($DU$4:$DU$40,MATCH(ROW()-3,$OQ$4:$OQ$40,0)))</f>
        <v/>
      </c>
      <c r="OS16">
        <f>IF(COUNTIF('Buyer Groups'!DG16:EC16,0)+COUNTIF('Buyer Groups'!EE16:EN16,0)&gt;0,0,1)</f>
        <v/>
      </c>
      <c r="OT16">
        <f>IF($DZ$16="",FALSE,SUMPRODUCT(('Final Calculation Sheet'!$X$4:$X$40=$DZ$16)*($OS$6:$OS$42=1))&gt;0)</f>
        <v/>
      </c>
      <c r="OU16">
        <f>$OU$15+--($OT16)</f>
        <v/>
      </c>
      <c r="OV16">
        <f>IF(ROW()-3&gt;MAX($OU$4:$OU$40),"",INDEX($DZ$4:$DZ$40,MATCH(ROW()-3,$OU$4:$OU$40,0)))</f>
        <v/>
      </c>
      <c r="OW16">
        <f>IF(COUNTIF('Buyer Groups'!DG16:ED16,0)+COUNTIF('Buyer Groups'!EF16:EN16,0)&gt;0,0,1)</f>
        <v/>
      </c>
      <c r="OX16">
        <f>IF($EE$16="",FALSE,SUMPRODUCT(('Final Calculation Sheet'!$Y$4:$Y$40=$EE$16)*($OW$6:$OW$42=1))&gt;0)</f>
        <v/>
      </c>
      <c r="OY16">
        <f>$OY$15+--($OX16)</f>
        <v/>
      </c>
      <c r="OZ16">
        <f>IF(ROW()-3&gt;MAX($OY$4:$OY$40),"",INDEX($EE$4:$EE$40,MATCH(ROW()-3,$OY$4:$OY$40,0)))</f>
        <v/>
      </c>
      <c r="PA16">
        <f>IF(COUNTIF('Buyer Groups'!DG16:EE16,0)+COUNTIF('Buyer Groups'!EG16:EN16,0)&gt;0,0,1)</f>
        <v/>
      </c>
      <c r="PB16">
        <f>IF($EJ$16="",FALSE,SUMPRODUCT(('Final Calculation Sheet'!$Z$4:$Z$40=$EJ$16)*($PA$6:$PA$42=1))&gt;0)</f>
        <v/>
      </c>
      <c r="PC16">
        <f>$PC$15+--($PB16)</f>
        <v/>
      </c>
      <c r="PD16">
        <f>IF(ROW()-3&gt;MAX($PC$4:$PC$40),"",INDEX($EJ$4:$EJ$40,MATCH(ROW()-3,$PC$4:$PC$40,0)))</f>
        <v/>
      </c>
      <c r="PE16">
        <f>IF(COUNTIF('Buyer Groups'!DG16:EF16,0)+COUNTIF('Buyer Groups'!EH16:EN16,0)&gt;0,0,1)</f>
        <v/>
      </c>
      <c r="PF16">
        <f>IF($EO$16="",FALSE,SUMPRODUCT(('Final Calculation Sheet'!$AA$4:$AA$40=$EO$16)*($PE$6:$PE$42=1))&gt;0)</f>
        <v/>
      </c>
      <c r="PG16">
        <f>$PG$15+--($PF16)</f>
        <v/>
      </c>
      <c r="PH16">
        <f>IF(ROW()-3&gt;MAX($PG$4:$PG$40),"",INDEX($EO$4:$EO$40,MATCH(ROW()-3,$PG$4:$PG$40,0)))</f>
        <v/>
      </c>
      <c r="PI16">
        <f>IF(COUNTIF('Buyer Groups'!DG16:EG16,0)+COUNTIF('Buyer Groups'!EI16:EN16,0)&gt;0,0,1)</f>
        <v/>
      </c>
      <c r="PJ16">
        <f>IF($ET$16="",FALSE,SUMPRODUCT(('Final Calculation Sheet'!$AB$4:$AB$40=$ET$16)*($PI$6:$PI$42=1))&gt;0)</f>
        <v/>
      </c>
      <c r="PK16">
        <f>$PK$15+--($PJ16)</f>
        <v/>
      </c>
      <c r="PL16">
        <f>IF(ROW()-3&gt;MAX($PK$4:$PK$40),"",INDEX($ET$4:$ET$40,MATCH(ROW()-3,$PK$4:$PK$40,0)))</f>
        <v/>
      </c>
      <c r="PM16">
        <f>IF(COUNTIF('Buyer Groups'!DG16:EH16,0)+COUNTIF('Buyer Groups'!EJ16:EN16,0)&gt;0,0,1)</f>
        <v/>
      </c>
      <c r="PN16">
        <f>IF($EY$16="",FALSE,SUMPRODUCT(('Final Calculation Sheet'!$AC$4:$AC$40=$EY$16)*($PM$6:$PM$42=1))&gt;0)</f>
        <v/>
      </c>
      <c r="PO16">
        <f>$PO$15+--($PN16)</f>
        <v/>
      </c>
      <c r="PP16">
        <f>IF(ROW()-3&gt;MAX($PO$4:$PO$40),"",INDEX($EY$4:$EY$40,MATCH(ROW()-3,$PO$4:$PO$40,0)))</f>
        <v/>
      </c>
      <c r="PQ16">
        <f>IF(COUNTIF('Buyer Groups'!DG16:EI16,0)+COUNTIF('Buyer Groups'!EK16:EN16,0)&gt;0,0,1)</f>
        <v/>
      </c>
      <c r="PR16">
        <f>IF($FD$16="",FALSE,SUMPRODUCT(('Final Calculation Sheet'!$AD$4:$AD$40=$FD$16)*($PQ$6:$PQ$42=1))&gt;0)</f>
        <v/>
      </c>
      <c r="PS16">
        <f>$PS$15+--($PR16)</f>
        <v/>
      </c>
      <c r="PT16">
        <f>IF(ROW()-3&gt;MAX($PS$4:$PS$40),"",INDEX($FD$4:$FD$40,MATCH(ROW()-3,$PS$4:$PS$40,0)))</f>
        <v/>
      </c>
      <c r="PU16">
        <f>IF(COUNTIF('Buyer Groups'!DG16:EJ16,0)+COUNTIF('Buyer Groups'!EL16:EN16,0)&gt;0,0,1)</f>
        <v/>
      </c>
      <c r="PV16">
        <f>IF($FX$16="",FALSE,SUMPRODUCT((IF('Final Calculation Sheet'!$AD$4:$AD$40&lt;=5,"SETTLED","OUTSTANDING")=$FX$16)*($PU$6:$PU$42=1))&gt;0)</f>
        <v/>
      </c>
      <c r="PW16">
        <f>$PW$15+--($PV16)</f>
        <v/>
      </c>
      <c r="PX16">
        <f>IF(ROW()-3&gt;MAX($PW$4:$PW$40),"",INDEX($FX$4:$FX$40,MATCH(ROW()-3,$PW$4:$PW$40,0)))</f>
        <v/>
      </c>
      <c r="PY16">
        <f>IF(COUNTIF('Buyer Groups'!DG16:EK16,0)+COUNTIF('Buyer Groups'!EM16:EN16,0)&gt;0,0,1)</f>
        <v/>
      </c>
      <c r="PZ16">
        <f>IF($FI$16="",FALSE,SUMPRODUCT(('Final Calculation Sheet'!$AF$4:$AF$40=$FI$16)*($PY$6:$PY$42=1))&gt;0)</f>
        <v/>
      </c>
      <c r="QA16">
        <f>$QA$15+--($PZ16)</f>
        <v/>
      </c>
      <c r="QB16">
        <f>IF(ROW()-3&gt;MAX($QA$4:$QA$40),"",INDEX($FI$4:$FI$40,MATCH(ROW()-3,$QA$4:$QA$40,0)))</f>
        <v/>
      </c>
      <c r="QC16">
        <f>IF(COUNTIF('Buyer Groups'!DG16:EL16,0)+COUNTIF('Buyer Groups'!EN16:EN16,0)&gt;0,0,1)</f>
        <v/>
      </c>
      <c r="QD16">
        <f>IF($FN$16="",FALSE,SUMPRODUCT(('Final Calculation Sheet'!$AG$4:$AG$40=$FN$16)*($QC$6:$QC$42=1))&gt;0)</f>
        <v/>
      </c>
      <c r="QE16">
        <f>$QE$15+--($QD16)</f>
        <v/>
      </c>
      <c r="QF16">
        <f>IF(ROW()-3&gt;MAX($QE$4:$QE$40),"",INDEX($FN$4:$FN$40,MATCH(ROW()-3,$QE$4:$QE$40,0)))</f>
        <v/>
      </c>
      <c r="QG16">
        <f>IF(COUNTIF('Buyer Groups'!DG16:EM16,0)&gt;0,0,1)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Groups'!DH17:EN17,0)&gt;0,0,1)</f>
        <v/>
      </c>
      <c r="LF17">
        <f>IF($O$17="",FALSE,SUMPRODUCT(('Final Calculation Sheet'!$F$4:$F$40=$O$17)*($LE$6:$LE$42=1))&gt;0)</f>
        <v/>
      </c>
      <c r="LG17">
        <f>$LG$16+--($LF17)</f>
        <v/>
      </c>
      <c r="LH17">
        <f>IF(ROW()-3&gt;MAX($LG$4:$LG$40),"",INDEX($O$4:$O$40,MATCH(ROW()-3,$LG$4:$LG$40,0)))</f>
        <v/>
      </c>
      <c r="LI17">
        <f>IF(COUNTIF('Buyer Groups'!DG17:DG17,0)+COUNTIF('Buyer Groups'!DI17:EN17,0)&gt;0,0,1)</f>
        <v/>
      </c>
      <c r="LJ17">
        <f>IF($T$17="",FALSE,SUMPRODUCT(('Final Calculation Sheet'!$G$4:$G$40=$T$17)*($LI$6:$LI$42=1))&gt;0)</f>
        <v/>
      </c>
      <c r="LK17">
        <f>$LK$16+--($LJ17)</f>
        <v/>
      </c>
      <c r="LL17">
        <f>IF(ROW()-3&gt;MAX($LK$4:$LK$40),"",INDEX($T$4:$T$40,MATCH(ROW()-3,$LK$4:$LK$40,0)))</f>
        <v/>
      </c>
      <c r="LM17">
        <f>IF(COUNTIF('Buyer Groups'!DG17:DH17,0)+COUNTIF('Buyer Groups'!DJ17:EN17,0)&gt;0,0,1)</f>
        <v/>
      </c>
      <c r="LN17">
        <f>IF($Y$17="",FALSE,SUMPRODUCT(('Final Calculation Sheet'!$B$4:$B$40=$Y$17)*($LM$6:$LM$42=1))&gt;0)</f>
        <v/>
      </c>
      <c r="LO17">
        <f>$LO$16+--($LN17)</f>
        <v/>
      </c>
      <c r="LP17">
        <f>IF(ROW()-3&gt;MAX($LO$4:$LO$40),"",INDEX($Y$4:$Y$40,MATCH(ROW()-3,$LO$4:$LO$40,0)))</f>
        <v/>
      </c>
      <c r="LQ17">
        <f>IF(COUNTIF('Buyer Groups'!DG17:DI17,0)+COUNTIF('Buyer Groups'!DK17:EN17,0)&gt;0,0,1)</f>
        <v/>
      </c>
      <c r="LR17">
        <f>IF($AD$17="",FALSE,SUMPRODUCT(('Final Calculation Sheet'!$D$4:$D$40=$AD$17)*($LQ$6:$LQ$42=1))&gt;0)</f>
        <v/>
      </c>
      <c r="LS17">
        <f>$LS$16+--($LR17)</f>
        <v/>
      </c>
      <c r="LT17">
        <f>IF(ROW()-3&gt;MAX($LS$4:$LS$40),"",INDEX($AD$4:$AD$40,MATCH(ROW()-3,$LS$4:$LS$40,0)))</f>
        <v/>
      </c>
      <c r="LU17">
        <f>IF(COUNTIF('Buyer Groups'!DG17:DJ17,0)+COUNTIF('Buyer Groups'!DL17:EN17,0)&gt;0,0,1)</f>
        <v/>
      </c>
      <c r="LV17">
        <f>IF($AI$17="",FALSE,SUMPRODUCT(('Final Calculation Sheet'!$A$4:$A$40=$AI$17)*($LU$6:$LU$42=1))&gt;0)</f>
        <v/>
      </c>
      <c r="LW17">
        <f>$LW$16+--($LV17)</f>
        <v/>
      </c>
      <c r="LX17">
        <f>IF(ROW()-3&gt;MAX($LW$4:$LW$40),"",INDEX($AI$4:$AI$40,MATCH(ROW()-3,$LW$4:$LW$40,0)))</f>
        <v/>
      </c>
      <c r="LY17">
        <f>IF(COUNTIF('Buyer Groups'!DG17:DK17,0)+COUNTIF('Buyer Groups'!DM17:EN17,0)&gt;0,0,1)</f>
        <v/>
      </c>
      <c r="LZ17">
        <f>IF($AN$17="",FALSE,SUMPRODUCT(('Final Calculation Sheet'!$E$4:$E$40=$AN$17)*($LY$6:$LY$42=1))&gt;0)</f>
        <v/>
      </c>
      <c r="MA17">
        <f>$MA$16+--($LZ17)</f>
        <v/>
      </c>
      <c r="MB17">
        <f>IF(ROW()-3&gt;MAX($MA$4:$MA$40),"",INDEX($AN$4:$AN$40,MATCH(ROW()-3,$MA$4:$MA$40,0)))</f>
        <v/>
      </c>
      <c r="MC17">
        <f>IF(COUNTIF('Buyer Groups'!DG17:DL17,0)+COUNTIF('Buyer Groups'!DN17:EN17,0)&gt;0,0,1)</f>
        <v/>
      </c>
      <c r="MD17">
        <f>IF($AS$17="",FALSE,SUMPRODUCT(('Final Calculation Sheet'!$C$4:$C$40=$AS$17)*($MC$6:$MC$42=1))&gt;0)</f>
        <v/>
      </c>
      <c r="ME17">
        <f>$ME$16+--($MD17)</f>
        <v/>
      </c>
      <c r="MF17">
        <f>IF(ROW()-3&gt;MAX($ME$4:$ME$40),"",INDEX($AS$4:$AS$40,MATCH(ROW()-3,$ME$4:$ME$40,0)))</f>
        <v/>
      </c>
      <c r="MG17">
        <f>IF(COUNTIF('Buyer Groups'!DG17:DM17,0)+COUNTIF('Buyer Groups'!DO17:EN17,0)&gt;0,0,1)</f>
        <v/>
      </c>
      <c r="MH17">
        <f>IF($AX$17="",FALSE,SUMPRODUCT(('Final Calculation Sheet'!$H$4:$H$40=$AX$17)*($MG$6:$MG$42=1))&gt;0)</f>
        <v/>
      </c>
      <c r="MI17">
        <f>$MI$16+--($MH17)</f>
        <v/>
      </c>
      <c r="MJ17">
        <f>IF(ROW()-3&gt;MAX($MI$4:$MI$40),"",INDEX($AX$4:$AX$40,MATCH(ROW()-3,$MI$4:$MI$40,0)))</f>
        <v/>
      </c>
      <c r="MK17">
        <f>IF(COUNTIF('Buyer Groups'!DG17:DN17,0)+COUNTIF('Buyer Groups'!DP17:EN17,0)&gt;0,0,1)</f>
        <v/>
      </c>
      <c r="ML17">
        <f>IF($BC$17="",FALSE,SUMPRODUCT(('Final Calculation Sheet'!$I$4:$I$40=$BC$17)*($MK$6:$MK$42=1))&gt;0)</f>
        <v/>
      </c>
      <c r="MM17">
        <f>$MM$16+--($ML17)</f>
        <v/>
      </c>
      <c r="MN17">
        <f>IF(ROW()-3&gt;MAX($MM$4:$MM$40),"",INDEX($BC$4:$BC$40,MATCH(ROW()-3,$MM$4:$MM$40,0)))</f>
        <v/>
      </c>
      <c r="MO17">
        <f>IF(COUNTIF('Buyer Groups'!DG17:DO17,0)+COUNTIF('Buyer Groups'!DQ17:EN17,0)&gt;0,0,1)</f>
        <v/>
      </c>
      <c r="MP17">
        <f>IF($BH$17="",FALSE,SUMPRODUCT(('Final Calculation Sheet'!$J$4:$J$40=$BH$17)*($MO$6:$MO$42=1))&gt;0)</f>
        <v/>
      </c>
      <c r="MQ17">
        <f>$MQ$16+--($MP17)</f>
        <v/>
      </c>
      <c r="MR17">
        <f>IF(ROW()-3&gt;MAX($MQ$4:$MQ$40),"",INDEX($BH$4:$BH$40,MATCH(ROW()-3,$MQ$4:$MQ$40,0)))</f>
        <v/>
      </c>
      <c r="MS17">
        <f>IF(COUNTIF('Buyer Groups'!DG17:DP17,0)+COUNTIF('Buyer Groups'!DR17:EN17,0)&gt;0,0,1)</f>
        <v/>
      </c>
      <c r="MT17">
        <f>IF($BM$17="",FALSE,SUMPRODUCT(('Final Calculation Sheet'!$K$4:$K$40=$BM$17)*($MS$6:$MS$42=1))&gt;0)</f>
        <v/>
      </c>
      <c r="MU17">
        <f>$MU$16+--($MT17)</f>
        <v/>
      </c>
      <c r="MV17">
        <f>IF(ROW()-3&gt;MAX($MU$4:$MU$40),"",INDEX($BM$4:$BM$40,MATCH(ROW()-3,$MU$4:$MU$40,0)))</f>
        <v/>
      </c>
      <c r="MW17">
        <f>IF(COUNTIF('Buyer Groups'!DG17:DQ17,0)+COUNTIF('Buyer Groups'!DS17:EN17,0)&gt;0,0,1)</f>
        <v/>
      </c>
      <c r="MX17">
        <f>IF($BR$17="",FALSE,SUMPRODUCT(('Final Calculation Sheet'!$L$4:$L$40=$BR$17)*($MW$6:$MW$42=1))&gt;0)</f>
        <v/>
      </c>
      <c r="MY17">
        <f>$MY$16+--($MX17)</f>
        <v/>
      </c>
      <c r="MZ17">
        <f>IF(ROW()-3&gt;MAX($MY$4:$MY$40),"",INDEX($BR$4:$BR$40,MATCH(ROW()-3,$MY$4:$MY$40,0)))</f>
        <v/>
      </c>
      <c r="NA17">
        <f>IF(COUNTIF('Buyer Groups'!DG17:DR17,0)+COUNTIF('Buyer Groups'!DT17:EN17,0)&gt;0,0,1)</f>
        <v/>
      </c>
      <c r="NB17">
        <f>IF($BW$17="",FALSE,SUMPRODUCT(('Final Calculation Sheet'!$M$4:$M$40=$BW$17)*($NA$6:$NA$42=1))&gt;0)</f>
        <v/>
      </c>
      <c r="NC17">
        <f>$NC$16+--($NB17)</f>
        <v/>
      </c>
      <c r="ND17">
        <f>IF(ROW()-3&gt;MAX($NC$4:$NC$40),"",INDEX($BW$4:$BW$40,MATCH(ROW()-3,$NC$4:$NC$40,0)))</f>
        <v/>
      </c>
      <c r="NE17">
        <f>IF(COUNTIF('Buyer Groups'!DG17:DS17,0)+COUNTIF('Buyer Groups'!DU17:EN17,0)&gt;0,0,1)</f>
        <v/>
      </c>
      <c r="NF17">
        <f>IF($CB$17="",FALSE,SUMPRODUCT(('Final Calculation Sheet'!$N$4:$N$40=$CB$17)*($NE$6:$NE$42=1))&gt;0)</f>
        <v/>
      </c>
      <c r="NG17">
        <f>$NG$16+--($NF17)</f>
        <v/>
      </c>
      <c r="NH17">
        <f>IF(ROW()-3&gt;MAX($NG$4:$NG$40),"",INDEX($CB$4:$CB$40,MATCH(ROW()-3,$NG$4:$NG$40,0)))</f>
        <v/>
      </c>
      <c r="NI17">
        <f>IF(COUNTIF('Buyer Groups'!DG17:DT17,0)+COUNTIF('Buyer Groups'!DV17:EN17,0)&gt;0,0,1)</f>
        <v/>
      </c>
      <c r="NJ17">
        <f>IF($CG$17="",FALSE,SUMPRODUCT(('Final Calculation Sheet'!$O$4:$O$40=$CG$17)*($NI$6:$NI$42=1))&gt;0)</f>
        <v/>
      </c>
      <c r="NK17">
        <f>$NK$16+--($NJ17)</f>
        <v/>
      </c>
      <c r="NL17">
        <f>IF(ROW()-3&gt;MAX($NK$4:$NK$40),"",INDEX($CG$4:$CG$40,MATCH(ROW()-3,$NK$4:$NK$40,0)))</f>
        <v/>
      </c>
      <c r="NM17">
        <f>IF(COUNTIF('Buyer Groups'!DG17:DU17,0)+COUNTIF('Buyer Groups'!DW17:EN17,0)&gt;0,0,1)</f>
        <v/>
      </c>
      <c r="NN17">
        <f>IF($CL$17="",FALSE,SUMPRODUCT(('Final Calculation Sheet'!$P$4:$P$40=$CL$17)*($NM$6:$NM$42=1))&gt;0)</f>
        <v/>
      </c>
      <c r="NO17">
        <f>$NO$16+--($NN17)</f>
        <v/>
      </c>
      <c r="NP17">
        <f>IF(ROW()-3&gt;MAX($NO$4:$NO$40),"",INDEX($CL$4:$CL$40,MATCH(ROW()-3,$NO$4:$NO$40,0)))</f>
        <v/>
      </c>
      <c r="NQ17">
        <f>IF(COUNTIF('Buyer Groups'!DG17:DV17,0)+COUNTIF('Buyer Groups'!DX17:EN17,0)&gt;0,0,1)</f>
        <v/>
      </c>
      <c r="NR17">
        <f>IF($CQ$17="",FALSE,SUMPRODUCT(('Final Calculation Sheet'!$Q$4:$Q$40=$CQ$17)*($NQ$6:$NQ$42=1))&gt;0)</f>
        <v/>
      </c>
      <c r="NS17">
        <f>$NS$16+--($NR17)</f>
        <v/>
      </c>
      <c r="NT17">
        <f>IF(ROW()-3&gt;MAX($NS$4:$NS$40),"",INDEX($CQ$4:$CQ$40,MATCH(ROW()-3,$NS$4:$NS$40,0)))</f>
        <v/>
      </c>
      <c r="NU17">
        <f>IF(COUNTIF('Buyer Groups'!DG17:DW17,0)+COUNTIF('Buyer Groups'!DY17:EN17,0)&gt;0,0,1)</f>
        <v/>
      </c>
      <c r="NV17">
        <f>IF($CV$17="",FALSE,SUMPRODUCT(('Final Calculation Sheet'!$R$4:$R$40=$CV$17)*($NU$6:$NU$42=1))&gt;0)</f>
        <v/>
      </c>
      <c r="NW17">
        <f>$NW$16+--($NV17)</f>
        <v/>
      </c>
      <c r="NX17">
        <f>IF(ROW()-3&gt;MAX($NW$4:$NW$40),"",INDEX($CV$4:$CV$40,MATCH(ROW()-3,$NW$4:$NW$40,0)))</f>
        <v/>
      </c>
      <c r="NY17">
        <f>IF(COUNTIF('Buyer Groups'!DG17:DX17,0)+COUNTIF('Buyer Groups'!DZ17:EN17,0)&gt;0,0,1)</f>
        <v/>
      </c>
      <c r="NZ17">
        <f>IF($DA$17="",FALSE,SUMPRODUCT(('Final Calculation Sheet'!$S$4:$S$40=$DA$17)*($NY$6:$NY$42=1))&gt;0)</f>
        <v/>
      </c>
      <c r="OA17">
        <f>$OA$16+--($NZ17)</f>
        <v/>
      </c>
      <c r="OB17">
        <f>IF(ROW()-3&gt;MAX($OA$4:$OA$40),"",INDEX($DA$4:$DA$40,MATCH(ROW()-3,$OA$4:$OA$40,0)))</f>
        <v/>
      </c>
      <c r="OC17">
        <f>IF(COUNTIF('Buyer Groups'!DG17:DY17,0)+COUNTIF('Buyer Groups'!EA17:EN17,0)&gt;0,0,1)</f>
        <v/>
      </c>
      <c r="OD17">
        <f>IF($DF$17="",FALSE,SUMPRODUCT(('Final Calculation Sheet'!$T$4:$T$40=$DF$17)*($OC$6:$OC$42=1))&gt;0)</f>
        <v/>
      </c>
      <c r="OE17">
        <f>$OE$16+--($OD17)</f>
        <v/>
      </c>
      <c r="OF17">
        <f>IF(ROW()-3&gt;MAX($OE$4:$OE$40),"",INDEX($DF$4:$DF$40,MATCH(ROW()-3,$OE$4:$OE$40,0)))</f>
        <v/>
      </c>
      <c r="OG17">
        <f>IF(COUNTIF('Buyer Groups'!DG17:DZ17,0)+COUNTIF('Buyer Groups'!EB17:EN17,0)&gt;0,0,1)</f>
        <v/>
      </c>
      <c r="OH17">
        <f>IF($DK$17="",FALSE,SUMPRODUCT(('Final Calculation Sheet'!$U$4:$U$40=$DK$17)*($OG$6:$OG$42=1))&gt;0)</f>
        <v/>
      </c>
      <c r="OI17">
        <f>$OI$16+--($OH17)</f>
        <v/>
      </c>
      <c r="OJ17">
        <f>IF(ROW()-3&gt;MAX($OI$4:$OI$40),"",INDEX($DK$4:$DK$40,MATCH(ROW()-3,$OI$4:$OI$40,0)))</f>
        <v/>
      </c>
      <c r="OK17">
        <f>IF(COUNTIF('Buyer Groups'!DG17:EA17,0)+COUNTIF('Buyer Groups'!EC17:EN17,0)&gt;0,0,1)</f>
        <v/>
      </c>
      <c r="OL17">
        <f>IF($DP$17="",FALSE,SUMPRODUCT(('Final Calculation Sheet'!$V$4:$V$40=$DP$17)*($OK$6:$OK$42=1))&gt;0)</f>
        <v/>
      </c>
      <c r="OM17">
        <f>$OM$16+--($OL17)</f>
        <v/>
      </c>
      <c r="ON17">
        <f>IF(ROW()-3&gt;MAX($OM$4:$OM$40),"",INDEX($DP$4:$DP$40,MATCH(ROW()-3,$OM$4:$OM$40,0)))</f>
        <v/>
      </c>
      <c r="OO17">
        <f>IF(COUNTIF('Buyer Groups'!DG17:EB17,0)+COUNTIF('Buyer Groups'!ED17:EN17,0)&gt;0,0,1)</f>
        <v/>
      </c>
      <c r="OP17">
        <f>IF($DU$17="",FALSE,SUMPRODUCT(('Final Calculation Sheet'!$W$4:$W$40=$DU$17)*($OO$6:$OO$42=1))&gt;0)</f>
        <v/>
      </c>
      <c r="OQ17">
        <f>$OQ$16+--($OP17)</f>
        <v/>
      </c>
      <c r="OR17">
        <f>IF(ROW()-3&gt;MAX($OQ$4:$OQ$40),"",INDEX($DU$4:$DU$40,MATCH(ROW()-3,$OQ$4:$OQ$40,0)))</f>
        <v/>
      </c>
      <c r="OS17">
        <f>IF(COUNTIF('Buyer Groups'!DG17:EC17,0)+COUNTIF('Buyer Groups'!EE17:EN17,0)&gt;0,0,1)</f>
        <v/>
      </c>
      <c r="OT17">
        <f>IF($DZ$17="",FALSE,SUMPRODUCT(('Final Calculation Sheet'!$X$4:$X$40=$DZ$17)*($OS$6:$OS$42=1))&gt;0)</f>
        <v/>
      </c>
      <c r="OU17">
        <f>$OU$16+--($OT17)</f>
        <v/>
      </c>
      <c r="OV17">
        <f>IF(ROW()-3&gt;MAX($OU$4:$OU$40),"",INDEX($DZ$4:$DZ$40,MATCH(ROW()-3,$OU$4:$OU$40,0)))</f>
        <v/>
      </c>
      <c r="OW17">
        <f>IF(COUNTIF('Buyer Groups'!DG17:ED17,0)+COUNTIF('Buyer Groups'!EF17:EN17,0)&gt;0,0,1)</f>
        <v/>
      </c>
      <c r="OX17">
        <f>IF($EE$17="",FALSE,SUMPRODUCT(('Final Calculation Sheet'!$Y$4:$Y$40=$EE$17)*($OW$6:$OW$42=1))&gt;0)</f>
        <v/>
      </c>
      <c r="OY17">
        <f>$OY$16+--($OX17)</f>
        <v/>
      </c>
      <c r="OZ17">
        <f>IF(ROW()-3&gt;MAX($OY$4:$OY$40),"",INDEX($EE$4:$EE$40,MATCH(ROW()-3,$OY$4:$OY$40,0)))</f>
        <v/>
      </c>
      <c r="PA17">
        <f>IF(COUNTIF('Buyer Groups'!DG17:EE17,0)+COUNTIF('Buyer Groups'!EG17:EN17,0)&gt;0,0,1)</f>
        <v/>
      </c>
      <c r="PB17">
        <f>IF($EJ$17="",FALSE,SUMPRODUCT(('Final Calculation Sheet'!$Z$4:$Z$40=$EJ$17)*($PA$6:$PA$42=1))&gt;0)</f>
        <v/>
      </c>
      <c r="PC17">
        <f>$PC$16+--($PB17)</f>
        <v/>
      </c>
      <c r="PD17">
        <f>IF(ROW()-3&gt;MAX($PC$4:$PC$40),"",INDEX($EJ$4:$EJ$40,MATCH(ROW()-3,$PC$4:$PC$40,0)))</f>
        <v/>
      </c>
      <c r="PE17">
        <f>IF(COUNTIF('Buyer Groups'!DG17:EF17,0)+COUNTIF('Buyer Groups'!EH17:EN17,0)&gt;0,0,1)</f>
        <v/>
      </c>
      <c r="PF17">
        <f>IF($EO$17="",FALSE,SUMPRODUCT(('Final Calculation Sheet'!$AA$4:$AA$40=$EO$17)*($PE$6:$PE$42=1))&gt;0)</f>
        <v/>
      </c>
      <c r="PG17">
        <f>$PG$16+--($PF17)</f>
        <v/>
      </c>
      <c r="PH17">
        <f>IF(ROW()-3&gt;MAX($PG$4:$PG$40),"",INDEX($EO$4:$EO$40,MATCH(ROW()-3,$PG$4:$PG$40,0)))</f>
        <v/>
      </c>
      <c r="PI17">
        <f>IF(COUNTIF('Buyer Groups'!DG17:EG17,0)+COUNTIF('Buyer Groups'!EI17:EN17,0)&gt;0,0,1)</f>
        <v/>
      </c>
      <c r="PJ17">
        <f>IF($ET$17="",FALSE,SUMPRODUCT(('Final Calculation Sheet'!$AB$4:$AB$40=$ET$17)*($PI$6:$PI$42=1))&gt;0)</f>
        <v/>
      </c>
      <c r="PK17">
        <f>$PK$16+--($PJ17)</f>
        <v/>
      </c>
      <c r="PL17">
        <f>IF(ROW()-3&gt;MAX($PK$4:$PK$40),"",INDEX($ET$4:$ET$40,MATCH(ROW()-3,$PK$4:$PK$40,0)))</f>
        <v/>
      </c>
      <c r="PM17">
        <f>IF(COUNTIF('Buyer Groups'!DG17:EH17,0)+COUNTIF('Buyer Groups'!EJ17:EN17,0)&gt;0,0,1)</f>
        <v/>
      </c>
      <c r="PN17">
        <f>IF($EY$17="",FALSE,SUMPRODUCT(('Final Calculation Sheet'!$AC$4:$AC$40=$EY$17)*($PM$6:$PM$42=1))&gt;0)</f>
        <v/>
      </c>
      <c r="PO17">
        <f>$PO$16+--($PN17)</f>
        <v/>
      </c>
      <c r="PP17">
        <f>IF(ROW()-3&gt;MAX($PO$4:$PO$40),"",INDEX($EY$4:$EY$40,MATCH(ROW()-3,$PO$4:$PO$40,0)))</f>
        <v/>
      </c>
      <c r="PQ17">
        <f>IF(COUNTIF('Buyer Groups'!DG17:EI17,0)+COUNTIF('Buyer Groups'!EK17:EN17,0)&gt;0,0,1)</f>
        <v/>
      </c>
      <c r="PR17">
        <f>IF($FD$17="",FALSE,SUMPRODUCT(('Final Calculation Sheet'!$AD$4:$AD$40=$FD$17)*($PQ$6:$PQ$42=1))&gt;0)</f>
        <v/>
      </c>
      <c r="PS17">
        <f>$PS$16+--($PR17)</f>
        <v/>
      </c>
      <c r="PT17">
        <f>IF(ROW()-3&gt;MAX($PS$4:$PS$40),"",INDEX($FD$4:$FD$40,MATCH(ROW()-3,$PS$4:$PS$40,0)))</f>
        <v/>
      </c>
      <c r="PU17">
        <f>IF(COUNTIF('Buyer Groups'!DG17:EJ17,0)+COUNTIF('Buyer Groups'!EL17:EN17,0)&gt;0,0,1)</f>
        <v/>
      </c>
      <c r="PV17">
        <f>IF($FX$17="",FALSE,SUMPRODUCT((IF('Final Calculation Sheet'!$AD$4:$AD$40&lt;=5,"SETTLED","OUTSTANDING")=$FX$17)*($PU$6:$PU$42=1))&gt;0)</f>
        <v/>
      </c>
      <c r="PW17">
        <f>$PW$16+--($PV17)</f>
        <v/>
      </c>
      <c r="PX17">
        <f>IF(ROW()-3&gt;MAX($PW$4:$PW$40),"",INDEX($FX$4:$FX$40,MATCH(ROW()-3,$PW$4:$PW$40,0)))</f>
        <v/>
      </c>
      <c r="PY17">
        <f>IF(COUNTIF('Buyer Groups'!DG17:EK17,0)+COUNTIF('Buyer Groups'!EM17:EN17,0)&gt;0,0,1)</f>
        <v/>
      </c>
      <c r="PZ17">
        <f>IF($FI$17="",FALSE,SUMPRODUCT(('Final Calculation Sheet'!$AF$4:$AF$40=$FI$17)*($PY$6:$PY$42=1))&gt;0)</f>
        <v/>
      </c>
      <c r="QA17">
        <f>$QA$16+--($PZ17)</f>
        <v/>
      </c>
      <c r="QB17">
        <f>IF(ROW()-3&gt;MAX($QA$4:$QA$40),"",INDEX($FI$4:$FI$40,MATCH(ROW()-3,$QA$4:$QA$40,0)))</f>
        <v/>
      </c>
      <c r="QC17">
        <f>IF(COUNTIF('Buyer Groups'!DG17:EL17,0)+COUNTIF('Buyer Groups'!EN17:EN17,0)&gt;0,0,1)</f>
        <v/>
      </c>
      <c r="QD17">
        <f>IF($FN$17="",FALSE,SUMPRODUCT(('Final Calculation Sheet'!$AG$4:$AG$40=$FN$17)*($QC$6:$QC$42=1))&gt;0)</f>
        <v/>
      </c>
      <c r="QE17">
        <f>$QE$16+--($QD17)</f>
        <v/>
      </c>
      <c r="QF17">
        <f>IF(ROW()-3&gt;MAX($QE$4:$QE$40),"",INDEX($FN$4:$FN$40,MATCH(ROW()-3,$QE$4:$QE$40,0)))</f>
        <v/>
      </c>
      <c r="QG17">
        <f>IF(COUNTIF('Buyer Groups'!DG17:EM17,0)&gt;0,0,1)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Groups'!DH18:EN18,0)&gt;0,0,1)</f>
        <v/>
      </c>
      <c r="LF18">
        <f>IF($O$18="",FALSE,SUMPRODUCT(('Final Calculation Sheet'!$F$4:$F$40=$O$18)*($LE$6:$LE$42=1))&gt;0)</f>
        <v/>
      </c>
      <c r="LG18">
        <f>$LG$17+--($LF18)</f>
        <v/>
      </c>
      <c r="LH18">
        <f>IF(ROW()-3&gt;MAX($LG$4:$LG$40),"",INDEX($O$4:$O$40,MATCH(ROW()-3,$LG$4:$LG$40,0)))</f>
        <v/>
      </c>
      <c r="LI18">
        <f>IF(COUNTIF('Buyer Groups'!DG18:DG18,0)+COUNTIF('Buyer Groups'!DI18:EN18,0)&gt;0,0,1)</f>
        <v/>
      </c>
      <c r="LJ18">
        <f>IF($T$18="",FALSE,SUMPRODUCT(('Final Calculation Sheet'!$G$4:$G$40=$T$18)*($LI$6:$LI$42=1))&gt;0)</f>
        <v/>
      </c>
      <c r="LK18">
        <f>$LK$17+--($LJ18)</f>
        <v/>
      </c>
      <c r="LL18">
        <f>IF(ROW()-3&gt;MAX($LK$4:$LK$40),"",INDEX($T$4:$T$40,MATCH(ROW()-3,$LK$4:$LK$40,0)))</f>
        <v/>
      </c>
      <c r="LM18">
        <f>IF(COUNTIF('Buyer Groups'!DG18:DH18,0)+COUNTIF('Buyer Groups'!DJ18:EN18,0)&gt;0,0,1)</f>
        <v/>
      </c>
      <c r="LN18">
        <f>IF($Y$18="",FALSE,SUMPRODUCT(('Final Calculation Sheet'!$B$4:$B$40=$Y$18)*($LM$6:$LM$42=1))&gt;0)</f>
        <v/>
      </c>
      <c r="LO18">
        <f>$LO$17+--($LN18)</f>
        <v/>
      </c>
      <c r="LP18">
        <f>IF(ROW()-3&gt;MAX($LO$4:$LO$40),"",INDEX($Y$4:$Y$40,MATCH(ROW()-3,$LO$4:$LO$40,0)))</f>
        <v/>
      </c>
      <c r="LQ18">
        <f>IF(COUNTIF('Buyer Groups'!DG18:DI18,0)+COUNTIF('Buyer Groups'!DK18:EN18,0)&gt;0,0,1)</f>
        <v/>
      </c>
      <c r="LR18">
        <f>IF($AD$18="",FALSE,SUMPRODUCT(('Final Calculation Sheet'!$D$4:$D$40=$AD$18)*($LQ$6:$LQ$42=1))&gt;0)</f>
        <v/>
      </c>
      <c r="LS18">
        <f>$LS$17+--($LR18)</f>
        <v/>
      </c>
      <c r="LT18">
        <f>IF(ROW()-3&gt;MAX($LS$4:$LS$40),"",INDEX($AD$4:$AD$40,MATCH(ROW()-3,$LS$4:$LS$40,0)))</f>
        <v/>
      </c>
      <c r="LU18">
        <f>IF(COUNTIF('Buyer Groups'!DG18:DJ18,0)+COUNTIF('Buyer Groups'!DL18:EN18,0)&gt;0,0,1)</f>
        <v/>
      </c>
      <c r="LV18">
        <f>IF($AI$18="",FALSE,SUMPRODUCT(('Final Calculation Sheet'!$A$4:$A$40=$AI$18)*($LU$6:$LU$42=1))&gt;0)</f>
        <v/>
      </c>
      <c r="LW18">
        <f>$LW$17+--($LV18)</f>
        <v/>
      </c>
      <c r="LX18">
        <f>IF(ROW()-3&gt;MAX($LW$4:$LW$40),"",INDEX($AI$4:$AI$40,MATCH(ROW()-3,$LW$4:$LW$40,0)))</f>
        <v/>
      </c>
      <c r="LY18">
        <f>IF(COUNTIF('Buyer Groups'!DG18:DK18,0)+COUNTIF('Buyer Groups'!DM18:EN18,0)&gt;0,0,1)</f>
        <v/>
      </c>
      <c r="LZ18">
        <f>IF($AN$18="",FALSE,SUMPRODUCT(('Final Calculation Sheet'!$E$4:$E$40=$AN$18)*($LY$6:$LY$42=1))&gt;0)</f>
        <v/>
      </c>
      <c r="MA18">
        <f>$MA$17+--($LZ18)</f>
        <v/>
      </c>
      <c r="MB18">
        <f>IF(ROW()-3&gt;MAX($MA$4:$MA$40),"",INDEX($AN$4:$AN$40,MATCH(ROW()-3,$MA$4:$MA$40,0)))</f>
        <v/>
      </c>
      <c r="MC18">
        <f>IF(COUNTIF('Buyer Groups'!DG18:DL18,0)+COUNTIF('Buyer Groups'!DN18:EN18,0)&gt;0,0,1)</f>
        <v/>
      </c>
      <c r="MD18">
        <f>IF($AS$18="",FALSE,SUMPRODUCT(('Final Calculation Sheet'!$C$4:$C$40=$AS$18)*($MC$6:$MC$42=1))&gt;0)</f>
        <v/>
      </c>
      <c r="ME18">
        <f>$ME$17+--($MD18)</f>
        <v/>
      </c>
      <c r="MF18">
        <f>IF(ROW()-3&gt;MAX($ME$4:$ME$40),"",INDEX($AS$4:$AS$40,MATCH(ROW()-3,$ME$4:$ME$40,0)))</f>
        <v/>
      </c>
      <c r="MG18">
        <f>IF(COUNTIF('Buyer Groups'!DG18:DM18,0)+COUNTIF('Buyer Groups'!DO18:EN18,0)&gt;0,0,1)</f>
        <v/>
      </c>
      <c r="MH18">
        <f>IF($AX$18="",FALSE,SUMPRODUCT(('Final Calculation Sheet'!$H$4:$H$40=$AX$18)*($MG$6:$MG$42=1))&gt;0)</f>
        <v/>
      </c>
      <c r="MI18">
        <f>$MI$17+--($MH18)</f>
        <v/>
      </c>
      <c r="MJ18">
        <f>IF(ROW()-3&gt;MAX($MI$4:$MI$40),"",INDEX($AX$4:$AX$40,MATCH(ROW()-3,$MI$4:$MI$40,0)))</f>
        <v/>
      </c>
      <c r="MK18">
        <f>IF(COUNTIF('Buyer Groups'!DG18:DN18,0)+COUNTIF('Buyer Groups'!DP18:EN18,0)&gt;0,0,1)</f>
        <v/>
      </c>
      <c r="ML18">
        <f>IF($BC$18="",FALSE,SUMPRODUCT(('Final Calculation Sheet'!$I$4:$I$40=$BC$18)*($MK$6:$MK$42=1))&gt;0)</f>
        <v/>
      </c>
      <c r="MM18">
        <f>$MM$17+--($ML18)</f>
        <v/>
      </c>
      <c r="MN18">
        <f>IF(ROW()-3&gt;MAX($MM$4:$MM$40),"",INDEX($BC$4:$BC$40,MATCH(ROW()-3,$MM$4:$MM$40,0)))</f>
        <v/>
      </c>
      <c r="MO18">
        <f>IF(COUNTIF('Buyer Groups'!DG18:DO18,0)+COUNTIF('Buyer Groups'!DQ18:EN18,0)&gt;0,0,1)</f>
        <v/>
      </c>
      <c r="MP18">
        <f>IF($BH$18="",FALSE,SUMPRODUCT(('Final Calculation Sheet'!$J$4:$J$40=$BH$18)*($MO$6:$MO$42=1))&gt;0)</f>
        <v/>
      </c>
      <c r="MQ18">
        <f>$MQ$17+--($MP18)</f>
        <v/>
      </c>
      <c r="MR18">
        <f>IF(ROW()-3&gt;MAX($MQ$4:$MQ$40),"",INDEX($BH$4:$BH$40,MATCH(ROW()-3,$MQ$4:$MQ$40,0)))</f>
        <v/>
      </c>
      <c r="MS18">
        <f>IF(COUNTIF('Buyer Groups'!DG18:DP18,0)+COUNTIF('Buyer Groups'!DR18:EN18,0)&gt;0,0,1)</f>
        <v/>
      </c>
      <c r="MT18">
        <f>IF($BM$18="",FALSE,SUMPRODUCT(('Final Calculation Sheet'!$K$4:$K$40=$BM$18)*($MS$6:$MS$42=1))&gt;0)</f>
        <v/>
      </c>
      <c r="MU18">
        <f>$MU$17+--($MT18)</f>
        <v/>
      </c>
      <c r="MV18">
        <f>IF(ROW()-3&gt;MAX($MU$4:$MU$40),"",INDEX($BM$4:$BM$40,MATCH(ROW()-3,$MU$4:$MU$40,0)))</f>
        <v/>
      </c>
      <c r="MW18">
        <f>IF(COUNTIF('Buyer Groups'!DG18:DQ18,0)+COUNTIF('Buyer Groups'!DS18:EN18,0)&gt;0,0,1)</f>
        <v/>
      </c>
      <c r="MX18">
        <f>IF($BR$18="",FALSE,SUMPRODUCT(('Final Calculation Sheet'!$L$4:$L$40=$BR$18)*($MW$6:$MW$42=1))&gt;0)</f>
        <v/>
      </c>
      <c r="MY18">
        <f>$MY$17+--($MX18)</f>
        <v/>
      </c>
      <c r="MZ18">
        <f>IF(ROW()-3&gt;MAX($MY$4:$MY$40),"",INDEX($BR$4:$BR$40,MATCH(ROW()-3,$MY$4:$MY$40,0)))</f>
        <v/>
      </c>
      <c r="NA18">
        <f>IF(COUNTIF('Buyer Groups'!DG18:DR18,0)+COUNTIF('Buyer Groups'!DT18:EN18,0)&gt;0,0,1)</f>
        <v/>
      </c>
      <c r="NB18">
        <f>IF($BW$18="",FALSE,SUMPRODUCT(('Final Calculation Sheet'!$M$4:$M$40=$BW$18)*($NA$6:$NA$42=1))&gt;0)</f>
        <v/>
      </c>
      <c r="NC18">
        <f>$NC$17+--($NB18)</f>
        <v/>
      </c>
      <c r="ND18">
        <f>IF(ROW()-3&gt;MAX($NC$4:$NC$40),"",INDEX($BW$4:$BW$40,MATCH(ROW()-3,$NC$4:$NC$40,0)))</f>
        <v/>
      </c>
      <c r="NE18">
        <f>IF(COUNTIF('Buyer Groups'!DG18:DS18,0)+COUNTIF('Buyer Groups'!DU18:EN18,0)&gt;0,0,1)</f>
        <v/>
      </c>
      <c r="NF18">
        <f>IF($CB$18="",FALSE,SUMPRODUCT(('Final Calculation Sheet'!$N$4:$N$40=$CB$18)*($NE$6:$NE$42=1))&gt;0)</f>
        <v/>
      </c>
      <c r="NG18">
        <f>$NG$17+--($NF18)</f>
        <v/>
      </c>
      <c r="NH18">
        <f>IF(ROW()-3&gt;MAX($NG$4:$NG$40),"",INDEX($CB$4:$CB$40,MATCH(ROW()-3,$NG$4:$NG$40,0)))</f>
        <v/>
      </c>
      <c r="NI18">
        <f>IF(COUNTIF('Buyer Groups'!DG18:DT18,0)+COUNTIF('Buyer Groups'!DV18:EN18,0)&gt;0,0,1)</f>
        <v/>
      </c>
      <c r="NJ18">
        <f>IF($CG$18="",FALSE,SUMPRODUCT(('Final Calculation Sheet'!$O$4:$O$40=$CG$18)*($NI$6:$NI$42=1))&gt;0)</f>
        <v/>
      </c>
      <c r="NK18">
        <f>$NK$17+--($NJ18)</f>
        <v/>
      </c>
      <c r="NL18">
        <f>IF(ROW()-3&gt;MAX($NK$4:$NK$40),"",INDEX($CG$4:$CG$40,MATCH(ROW()-3,$NK$4:$NK$40,0)))</f>
        <v/>
      </c>
      <c r="NM18">
        <f>IF(COUNTIF('Buyer Groups'!DG18:DU18,0)+COUNTIF('Buyer Groups'!DW18:EN18,0)&gt;0,0,1)</f>
        <v/>
      </c>
      <c r="NN18">
        <f>IF($CL$18="",FALSE,SUMPRODUCT(('Final Calculation Sheet'!$P$4:$P$40=$CL$18)*($NM$6:$NM$42=1))&gt;0)</f>
        <v/>
      </c>
      <c r="NO18">
        <f>$NO$17+--($NN18)</f>
        <v/>
      </c>
      <c r="NP18">
        <f>IF(ROW()-3&gt;MAX($NO$4:$NO$40),"",INDEX($CL$4:$CL$40,MATCH(ROW()-3,$NO$4:$NO$40,0)))</f>
        <v/>
      </c>
      <c r="NQ18">
        <f>IF(COUNTIF('Buyer Groups'!DG18:DV18,0)+COUNTIF('Buyer Groups'!DX18:EN18,0)&gt;0,0,1)</f>
        <v/>
      </c>
      <c r="NR18">
        <f>IF($CQ$18="",FALSE,SUMPRODUCT(('Final Calculation Sheet'!$Q$4:$Q$40=$CQ$18)*($NQ$6:$NQ$42=1))&gt;0)</f>
        <v/>
      </c>
      <c r="NS18">
        <f>$NS$17+--($NR18)</f>
        <v/>
      </c>
      <c r="NT18">
        <f>IF(ROW()-3&gt;MAX($NS$4:$NS$40),"",INDEX($CQ$4:$CQ$40,MATCH(ROW()-3,$NS$4:$NS$40,0)))</f>
        <v/>
      </c>
      <c r="NU18">
        <f>IF(COUNTIF('Buyer Groups'!DG18:DW18,0)+COUNTIF('Buyer Groups'!DY18:EN18,0)&gt;0,0,1)</f>
        <v/>
      </c>
      <c r="NV18">
        <f>IF($CV$18="",FALSE,SUMPRODUCT(('Final Calculation Sheet'!$R$4:$R$40=$CV$18)*($NU$6:$NU$42=1))&gt;0)</f>
        <v/>
      </c>
      <c r="NW18">
        <f>$NW$17+--($NV18)</f>
        <v/>
      </c>
      <c r="NX18">
        <f>IF(ROW()-3&gt;MAX($NW$4:$NW$40),"",INDEX($CV$4:$CV$40,MATCH(ROW()-3,$NW$4:$NW$40,0)))</f>
        <v/>
      </c>
      <c r="NY18">
        <f>IF(COUNTIF('Buyer Groups'!DG18:DX18,0)+COUNTIF('Buyer Groups'!DZ18:EN18,0)&gt;0,0,1)</f>
        <v/>
      </c>
      <c r="NZ18">
        <f>IF($DA$18="",FALSE,SUMPRODUCT(('Final Calculation Sheet'!$S$4:$S$40=$DA$18)*($NY$6:$NY$42=1))&gt;0)</f>
        <v/>
      </c>
      <c r="OA18">
        <f>$OA$17+--($NZ18)</f>
        <v/>
      </c>
      <c r="OB18">
        <f>IF(ROW()-3&gt;MAX($OA$4:$OA$40),"",INDEX($DA$4:$DA$40,MATCH(ROW()-3,$OA$4:$OA$40,0)))</f>
        <v/>
      </c>
      <c r="OC18">
        <f>IF(COUNTIF('Buyer Groups'!DG18:DY18,0)+COUNTIF('Buyer Groups'!EA18:EN18,0)&gt;0,0,1)</f>
        <v/>
      </c>
      <c r="OD18">
        <f>IF($DF$18="",FALSE,SUMPRODUCT(('Final Calculation Sheet'!$T$4:$T$40=$DF$18)*($OC$6:$OC$42=1))&gt;0)</f>
        <v/>
      </c>
      <c r="OE18">
        <f>$OE$17+--($OD18)</f>
        <v/>
      </c>
      <c r="OF18">
        <f>IF(ROW()-3&gt;MAX($OE$4:$OE$40),"",INDEX($DF$4:$DF$40,MATCH(ROW()-3,$OE$4:$OE$40,0)))</f>
        <v/>
      </c>
      <c r="OG18">
        <f>IF(COUNTIF('Buyer Groups'!DG18:DZ18,0)+COUNTIF('Buyer Groups'!EB18:EN18,0)&gt;0,0,1)</f>
        <v/>
      </c>
      <c r="OH18">
        <f>IF($DK$18="",FALSE,SUMPRODUCT(('Final Calculation Sheet'!$U$4:$U$40=$DK$18)*($OG$6:$OG$42=1))&gt;0)</f>
        <v/>
      </c>
      <c r="OI18">
        <f>$OI$17+--($OH18)</f>
        <v/>
      </c>
      <c r="OJ18">
        <f>IF(ROW()-3&gt;MAX($OI$4:$OI$40),"",INDEX($DK$4:$DK$40,MATCH(ROW()-3,$OI$4:$OI$40,0)))</f>
        <v/>
      </c>
      <c r="OK18">
        <f>IF(COUNTIF('Buyer Groups'!DG18:EA18,0)+COUNTIF('Buyer Groups'!EC18:EN18,0)&gt;0,0,1)</f>
        <v/>
      </c>
      <c r="OL18">
        <f>IF($DP$18="",FALSE,SUMPRODUCT(('Final Calculation Sheet'!$V$4:$V$40=$DP$18)*($OK$6:$OK$42=1))&gt;0)</f>
        <v/>
      </c>
      <c r="OM18">
        <f>$OM$17+--($OL18)</f>
        <v/>
      </c>
      <c r="ON18">
        <f>IF(ROW()-3&gt;MAX($OM$4:$OM$40),"",INDEX($DP$4:$DP$40,MATCH(ROW()-3,$OM$4:$OM$40,0)))</f>
        <v/>
      </c>
      <c r="OO18">
        <f>IF(COUNTIF('Buyer Groups'!DG18:EB18,0)+COUNTIF('Buyer Groups'!ED18:EN18,0)&gt;0,0,1)</f>
        <v/>
      </c>
      <c r="OP18">
        <f>IF($DU$18="",FALSE,SUMPRODUCT(('Final Calculation Sheet'!$W$4:$W$40=$DU$18)*($OO$6:$OO$42=1))&gt;0)</f>
        <v/>
      </c>
      <c r="OQ18">
        <f>$OQ$17+--($OP18)</f>
        <v/>
      </c>
      <c r="OR18">
        <f>IF(ROW()-3&gt;MAX($OQ$4:$OQ$40),"",INDEX($DU$4:$DU$40,MATCH(ROW()-3,$OQ$4:$OQ$40,0)))</f>
        <v/>
      </c>
      <c r="OS18">
        <f>IF(COUNTIF('Buyer Groups'!DG18:EC18,0)+COUNTIF('Buyer Groups'!EE18:EN18,0)&gt;0,0,1)</f>
        <v/>
      </c>
      <c r="OT18">
        <f>IF($DZ$18="",FALSE,SUMPRODUCT(('Final Calculation Sheet'!$X$4:$X$40=$DZ$18)*($OS$6:$OS$42=1))&gt;0)</f>
        <v/>
      </c>
      <c r="OU18">
        <f>$OU$17+--($OT18)</f>
        <v/>
      </c>
      <c r="OV18">
        <f>IF(ROW()-3&gt;MAX($OU$4:$OU$40),"",INDEX($DZ$4:$DZ$40,MATCH(ROW()-3,$OU$4:$OU$40,0)))</f>
        <v/>
      </c>
      <c r="OW18">
        <f>IF(COUNTIF('Buyer Groups'!DG18:ED18,0)+COUNTIF('Buyer Groups'!EF18:EN18,0)&gt;0,0,1)</f>
        <v/>
      </c>
      <c r="OX18">
        <f>IF($EE$18="",FALSE,SUMPRODUCT(('Final Calculation Sheet'!$Y$4:$Y$40=$EE$18)*($OW$6:$OW$42=1))&gt;0)</f>
        <v/>
      </c>
      <c r="OY18">
        <f>$OY$17+--($OX18)</f>
        <v/>
      </c>
      <c r="OZ18">
        <f>IF(ROW()-3&gt;MAX($OY$4:$OY$40),"",INDEX($EE$4:$EE$40,MATCH(ROW()-3,$OY$4:$OY$40,0)))</f>
        <v/>
      </c>
      <c r="PA18">
        <f>IF(COUNTIF('Buyer Groups'!DG18:EE18,0)+COUNTIF('Buyer Groups'!EG18:EN18,0)&gt;0,0,1)</f>
        <v/>
      </c>
      <c r="PB18">
        <f>IF($EJ$18="",FALSE,SUMPRODUCT(('Final Calculation Sheet'!$Z$4:$Z$40=$EJ$18)*($PA$6:$PA$42=1))&gt;0)</f>
        <v/>
      </c>
      <c r="PC18">
        <f>$PC$17+--($PB18)</f>
        <v/>
      </c>
      <c r="PD18">
        <f>IF(ROW()-3&gt;MAX($PC$4:$PC$40),"",INDEX($EJ$4:$EJ$40,MATCH(ROW()-3,$PC$4:$PC$40,0)))</f>
        <v/>
      </c>
      <c r="PE18">
        <f>IF(COUNTIF('Buyer Groups'!DG18:EF18,0)+COUNTIF('Buyer Groups'!EH18:EN18,0)&gt;0,0,1)</f>
        <v/>
      </c>
      <c r="PF18">
        <f>IF($EO$18="",FALSE,SUMPRODUCT(('Final Calculation Sheet'!$AA$4:$AA$40=$EO$18)*($PE$6:$PE$42=1))&gt;0)</f>
        <v/>
      </c>
      <c r="PG18">
        <f>$PG$17+--($PF18)</f>
        <v/>
      </c>
      <c r="PH18">
        <f>IF(ROW()-3&gt;MAX($PG$4:$PG$40),"",INDEX($EO$4:$EO$40,MATCH(ROW()-3,$PG$4:$PG$40,0)))</f>
        <v/>
      </c>
      <c r="PI18">
        <f>IF(COUNTIF('Buyer Groups'!DG18:EG18,0)+COUNTIF('Buyer Groups'!EI18:EN18,0)&gt;0,0,1)</f>
        <v/>
      </c>
      <c r="PJ18">
        <f>IF($ET$18="",FALSE,SUMPRODUCT(('Final Calculation Sheet'!$AB$4:$AB$40=$ET$18)*($PI$6:$PI$42=1))&gt;0)</f>
        <v/>
      </c>
      <c r="PK18">
        <f>$PK$17+--($PJ18)</f>
        <v/>
      </c>
      <c r="PL18">
        <f>IF(ROW()-3&gt;MAX($PK$4:$PK$40),"",INDEX($ET$4:$ET$40,MATCH(ROW()-3,$PK$4:$PK$40,0)))</f>
        <v/>
      </c>
      <c r="PM18">
        <f>IF(COUNTIF('Buyer Groups'!DG18:EH18,0)+COUNTIF('Buyer Groups'!EJ18:EN18,0)&gt;0,0,1)</f>
        <v/>
      </c>
      <c r="PN18">
        <f>IF($EY$18="",FALSE,SUMPRODUCT(('Final Calculation Sheet'!$AC$4:$AC$40=$EY$18)*($PM$6:$PM$42=1))&gt;0)</f>
        <v/>
      </c>
      <c r="PO18">
        <f>$PO$17+--($PN18)</f>
        <v/>
      </c>
      <c r="PP18">
        <f>IF(ROW()-3&gt;MAX($PO$4:$PO$40),"",INDEX($EY$4:$EY$40,MATCH(ROW()-3,$PO$4:$PO$40,0)))</f>
        <v/>
      </c>
      <c r="PQ18">
        <f>IF(COUNTIF('Buyer Groups'!DG18:EI18,0)+COUNTIF('Buyer Groups'!EK18:EN18,0)&gt;0,0,1)</f>
        <v/>
      </c>
      <c r="PR18">
        <f>IF($FD$18="",FALSE,SUMPRODUCT(('Final Calculation Sheet'!$AD$4:$AD$40=$FD$18)*($PQ$6:$PQ$42=1))&gt;0)</f>
        <v/>
      </c>
      <c r="PS18">
        <f>$PS$17+--($PR18)</f>
        <v/>
      </c>
      <c r="PT18">
        <f>IF(ROW()-3&gt;MAX($PS$4:$PS$40),"",INDEX($FD$4:$FD$40,MATCH(ROW()-3,$PS$4:$PS$40,0)))</f>
        <v/>
      </c>
      <c r="PU18">
        <f>IF(COUNTIF('Buyer Groups'!DG18:EJ18,0)+COUNTIF('Buyer Groups'!EL18:EN18,0)&gt;0,0,1)</f>
        <v/>
      </c>
      <c r="PV18">
        <f>IF($FX$18="",FALSE,SUMPRODUCT((IF('Final Calculation Sheet'!$AD$4:$AD$40&lt;=5,"SETTLED","OUTSTANDING")=$FX$18)*($PU$6:$PU$42=1))&gt;0)</f>
        <v/>
      </c>
      <c r="PW18">
        <f>$PW$17+--($PV18)</f>
        <v/>
      </c>
      <c r="PX18">
        <f>IF(ROW()-3&gt;MAX($PW$4:$PW$40),"",INDEX($FX$4:$FX$40,MATCH(ROW()-3,$PW$4:$PW$40,0)))</f>
        <v/>
      </c>
      <c r="PY18">
        <f>IF(COUNTIF('Buyer Groups'!DG18:EK18,0)+COUNTIF('Buyer Groups'!EM18:EN18,0)&gt;0,0,1)</f>
        <v/>
      </c>
      <c r="PZ18">
        <f>IF($FI$18="",FALSE,SUMPRODUCT(('Final Calculation Sheet'!$AF$4:$AF$40=$FI$18)*($PY$6:$PY$42=1))&gt;0)</f>
        <v/>
      </c>
      <c r="QA18">
        <f>$QA$17+--($PZ18)</f>
        <v/>
      </c>
      <c r="QB18">
        <f>IF(ROW()-3&gt;MAX($QA$4:$QA$40),"",INDEX($FI$4:$FI$40,MATCH(ROW()-3,$QA$4:$QA$40,0)))</f>
        <v/>
      </c>
      <c r="QC18">
        <f>IF(COUNTIF('Buyer Groups'!DG18:EL18,0)+COUNTIF('Buyer Groups'!EN18:EN18,0)&gt;0,0,1)</f>
        <v/>
      </c>
      <c r="QD18">
        <f>IF($FN$18="",FALSE,SUMPRODUCT(('Final Calculation Sheet'!$AG$4:$AG$40=$FN$18)*($QC$6:$QC$42=1))&gt;0)</f>
        <v/>
      </c>
      <c r="QE18">
        <f>$QE$17+--($QD18)</f>
        <v/>
      </c>
      <c r="QF18">
        <f>IF(ROW()-3&gt;MAX($QE$4:$QE$40),"",INDEX($FN$4:$FN$40,MATCH(ROW()-3,$QE$4:$QE$40,0)))</f>
        <v/>
      </c>
      <c r="QG18">
        <f>IF(COUNTIF('Buyer Groups'!DG18:EM18,0)&gt;0,0,1)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Groups'!DH19:EN19,0)&gt;0,0,1)</f>
        <v/>
      </c>
      <c r="LF19">
        <f>IF($O$19="",FALSE,SUMPRODUCT(('Final Calculation Sheet'!$F$4:$F$40=$O$19)*($LE$6:$LE$42=1))&gt;0)</f>
        <v/>
      </c>
      <c r="LG19">
        <f>$LG$18+--($LF19)</f>
        <v/>
      </c>
      <c r="LH19">
        <f>IF(ROW()-3&gt;MAX($LG$4:$LG$40),"",INDEX($O$4:$O$40,MATCH(ROW()-3,$LG$4:$LG$40,0)))</f>
        <v/>
      </c>
      <c r="LI19">
        <f>IF(COUNTIF('Buyer Groups'!DG19:DG19,0)+COUNTIF('Buyer Groups'!DI19:EN19,0)&gt;0,0,1)</f>
        <v/>
      </c>
      <c r="LJ19">
        <f>IF($T$19="",FALSE,SUMPRODUCT(('Final Calculation Sheet'!$G$4:$G$40=$T$19)*($LI$6:$LI$42=1))&gt;0)</f>
        <v/>
      </c>
      <c r="LK19">
        <f>$LK$18+--($LJ19)</f>
        <v/>
      </c>
      <c r="LL19">
        <f>IF(ROW()-3&gt;MAX($LK$4:$LK$40),"",INDEX($T$4:$T$40,MATCH(ROW()-3,$LK$4:$LK$40,0)))</f>
        <v/>
      </c>
      <c r="LM19">
        <f>IF(COUNTIF('Buyer Groups'!DG19:DH19,0)+COUNTIF('Buyer Groups'!DJ19:EN19,0)&gt;0,0,1)</f>
        <v/>
      </c>
      <c r="LN19">
        <f>IF($Y$19="",FALSE,SUMPRODUCT(('Final Calculation Sheet'!$B$4:$B$40=$Y$19)*($LM$6:$LM$42=1))&gt;0)</f>
        <v/>
      </c>
      <c r="LO19">
        <f>$LO$18+--($LN19)</f>
        <v/>
      </c>
      <c r="LP19">
        <f>IF(ROW()-3&gt;MAX($LO$4:$LO$40),"",INDEX($Y$4:$Y$40,MATCH(ROW()-3,$LO$4:$LO$40,0)))</f>
        <v/>
      </c>
      <c r="LQ19">
        <f>IF(COUNTIF('Buyer Groups'!DG19:DI19,0)+COUNTIF('Buyer Groups'!DK19:EN19,0)&gt;0,0,1)</f>
        <v/>
      </c>
      <c r="LR19">
        <f>IF($AD$19="",FALSE,SUMPRODUCT(('Final Calculation Sheet'!$D$4:$D$40=$AD$19)*($LQ$6:$LQ$42=1))&gt;0)</f>
        <v/>
      </c>
      <c r="LS19">
        <f>$LS$18+--($LR19)</f>
        <v/>
      </c>
      <c r="LT19">
        <f>IF(ROW()-3&gt;MAX($LS$4:$LS$40),"",INDEX($AD$4:$AD$40,MATCH(ROW()-3,$LS$4:$LS$40,0)))</f>
        <v/>
      </c>
      <c r="LU19">
        <f>IF(COUNTIF('Buyer Groups'!DG19:DJ19,0)+COUNTIF('Buyer Groups'!DL19:EN19,0)&gt;0,0,1)</f>
        <v/>
      </c>
      <c r="LV19">
        <f>IF($AI$19="",FALSE,SUMPRODUCT(('Final Calculation Sheet'!$A$4:$A$40=$AI$19)*($LU$6:$LU$42=1))&gt;0)</f>
        <v/>
      </c>
      <c r="LW19">
        <f>$LW$18+--($LV19)</f>
        <v/>
      </c>
      <c r="LX19">
        <f>IF(ROW()-3&gt;MAX($LW$4:$LW$40),"",INDEX($AI$4:$AI$40,MATCH(ROW()-3,$LW$4:$LW$40,0)))</f>
        <v/>
      </c>
      <c r="LY19">
        <f>IF(COUNTIF('Buyer Groups'!DG19:DK19,0)+COUNTIF('Buyer Groups'!DM19:EN19,0)&gt;0,0,1)</f>
        <v/>
      </c>
      <c r="LZ19">
        <f>IF($AN$19="",FALSE,SUMPRODUCT(('Final Calculation Sheet'!$E$4:$E$40=$AN$19)*($LY$6:$LY$42=1))&gt;0)</f>
        <v/>
      </c>
      <c r="MA19">
        <f>$MA$18+--($LZ19)</f>
        <v/>
      </c>
      <c r="MB19">
        <f>IF(ROW()-3&gt;MAX($MA$4:$MA$40),"",INDEX($AN$4:$AN$40,MATCH(ROW()-3,$MA$4:$MA$40,0)))</f>
        <v/>
      </c>
      <c r="MC19">
        <f>IF(COUNTIF('Buyer Groups'!DG19:DL19,0)+COUNTIF('Buyer Groups'!DN19:EN19,0)&gt;0,0,1)</f>
        <v/>
      </c>
      <c r="MD19">
        <f>IF($AS$19="",FALSE,SUMPRODUCT(('Final Calculation Sheet'!$C$4:$C$40=$AS$19)*($MC$6:$MC$42=1))&gt;0)</f>
        <v/>
      </c>
      <c r="ME19">
        <f>$ME$18+--($MD19)</f>
        <v/>
      </c>
      <c r="MF19">
        <f>IF(ROW()-3&gt;MAX($ME$4:$ME$40),"",INDEX($AS$4:$AS$40,MATCH(ROW()-3,$ME$4:$ME$40,0)))</f>
        <v/>
      </c>
      <c r="MG19">
        <f>IF(COUNTIF('Buyer Groups'!DG19:DM19,0)+COUNTIF('Buyer Groups'!DO19:EN19,0)&gt;0,0,1)</f>
        <v/>
      </c>
      <c r="MH19">
        <f>IF($AX$19="",FALSE,SUMPRODUCT(('Final Calculation Sheet'!$H$4:$H$40=$AX$19)*($MG$6:$MG$42=1))&gt;0)</f>
        <v/>
      </c>
      <c r="MI19">
        <f>$MI$18+--($MH19)</f>
        <v/>
      </c>
      <c r="MJ19">
        <f>IF(ROW()-3&gt;MAX($MI$4:$MI$40),"",INDEX($AX$4:$AX$40,MATCH(ROW()-3,$MI$4:$MI$40,0)))</f>
        <v/>
      </c>
      <c r="MK19">
        <f>IF(COUNTIF('Buyer Groups'!DG19:DN19,0)+COUNTIF('Buyer Groups'!DP19:EN19,0)&gt;0,0,1)</f>
        <v/>
      </c>
      <c r="ML19">
        <f>IF($BC$19="",FALSE,SUMPRODUCT(('Final Calculation Sheet'!$I$4:$I$40=$BC$19)*($MK$6:$MK$42=1))&gt;0)</f>
        <v/>
      </c>
      <c r="MM19">
        <f>$MM$18+--($ML19)</f>
        <v/>
      </c>
      <c r="MN19">
        <f>IF(ROW()-3&gt;MAX($MM$4:$MM$40),"",INDEX($BC$4:$BC$40,MATCH(ROW()-3,$MM$4:$MM$40,0)))</f>
        <v/>
      </c>
      <c r="MO19">
        <f>IF(COUNTIF('Buyer Groups'!DG19:DO19,0)+COUNTIF('Buyer Groups'!DQ19:EN19,0)&gt;0,0,1)</f>
        <v/>
      </c>
      <c r="MP19">
        <f>IF($BH$19="",FALSE,SUMPRODUCT(('Final Calculation Sheet'!$J$4:$J$40=$BH$19)*($MO$6:$MO$42=1))&gt;0)</f>
        <v/>
      </c>
      <c r="MQ19">
        <f>$MQ$18+--($MP19)</f>
        <v/>
      </c>
      <c r="MR19">
        <f>IF(ROW()-3&gt;MAX($MQ$4:$MQ$40),"",INDEX($BH$4:$BH$40,MATCH(ROW()-3,$MQ$4:$MQ$40,0)))</f>
        <v/>
      </c>
      <c r="MS19">
        <f>IF(COUNTIF('Buyer Groups'!DG19:DP19,0)+COUNTIF('Buyer Groups'!DR19:EN19,0)&gt;0,0,1)</f>
        <v/>
      </c>
      <c r="MT19">
        <f>IF($BM$19="",FALSE,SUMPRODUCT(('Final Calculation Sheet'!$K$4:$K$40=$BM$19)*($MS$6:$MS$42=1))&gt;0)</f>
        <v/>
      </c>
      <c r="MU19">
        <f>$MU$18+--($MT19)</f>
        <v/>
      </c>
      <c r="MV19">
        <f>IF(ROW()-3&gt;MAX($MU$4:$MU$40),"",INDEX($BM$4:$BM$40,MATCH(ROW()-3,$MU$4:$MU$40,0)))</f>
        <v/>
      </c>
      <c r="MW19">
        <f>IF(COUNTIF('Buyer Groups'!DG19:DQ19,0)+COUNTIF('Buyer Groups'!DS19:EN19,0)&gt;0,0,1)</f>
        <v/>
      </c>
      <c r="MX19">
        <f>IF($BR$19="",FALSE,SUMPRODUCT(('Final Calculation Sheet'!$L$4:$L$40=$BR$19)*($MW$6:$MW$42=1))&gt;0)</f>
        <v/>
      </c>
      <c r="MY19">
        <f>$MY$18+--($MX19)</f>
        <v/>
      </c>
      <c r="MZ19">
        <f>IF(ROW()-3&gt;MAX($MY$4:$MY$40),"",INDEX($BR$4:$BR$40,MATCH(ROW()-3,$MY$4:$MY$40,0)))</f>
        <v/>
      </c>
      <c r="NA19">
        <f>IF(COUNTIF('Buyer Groups'!DG19:DR19,0)+COUNTIF('Buyer Groups'!DT19:EN19,0)&gt;0,0,1)</f>
        <v/>
      </c>
      <c r="NB19">
        <f>IF($BW$19="",FALSE,SUMPRODUCT(('Final Calculation Sheet'!$M$4:$M$40=$BW$19)*($NA$6:$NA$42=1))&gt;0)</f>
        <v/>
      </c>
      <c r="NC19">
        <f>$NC$18+--($NB19)</f>
        <v/>
      </c>
      <c r="ND19">
        <f>IF(ROW()-3&gt;MAX($NC$4:$NC$40),"",INDEX($BW$4:$BW$40,MATCH(ROW()-3,$NC$4:$NC$40,0)))</f>
        <v/>
      </c>
      <c r="NE19">
        <f>IF(COUNTIF('Buyer Groups'!DG19:DS19,0)+COUNTIF('Buyer Groups'!DU19:EN19,0)&gt;0,0,1)</f>
        <v/>
      </c>
      <c r="NF19">
        <f>IF($CB$19="",FALSE,SUMPRODUCT(('Final Calculation Sheet'!$N$4:$N$40=$CB$19)*($NE$6:$NE$42=1))&gt;0)</f>
        <v/>
      </c>
      <c r="NG19">
        <f>$NG$18+--($NF19)</f>
        <v/>
      </c>
      <c r="NH19">
        <f>IF(ROW()-3&gt;MAX($NG$4:$NG$40),"",INDEX($CB$4:$CB$40,MATCH(ROW()-3,$NG$4:$NG$40,0)))</f>
        <v/>
      </c>
      <c r="NI19">
        <f>IF(COUNTIF('Buyer Groups'!DG19:DT19,0)+COUNTIF('Buyer Groups'!DV19:EN19,0)&gt;0,0,1)</f>
        <v/>
      </c>
      <c r="NJ19">
        <f>IF($CG$19="",FALSE,SUMPRODUCT(('Final Calculation Sheet'!$O$4:$O$40=$CG$19)*($NI$6:$NI$42=1))&gt;0)</f>
        <v/>
      </c>
      <c r="NK19">
        <f>$NK$18+--($NJ19)</f>
        <v/>
      </c>
      <c r="NL19">
        <f>IF(ROW()-3&gt;MAX($NK$4:$NK$40),"",INDEX($CG$4:$CG$40,MATCH(ROW()-3,$NK$4:$NK$40,0)))</f>
        <v/>
      </c>
      <c r="NM19">
        <f>IF(COUNTIF('Buyer Groups'!DG19:DU19,0)+COUNTIF('Buyer Groups'!DW19:EN19,0)&gt;0,0,1)</f>
        <v/>
      </c>
      <c r="NN19">
        <f>IF($CL$19="",FALSE,SUMPRODUCT(('Final Calculation Sheet'!$P$4:$P$40=$CL$19)*($NM$6:$NM$42=1))&gt;0)</f>
        <v/>
      </c>
      <c r="NO19">
        <f>$NO$18+--($NN19)</f>
        <v/>
      </c>
      <c r="NP19">
        <f>IF(ROW()-3&gt;MAX($NO$4:$NO$40),"",INDEX($CL$4:$CL$40,MATCH(ROW()-3,$NO$4:$NO$40,0)))</f>
        <v/>
      </c>
      <c r="NQ19">
        <f>IF(COUNTIF('Buyer Groups'!DG19:DV19,0)+COUNTIF('Buyer Groups'!DX19:EN19,0)&gt;0,0,1)</f>
        <v/>
      </c>
      <c r="NR19">
        <f>IF($CQ$19="",FALSE,SUMPRODUCT(('Final Calculation Sheet'!$Q$4:$Q$40=$CQ$19)*($NQ$6:$NQ$42=1))&gt;0)</f>
        <v/>
      </c>
      <c r="NS19">
        <f>$NS$18+--($NR19)</f>
        <v/>
      </c>
      <c r="NT19">
        <f>IF(ROW()-3&gt;MAX($NS$4:$NS$40),"",INDEX($CQ$4:$CQ$40,MATCH(ROW()-3,$NS$4:$NS$40,0)))</f>
        <v/>
      </c>
      <c r="NU19">
        <f>IF(COUNTIF('Buyer Groups'!DG19:DW19,0)+COUNTIF('Buyer Groups'!DY19:EN19,0)&gt;0,0,1)</f>
        <v/>
      </c>
      <c r="NV19">
        <f>IF($CV$19="",FALSE,SUMPRODUCT(('Final Calculation Sheet'!$R$4:$R$40=$CV$19)*($NU$6:$NU$42=1))&gt;0)</f>
        <v/>
      </c>
      <c r="NW19">
        <f>$NW$18+--($NV19)</f>
        <v/>
      </c>
      <c r="NX19">
        <f>IF(ROW()-3&gt;MAX($NW$4:$NW$40),"",INDEX($CV$4:$CV$40,MATCH(ROW()-3,$NW$4:$NW$40,0)))</f>
        <v/>
      </c>
      <c r="NY19">
        <f>IF(COUNTIF('Buyer Groups'!DG19:DX19,0)+COUNTIF('Buyer Groups'!DZ19:EN19,0)&gt;0,0,1)</f>
        <v/>
      </c>
      <c r="NZ19">
        <f>IF($DA$19="",FALSE,SUMPRODUCT(('Final Calculation Sheet'!$S$4:$S$40=$DA$19)*($NY$6:$NY$42=1))&gt;0)</f>
        <v/>
      </c>
      <c r="OA19">
        <f>$OA$18+--($NZ19)</f>
        <v/>
      </c>
      <c r="OB19">
        <f>IF(ROW()-3&gt;MAX($OA$4:$OA$40),"",INDEX($DA$4:$DA$40,MATCH(ROW()-3,$OA$4:$OA$40,0)))</f>
        <v/>
      </c>
      <c r="OC19">
        <f>IF(COUNTIF('Buyer Groups'!DG19:DY19,0)+COUNTIF('Buyer Groups'!EA19:EN19,0)&gt;0,0,1)</f>
        <v/>
      </c>
      <c r="OD19">
        <f>IF($DF$19="",FALSE,SUMPRODUCT(('Final Calculation Sheet'!$T$4:$T$40=$DF$19)*($OC$6:$OC$42=1))&gt;0)</f>
        <v/>
      </c>
      <c r="OE19">
        <f>$OE$18+--($OD19)</f>
        <v/>
      </c>
      <c r="OF19">
        <f>IF(ROW()-3&gt;MAX($OE$4:$OE$40),"",INDEX($DF$4:$DF$40,MATCH(ROW()-3,$OE$4:$OE$40,0)))</f>
        <v/>
      </c>
      <c r="OG19">
        <f>IF(COUNTIF('Buyer Groups'!DG19:DZ19,0)+COUNTIF('Buyer Groups'!EB19:EN19,0)&gt;0,0,1)</f>
        <v/>
      </c>
      <c r="OH19">
        <f>IF($DK$19="",FALSE,SUMPRODUCT(('Final Calculation Sheet'!$U$4:$U$40=$DK$19)*($OG$6:$OG$42=1))&gt;0)</f>
        <v/>
      </c>
      <c r="OI19">
        <f>$OI$18+--($OH19)</f>
        <v/>
      </c>
      <c r="OJ19">
        <f>IF(ROW()-3&gt;MAX($OI$4:$OI$40),"",INDEX($DK$4:$DK$40,MATCH(ROW()-3,$OI$4:$OI$40,0)))</f>
        <v/>
      </c>
      <c r="OK19">
        <f>IF(COUNTIF('Buyer Groups'!DG19:EA19,0)+COUNTIF('Buyer Groups'!EC19:EN19,0)&gt;0,0,1)</f>
        <v/>
      </c>
      <c r="OL19">
        <f>IF($DP$19="",FALSE,SUMPRODUCT(('Final Calculation Sheet'!$V$4:$V$40=$DP$19)*($OK$6:$OK$42=1))&gt;0)</f>
        <v/>
      </c>
      <c r="OM19">
        <f>$OM$18+--($OL19)</f>
        <v/>
      </c>
      <c r="ON19">
        <f>IF(ROW()-3&gt;MAX($OM$4:$OM$40),"",INDEX($DP$4:$DP$40,MATCH(ROW()-3,$OM$4:$OM$40,0)))</f>
        <v/>
      </c>
      <c r="OO19">
        <f>IF(COUNTIF('Buyer Groups'!DG19:EB19,0)+COUNTIF('Buyer Groups'!ED19:EN19,0)&gt;0,0,1)</f>
        <v/>
      </c>
      <c r="OP19">
        <f>IF($DU$19="",FALSE,SUMPRODUCT(('Final Calculation Sheet'!$W$4:$W$40=$DU$19)*($OO$6:$OO$42=1))&gt;0)</f>
        <v/>
      </c>
      <c r="OQ19">
        <f>$OQ$18+--($OP19)</f>
        <v/>
      </c>
      <c r="OR19">
        <f>IF(ROW()-3&gt;MAX($OQ$4:$OQ$40),"",INDEX($DU$4:$DU$40,MATCH(ROW()-3,$OQ$4:$OQ$40,0)))</f>
        <v/>
      </c>
      <c r="OS19">
        <f>IF(COUNTIF('Buyer Groups'!DG19:EC19,0)+COUNTIF('Buyer Groups'!EE19:EN19,0)&gt;0,0,1)</f>
        <v/>
      </c>
      <c r="OT19">
        <f>IF($DZ$19="",FALSE,SUMPRODUCT(('Final Calculation Sheet'!$X$4:$X$40=$DZ$19)*($OS$6:$OS$42=1))&gt;0)</f>
        <v/>
      </c>
      <c r="OU19">
        <f>$OU$18+--($OT19)</f>
        <v/>
      </c>
      <c r="OV19">
        <f>IF(ROW()-3&gt;MAX($OU$4:$OU$40),"",INDEX($DZ$4:$DZ$40,MATCH(ROW()-3,$OU$4:$OU$40,0)))</f>
        <v/>
      </c>
      <c r="OW19">
        <f>IF(COUNTIF('Buyer Groups'!DG19:ED19,0)+COUNTIF('Buyer Groups'!EF19:EN19,0)&gt;0,0,1)</f>
        <v/>
      </c>
      <c r="OX19">
        <f>IF($EE$19="",FALSE,SUMPRODUCT(('Final Calculation Sheet'!$Y$4:$Y$40=$EE$19)*($OW$6:$OW$42=1))&gt;0)</f>
        <v/>
      </c>
      <c r="OY19">
        <f>$OY$18+--($OX19)</f>
        <v/>
      </c>
      <c r="OZ19">
        <f>IF(ROW()-3&gt;MAX($OY$4:$OY$40),"",INDEX($EE$4:$EE$40,MATCH(ROW()-3,$OY$4:$OY$40,0)))</f>
        <v/>
      </c>
      <c r="PA19">
        <f>IF(COUNTIF('Buyer Groups'!DG19:EE19,0)+COUNTIF('Buyer Groups'!EG19:EN19,0)&gt;0,0,1)</f>
        <v/>
      </c>
      <c r="PB19">
        <f>IF($EJ$19="",FALSE,SUMPRODUCT(('Final Calculation Sheet'!$Z$4:$Z$40=$EJ$19)*($PA$6:$PA$42=1))&gt;0)</f>
        <v/>
      </c>
      <c r="PC19">
        <f>$PC$18+--($PB19)</f>
        <v/>
      </c>
      <c r="PD19">
        <f>IF(ROW()-3&gt;MAX($PC$4:$PC$40),"",INDEX($EJ$4:$EJ$40,MATCH(ROW()-3,$PC$4:$PC$40,0)))</f>
        <v/>
      </c>
      <c r="PE19">
        <f>IF(COUNTIF('Buyer Groups'!DG19:EF19,0)+COUNTIF('Buyer Groups'!EH19:EN19,0)&gt;0,0,1)</f>
        <v/>
      </c>
      <c r="PF19">
        <f>IF($EO$19="",FALSE,SUMPRODUCT(('Final Calculation Sheet'!$AA$4:$AA$40=$EO$19)*($PE$6:$PE$42=1))&gt;0)</f>
        <v/>
      </c>
      <c r="PG19">
        <f>$PG$18+--($PF19)</f>
        <v/>
      </c>
      <c r="PH19">
        <f>IF(ROW()-3&gt;MAX($PG$4:$PG$40),"",INDEX($EO$4:$EO$40,MATCH(ROW()-3,$PG$4:$PG$40,0)))</f>
        <v/>
      </c>
      <c r="PI19">
        <f>IF(COUNTIF('Buyer Groups'!DG19:EG19,0)+COUNTIF('Buyer Groups'!EI19:EN19,0)&gt;0,0,1)</f>
        <v/>
      </c>
      <c r="PJ19">
        <f>IF($ET$19="",FALSE,SUMPRODUCT(('Final Calculation Sheet'!$AB$4:$AB$40=$ET$19)*($PI$6:$PI$42=1))&gt;0)</f>
        <v/>
      </c>
      <c r="PK19">
        <f>$PK$18+--($PJ19)</f>
        <v/>
      </c>
      <c r="PL19">
        <f>IF(ROW()-3&gt;MAX($PK$4:$PK$40),"",INDEX($ET$4:$ET$40,MATCH(ROW()-3,$PK$4:$PK$40,0)))</f>
        <v/>
      </c>
      <c r="PM19">
        <f>IF(COUNTIF('Buyer Groups'!DG19:EH19,0)+COUNTIF('Buyer Groups'!EJ19:EN19,0)&gt;0,0,1)</f>
        <v/>
      </c>
      <c r="PN19">
        <f>IF($EY$19="",FALSE,SUMPRODUCT(('Final Calculation Sheet'!$AC$4:$AC$40=$EY$19)*($PM$6:$PM$42=1))&gt;0)</f>
        <v/>
      </c>
      <c r="PO19">
        <f>$PO$18+--($PN19)</f>
        <v/>
      </c>
      <c r="PP19">
        <f>IF(ROW()-3&gt;MAX($PO$4:$PO$40),"",INDEX($EY$4:$EY$40,MATCH(ROW()-3,$PO$4:$PO$40,0)))</f>
        <v/>
      </c>
      <c r="PQ19">
        <f>IF(COUNTIF('Buyer Groups'!DG19:EI19,0)+COUNTIF('Buyer Groups'!EK19:EN19,0)&gt;0,0,1)</f>
        <v/>
      </c>
      <c r="PR19">
        <f>IF($FD$19="",FALSE,SUMPRODUCT(('Final Calculation Sheet'!$AD$4:$AD$40=$FD$19)*($PQ$6:$PQ$42=1))&gt;0)</f>
        <v/>
      </c>
      <c r="PS19">
        <f>$PS$18+--($PR19)</f>
        <v/>
      </c>
      <c r="PT19">
        <f>IF(ROW()-3&gt;MAX($PS$4:$PS$40),"",INDEX($FD$4:$FD$40,MATCH(ROW()-3,$PS$4:$PS$40,0)))</f>
        <v/>
      </c>
      <c r="PU19">
        <f>IF(COUNTIF('Buyer Groups'!DG19:EJ19,0)+COUNTIF('Buyer Groups'!EL19:EN19,0)&gt;0,0,1)</f>
        <v/>
      </c>
      <c r="PV19">
        <f>IF($FX$19="",FALSE,SUMPRODUCT((IF('Final Calculation Sheet'!$AD$4:$AD$40&lt;=5,"SETTLED","OUTSTANDING")=$FX$19)*($PU$6:$PU$42=1))&gt;0)</f>
        <v/>
      </c>
      <c r="PW19">
        <f>$PW$18+--($PV19)</f>
        <v/>
      </c>
      <c r="PX19">
        <f>IF(ROW()-3&gt;MAX($PW$4:$PW$40),"",INDEX($FX$4:$FX$40,MATCH(ROW()-3,$PW$4:$PW$40,0)))</f>
        <v/>
      </c>
      <c r="PY19">
        <f>IF(COUNTIF('Buyer Groups'!DG19:EK19,0)+COUNTIF('Buyer Groups'!EM19:EN19,0)&gt;0,0,1)</f>
        <v/>
      </c>
      <c r="PZ19">
        <f>IF($FI$19="",FALSE,SUMPRODUCT(('Final Calculation Sheet'!$AF$4:$AF$40=$FI$19)*($PY$6:$PY$42=1))&gt;0)</f>
        <v/>
      </c>
      <c r="QA19">
        <f>$QA$18+--($PZ19)</f>
        <v/>
      </c>
      <c r="QB19">
        <f>IF(ROW()-3&gt;MAX($QA$4:$QA$40),"",INDEX($FI$4:$FI$40,MATCH(ROW()-3,$QA$4:$QA$40,0)))</f>
        <v/>
      </c>
      <c r="QC19">
        <f>IF(COUNTIF('Buyer Groups'!DG19:EL19,0)+COUNTIF('Buyer Groups'!EN19:EN19,0)&gt;0,0,1)</f>
        <v/>
      </c>
      <c r="QD19">
        <f>IF($FN$19="",FALSE,SUMPRODUCT(('Final Calculation Sheet'!$AG$4:$AG$40=$FN$19)*($QC$6:$QC$42=1))&gt;0)</f>
        <v/>
      </c>
      <c r="QE19">
        <f>$QE$18+--($QD19)</f>
        <v/>
      </c>
      <c r="QF19">
        <f>IF(ROW()-3&gt;MAX($QE$4:$QE$40),"",INDEX($FN$4:$FN$40,MATCH(ROW()-3,$QE$4:$QE$40,0)))</f>
        <v/>
      </c>
      <c r="QG19">
        <f>IF(COUNTIF('Buyer Groups'!DG19:EM19,0)&gt;0,0,1)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Groups'!DH20:EN20,0)&gt;0,0,1)</f>
        <v/>
      </c>
      <c r="LF20">
        <f>IF($O$20="",FALSE,SUMPRODUCT(('Final Calculation Sheet'!$F$4:$F$40=$O$20)*($LE$6:$LE$42=1))&gt;0)</f>
        <v/>
      </c>
      <c r="LG20">
        <f>$LG$19+--($LF20)</f>
        <v/>
      </c>
      <c r="LH20">
        <f>IF(ROW()-3&gt;MAX($LG$4:$LG$40),"",INDEX($O$4:$O$40,MATCH(ROW()-3,$LG$4:$LG$40,0)))</f>
        <v/>
      </c>
      <c r="LI20">
        <f>IF(COUNTIF('Buyer Groups'!DG20:DG20,0)+COUNTIF('Buyer Groups'!DI20:EN20,0)&gt;0,0,1)</f>
        <v/>
      </c>
      <c r="LJ20">
        <f>IF($T$20="",FALSE,SUMPRODUCT(('Final Calculation Sheet'!$G$4:$G$40=$T$20)*($LI$6:$LI$42=1))&gt;0)</f>
        <v/>
      </c>
      <c r="LK20">
        <f>$LK$19+--($LJ20)</f>
        <v/>
      </c>
      <c r="LL20">
        <f>IF(ROW()-3&gt;MAX($LK$4:$LK$40),"",INDEX($T$4:$T$40,MATCH(ROW()-3,$LK$4:$LK$40,0)))</f>
        <v/>
      </c>
      <c r="LM20">
        <f>IF(COUNTIF('Buyer Groups'!DG20:DH20,0)+COUNTIF('Buyer Groups'!DJ20:EN20,0)&gt;0,0,1)</f>
        <v/>
      </c>
      <c r="LN20">
        <f>IF($Y$20="",FALSE,SUMPRODUCT(('Final Calculation Sheet'!$B$4:$B$40=$Y$20)*($LM$6:$LM$42=1))&gt;0)</f>
        <v/>
      </c>
      <c r="LO20">
        <f>$LO$19+--($LN20)</f>
        <v/>
      </c>
      <c r="LP20">
        <f>IF(ROW()-3&gt;MAX($LO$4:$LO$40),"",INDEX($Y$4:$Y$40,MATCH(ROW()-3,$LO$4:$LO$40,0)))</f>
        <v/>
      </c>
      <c r="LQ20">
        <f>IF(COUNTIF('Buyer Groups'!DG20:DI20,0)+COUNTIF('Buyer Groups'!DK20:EN20,0)&gt;0,0,1)</f>
        <v/>
      </c>
      <c r="LR20">
        <f>IF($AD$20="",FALSE,SUMPRODUCT(('Final Calculation Sheet'!$D$4:$D$40=$AD$20)*($LQ$6:$LQ$42=1))&gt;0)</f>
        <v/>
      </c>
      <c r="LS20">
        <f>$LS$19+--($LR20)</f>
        <v/>
      </c>
      <c r="LT20">
        <f>IF(ROW()-3&gt;MAX($LS$4:$LS$40),"",INDEX($AD$4:$AD$40,MATCH(ROW()-3,$LS$4:$LS$40,0)))</f>
        <v/>
      </c>
      <c r="LU20">
        <f>IF(COUNTIF('Buyer Groups'!DG20:DJ20,0)+COUNTIF('Buyer Groups'!DL20:EN20,0)&gt;0,0,1)</f>
        <v/>
      </c>
      <c r="LV20">
        <f>IF($AI$20="",FALSE,SUMPRODUCT(('Final Calculation Sheet'!$A$4:$A$40=$AI$20)*($LU$6:$LU$42=1))&gt;0)</f>
        <v/>
      </c>
      <c r="LW20">
        <f>$LW$19+--($LV20)</f>
        <v/>
      </c>
      <c r="LX20">
        <f>IF(ROW()-3&gt;MAX($LW$4:$LW$40),"",INDEX($AI$4:$AI$40,MATCH(ROW()-3,$LW$4:$LW$40,0)))</f>
        <v/>
      </c>
      <c r="LY20">
        <f>IF(COUNTIF('Buyer Groups'!DG20:DK20,0)+COUNTIF('Buyer Groups'!DM20:EN20,0)&gt;0,0,1)</f>
        <v/>
      </c>
      <c r="LZ20">
        <f>IF($AN$20="",FALSE,SUMPRODUCT(('Final Calculation Sheet'!$E$4:$E$40=$AN$20)*($LY$6:$LY$42=1))&gt;0)</f>
        <v/>
      </c>
      <c r="MA20">
        <f>$MA$19+--($LZ20)</f>
        <v/>
      </c>
      <c r="MB20">
        <f>IF(ROW()-3&gt;MAX($MA$4:$MA$40),"",INDEX($AN$4:$AN$40,MATCH(ROW()-3,$MA$4:$MA$40,0)))</f>
        <v/>
      </c>
      <c r="MC20">
        <f>IF(COUNTIF('Buyer Groups'!DG20:DL20,0)+COUNTIF('Buyer Groups'!DN20:EN20,0)&gt;0,0,1)</f>
        <v/>
      </c>
      <c r="MD20">
        <f>IF($AS$20="",FALSE,SUMPRODUCT(('Final Calculation Sheet'!$C$4:$C$40=$AS$20)*($MC$6:$MC$42=1))&gt;0)</f>
        <v/>
      </c>
      <c r="ME20">
        <f>$ME$19+--($MD20)</f>
        <v/>
      </c>
      <c r="MF20">
        <f>IF(ROW()-3&gt;MAX($ME$4:$ME$40),"",INDEX($AS$4:$AS$40,MATCH(ROW()-3,$ME$4:$ME$40,0)))</f>
        <v/>
      </c>
      <c r="MG20">
        <f>IF(COUNTIF('Buyer Groups'!DG20:DM20,0)+COUNTIF('Buyer Groups'!DO20:EN20,0)&gt;0,0,1)</f>
        <v/>
      </c>
      <c r="MH20">
        <f>IF($AX$20="",FALSE,SUMPRODUCT(('Final Calculation Sheet'!$H$4:$H$40=$AX$20)*($MG$6:$MG$42=1))&gt;0)</f>
        <v/>
      </c>
      <c r="MI20">
        <f>$MI$19+--($MH20)</f>
        <v/>
      </c>
      <c r="MJ20">
        <f>IF(ROW()-3&gt;MAX($MI$4:$MI$40),"",INDEX($AX$4:$AX$40,MATCH(ROW()-3,$MI$4:$MI$40,0)))</f>
        <v/>
      </c>
      <c r="MK20">
        <f>IF(COUNTIF('Buyer Groups'!DG20:DN20,0)+COUNTIF('Buyer Groups'!DP20:EN20,0)&gt;0,0,1)</f>
        <v/>
      </c>
      <c r="ML20">
        <f>IF($BC$20="",FALSE,SUMPRODUCT(('Final Calculation Sheet'!$I$4:$I$40=$BC$20)*($MK$6:$MK$42=1))&gt;0)</f>
        <v/>
      </c>
      <c r="MM20">
        <f>$MM$19+--($ML20)</f>
        <v/>
      </c>
      <c r="MN20">
        <f>IF(ROW()-3&gt;MAX($MM$4:$MM$40),"",INDEX($BC$4:$BC$40,MATCH(ROW()-3,$MM$4:$MM$40,0)))</f>
        <v/>
      </c>
      <c r="MO20">
        <f>IF(COUNTIF('Buyer Groups'!DG20:DO20,0)+COUNTIF('Buyer Groups'!DQ20:EN20,0)&gt;0,0,1)</f>
        <v/>
      </c>
      <c r="MP20">
        <f>IF($BH$20="",FALSE,SUMPRODUCT(('Final Calculation Sheet'!$J$4:$J$40=$BH$20)*($MO$6:$MO$42=1))&gt;0)</f>
        <v/>
      </c>
      <c r="MQ20">
        <f>$MQ$19+--($MP20)</f>
        <v/>
      </c>
      <c r="MR20">
        <f>IF(ROW()-3&gt;MAX($MQ$4:$MQ$40),"",INDEX($BH$4:$BH$40,MATCH(ROW()-3,$MQ$4:$MQ$40,0)))</f>
        <v/>
      </c>
      <c r="MS20">
        <f>IF(COUNTIF('Buyer Groups'!DG20:DP20,0)+COUNTIF('Buyer Groups'!DR20:EN20,0)&gt;0,0,1)</f>
        <v/>
      </c>
      <c r="MT20">
        <f>IF($BM$20="",FALSE,SUMPRODUCT(('Final Calculation Sheet'!$K$4:$K$40=$BM$20)*($MS$6:$MS$42=1))&gt;0)</f>
        <v/>
      </c>
      <c r="MU20">
        <f>$MU$19+--($MT20)</f>
        <v/>
      </c>
      <c r="MV20">
        <f>IF(ROW()-3&gt;MAX($MU$4:$MU$40),"",INDEX($BM$4:$BM$40,MATCH(ROW()-3,$MU$4:$MU$40,0)))</f>
        <v/>
      </c>
      <c r="MW20">
        <f>IF(COUNTIF('Buyer Groups'!DG20:DQ20,0)+COUNTIF('Buyer Groups'!DS20:EN20,0)&gt;0,0,1)</f>
        <v/>
      </c>
      <c r="MX20">
        <f>IF($BR$20="",FALSE,SUMPRODUCT(('Final Calculation Sheet'!$L$4:$L$40=$BR$20)*($MW$6:$MW$42=1))&gt;0)</f>
        <v/>
      </c>
      <c r="MY20">
        <f>$MY$19+--($MX20)</f>
        <v/>
      </c>
      <c r="MZ20">
        <f>IF(ROW()-3&gt;MAX($MY$4:$MY$40),"",INDEX($BR$4:$BR$40,MATCH(ROW()-3,$MY$4:$MY$40,0)))</f>
        <v/>
      </c>
      <c r="NA20">
        <f>IF(COUNTIF('Buyer Groups'!DG20:DR20,0)+COUNTIF('Buyer Groups'!DT20:EN20,0)&gt;0,0,1)</f>
        <v/>
      </c>
      <c r="NB20">
        <f>IF($BW$20="",FALSE,SUMPRODUCT(('Final Calculation Sheet'!$M$4:$M$40=$BW$20)*($NA$6:$NA$42=1))&gt;0)</f>
        <v/>
      </c>
      <c r="NC20">
        <f>$NC$19+--($NB20)</f>
        <v/>
      </c>
      <c r="ND20">
        <f>IF(ROW()-3&gt;MAX($NC$4:$NC$40),"",INDEX($BW$4:$BW$40,MATCH(ROW()-3,$NC$4:$NC$40,0)))</f>
        <v/>
      </c>
      <c r="NE20">
        <f>IF(COUNTIF('Buyer Groups'!DG20:DS20,0)+COUNTIF('Buyer Groups'!DU20:EN20,0)&gt;0,0,1)</f>
        <v/>
      </c>
      <c r="NF20">
        <f>IF($CB$20="",FALSE,SUMPRODUCT(('Final Calculation Sheet'!$N$4:$N$40=$CB$20)*($NE$6:$NE$42=1))&gt;0)</f>
        <v/>
      </c>
      <c r="NG20">
        <f>$NG$19+--($NF20)</f>
        <v/>
      </c>
      <c r="NH20">
        <f>IF(ROW()-3&gt;MAX($NG$4:$NG$40),"",INDEX($CB$4:$CB$40,MATCH(ROW()-3,$NG$4:$NG$40,0)))</f>
        <v/>
      </c>
      <c r="NI20">
        <f>IF(COUNTIF('Buyer Groups'!DG20:DT20,0)+COUNTIF('Buyer Groups'!DV20:EN20,0)&gt;0,0,1)</f>
        <v/>
      </c>
      <c r="NJ20">
        <f>IF($CG$20="",FALSE,SUMPRODUCT(('Final Calculation Sheet'!$O$4:$O$40=$CG$20)*($NI$6:$NI$42=1))&gt;0)</f>
        <v/>
      </c>
      <c r="NK20">
        <f>$NK$19+--($NJ20)</f>
        <v/>
      </c>
      <c r="NL20">
        <f>IF(ROW()-3&gt;MAX($NK$4:$NK$40),"",INDEX($CG$4:$CG$40,MATCH(ROW()-3,$NK$4:$NK$40,0)))</f>
        <v/>
      </c>
      <c r="NM20">
        <f>IF(COUNTIF('Buyer Groups'!DG20:DU20,0)+COUNTIF('Buyer Groups'!DW20:EN20,0)&gt;0,0,1)</f>
        <v/>
      </c>
      <c r="NN20">
        <f>IF($CL$20="",FALSE,SUMPRODUCT(('Final Calculation Sheet'!$P$4:$P$40=$CL$20)*($NM$6:$NM$42=1))&gt;0)</f>
        <v/>
      </c>
      <c r="NO20">
        <f>$NO$19+--($NN20)</f>
        <v/>
      </c>
      <c r="NP20">
        <f>IF(ROW()-3&gt;MAX($NO$4:$NO$40),"",INDEX($CL$4:$CL$40,MATCH(ROW()-3,$NO$4:$NO$40,0)))</f>
        <v/>
      </c>
      <c r="NQ20">
        <f>IF(COUNTIF('Buyer Groups'!DG20:DV20,0)+COUNTIF('Buyer Groups'!DX20:EN20,0)&gt;0,0,1)</f>
        <v/>
      </c>
      <c r="NR20">
        <f>IF($CQ$20="",FALSE,SUMPRODUCT(('Final Calculation Sheet'!$Q$4:$Q$40=$CQ$20)*($NQ$6:$NQ$42=1))&gt;0)</f>
        <v/>
      </c>
      <c r="NS20">
        <f>$NS$19+--($NR20)</f>
        <v/>
      </c>
      <c r="NT20">
        <f>IF(ROW()-3&gt;MAX($NS$4:$NS$40),"",INDEX($CQ$4:$CQ$40,MATCH(ROW()-3,$NS$4:$NS$40,0)))</f>
        <v/>
      </c>
      <c r="NU20">
        <f>IF(COUNTIF('Buyer Groups'!DG20:DW20,0)+COUNTIF('Buyer Groups'!DY20:EN20,0)&gt;0,0,1)</f>
        <v/>
      </c>
      <c r="NV20">
        <f>IF($CV$20="",FALSE,SUMPRODUCT(('Final Calculation Sheet'!$R$4:$R$40=$CV$20)*($NU$6:$NU$42=1))&gt;0)</f>
        <v/>
      </c>
      <c r="NW20">
        <f>$NW$19+--($NV20)</f>
        <v/>
      </c>
      <c r="NX20">
        <f>IF(ROW()-3&gt;MAX($NW$4:$NW$40),"",INDEX($CV$4:$CV$40,MATCH(ROW()-3,$NW$4:$NW$40,0)))</f>
        <v/>
      </c>
      <c r="NY20">
        <f>IF(COUNTIF('Buyer Groups'!DG20:DX20,0)+COUNTIF('Buyer Groups'!DZ20:EN20,0)&gt;0,0,1)</f>
        <v/>
      </c>
      <c r="NZ20">
        <f>IF($DA$20="",FALSE,SUMPRODUCT(('Final Calculation Sheet'!$S$4:$S$40=$DA$20)*($NY$6:$NY$42=1))&gt;0)</f>
        <v/>
      </c>
      <c r="OA20">
        <f>$OA$19+--($NZ20)</f>
        <v/>
      </c>
      <c r="OB20">
        <f>IF(ROW()-3&gt;MAX($OA$4:$OA$40),"",INDEX($DA$4:$DA$40,MATCH(ROW()-3,$OA$4:$OA$40,0)))</f>
        <v/>
      </c>
      <c r="OC20">
        <f>IF(COUNTIF('Buyer Groups'!DG20:DY20,0)+COUNTIF('Buyer Groups'!EA20:EN20,0)&gt;0,0,1)</f>
        <v/>
      </c>
      <c r="OD20">
        <f>IF($DF$20="",FALSE,SUMPRODUCT(('Final Calculation Sheet'!$T$4:$T$40=$DF$20)*($OC$6:$OC$42=1))&gt;0)</f>
        <v/>
      </c>
      <c r="OE20">
        <f>$OE$19+--($OD20)</f>
        <v/>
      </c>
      <c r="OF20">
        <f>IF(ROW()-3&gt;MAX($OE$4:$OE$40),"",INDEX($DF$4:$DF$40,MATCH(ROW()-3,$OE$4:$OE$40,0)))</f>
        <v/>
      </c>
      <c r="OG20">
        <f>IF(COUNTIF('Buyer Groups'!DG20:DZ20,0)+COUNTIF('Buyer Groups'!EB20:EN20,0)&gt;0,0,1)</f>
        <v/>
      </c>
      <c r="OH20">
        <f>IF($DK$20="",FALSE,SUMPRODUCT(('Final Calculation Sheet'!$U$4:$U$40=$DK$20)*($OG$6:$OG$42=1))&gt;0)</f>
        <v/>
      </c>
      <c r="OI20">
        <f>$OI$19+--($OH20)</f>
        <v/>
      </c>
      <c r="OJ20">
        <f>IF(ROW()-3&gt;MAX($OI$4:$OI$40),"",INDEX($DK$4:$DK$40,MATCH(ROW()-3,$OI$4:$OI$40,0)))</f>
        <v/>
      </c>
      <c r="OK20">
        <f>IF(COUNTIF('Buyer Groups'!DG20:EA20,0)+COUNTIF('Buyer Groups'!EC20:EN20,0)&gt;0,0,1)</f>
        <v/>
      </c>
      <c r="OL20">
        <f>IF($DP$20="",FALSE,SUMPRODUCT(('Final Calculation Sheet'!$V$4:$V$40=$DP$20)*($OK$6:$OK$42=1))&gt;0)</f>
        <v/>
      </c>
      <c r="OM20">
        <f>$OM$19+--($OL20)</f>
        <v/>
      </c>
      <c r="ON20">
        <f>IF(ROW()-3&gt;MAX($OM$4:$OM$40),"",INDEX($DP$4:$DP$40,MATCH(ROW()-3,$OM$4:$OM$40,0)))</f>
        <v/>
      </c>
      <c r="OO20">
        <f>IF(COUNTIF('Buyer Groups'!DG20:EB20,0)+COUNTIF('Buyer Groups'!ED20:EN20,0)&gt;0,0,1)</f>
        <v/>
      </c>
      <c r="OP20">
        <f>IF($DU$20="",FALSE,SUMPRODUCT(('Final Calculation Sheet'!$W$4:$W$40=$DU$20)*($OO$6:$OO$42=1))&gt;0)</f>
        <v/>
      </c>
      <c r="OQ20">
        <f>$OQ$19+--($OP20)</f>
        <v/>
      </c>
      <c r="OR20">
        <f>IF(ROW()-3&gt;MAX($OQ$4:$OQ$40),"",INDEX($DU$4:$DU$40,MATCH(ROW()-3,$OQ$4:$OQ$40,0)))</f>
        <v/>
      </c>
      <c r="OS20">
        <f>IF(COUNTIF('Buyer Groups'!DG20:EC20,0)+COUNTIF('Buyer Groups'!EE20:EN20,0)&gt;0,0,1)</f>
        <v/>
      </c>
      <c r="OT20">
        <f>IF($DZ$20="",FALSE,SUMPRODUCT(('Final Calculation Sheet'!$X$4:$X$40=$DZ$20)*($OS$6:$OS$42=1))&gt;0)</f>
        <v/>
      </c>
      <c r="OU20">
        <f>$OU$19+--($OT20)</f>
        <v/>
      </c>
      <c r="OV20">
        <f>IF(ROW()-3&gt;MAX($OU$4:$OU$40),"",INDEX($DZ$4:$DZ$40,MATCH(ROW()-3,$OU$4:$OU$40,0)))</f>
        <v/>
      </c>
      <c r="OW20">
        <f>IF(COUNTIF('Buyer Groups'!DG20:ED20,0)+COUNTIF('Buyer Groups'!EF20:EN20,0)&gt;0,0,1)</f>
        <v/>
      </c>
      <c r="OX20">
        <f>IF($EE$20="",FALSE,SUMPRODUCT(('Final Calculation Sheet'!$Y$4:$Y$40=$EE$20)*($OW$6:$OW$42=1))&gt;0)</f>
        <v/>
      </c>
      <c r="OY20">
        <f>$OY$19+--($OX20)</f>
        <v/>
      </c>
      <c r="OZ20">
        <f>IF(ROW()-3&gt;MAX($OY$4:$OY$40),"",INDEX($EE$4:$EE$40,MATCH(ROW()-3,$OY$4:$OY$40,0)))</f>
        <v/>
      </c>
      <c r="PA20">
        <f>IF(COUNTIF('Buyer Groups'!DG20:EE20,0)+COUNTIF('Buyer Groups'!EG20:EN20,0)&gt;0,0,1)</f>
        <v/>
      </c>
      <c r="PB20">
        <f>IF($EJ$20="",FALSE,SUMPRODUCT(('Final Calculation Sheet'!$Z$4:$Z$40=$EJ$20)*($PA$6:$PA$42=1))&gt;0)</f>
        <v/>
      </c>
      <c r="PC20">
        <f>$PC$19+--($PB20)</f>
        <v/>
      </c>
      <c r="PD20">
        <f>IF(ROW()-3&gt;MAX($PC$4:$PC$40),"",INDEX($EJ$4:$EJ$40,MATCH(ROW()-3,$PC$4:$PC$40,0)))</f>
        <v/>
      </c>
      <c r="PE20">
        <f>IF(COUNTIF('Buyer Groups'!DG20:EF20,0)+COUNTIF('Buyer Groups'!EH20:EN20,0)&gt;0,0,1)</f>
        <v/>
      </c>
      <c r="PF20">
        <f>IF($EO$20="",FALSE,SUMPRODUCT(('Final Calculation Sheet'!$AA$4:$AA$40=$EO$20)*($PE$6:$PE$42=1))&gt;0)</f>
        <v/>
      </c>
      <c r="PG20">
        <f>$PG$19+--($PF20)</f>
        <v/>
      </c>
      <c r="PH20">
        <f>IF(ROW()-3&gt;MAX($PG$4:$PG$40),"",INDEX($EO$4:$EO$40,MATCH(ROW()-3,$PG$4:$PG$40,0)))</f>
        <v/>
      </c>
      <c r="PI20">
        <f>IF(COUNTIF('Buyer Groups'!DG20:EG20,0)+COUNTIF('Buyer Groups'!EI20:EN20,0)&gt;0,0,1)</f>
        <v/>
      </c>
      <c r="PJ20">
        <f>IF($ET$20="",FALSE,SUMPRODUCT(('Final Calculation Sheet'!$AB$4:$AB$40=$ET$20)*($PI$6:$PI$42=1))&gt;0)</f>
        <v/>
      </c>
      <c r="PK20">
        <f>$PK$19+--($PJ20)</f>
        <v/>
      </c>
      <c r="PL20">
        <f>IF(ROW()-3&gt;MAX($PK$4:$PK$40),"",INDEX($ET$4:$ET$40,MATCH(ROW()-3,$PK$4:$PK$40,0)))</f>
        <v/>
      </c>
      <c r="PM20">
        <f>IF(COUNTIF('Buyer Groups'!DG20:EH20,0)+COUNTIF('Buyer Groups'!EJ20:EN20,0)&gt;0,0,1)</f>
        <v/>
      </c>
      <c r="PN20">
        <f>IF($EY$20="",FALSE,SUMPRODUCT(('Final Calculation Sheet'!$AC$4:$AC$40=$EY$20)*($PM$6:$PM$42=1))&gt;0)</f>
        <v/>
      </c>
      <c r="PO20">
        <f>$PO$19+--($PN20)</f>
        <v/>
      </c>
      <c r="PP20">
        <f>IF(ROW()-3&gt;MAX($PO$4:$PO$40),"",INDEX($EY$4:$EY$40,MATCH(ROW()-3,$PO$4:$PO$40,0)))</f>
        <v/>
      </c>
      <c r="PQ20">
        <f>IF(COUNTIF('Buyer Groups'!DG20:EI20,0)+COUNTIF('Buyer Groups'!EK20:EN20,0)&gt;0,0,1)</f>
        <v/>
      </c>
      <c r="PR20">
        <f>IF($FD$20="",FALSE,SUMPRODUCT(('Final Calculation Sheet'!$AD$4:$AD$40=$FD$20)*($PQ$6:$PQ$42=1))&gt;0)</f>
        <v/>
      </c>
      <c r="PS20">
        <f>$PS$19+--($PR20)</f>
        <v/>
      </c>
      <c r="PT20">
        <f>IF(ROW()-3&gt;MAX($PS$4:$PS$40),"",INDEX($FD$4:$FD$40,MATCH(ROW()-3,$PS$4:$PS$40,0)))</f>
        <v/>
      </c>
      <c r="PU20">
        <f>IF(COUNTIF('Buyer Groups'!DG20:EJ20,0)+COUNTIF('Buyer Groups'!EL20:EN20,0)&gt;0,0,1)</f>
        <v/>
      </c>
      <c r="PV20">
        <f>IF($FX$20="",FALSE,SUMPRODUCT((IF('Final Calculation Sheet'!$AD$4:$AD$40&lt;=5,"SETTLED","OUTSTANDING")=$FX$20)*($PU$6:$PU$42=1))&gt;0)</f>
        <v/>
      </c>
      <c r="PW20">
        <f>$PW$19+--($PV20)</f>
        <v/>
      </c>
      <c r="PX20">
        <f>IF(ROW()-3&gt;MAX($PW$4:$PW$40),"",INDEX($FX$4:$FX$40,MATCH(ROW()-3,$PW$4:$PW$40,0)))</f>
        <v/>
      </c>
      <c r="PY20">
        <f>IF(COUNTIF('Buyer Groups'!DG20:EK20,0)+COUNTIF('Buyer Groups'!EM20:EN20,0)&gt;0,0,1)</f>
        <v/>
      </c>
      <c r="PZ20">
        <f>IF($FI$20="",FALSE,SUMPRODUCT(('Final Calculation Sheet'!$AF$4:$AF$40=$FI$20)*($PY$6:$PY$42=1))&gt;0)</f>
        <v/>
      </c>
      <c r="QA20">
        <f>$QA$19+--($PZ20)</f>
        <v/>
      </c>
      <c r="QB20">
        <f>IF(ROW()-3&gt;MAX($QA$4:$QA$40),"",INDEX($FI$4:$FI$40,MATCH(ROW()-3,$QA$4:$QA$40,0)))</f>
        <v/>
      </c>
      <c r="QC20">
        <f>IF(COUNTIF('Buyer Groups'!DG20:EL20,0)+COUNTIF('Buyer Groups'!EN20:EN20,0)&gt;0,0,1)</f>
        <v/>
      </c>
      <c r="QD20">
        <f>IF($FN$20="",FALSE,SUMPRODUCT(('Final Calculation Sheet'!$AG$4:$AG$40=$FN$20)*($QC$6:$QC$42=1))&gt;0)</f>
        <v/>
      </c>
      <c r="QE20">
        <f>$QE$19+--($QD20)</f>
        <v/>
      </c>
      <c r="QF20">
        <f>IF(ROW()-3&gt;MAX($QE$4:$QE$40),"",INDEX($FN$4:$FN$40,MATCH(ROW()-3,$QE$4:$QE$40,0)))</f>
        <v/>
      </c>
      <c r="QG20">
        <f>IF(COUNTIF('Buyer Groups'!DG20:EM20,0)&gt;0,0,1)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Groups'!DH21:EN21,0)&gt;0,0,1)</f>
        <v/>
      </c>
      <c r="LF21">
        <f>IF($O$21="",FALSE,SUMPRODUCT(('Final Calculation Sheet'!$F$4:$F$40=$O$21)*($LE$6:$LE$42=1))&gt;0)</f>
        <v/>
      </c>
      <c r="LG21">
        <f>$LG$20+--($LF21)</f>
        <v/>
      </c>
      <c r="LH21">
        <f>IF(ROW()-3&gt;MAX($LG$4:$LG$40),"",INDEX($O$4:$O$40,MATCH(ROW()-3,$LG$4:$LG$40,0)))</f>
        <v/>
      </c>
      <c r="LI21">
        <f>IF(COUNTIF('Buyer Groups'!DG21:DG21,0)+COUNTIF('Buyer Groups'!DI21:EN21,0)&gt;0,0,1)</f>
        <v/>
      </c>
      <c r="LJ21">
        <f>IF($T$21="",FALSE,SUMPRODUCT(('Final Calculation Sheet'!$G$4:$G$40=$T$21)*($LI$6:$LI$42=1))&gt;0)</f>
        <v/>
      </c>
      <c r="LK21">
        <f>$LK$20+--($LJ21)</f>
        <v/>
      </c>
      <c r="LL21">
        <f>IF(ROW()-3&gt;MAX($LK$4:$LK$40),"",INDEX($T$4:$T$40,MATCH(ROW()-3,$LK$4:$LK$40,0)))</f>
        <v/>
      </c>
      <c r="LM21">
        <f>IF(COUNTIF('Buyer Groups'!DG21:DH21,0)+COUNTIF('Buyer Groups'!DJ21:EN21,0)&gt;0,0,1)</f>
        <v/>
      </c>
      <c r="LN21">
        <f>IF($Y$21="",FALSE,SUMPRODUCT(('Final Calculation Sheet'!$B$4:$B$40=$Y$21)*($LM$6:$LM$42=1))&gt;0)</f>
        <v/>
      </c>
      <c r="LO21">
        <f>$LO$20+--($LN21)</f>
        <v/>
      </c>
      <c r="LP21">
        <f>IF(ROW()-3&gt;MAX($LO$4:$LO$40),"",INDEX($Y$4:$Y$40,MATCH(ROW()-3,$LO$4:$LO$40,0)))</f>
        <v/>
      </c>
      <c r="LQ21">
        <f>IF(COUNTIF('Buyer Groups'!DG21:DI21,0)+COUNTIF('Buyer Groups'!DK21:EN21,0)&gt;0,0,1)</f>
        <v/>
      </c>
      <c r="LR21">
        <f>IF($AD$21="",FALSE,SUMPRODUCT(('Final Calculation Sheet'!$D$4:$D$40=$AD$21)*($LQ$6:$LQ$42=1))&gt;0)</f>
        <v/>
      </c>
      <c r="LS21">
        <f>$LS$20+--($LR21)</f>
        <v/>
      </c>
      <c r="LT21">
        <f>IF(ROW()-3&gt;MAX($LS$4:$LS$40),"",INDEX($AD$4:$AD$40,MATCH(ROW()-3,$LS$4:$LS$40,0)))</f>
        <v/>
      </c>
      <c r="LU21">
        <f>IF(COUNTIF('Buyer Groups'!DG21:DJ21,0)+COUNTIF('Buyer Groups'!DL21:EN21,0)&gt;0,0,1)</f>
        <v/>
      </c>
      <c r="LV21">
        <f>IF($AI$21="",FALSE,SUMPRODUCT(('Final Calculation Sheet'!$A$4:$A$40=$AI$21)*($LU$6:$LU$42=1))&gt;0)</f>
        <v/>
      </c>
      <c r="LW21">
        <f>$LW$20+--($LV21)</f>
        <v/>
      </c>
      <c r="LX21">
        <f>IF(ROW()-3&gt;MAX($LW$4:$LW$40),"",INDEX($AI$4:$AI$40,MATCH(ROW()-3,$LW$4:$LW$40,0)))</f>
        <v/>
      </c>
      <c r="LY21">
        <f>IF(COUNTIF('Buyer Groups'!DG21:DK21,0)+COUNTIF('Buyer Groups'!DM21:EN21,0)&gt;0,0,1)</f>
        <v/>
      </c>
      <c r="LZ21">
        <f>IF($AN$21="",FALSE,SUMPRODUCT(('Final Calculation Sheet'!$E$4:$E$40=$AN$21)*($LY$6:$LY$42=1))&gt;0)</f>
        <v/>
      </c>
      <c r="MA21">
        <f>$MA$20+--($LZ21)</f>
        <v/>
      </c>
      <c r="MB21">
        <f>IF(ROW()-3&gt;MAX($MA$4:$MA$40),"",INDEX($AN$4:$AN$40,MATCH(ROW()-3,$MA$4:$MA$40,0)))</f>
        <v/>
      </c>
      <c r="MC21">
        <f>IF(COUNTIF('Buyer Groups'!DG21:DL21,0)+COUNTIF('Buyer Groups'!DN21:EN21,0)&gt;0,0,1)</f>
        <v/>
      </c>
      <c r="MD21">
        <f>IF($AS$21="",FALSE,SUMPRODUCT(('Final Calculation Sheet'!$C$4:$C$40=$AS$21)*($MC$6:$MC$42=1))&gt;0)</f>
        <v/>
      </c>
      <c r="ME21">
        <f>$ME$20+--($MD21)</f>
        <v/>
      </c>
      <c r="MF21">
        <f>IF(ROW()-3&gt;MAX($ME$4:$ME$40),"",INDEX($AS$4:$AS$40,MATCH(ROW()-3,$ME$4:$ME$40,0)))</f>
        <v/>
      </c>
      <c r="MG21">
        <f>IF(COUNTIF('Buyer Groups'!DG21:DM21,0)+COUNTIF('Buyer Groups'!DO21:EN21,0)&gt;0,0,1)</f>
        <v/>
      </c>
      <c r="MH21">
        <f>IF($AX$21="",FALSE,SUMPRODUCT(('Final Calculation Sheet'!$H$4:$H$40=$AX$21)*($MG$6:$MG$42=1))&gt;0)</f>
        <v/>
      </c>
      <c r="MI21">
        <f>$MI$20+--($MH21)</f>
        <v/>
      </c>
      <c r="MJ21">
        <f>IF(ROW()-3&gt;MAX($MI$4:$MI$40),"",INDEX($AX$4:$AX$40,MATCH(ROW()-3,$MI$4:$MI$40,0)))</f>
        <v/>
      </c>
      <c r="MK21">
        <f>IF(COUNTIF('Buyer Groups'!DG21:DN21,0)+COUNTIF('Buyer Groups'!DP21:EN21,0)&gt;0,0,1)</f>
        <v/>
      </c>
      <c r="ML21">
        <f>IF($BC$21="",FALSE,SUMPRODUCT(('Final Calculation Sheet'!$I$4:$I$40=$BC$21)*($MK$6:$MK$42=1))&gt;0)</f>
        <v/>
      </c>
      <c r="MM21">
        <f>$MM$20+--($ML21)</f>
        <v/>
      </c>
      <c r="MN21">
        <f>IF(ROW()-3&gt;MAX($MM$4:$MM$40),"",INDEX($BC$4:$BC$40,MATCH(ROW()-3,$MM$4:$MM$40,0)))</f>
        <v/>
      </c>
      <c r="MO21">
        <f>IF(COUNTIF('Buyer Groups'!DG21:DO21,0)+COUNTIF('Buyer Groups'!DQ21:EN21,0)&gt;0,0,1)</f>
        <v/>
      </c>
      <c r="MP21">
        <f>IF($BH$21="",FALSE,SUMPRODUCT(('Final Calculation Sheet'!$J$4:$J$40=$BH$21)*($MO$6:$MO$42=1))&gt;0)</f>
        <v/>
      </c>
      <c r="MQ21">
        <f>$MQ$20+--($MP21)</f>
        <v/>
      </c>
      <c r="MR21">
        <f>IF(ROW()-3&gt;MAX($MQ$4:$MQ$40),"",INDEX($BH$4:$BH$40,MATCH(ROW()-3,$MQ$4:$MQ$40,0)))</f>
        <v/>
      </c>
      <c r="MS21">
        <f>IF(COUNTIF('Buyer Groups'!DG21:DP21,0)+COUNTIF('Buyer Groups'!DR21:EN21,0)&gt;0,0,1)</f>
        <v/>
      </c>
      <c r="MT21">
        <f>IF($BM$21="",FALSE,SUMPRODUCT(('Final Calculation Sheet'!$K$4:$K$40=$BM$21)*($MS$6:$MS$42=1))&gt;0)</f>
        <v/>
      </c>
      <c r="MU21">
        <f>$MU$20+--($MT21)</f>
        <v/>
      </c>
      <c r="MV21">
        <f>IF(ROW()-3&gt;MAX($MU$4:$MU$40),"",INDEX($BM$4:$BM$40,MATCH(ROW()-3,$MU$4:$MU$40,0)))</f>
        <v/>
      </c>
      <c r="MW21">
        <f>IF(COUNTIF('Buyer Groups'!DG21:DQ21,0)+COUNTIF('Buyer Groups'!DS21:EN21,0)&gt;0,0,1)</f>
        <v/>
      </c>
      <c r="MX21">
        <f>IF($BR$21="",FALSE,SUMPRODUCT(('Final Calculation Sheet'!$L$4:$L$40=$BR$21)*($MW$6:$MW$42=1))&gt;0)</f>
        <v/>
      </c>
      <c r="MY21">
        <f>$MY$20+--($MX21)</f>
        <v/>
      </c>
      <c r="MZ21">
        <f>IF(ROW()-3&gt;MAX($MY$4:$MY$40),"",INDEX($BR$4:$BR$40,MATCH(ROW()-3,$MY$4:$MY$40,0)))</f>
        <v/>
      </c>
      <c r="NA21">
        <f>IF(COUNTIF('Buyer Groups'!DG21:DR21,0)+COUNTIF('Buyer Groups'!DT21:EN21,0)&gt;0,0,1)</f>
        <v/>
      </c>
      <c r="NB21">
        <f>IF($BW$21="",FALSE,SUMPRODUCT(('Final Calculation Sheet'!$M$4:$M$40=$BW$21)*($NA$6:$NA$42=1))&gt;0)</f>
        <v/>
      </c>
      <c r="NC21">
        <f>$NC$20+--($NB21)</f>
        <v/>
      </c>
      <c r="ND21">
        <f>IF(ROW()-3&gt;MAX($NC$4:$NC$40),"",INDEX($BW$4:$BW$40,MATCH(ROW()-3,$NC$4:$NC$40,0)))</f>
        <v/>
      </c>
      <c r="NE21">
        <f>IF(COUNTIF('Buyer Groups'!DG21:DS21,0)+COUNTIF('Buyer Groups'!DU21:EN21,0)&gt;0,0,1)</f>
        <v/>
      </c>
      <c r="NF21">
        <f>IF($CB$21="",FALSE,SUMPRODUCT(('Final Calculation Sheet'!$N$4:$N$40=$CB$21)*($NE$6:$NE$42=1))&gt;0)</f>
        <v/>
      </c>
      <c r="NG21">
        <f>$NG$20+--($NF21)</f>
        <v/>
      </c>
      <c r="NH21">
        <f>IF(ROW()-3&gt;MAX($NG$4:$NG$40),"",INDEX($CB$4:$CB$40,MATCH(ROW()-3,$NG$4:$NG$40,0)))</f>
        <v/>
      </c>
      <c r="NI21">
        <f>IF(COUNTIF('Buyer Groups'!DG21:DT21,0)+COUNTIF('Buyer Groups'!DV21:EN21,0)&gt;0,0,1)</f>
        <v/>
      </c>
      <c r="NJ21">
        <f>IF($CG$21="",FALSE,SUMPRODUCT(('Final Calculation Sheet'!$O$4:$O$40=$CG$21)*($NI$6:$NI$42=1))&gt;0)</f>
        <v/>
      </c>
      <c r="NK21">
        <f>$NK$20+--($NJ21)</f>
        <v/>
      </c>
      <c r="NL21">
        <f>IF(ROW()-3&gt;MAX($NK$4:$NK$40),"",INDEX($CG$4:$CG$40,MATCH(ROW()-3,$NK$4:$NK$40,0)))</f>
        <v/>
      </c>
      <c r="NM21">
        <f>IF(COUNTIF('Buyer Groups'!DG21:DU21,0)+COUNTIF('Buyer Groups'!DW21:EN21,0)&gt;0,0,1)</f>
        <v/>
      </c>
      <c r="NN21">
        <f>IF($CL$21="",FALSE,SUMPRODUCT(('Final Calculation Sheet'!$P$4:$P$40=$CL$21)*($NM$6:$NM$42=1))&gt;0)</f>
        <v/>
      </c>
      <c r="NO21">
        <f>$NO$20+--($NN21)</f>
        <v/>
      </c>
      <c r="NP21">
        <f>IF(ROW()-3&gt;MAX($NO$4:$NO$40),"",INDEX($CL$4:$CL$40,MATCH(ROW()-3,$NO$4:$NO$40,0)))</f>
        <v/>
      </c>
      <c r="NQ21">
        <f>IF(COUNTIF('Buyer Groups'!DG21:DV21,0)+COUNTIF('Buyer Groups'!DX21:EN21,0)&gt;0,0,1)</f>
        <v/>
      </c>
      <c r="NR21">
        <f>IF($CQ$21="",FALSE,SUMPRODUCT(('Final Calculation Sheet'!$Q$4:$Q$40=$CQ$21)*($NQ$6:$NQ$42=1))&gt;0)</f>
        <v/>
      </c>
      <c r="NS21">
        <f>$NS$20+--($NR21)</f>
        <v/>
      </c>
      <c r="NT21">
        <f>IF(ROW()-3&gt;MAX($NS$4:$NS$40),"",INDEX($CQ$4:$CQ$40,MATCH(ROW()-3,$NS$4:$NS$40,0)))</f>
        <v/>
      </c>
      <c r="NU21">
        <f>IF(COUNTIF('Buyer Groups'!DG21:DW21,0)+COUNTIF('Buyer Groups'!DY21:EN21,0)&gt;0,0,1)</f>
        <v/>
      </c>
      <c r="NV21">
        <f>IF($CV$21="",FALSE,SUMPRODUCT(('Final Calculation Sheet'!$R$4:$R$40=$CV$21)*($NU$6:$NU$42=1))&gt;0)</f>
        <v/>
      </c>
      <c r="NW21">
        <f>$NW$20+--($NV21)</f>
        <v/>
      </c>
      <c r="NX21">
        <f>IF(ROW()-3&gt;MAX($NW$4:$NW$40),"",INDEX($CV$4:$CV$40,MATCH(ROW()-3,$NW$4:$NW$40,0)))</f>
        <v/>
      </c>
      <c r="NY21">
        <f>IF(COUNTIF('Buyer Groups'!DG21:DX21,0)+COUNTIF('Buyer Groups'!DZ21:EN21,0)&gt;0,0,1)</f>
        <v/>
      </c>
      <c r="NZ21">
        <f>IF($DA$21="",FALSE,SUMPRODUCT(('Final Calculation Sheet'!$S$4:$S$40=$DA$21)*($NY$6:$NY$42=1))&gt;0)</f>
        <v/>
      </c>
      <c r="OA21">
        <f>$OA$20+--($NZ21)</f>
        <v/>
      </c>
      <c r="OB21">
        <f>IF(ROW()-3&gt;MAX($OA$4:$OA$40),"",INDEX($DA$4:$DA$40,MATCH(ROW()-3,$OA$4:$OA$40,0)))</f>
        <v/>
      </c>
      <c r="OC21">
        <f>IF(COUNTIF('Buyer Groups'!DG21:DY21,0)+COUNTIF('Buyer Groups'!EA21:EN21,0)&gt;0,0,1)</f>
        <v/>
      </c>
      <c r="OD21">
        <f>IF($DF$21="",FALSE,SUMPRODUCT(('Final Calculation Sheet'!$T$4:$T$40=$DF$21)*($OC$6:$OC$42=1))&gt;0)</f>
        <v/>
      </c>
      <c r="OE21">
        <f>$OE$20+--($OD21)</f>
        <v/>
      </c>
      <c r="OF21">
        <f>IF(ROW()-3&gt;MAX($OE$4:$OE$40),"",INDEX($DF$4:$DF$40,MATCH(ROW()-3,$OE$4:$OE$40,0)))</f>
        <v/>
      </c>
      <c r="OG21">
        <f>IF(COUNTIF('Buyer Groups'!DG21:DZ21,0)+COUNTIF('Buyer Groups'!EB21:EN21,0)&gt;0,0,1)</f>
        <v/>
      </c>
      <c r="OH21">
        <f>IF($DK$21="",FALSE,SUMPRODUCT(('Final Calculation Sheet'!$U$4:$U$40=$DK$21)*($OG$6:$OG$42=1))&gt;0)</f>
        <v/>
      </c>
      <c r="OI21">
        <f>$OI$20+--($OH21)</f>
        <v/>
      </c>
      <c r="OJ21">
        <f>IF(ROW()-3&gt;MAX($OI$4:$OI$40),"",INDEX($DK$4:$DK$40,MATCH(ROW()-3,$OI$4:$OI$40,0)))</f>
        <v/>
      </c>
      <c r="OK21">
        <f>IF(COUNTIF('Buyer Groups'!DG21:EA21,0)+COUNTIF('Buyer Groups'!EC21:EN21,0)&gt;0,0,1)</f>
        <v/>
      </c>
      <c r="OL21">
        <f>IF($DP$21="",FALSE,SUMPRODUCT(('Final Calculation Sheet'!$V$4:$V$40=$DP$21)*($OK$6:$OK$42=1))&gt;0)</f>
        <v/>
      </c>
      <c r="OM21">
        <f>$OM$20+--($OL21)</f>
        <v/>
      </c>
      <c r="ON21">
        <f>IF(ROW()-3&gt;MAX($OM$4:$OM$40),"",INDEX($DP$4:$DP$40,MATCH(ROW()-3,$OM$4:$OM$40,0)))</f>
        <v/>
      </c>
      <c r="OO21">
        <f>IF(COUNTIF('Buyer Groups'!DG21:EB21,0)+COUNTIF('Buyer Groups'!ED21:EN21,0)&gt;0,0,1)</f>
        <v/>
      </c>
      <c r="OP21">
        <f>IF($DU$21="",FALSE,SUMPRODUCT(('Final Calculation Sheet'!$W$4:$W$40=$DU$21)*($OO$6:$OO$42=1))&gt;0)</f>
        <v/>
      </c>
      <c r="OQ21">
        <f>$OQ$20+--($OP21)</f>
        <v/>
      </c>
      <c r="OR21">
        <f>IF(ROW()-3&gt;MAX($OQ$4:$OQ$40),"",INDEX($DU$4:$DU$40,MATCH(ROW()-3,$OQ$4:$OQ$40,0)))</f>
        <v/>
      </c>
      <c r="OS21">
        <f>IF(COUNTIF('Buyer Groups'!DG21:EC21,0)+COUNTIF('Buyer Groups'!EE21:EN21,0)&gt;0,0,1)</f>
        <v/>
      </c>
      <c r="OT21">
        <f>IF($DZ$21="",FALSE,SUMPRODUCT(('Final Calculation Sheet'!$X$4:$X$40=$DZ$21)*($OS$6:$OS$42=1))&gt;0)</f>
        <v/>
      </c>
      <c r="OU21">
        <f>$OU$20+--($OT21)</f>
        <v/>
      </c>
      <c r="OV21">
        <f>IF(ROW()-3&gt;MAX($OU$4:$OU$40),"",INDEX($DZ$4:$DZ$40,MATCH(ROW()-3,$OU$4:$OU$40,0)))</f>
        <v/>
      </c>
      <c r="OW21">
        <f>IF(COUNTIF('Buyer Groups'!DG21:ED21,0)+COUNTIF('Buyer Groups'!EF21:EN21,0)&gt;0,0,1)</f>
        <v/>
      </c>
      <c r="OX21">
        <f>IF($EE$21="",FALSE,SUMPRODUCT(('Final Calculation Sheet'!$Y$4:$Y$40=$EE$21)*($OW$6:$OW$42=1))&gt;0)</f>
        <v/>
      </c>
      <c r="OY21">
        <f>$OY$20+--($OX21)</f>
        <v/>
      </c>
      <c r="OZ21">
        <f>IF(ROW()-3&gt;MAX($OY$4:$OY$40),"",INDEX($EE$4:$EE$40,MATCH(ROW()-3,$OY$4:$OY$40,0)))</f>
        <v/>
      </c>
      <c r="PA21">
        <f>IF(COUNTIF('Buyer Groups'!DG21:EE21,0)+COUNTIF('Buyer Groups'!EG21:EN21,0)&gt;0,0,1)</f>
        <v/>
      </c>
      <c r="PB21">
        <f>IF($EJ$21="",FALSE,SUMPRODUCT(('Final Calculation Sheet'!$Z$4:$Z$40=$EJ$21)*($PA$6:$PA$42=1))&gt;0)</f>
        <v/>
      </c>
      <c r="PC21">
        <f>$PC$20+--($PB21)</f>
        <v/>
      </c>
      <c r="PD21">
        <f>IF(ROW()-3&gt;MAX($PC$4:$PC$40),"",INDEX($EJ$4:$EJ$40,MATCH(ROW()-3,$PC$4:$PC$40,0)))</f>
        <v/>
      </c>
      <c r="PE21">
        <f>IF(COUNTIF('Buyer Groups'!DG21:EF21,0)+COUNTIF('Buyer Groups'!EH21:EN21,0)&gt;0,0,1)</f>
        <v/>
      </c>
      <c r="PF21">
        <f>IF($EO$21="",FALSE,SUMPRODUCT(('Final Calculation Sheet'!$AA$4:$AA$40=$EO$21)*($PE$6:$PE$42=1))&gt;0)</f>
        <v/>
      </c>
      <c r="PG21">
        <f>$PG$20+--($PF21)</f>
        <v/>
      </c>
      <c r="PH21">
        <f>IF(ROW()-3&gt;MAX($PG$4:$PG$40),"",INDEX($EO$4:$EO$40,MATCH(ROW()-3,$PG$4:$PG$40,0)))</f>
        <v/>
      </c>
      <c r="PI21">
        <f>IF(COUNTIF('Buyer Groups'!DG21:EG21,0)+COUNTIF('Buyer Groups'!EI21:EN21,0)&gt;0,0,1)</f>
        <v/>
      </c>
      <c r="PJ21">
        <f>IF($ET$21="",FALSE,SUMPRODUCT(('Final Calculation Sheet'!$AB$4:$AB$40=$ET$21)*($PI$6:$PI$42=1))&gt;0)</f>
        <v/>
      </c>
      <c r="PK21">
        <f>$PK$20+--($PJ21)</f>
        <v/>
      </c>
      <c r="PL21">
        <f>IF(ROW()-3&gt;MAX($PK$4:$PK$40),"",INDEX($ET$4:$ET$40,MATCH(ROW()-3,$PK$4:$PK$40,0)))</f>
        <v/>
      </c>
      <c r="PM21">
        <f>IF(COUNTIF('Buyer Groups'!DG21:EH21,0)+COUNTIF('Buyer Groups'!EJ21:EN21,0)&gt;0,0,1)</f>
        <v/>
      </c>
      <c r="PN21">
        <f>IF($EY$21="",FALSE,SUMPRODUCT(('Final Calculation Sheet'!$AC$4:$AC$40=$EY$21)*($PM$6:$PM$42=1))&gt;0)</f>
        <v/>
      </c>
      <c r="PO21">
        <f>$PO$20+--($PN21)</f>
        <v/>
      </c>
      <c r="PP21">
        <f>IF(ROW()-3&gt;MAX($PO$4:$PO$40),"",INDEX($EY$4:$EY$40,MATCH(ROW()-3,$PO$4:$PO$40,0)))</f>
        <v/>
      </c>
      <c r="PQ21">
        <f>IF(COUNTIF('Buyer Groups'!DG21:EI21,0)+COUNTIF('Buyer Groups'!EK21:EN21,0)&gt;0,0,1)</f>
        <v/>
      </c>
      <c r="PR21">
        <f>IF($FD$21="",FALSE,SUMPRODUCT(('Final Calculation Sheet'!$AD$4:$AD$40=$FD$21)*($PQ$6:$PQ$42=1))&gt;0)</f>
        <v/>
      </c>
      <c r="PS21">
        <f>$PS$20+--($PR21)</f>
        <v/>
      </c>
      <c r="PT21">
        <f>IF(ROW()-3&gt;MAX($PS$4:$PS$40),"",INDEX($FD$4:$FD$40,MATCH(ROW()-3,$PS$4:$PS$40,0)))</f>
        <v/>
      </c>
      <c r="PU21">
        <f>IF(COUNTIF('Buyer Groups'!DG21:EJ21,0)+COUNTIF('Buyer Groups'!EL21:EN21,0)&gt;0,0,1)</f>
        <v/>
      </c>
      <c r="PV21">
        <f>IF($FX$21="",FALSE,SUMPRODUCT((IF('Final Calculation Sheet'!$AD$4:$AD$40&lt;=5,"SETTLED","OUTSTANDING")=$FX$21)*($PU$6:$PU$42=1))&gt;0)</f>
        <v/>
      </c>
      <c r="PW21">
        <f>$PW$20+--($PV21)</f>
        <v/>
      </c>
      <c r="PX21">
        <f>IF(ROW()-3&gt;MAX($PW$4:$PW$40),"",INDEX($FX$4:$FX$40,MATCH(ROW()-3,$PW$4:$PW$40,0)))</f>
        <v/>
      </c>
      <c r="PY21">
        <f>IF(COUNTIF('Buyer Groups'!DG21:EK21,0)+COUNTIF('Buyer Groups'!EM21:EN21,0)&gt;0,0,1)</f>
        <v/>
      </c>
      <c r="PZ21">
        <f>IF($FI$21="",FALSE,SUMPRODUCT(('Final Calculation Sheet'!$AF$4:$AF$40=$FI$21)*($PY$6:$PY$42=1))&gt;0)</f>
        <v/>
      </c>
      <c r="QA21">
        <f>$QA$20+--($PZ21)</f>
        <v/>
      </c>
      <c r="QB21">
        <f>IF(ROW()-3&gt;MAX($QA$4:$QA$40),"",INDEX($FI$4:$FI$40,MATCH(ROW()-3,$QA$4:$QA$40,0)))</f>
        <v/>
      </c>
      <c r="QC21">
        <f>IF(COUNTIF('Buyer Groups'!DG21:EL21,0)+COUNTIF('Buyer Groups'!EN21:EN21,0)&gt;0,0,1)</f>
        <v/>
      </c>
      <c r="QD21">
        <f>IF($FN$21="",FALSE,SUMPRODUCT(('Final Calculation Sheet'!$AG$4:$AG$40=$FN$21)*($QC$6:$QC$42=1))&gt;0)</f>
        <v/>
      </c>
      <c r="QE21">
        <f>$QE$20+--($QD21)</f>
        <v/>
      </c>
      <c r="QF21">
        <f>IF(ROW()-3&gt;MAX($QE$4:$QE$40),"",INDEX($FN$4:$FN$40,MATCH(ROW()-3,$QE$4:$QE$40,0)))</f>
        <v/>
      </c>
      <c r="QG21">
        <f>IF(COUNTIF('Buyer Groups'!DG21:EM21,0)&gt;0,0,1)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Groups'!DH22:EN22,0)&gt;0,0,1)</f>
        <v/>
      </c>
      <c r="LF22">
        <f>IF($O$22="",FALSE,SUMPRODUCT(('Final Calculation Sheet'!$F$4:$F$40=$O$22)*($LE$6:$LE$42=1))&gt;0)</f>
        <v/>
      </c>
      <c r="LG22">
        <f>$LG$21+--($LF22)</f>
        <v/>
      </c>
      <c r="LH22">
        <f>IF(ROW()-3&gt;MAX($LG$4:$LG$40),"",INDEX($O$4:$O$40,MATCH(ROW()-3,$LG$4:$LG$40,0)))</f>
        <v/>
      </c>
      <c r="LI22">
        <f>IF(COUNTIF('Buyer Groups'!DG22:DG22,0)+COUNTIF('Buyer Groups'!DI22:EN22,0)&gt;0,0,1)</f>
        <v/>
      </c>
      <c r="LJ22">
        <f>IF($T$22="",FALSE,SUMPRODUCT(('Final Calculation Sheet'!$G$4:$G$40=$T$22)*($LI$6:$LI$42=1))&gt;0)</f>
        <v/>
      </c>
      <c r="LK22">
        <f>$LK$21+--($LJ22)</f>
        <v/>
      </c>
      <c r="LL22">
        <f>IF(ROW()-3&gt;MAX($LK$4:$LK$40),"",INDEX($T$4:$T$40,MATCH(ROW()-3,$LK$4:$LK$40,0)))</f>
        <v/>
      </c>
      <c r="LM22">
        <f>IF(COUNTIF('Buyer Groups'!DG22:DH22,0)+COUNTIF('Buyer Groups'!DJ22:EN22,0)&gt;0,0,1)</f>
        <v/>
      </c>
      <c r="LN22">
        <f>IF($Y$22="",FALSE,SUMPRODUCT(('Final Calculation Sheet'!$B$4:$B$40=$Y$22)*($LM$6:$LM$42=1))&gt;0)</f>
        <v/>
      </c>
      <c r="LO22">
        <f>$LO$21+--($LN22)</f>
        <v/>
      </c>
      <c r="LP22">
        <f>IF(ROW()-3&gt;MAX($LO$4:$LO$40),"",INDEX($Y$4:$Y$40,MATCH(ROW()-3,$LO$4:$LO$40,0)))</f>
        <v/>
      </c>
      <c r="LQ22">
        <f>IF(COUNTIF('Buyer Groups'!DG22:DI22,0)+COUNTIF('Buyer Groups'!DK22:EN22,0)&gt;0,0,1)</f>
        <v/>
      </c>
      <c r="LR22">
        <f>IF($AD$22="",FALSE,SUMPRODUCT(('Final Calculation Sheet'!$D$4:$D$40=$AD$22)*($LQ$6:$LQ$42=1))&gt;0)</f>
        <v/>
      </c>
      <c r="LS22">
        <f>$LS$21+--($LR22)</f>
        <v/>
      </c>
      <c r="LT22">
        <f>IF(ROW()-3&gt;MAX($LS$4:$LS$40),"",INDEX($AD$4:$AD$40,MATCH(ROW()-3,$LS$4:$LS$40,0)))</f>
        <v/>
      </c>
      <c r="LU22">
        <f>IF(COUNTIF('Buyer Groups'!DG22:DJ22,0)+COUNTIF('Buyer Groups'!DL22:EN22,0)&gt;0,0,1)</f>
        <v/>
      </c>
      <c r="LV22">
        <f>IF($AI$22="",FALSE,SUMPRODUCT(('Final Calculation Sheet'!$A$4:$A$40=$AI$22)*($LU$6:$LU$42=1))&gt;0)</f>
        <v/>
      </c>
      <c r="LW22">
        <f>$LW$21+--($LV22)</f>
        <v/>
      </c>
      <c r="LX22">
        <f>IF(ROW()-3&gt;MAX($LW$4:$LW$40),"",INDEX($AI$4:$AI$40,MATCH(ROW()-3,$LW$4:$LW$40,0)))</f>
        <v/>
      </c>
      <c r="LY22">
        <f>IF(COUNTIF('Buyer Groups'!DG22:DK22,0)+COUNTIF('Buyer Groups'!DM22:EN22,0)&gt;0,0,1)</f>
        <v/>
      </c>
      <c r="LZ22">
        <f>IF($AN$22="",FALSE,SUMPRODUCT(('Final Calculation Sheet'!$E$4:$E$40=$AN$22)*($LY$6:$LY$42=1))&gt;0)</f>
        <v/>
      </c>
      <c r="MA22">
        <f>$MA$21+--($LZ22)</f>
        <v/>
      </c>
      <c r="MB22">
        <f>IF(ROW()-3&gt;MAX($MA$4:$MA$40),"",INDEX($AN$4:$AN$40,MATCH(ROW()-3,$MA$4:$MA$40,0)))</f>
        <v/>
      </c>
      <c r="MC22">
        <f>IF(COUNTIF('Buyer Groups'!DG22:DL22,0)+COUNTIF('Buyer Groups'!DN22:EN22,0)&gt;0,0,1)</f>
        <v/>
      </c>
      <c r="MD22">
        <f>IF($AS$22="",FALSE,SUMPRODUCT(('Final Calculation Sheet'!$C$4:$C$40=$AS$22)*($MC$6:$MC$42=1))&gt;0)</f>
        <v/>
      </c>
      <c r="ME22">
        <f>$ME$21+--($MD22)</f>
        <v/>
      </c>
      <c r="MF22">
        <f>IF(ROW()-3&gt;MAX($ME$4:$ME$40),"",INDEX($AS$4:$AS$40,MATCH(ROW()-3,$ME$4:$ME$40,0)))</f>
        <v/>
      </c>
      <c r="MG22">
        <f>IF(COUNTIF('Buyer Groups'!DG22:DM22,0)+COUNTIF('Buyer Groups'!DO22:EN22,0)&gt;0,0,1)</f>
        <v/>
      </c>
      <c r="MH22">
        <f>IF($AX$22="",FALSE,SUMPRODUCT(('Final Calculation Sheet'!$H$4:$H$40=$AX$22)*($MG$6:$MG$42=1))&gt;0)</f>
        <v/>
      </c>
      <c r="MI22">
        <f>$MI$21+--($MH22)</f>
        <v/>
      </c>
      <c r="MJ22">
        <f>IF(ROW()-3&gt;MAX($MI$4:$MI$40),"",INDEX($AX$4:$AX$40,MATCH(ROW()-3,$MI$4:$MI$40,0)))</f>
        <v/>
      </c>
      <c r="MK22">
        <f>IF(COUNTIF('Buyer Groups'!DG22:DN22,0)+COUNTIF('Buyer Groups'!DP22:EN22,0)&gt;0,0,1)</f>
        <v/>
      </c>
      <c r="ML22">
        <f>IF($BC$22="",FALSE,SUMPRODUCT(('Final Calculation Sheet'!$I$4:$I$40=$BC$22)*($MK$6:$MK$42=1))&gt;0)</f>
        <v/>
      </c>
      <c r="MM22">
        <f>$MM$21+--($ML22)</f>
        <v/>
      </c>
      <c r="MN22">
        <f>IF(ROW()-3&gt;MAX($MM$4:$MM$40),"",INDEX($BC$4:$BC$40,MATCH(ROW()-3,$MM$4:$MM$40,0)))</f>
        <v/>
      </c>
      <c r="MO22">
        <f>IF(COUNTIF('Buyer Groups'!DG22:DO22,0)+COUNTIF('Buyer Groups'!DQ22:EN22,0)&gt;0,0,1)</f>
        <v/>
      </c>
      <c r="MP22">
        <f>IF($BH$22="",FALSE,SUMPRODUCT(('Final Calculation Sheet'!$J$4:$J$40=$BH$22)*($MO$6:$MO$42=1))&gt;0)</f>
        <v/>
      </c>
      <c r="MQ22">
        <f>$MQ$21+--($MP22)</f>
        <v/>
      </c>
      <c r="MR22">
        <f>IF(ROW()-3&gt;MAX($MQ$4:$MQ$40),"",INDEX($BH$4:$BH$40,MATCH(ROW()-3,$MQ$4:$MQ$40,0)))</f>
        <v/>
      </c>
      <c r="MS22">
        <f>IF(COUNTIF('Buyer Groups'!DG22:DP22,0)+COUNTIF('Buyer Groups'!DR22:EN22,0)&gt;0,0,1)</f>
        <v/>
      </c>
      <c r="MT22">
        <f>IF($BM$22="",FALSE,SUMPRODUCT(('Final Calculation Sheet'!$K$4:$K$40=$BM$22)*($MS$6:$MS$42=1))&gt;0)</f>
        <v/>
      </c>
      <c r="MU22">
        <f>$MU$21+--($MT22)</f>
        <v/>
      </c>
      <c r="MV22">
        <f>IF(ROW()-3&gt;MAX($MU$4:$MU$40),"",INDEX($BM$4:$BM$40,MATCH(ROW()-3,$MU$4:$MU$40,0)))</f>
        <v/>
      </c>
      <c r="MW22">
        <f>IF(COUNTIF('Buyer Groups'!DG22:DQ22,0)+COUNTIF('Buyer Groups'!DS22:EN22,0)&gt;0,0,1)</f>
        <v/>
      </c>
      <c r="MX22">
        <f>IF($BR$22="",FALSE,SUMPRODUCT(('Final Calculation Sheet'!$L$4:$L$40=$BR$22)*($MW$6:$MW$42=1))&gt;0)</f>
        <v/>
      </c>
      <c r="MY22">
        <f>$MY$21+--($MX22)</f>
        <v/>
      </c>
      <c r="MZ22">
        <f>IF(ROW()-3&gt;MAX($MY$4:$MY$40),"",INDEX($BR$4:$BR$40,MATCH(ROW()-3,$MY$4:$MY$40,0)))</f>
        <v/>
      </c>
      <c r="NA22">
        <f>IF(COUNTIF('Buyer Groups'!DG22:DR22,0)+COUNTIF('Buyer Groups'!DT22:EN22,0)&gt;0,0,1)</f>
        <v/>
      </c>
      <c r="NB22">
        <f>IF($BW$22="",FALSE,SUMPRODUCT(('Final Calculation Sheet'!$M$4:$M$40=$BW$22)*($NA$6:$NA$42=1))&gt;0)</f>
        <v/>
      </c>
      <c r="NC22">
        <f>$NC$21+--($NB22)</f>
        <v/>
      </c>
      <c r="ND22">
        <f>IF(ROW()-3&gt;MAX($NC$4:$NC$40),"",INDEX($BW$4:$BW$40,MATCH(ROW()-3,$NC$4:$NC$40,0)))</f>
        <v/>
      </c>
      <c r="NE22">
        <f>IF(COUNTIF('Buyer Groups'!DG22:DS22,0)+COUNTIF('Buyer Groups'!DU22:EN22,0)&gt;0,0,1)</f>
        <v/>
      </c>
      <c r="NF22">
        <f>IF($CB$22="",FALSE,SUMPRODUCT(('Final Calculation Sheet'!$N$4:$N$40=$CB$22)*($NE$6:$NE$42=1))&gt;0)</f>
        <v/>
      </c>
      <c r="NG22">
        <f>$NG$21+--($NF22)</f>
        <v/>
      </c>
      <c r="NH22">
        <f>IF(ROW()-3&gt;MAX($NG$4:$NG$40),"",INDEX($CB$4:$CB$40,MATCH(ROW()-3,$NG$4:$NG$40,0)))</f>
        <v/>
      </c>
      <c r="NI22">
        <f>IF(COUNTIF('Buyer Groups'!DG22:DT22,0)+COUNTIF('Buyer Groups'!DV22:EN22,0)&gt;0,0,1)</f>
        <v/>
      </c>
      <c r="NJ22">
        <f>IF($CG$22="",FALSE,SUMPRODUCT(('Final Calculation Sheet'!$O$4:$O$40=$CG$22)*($NI$6:$NI$42=1))&gt;0)</f>
        <v/>
      </c>
      <c r="NK22">
        <f>$NK$21+--($NJ22)</f>
        <v/>
      </c>
      <c r="NL22">
        <f>IF(ROW()-3&gt;MAX($NK$4:$NK$40),"",INDEX($CG$4:$CG$40,MATCH(ROW()-3,$NK$4:$NK$40,0)))</f>
        <v/>
      </c>
      <c r="NM22">
        <f>IF(COUNTIF('Buyer Groups'!DG22:DU22,0)+COUNTIF('Buyer Groups'!DW22:EN22,0)&gt;0,0,1)</f>
        <v/>
      </c>
      <c r="NN22">
        <f>IF($CL$22="",FALSE,SUMPRODUCT(('Final Calculation Sheet'!$P$4:$P$40=$CL$22)*($NM$6:$NM$42=1))&gt;0)</f>
        <v/>
      </c>
      <c r="NO22">
        <f>$NO$21+--($NN22)</f>
        <v/>
      </c>
      <c r="NP22">
        <f>IF(ROW()-3&gt;MAX($NO$4:$NO$40),"",INDEX($CL$4:$CL$40,MATCH(ROW()-3,$NO$4:$NO$40,0)))</f>
        <v/>
      </c>
      <c r="NQ22">
        <f>IF(COUNTIF('Buyer Groups'!DG22:DV22,0)+COUNTIF('Buyer Groups'!DX22:EN22,0)&gt;0,0,1)</f>
        <v/>
      </c>
      <c r="NR22">
        <f>IF($CQ$22="",FALSE,SUMPRODUCT(('Final Calculation Sheet'!$Q$4:$Q$40=$CQ$22)*($NQ$6:$NQ$42=1))&gt;0)</f>
        <v/>
      </c>
      <c r="NS22">
        <f>$NS$21+--($NR22)</f>
        <v/>
      </c>
      <c r="NT22">
        <f>IF(ROW()-3&gt;MAX($NS$4:$NS$40),"",INDEX($CQ$4:$CQ$40,MATCH(ROW()-3,$NS$4:$NS$40,0)))</f>
        <v/>
      </c>
      <c r="NU22">
        <f>IF(COUNTIF('Buyer Groups'!DG22:DW22,0)+COUNTIF('Buyer Groups'!DY22:EN22,0)&gt;0,0,1)</f>
        <v/>
      </c>
      <c r="NV22">
        <f>IF($CV$22="",FALSE,SUMPRODUCT(('Final Calculation Sheet'!$R$4:$R$40=$CV$22)*($NU$6:$NU$42=1))&gt;0)</f>
        <v/>
      </c>
      <c r="NW22">
        <f>$NW$21+--($NV22)</f>
        <v/>
      </c>
      <c r="NX22">
        <f>IF(ROW()-3&gt;MAX($NW$4:$NW$40),"",INDEX($CV$4:$CV$40,MATCH(ROW()-3,$NW$4:$NW$40,0)))</f>
        <v/>
      </c>
      <c r="NY22">
        <f>IF(COUNTIF('Buyer Groups'!DG22:DX22,0)+COUNTIF('Buyer Groups'!DZ22:EN22,0)&gt;0,0,1)</f>
        <v/>
      </c>
      <c r="NZ22">
        <f>IF($DA$22="",FALSE,SUMPRODUCT(('Final Calculation Sheet'!$S$4:$S$40=$DA$22)*($NY$6:$NY$42=1))&gt;0)</f>
        <v/>
      </c>
      <c r="OA22">
        <f>$OA$21+--($NZ22)</f>
        <v/>
      </c>
      <c r="OB22">
        <f>IF(ROW()-3&gt;MAX($OA$4:$OA$40),"",INDEX($DA$4:$DA$40,MATCH(ROW()-3,$OA$4:$OA$40,0)))</f>
        <v/>
      </c>
      <c r="OC22">
        <f>IF(COUNTIF('Buyer Groups'!DG22:DY22,0)+COUNTIF('Buyer Groups'!EA22:EN22,0)&gt;0,0,1)</f>
        <v/>
      </c>
      <c r="OD22">
        <f>IF($DF$22="",FALSE,SUMPRODUCT(('Final Calculation Sheet'!$T$4:$T$40=$DF$22)*($OC$6:$OC$42=1))&gt;0)</f>
        <v/>
      </c>
      <c r="OE22">
        <f>$OE$21+--($OD22)</f>
        <v/>
      </c>
      <c r="OF22">
        <f>IF(ROW()-3&gt;MAX($OE$4:$OE$40),"",INDEX($DF$4:$DF$40,MATCH(ROW()-3,$OE$4:$OE$40,0)))</f>
        <v/>
      </c>
      <c r="OG22">
        <f>IF(COUNTIF('Buyer Groups'!DG22:DZ22,0)+COUNTIF('Buyer Groups'!EB22:EN22,0)&gt;0,0,1)</f>
        <v/>
      </c>
      <c r="OH22">
        <f>IF($DK$22="",FALSE,SUMPRODUCT(('Final Calculation Sheet'!$U$4:$U$40=$DK$22)*($OG$6:$OG$42=1))&gt;0)</f>
        <v/>
      </c>
      <c r="OI22">
        <f>$OI$21+--($OH22)</f>
        <v/>
      </c>
      <c r="OJ22">
        <f>IF(ROW()-3&gt;MAX($OI$4:$OI$40),"",INDEX($DK$4:$DK$40,MATCH(ROW()-3,$OI$4:$OI$40,0)))</f>
        <v/>
      </c>
      <c r="OK22">
        <f>IF(COUNTIF('Buyer Groups'!DG22:EA22,0)+COUNTIF('Buyer Groups'!EC22:EN22,0)&gt;0,0,1)</f>
        <v/>
      </c>
      <c r="OL22">
        <f>IF($DP$22="",FALSE,SUMPRODUCT(('Final Calculation Sheet'!$V$4:$V$40=$DP$22)*($OK$6:$OK$42=1))&gt;0)</f>
        <v/>
      </c>
      <c r="OM22">
        <f>$OM$21+--($OL22)</f>
        <v/>
      </c>
      <c r="ON22">
        <f>IF(ROW()-3&gt;MAX($OM$4:$OM$40),"",INDEX($DP$4:$DP$40,MATCH(ROW()-3,$OM$4:$OM$40,0)))</f>
        <v/>
      </c>
      <c r="OO22">
        <f>IF(COUNTIF('Buyer Groups'!DG22:EB22,0)+COUNTIF('Buyer Groups'!ED22:EN22,0)&gt;0,0,1)</f>
        <v/>
      </c>
      <c r="OP22">
        <f>IF($DU$22="",FALSE,SUMPRODUCT(('Final Calculation Sheet'!$W$4:$W$40=$DU$22)*($OO$6:$OO$42=1))&gt;0)</f>
        <v/>
      </c>
      <c r="OQ22">
        <f>$OQ$21+--($OP22)</f>
        <v/>
      </c>
      <c r="OR22">
        <f>IF(ROW()-3&gt;MAX($OQ$4:$OQ$40),"",INDEX($DU$4:$DU$40,MATCH(ROW()-3,$OQ$4:$OQ$40,0)))</f>
        <v/>
      </c>
      <c r="OS22">
        <f>IF(COUNTIF('Buyer Groups'!DG22:EC22,0)+COUNTIF('Buyer Groups'!EE22:EN22,0)&gt;0,0,1)</f>
        <v/>
      </c>
      <c r="OT22">
        <f>IF($DZ$22="",FALSE,SUMPRODUCT(('Final Calculation Sheet'!$X$4:$X$40=$DZ$22)*($OS$6:$OS$42=1))&gt;0)</f>
        <v/>
      </c>
      <c r="OU22">
        <f>$OU$21+--($OT22)</f>
        <v/>
      </c>
      <c r="OV22">
        <f>IF(ROW()-3&gt;MAX($OU$4:$OU$40),"",INDEX($DZ$4:$DZ$40,MATCH(ROW()-3,$OU$4:$OU$40,0)))</f>
        <v/>
      </c>
      <c r="OW22">
        <f>IF(COUNTIF('Buyer Groups'!DG22:ED22,0)+COUNTIF('Buyer Groups'!EF22:EN22,0)&gt;0,0,1)</f>
        <v/>
      </c>
      <c r="OX22">
        <f>IF($EE$22="",FALSE,SUMPRODUCT(('Final Calculation Sheet'!$Y$4:$Y$40=$EE$22)*($OW$6:$OW$42=1))&gt;0)</f>
        <v/>
      </c>
      <c r="OY22">
        <f>$OY$21+--($OX22)</f>
        <v/>
      </c>
      <c r="OZ22">
        <f>IF(ROW()-3&gt;MAX($OY$4:$OY$40),"",INDEX($EE$4:$EE$40,MATCH(ROW()-3,$OY$4:$OY$40,0)))</f>
        <v/>
      </c>
      <c r="PA22">
        <f>IF(COUNTIF('Buyer Groups'!DG22:EE22,0)+COUNTIF('Buyer Groups'!EG22:EN22,0)&gt;0,0,1)</f>
        <v/>
      </c>
      <c r="PB22">
        <f>IF($EJ$22="",FALSE,SUMPRODUCT(('Final Calculation Sheet'!$Z$4:$Z$40=$EJ$22)*($PA$6:$PA$42=1))&gt;0)</f>
        <v/>
      </c>
      <c r="PC22">
        <f>$PC$21+--($PB22)</f>
        <v/>
      </c>
      <c r="PD22">
        <f>IF(ROW()-3&gt;MAX($PC$4:$PC$40),"",INDEX($EJ$4:$EJ$40,MATCH(ROW()-3,$PC$4:$PC$40,0)))</f>
        <v/>
      </c>
      <c r="PE22">
        <f>IF(COUNTIF('Buyer Groups'!DG22:EF22,0)+COUNTIF('Buyer Groups'!EH22:EN22,0)&gt;0,0,1)</f>
        <v/>
      </c>
      <c r="PF22">
        <f>IF($EO$22="",FALSE,SUMPRODUCT(('Final Calculation Sheet'!$AA$4:$AA$40=$EO$22)*($PE$6:$PE$42=1))&gt;0)</f>
        <v/>
      </c>
      <c r="PG22">
        <f>$PG$21+--($PF22)</f>
        <v/>
      </c>
      <c r="PH22">
        <f>IF(ROW()-3&gt;MAX($PG$4:$PG$40),"",INDEX($EO$4:$EO$40,MATCH(ROW()-3,$PG$4:$PG$40,0)))</f>
        <v/>
      </c>
      <c r="PI22">
        <f>IF(COUNTIF('Buyer Groups'!DG22:EG22,0)+COUNTIF('Buyer Groups'!EI22:EN22,0)&gt;0,0,1)</f>
        <v/>
      </c>
      <c r="PJ22">
        <f>IF($ET$22="",FALSE,SUMPRODUCT(('Final Calculation Sheet'!$AB$4:$AB$40=$ET$22)*($PI$6:$PI$42=1))&gt;0)</f>
        <v/>
      </c>
      <c r="PK22">
        <f>$PK$21+--($PJ22)</f>
        <v/>
      </c>
      <c r="PL22">
        <f>IF(ROW()-3&gt;MAX($PK$4:$PK$40),"",INDEX($ET$4:$ET$40,MATCH(ROW()-3,$PK$4:$PK$40,0)))</f>
        <v/>
      </c>
      <c r="PM22">
        <f>IF(COUNTIF('Buyer Groups'!DG22:EH22,0)+COUNTIF('Buyer Groups'!EJ22:EN22,0)&gt;0,0,1)</f>
        <v/>
      </c>
      <c r="PN22">
        <f>IF($EY$22="",FALSE,SUMPRODUCT(('Final Calculation Sheet'!$AC$4:$AC$40=$EY$22)*($PM$6:$PM$42=1))&gt;0)</f>
        <v/>
      </c>
      <c r="PO22">
        <f>$PO$21+--($PN22)</f>
        <v/>
      </c>
      <c r="PP22">
        <f>IF(ROW()-3&gt;MAX($PO$4:$PO$40),"",INDEX($EY$4:$EY$40,MATCH(ROW()-3,$PO$4:$PO$40,0)))</f>
        <v/>
      </c>
      <c r="PQ22">
        <f>IF(COUNTIF('Buyer Groups'!DG22:EI22,0)+COUNTIF('Buyer Groups'!EK22:EN22,0)&gt;0,0,1)</f>
        <v/>
      </c>
      <c r="PR22">
        <f>IF($FD$22="",FALSE,SUMPRODUCT(('Final Calculation Sheet'!$AD$4:$AD$40=$FD$22)*($PQ$6:$PQ$42=1))&gt;0)</f>
        <v/>
      </c>
      <c r="PS22">
        <f>$PS$21+--($PR22)</f>
        <v/>
      </c>
      <c r="PT22">
        <f>IF(ROW()-3&gt;MAX($PS$4:$PS$40),"",INDEX($FD$4:$FD$40,MATCH(ROW()-3,$PS$4:$PS$40,0)))</f>
        <v/>
      </c>
      <c r="PU22">
        <f>IF(COUNTIF('Buyer Groups'!DG22:EJ22,0)+COUNTIF('Buyer Groups'!EL22:EN22,0)&gt;0,0,1)</f>
        <v/>
      </c>
      <c r="PV22">
        <f>IF($FX$22="",FALSE,SUMPRODUCT((IF('Final Calculation Sheet'!$AD$4:$AD$40&lt;=5,"SETTLED","OUTSTANDING")=$FX$22)*($PU$6:$PU$42=1))&gt;0)</f>
        <v/>
      </c>
      <c r="PW22">
        <f>$PW$21+--($PV22)</f>
        <v/>
      </c>
      <c r="PX22">
        <f>IF(ROW()-3&gt;MAX($PW$4:$PW$40),"",INDEX($FX$4:$FX$40,MATCH(ROW()-3,$PW$4:$PW$40,0)))</f>
        <v/>
      </c>
      <c r="PY22">
        <f>IF(COUNTIF('Buyer Groups'!DG22:EK22,0)+COUNTIF('Buyer Groups'!EM22:EN22,0)&gt;0,0,1)</f>
        <v/>
      </c>
      <c r="PZ22">
        <f>IF($FI$22="",FALSE,SUMPRODUCT(('Final Calculation Sheet'!$AF$4:$AF$40=$FI$22)*($PY$6:$PY$42=1))&gt;0)</f>
        <v/>
      </c>
      <c r="QA22">
        <f>$QA$21+--($PZ22)</f>
        <v/>
      </c>
      <c r="QB22">
        <f>IF(ROW()-3&gt;MAX($QA$4:$QA$40),"",INDEX($FI$4:$FI$40,MATCH(ROW()-3,$QA$4:$QA$40,0)))</f>
        <v/>
      </c>
      <c r="QC22">
        <f>IF(COUNTIF('Buyer Groups'!DG22:EL22,0)+COUNTIF('Buyer Groups'!EN22:EN22,0)&gt;0,0,1)</f>
        <v/>
      </c>
      <c r="QD22">
        <f>IF($FN$22="",FALSE,SUMPRODUCT(('Final Calculation Sheet'!$AG$4:$AG$40=$FN$22)*($QC$6:$QC$42=1))&gt;0)</f>
        <v/>
      </c>
      <c r="QE22">
        <f>$QE$21+--($QD22)</f>
        <v/>
      </c>
      <c r="QF22">
        <f>IF(ROW()-3&gt;MAX($QE$4:$QE$40),"",INDEX($FN$4:$FN$40,MATCH(ROW()-3,$QE$4:$QE$40,0)))</f>
        <v/>
      </c>
      <c r="QG22">
        <f>IF(COUNTIF('Buyer Groups'!DG22:EM22,0)&gt;0,0,1)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Groups'!DH23:EN23,0)&gt;0,0,1)</f>
        <v/>
      </c>
      <c r="LF23">
        <f>IF($O$23="",FALSE,SUMPRODUCT(('Final Calculation Sheet'!$F$4:$F$40=$O$23)*($LE$6:$LE$42=1))&gt;0)</f>
        <v/>
      </c>
      <c r="LG23">
        <f>$LG$22+--($LF23)</f>
        <v/>
      </c>
      <c r="LH23">
        <f>IF(ROW()-3&gt;MAX($LG$4:$LG$40),"",INDEX($O$4:$O$40,MATCH(ROW()-3,$LG$4:$LG$40,0)))</f>
        <v/>
      </c>
      <c r="LI23">
        <f>IF(COUNTIF('Buyer Groups'!DG23:DG23,0)+COUNTIF('Buyer Groups'!DI23:EN23,0)&gt;0,0,1)</f>
        <v/>
      </c>
      <c r="LJ23">
        <f>IF($T$23="",FALSE,SUMPRODUCT(('Final Calculation Sheet'!$G$4:$G$40=$T$23)*($LI$6:$LI$42=1))&gt;0)</f>
        <v/>
      </c>
      <c r="LK23">
        <f>$LK$22+--($LJ23)</f>
        <v/>
      </c>
      <c r="LL23">
        <f>IF(ROW()-3&gt;MAX($LK$4:$LK$40),"",INDEX($T$4:$T$40,MATCH(ROW()-3,$LK$4:$LK$40,0)))</f>
        <v/>
      </c>
      <c r="LM23">
        <f>IF(COUNTIF('Buyer Groups'!DG23:DH23,0)+COUNTIF('Buyer Groups'!DJ23:EN23,0)&gt;0,0,1)</f>
        <v/>
      </c>
      <c r="LN23">
        <f>IF($Y$23="",FALSE,SUMPRODUCT(('Final Calculation Sheet'!$B$4:$B$40=$Y$23)*($LM$6:$LM$42=1))&gt;0)</f>
        <v/>
      </c>
      <c r="LO23">
        <f>$LO$22+--($LN23)</f>
        <v/>
      </c>
      <c r="LP23">
        <f>IF(ROW()-3&gt;MAX($LO$4:$LO$40),"",INDEX($Y$4:$Y$40,MATCH(ROW()-3,$LO$4:$LO$40,0)))</f>
        <v/>
      </c>
      <c r="LQ23">
        <f>IF(COUNTIF('Buyer Groups'!DG23:DI23,0)+COUNTIF('Buyer Groups'!DK23:EN23,0)&gt;0,0,1)</f>
        <v/>
      </c>
      <c r="LR23">
        <f>IF($AD$23="",FALSE,SUMPRODUCT(('Final Calculation Sheet'!$D$4:$D$40=$AD$23)*($LQ$6:$LQ$42=1))&gt;0)</f>
        <v/>
      </c>
      <c r="LS23">
        <f>$LS$22+--($LR23)</f>
        <v/>
      </c>
      <c r="LT23">
        <f>IF(ROW()-3&gt;MAX($LS$4:$LS$40),"",INDEX($AD$4:$AD$40,MATCH(ROW()-3,$LS$4:$LS$40,0)))</f>
        <v/>
      </c>
      <c r="LU23">
        <f>IF(COUNTIF('Buyer Groups'!DG23:DJ23,0)+COUNTIF('Buyer Groups'!DL23:EN23,0)&gt;0,0,1)</f>
        <v/>
      </c>
      <c r="LV23">
        <f>IF($AI$23="",FALSE,SUMPRODUCT(('Final Calculation Sheet'!$A$4:$A$40=$AI$23)*($LU$6:$LU$42=1))&gt;0)</f>
        <v/>
      </c>
      <c r="LW23">
        <f>$LW$22+--($LV23)</f>
        <v/>
      </c>
      <c r="LX23">
        <f>IF(ROW()-3&gt;MAX($LW$4:$LW$40),"",INDEX($AI$4:$AI$40,MATCH(ROW()-3,$LW$4:$LW$40,0)))</f>
        <v/>
      </c>
      <c r="LY23">
        <f>IF(COUNTIF('Buyer Groups'!DG23:DK23,0)+COUNTIF('Buyer Groups'!DM23:EN23,0)&gt;0,0,1)</f>
        <v/>
      </c>
      <c r="LZ23">
        <f>IF($AN$23="",FALSE,SUMPRODUCT(('Final Calculation Sheet'!$E$4:$E$40=$AN$23)*($LY$6:$LY$42=1))&gt;0)</f>
        <v/>
      </c>
      <c r="MA23">
        <f>$MA$22+--($LZ23)</f>
        <v/>
      </c>
      <c r="MB23">
        <f>IF(ROW()-3&gt;MAX($MA$4:$MA$40),"",INDEX($AN$4:$AN$40,MATCH(ROW()-3,$MA$4:$MA$40,0)))</f>
        <v/>
      </c>
      <c r="MC23">
        <f>IF(COUNTIF('Buyer Groups'!DG23:DL23,0)+COUNTIF('Buyer Groups'!DN23:EN23,0)&gt;0,0,1)</f>
        <v/>
      </c>
      <c r="MD23">
        <f>IF($AS$23="",FALSE,SUMPRODUCT(('Final Calculation Sheet'!$C$4:$C$40=$AS$23)*($MC$6:$MC$42=1))&gt;0)</f>
        <v/>
      </c>
      <c r="ME23">
        <f>$ME$22+--($MD23)</f>
        <v/>
      </c>
      <c r="MF23">
        <f>IF(ROW()-3&gt;MAX($ME$4:$ME$40),"",INDEX($AS$4:$AS$40,MATCH(ROW()-3,$ME$4:$ME$40,0)))</f>
        <v/>
      </c>
      <c r="MG23">
        <f>IF(COUNTIF('Buyer Groups'!DG23:DM23,0)+COUNTIF('Buyer Groups'!DO23:EN23,0)&gt;0,0,1)</f>
        <v/>
      </c>
      <c r="MH23">
        <f>IF($AX$23="",FALSE,SUMPRODUCT(('Final Calculation Sheet'!$H$4:$H$40=$AX$23)*($MG$6:$MG$42=1))&gt;0)</f>
        <v/>
      </c>
      <c r="MI23">
        <f>$MI$22+--($MH23)</f>
        <v/>
      </c>
      <c r="MJ23">
        <f>IF(ROW()-3&gt;MAX($MI$4:$MI$40),"",INDEX($AX$4:$AX$40,MATCH(ROW()-3,$MI$4:$MI$40,0)))</f>
        <v/>
      </c>
      <c r="MK23">
        <f>IF(COUNTIF('Buyer Groups'!DG23:DN23,0)+COUNTIF('Buyer Groups'!DP23:EN23,0)&gt;0,0,1)</f>
        <v/>
      </c>
      <c r="ML23">
        <f>IF($BC$23="",FALSE,SUMPRODUCT(('Final Calculation Sheet'!$I$4:$I$40=$BC$23)*($MK$6:$MK$42=1))&gt;0)</f>
        <v/>
      </c>
      <c r="MM23">
        <f>$MM$22+--($ML23)</f>
        <v/>
      </c>
      <c r="MN23">
        <f>IF(ROW()-3&gt;MAX($MM$4:$MM$40),"",INDEX($BC$4:$BC$40,MATCH(ROW()-3,$MM$4:$MM$40,0)))</f>
        <v/>
      </c>
      <c r="MO23">
        <f>IF(COUNTIF('Buyer Groups'!DG23:DO23,0)+COUNTIF('Buyer Groups'!DQ23:EN23,0)&gt;0,0,1)</f>
        <v/>
      </c>
      <c r="MP23">
        <f>IF($BH$23="",FALSE,SUMPRODUCT(('Final Calculation Sheet'!$J$4:$J$40=$BH$23)*($MO$6:$MO$42=1))&gt;0)</f>
        <v/>
      </c>
      <c r="MQ23">
        <f>$MQ$22+--($MP23)</f>
        <v/>
      </c>
      <c r="MR23">
        <f>IF(ROW()-3&gt;MAX($MQ$4:$MQ$40),"",INDEX($BH$4:$BH$40,MATCH(ROW()-3,$MQ$4:$MQ$40,0)))</f>
        <v/>
      </c>
      <c r="MS23">
        <f>IF(COUNTIF('Buyer Groups'!DG23:DP23,0)+COUNTIF('Buyer Groups'!DR23:EN23,0)&gt;0,0,1)</f>
        <v/>
      </c>
      <c r="MT23">
        <f>IF($BM$23="",FALSE,SUMPRODUCT(('Final Calculation Sheet'!$K$4:$K$40=$BM$23)*($MS$6:$MS$42=1))&gt;0)</f>
        <v/>
      </c>
      <c r="MU23">
        <f>$MU$22+--($MT23)</f>
        <v/>
      </c>
      <c r="MV23">
        <f>IF(ROW()-3&gt;MAX($MU$4:$MU$40),"",INDEX($BM$4:$BM$40,MATCH(ROW()-3,$MU$4:$MU$40,0)))</f>
        <v/>
      </c>
      <c r="MW23">
        <f>IF(COUNTIF('Buyer Groups'!DG23:DQ23,0)+COUNTIF('Buyer Groups'!DS23:EN23,0)&gt;0,0,1)</f>
        <v/>
      </c>
      <c r="MX23">
        <f>IF($BR$23="",FALSE,SUMPRODUCT(('Final Calculation Sheet'!$L$4:$L$40=$BR$23)*($MW$6:$MW$42=1))&gt;0)</f>
        <v/>
      </c>
      <c r="MY23">
        <f>$MY$22+--($MX23)</f>
        <v/>
      </c>
      <c r="MZ23">
        <f>IF(ROW()-3&gt;MAX($MY$4:$MY$40),"",INDEX($BR$4:$BR$40,MATCH(ROW()-3,$MY$4:$MY$40,0)))</f>
        <v/>
      </c>
      <c r="NA23">
        <f>IF(COUNTIF('Buyer Groups'!DG23:DR23,0)+COUNTIF('Buyer Groups'!DT23:EN23,0)&gt;0,0,1)</f>
        <v/>
      </c>
      <c r="NB23">
        <f>IF($BW$23="",FALSE,SUMPRODUCT(('Final Calculation Sheet'!$M$4:$M$40=$BW$23)*($NA$6:$NA$42=1))&gt;0)</f>
        <v/>
      </c>
      <c r="NC23">
        <f>$NC$22+--($NB23)</f>
        <v/>
      </c>
      <c r="ND23">
        <f>IF(ROW()-3&gt;MAX($NC$4:$NC$40),"",INDEX($BW$4:$BW$40,MATCH(ROW()-3,$NC$4:$NC$40,0)))</f>
        <v/>
      </c>
      <c r="NE23">
        <f>IF(COUNTIF('Buyer Groups'!DG23:DS23,0)+COUNTIF('Buyer Groups'!DU23:EN23,0)&gt;0,0,1)</f>
        <v/>
      </c>
      <c r="NF23">
        <f>IF($CB$23="",FALSE,SUMPRODUCT(('Final Calculation Sheet'!$N$4:$N$40=$CB$23)*($NE$6:$NE$42=1))&gt;0)</f>
        <v/>
      </c>
      <c r="NG23">
        <f>$NG$22+--($NF23)</f>
        <v/>
      </c>
      <c r="NH23">
        <f>IF(ROW()-3&gt;MAX($NG$4:$NG$40),"",INDEX($CB$4:$CB$40,MATCH(ROW()-3,$NG$4:$NG$40,0)))</f>
        <v/>
      </c>
      <c r="NI23">
        <f>IF(COUNTIF('Buyer Groups'!DG23:DT23,0)+COUNTIF('Buyer Groups'!DV23:EN23,0)&gt;0,0,1)</f>
        <v/>
      </c>
      <c r="NJ23">
        <f>IF($CG$23="",FALSE,SUMPRODUCT(('Final Calculation Sheet'!$O$4:$O$40=$CG$23)*($NI$6:$NI$42=1))&gt;0)</f>
        <v/>
      </c>
      <c r="NK23">
        <f>$NK$22+--($NJ23)</f>
        <v/>
      </c>
      <c r="NL23">
        <f>IF(ROW()-3&gt;MAX($NK$4:$NK$40),"",INDEX($CG$4:$CG$40,MATCH(ROW()-3,$NK$4:$NK$40,0)))</f>
        <v/>
      </c>
      <c r="NM23">
        <f>IF(COUNTIF('Buyer Groups'!DG23:DU23,0)+COUNTIF('Buyer Groups'!DW23:EN23,0)&gt;0,0,1)</f>
        <v/>
      </c>
      <c r="NN23">
        <f>IF($CL$23="",FALSE,SUMPRODUCT(('Final Calculation Sheet'!$P$4:$P$40=$CL$23)*($NM$6:$NM$42=1))&gt;0)</f>
        <v/>
      </c>
      <c r="NO23">
        <f>$NO$22+--($NN23)</f>
        <v/>
      </c>
      <c r="NP23">
        <f>IF(ROW()-3&gt;MAX($NO$4:$NO$40),"",INDEX($CL$4:$CL$40,MATCH(ROW()-3,$NO$4:$NO$40,0)))</f>
        <v/>
      </c>
      <c r="NQ23">
        <f>IF(COUNTIF('Buyer Groups'!DG23:DV23,0)+COUNTIF('Buyer Groups'!DX23:EN23,0)&gt;0,0,1)</f>
        <v/>
      </c>
      <c r="NR23">
        <f>IF($CQ$23="",FALSE,SUMPRODUCT(('Final Calculation Sheet'!$Q$4:$Q$40=$CQ$23)*($NQ$6:$NQ$42=1))&gt;0)</f>
        <v/>
      </c>
      <c r="NS23">
        <f>$NS$22+--($NR23)</f>
        <v/>
      </c>
      <c r="NT23">
        <f>IF(ROW()-3&gt;MAX($NS$4:$NS$40),"",INDEX($CQ$4:$CQ$40,MATCH(ROW()-3,$NS$4:$NS$40,0)))</f>
        <v/>
      </c>
      <c r="NU23">
        <f>IF(COUNTIF('Buyer Groups'!DG23:DW23,0)+COUNTIF('Buyer Groups'!DY23:EN23,0)&gt;0,0,1)</f>
        <v/>
      </c>
      <c r="NV23">
        <f>IF($CV$23="",FALSE,SUMPRODUCT(('Final Calculation Sheet'!$R$4:$R$40=$CV$23)*($NU$6:$NU$42=1))&gt;0)</f>
        <v/>
      </c>
      <c r="NW23">
        <f>$NW$22+--($NV23)</f>
        <v/>
      </c>
      <c r="NX23">
        <f>IF(ROW()-3&gt;MAX($NW$4:$NW$40),"",INDEX($CV$4:$CV$40,MATCH(ROW()-3,$NW$4:$NW$40,0)))</f>
        <v/>
      </c>
      <c r="NY23">
        <f>IF(COUNTIF('Buyer Groups'!DG23:DX23,0)+COUNTIF('Buyer Groups'!DZ23:EN23,0)&gt;0,0,1)</f>
        <v/>
      </c>
      <c r="NZ23">
        <f>IF($DA$23="",FALSE,SUMPRODUCT(('Final Calculation Sheet'!$S$4:$S$40=$DA$23)*($NY$6:$NY$42=1))&gt;0)</f>
        <v/>
      </c>
      <c r="OA23">
        <f>$OA$22+--($NZ23)</f>
        <v/>
      </c>
      <c r="OB23">
        <f>IF(ROW()-3&gt;MAX($OA$4:$OA$40),"",INDEX($DA$4:$DA$40,MATCH(ROW()-3,$OA$4:$OA$40,0)))</f>
        <v/>
      </c>
      <c r="OC23">
        <f>IF(COUNTIF('Buyer Groups'!DG23:DY23,0)+COUNTIF('Buyer Groups'!EA23:EN23,0)&gt;0,0,1)</f>
        <v/>
      </c>
      <c r="OD23">
        <f>IF($DF$23="",FALSE,SUMPRODUCT(('Final Calculation Sheet'!$T$4:$T$40=$DF$23)*($OC$6:$OC$42=1))&gt;0)</f>
        <v/>
      </c>
      <c r="OE23">
        <f>$OE$22+--($OD23)</f>
        <v/>
      </c>
      <c r="OF23">
        <f>IF(ROW()-3&gt;MAX($OE$4:$OE$40),"",INDEX($DF$4:$DF$40,MATCH(ROW()-3,$OE$4:$OE$40,0)))</f>
        <v/>
      </c>
      <c r="OG23">
        <f>IF(COUNTIF('Buyer Groups'!DG23:DZ23,0)+COUNTIF('Buyer Groups'!EB23:EN23,0)&gt;0,0,1)</f>
        <v/>
      </c>
      <c r="OH23">
        <f>IF($DK$23="",FALSE,SUMPRODUCT(('Final Calculation Sheet'!$U$4:$U$40=$DK$23)*($OG$6:$OG$42=1))&gt;0)</f>
        <v/>
      </c>
      <c r="OI23">
        <f>$OI$22+--($OH23)</f>
        <v/>
      </c>
      <c r="OJ23">
        <f>IF(ROW()-3&gt;MAX($OI$4:$OI$40),"",INDEX($DK$4:$DK$40,MATCH(ROW()-3,$OI$4:$OI$40,0)))</f>
        <v/>
      </c>
      <c r="OK23">
        <f>IF(COUNTIF('Buyer Groups'!DG23:EA23,0)+COUNTIF('Buyer Groups'!EC23:EN23,0)&gt;0,0,1)</f>
        <v/>
      </c>
      <c r="OL23">
        <f>IF($DP$23="",FALSE,SUMPRODUCT(('Final Calculation Sheet'!$V$4:$V$40=$DP$23)*($OK$6:$OK$42=1))&gt;0)</f>
        <v/>
      </c>
      <c r="OM23">
        <f>$OM$22+--($OL23)</f>
        <v/>
      </c>
      <c r="ON23">
        <f>IF(ROW()-3&gt;MAX($OM$4:$OM$40),"",INDEX($DP$4:$DP$40,MATCH(ROW()-3,$OM$4:$OM$40,0)))</f>
        <v/>
      </c>
      <c r="OO23">
        <f>IF(COUNTIF('Buyer Groups'!DG23:EB23,0)+COUNTIF('Buyer Groups'!ED23:EN23,0)&gt;0,0,1)</f>
        <v/>
      </c>
      <c r="OP23">
        <f>IF($DU$23="",FALSE,SUMPRODUCT(('Final Calculation Sheet'!$W$4:$W$40=$DU$23)*($OO$6:$OO$42=1))&gt;0)</f>
        <v/>
      </c>
      <c r="OQ23">
        <f>$OQ$22+--($OP23)</f>
        <v/>
      </c>
      <c r="OR23">
        <f>IF(ROW()-3&gt;MAX($OQ$4:$OQ$40),"",INDEX($DU$4:$DU$40,MATCH(ROW()-3,$OQ$4:$OQ$40,0)))</f>
        <v/>
      </c>
      <c r="OS23">
        <f>IF(COUNTIF('Buyer Groups'!DG23:EC23,0)+COUNTIF('Buyer Groups'!EE23:EN23,0)&gt;0,0,1)</f>
        <v/>
      </c>
      <c r="OT23">
        <f>IF($DZ$23="",FALSE,SUMPRODUCT(('Final Calculation Sheet'!$X$4:$X$40=$DZ$23)*($OS$6:$OS$42=1))&gt;0)</f>
        <v/>
      </c>
      <c r="OU23">
        <f>$OU$22+--($OT23)</f>
        <v/>
      </c>
      <c r="OV23">
        <f>IF(ROW()-3&gt;MAX($OU$4:$OU$40),"",INDEX($DZ$4:$DZ$40,MATCH(ROW()-3,$OU$4:$OU$40,0)))</f>
        <v/>
      </c>
      <c r="OW23">
        <f>IF(COUNTIF('Buyer Groups'!DG23:ED23,0)+COUNTIF('Buyer Groups'!EF23:EN23,0)&gt;0,0,1)</f>
        <v/>
      </c>
      <c r="OX23">
        <f>IF($EE$23="",FALSE,SUMPRODUCT(('Final Calculation Sheet'!$Y$4:$Y$40=$EE$23)*($OW$6:$OW$42=1))&gt;0)</f>
        <v/>
      </c>
      <c r="OY23">
        <f>$OY$22+--($OX23)</f>
        <v/>
      </c>
      <c r="OZ23">
        <f>IF(ROW()-3&gt;MAX($OY$4:$OY$40),"",INDEX($EE$4:$EE$40,MATCH(ROW()-3,$OY$4:$OY$40,0)))</f>
        <v/>
      </c>
      <c r="PA23">
        <f>IF(COUNTIF('Buyer Groups'!DG23:EE23,0)+COUNTIF('Buyer Groups'!EG23:EN23,0)&gt;0,0,1)</f>
        <v/>
      </c>
      <c r="PB23">
        <f>IF($EJ$23="",FALSE,SUMPRODUCT(('Final Calculation Sheet'!$Z$4:$Z$40=$EJ$23)*($PA$6:$PA$42=1))&gt;0)</f>
        <v/>
      </c>
      <c r="PC23">
        <f>$PC$22+--($PB23)</f>
        <v/>
      </c>
      <c r="PD23">
        <f>IF(ROW()-3&gt;MAX($PC$4:$PC$40),"",INDEX($EJ$4:$EJ$40,MATCH(ROW()-3,$PC$4:$PC$40,0)))</f>
        <v/>
      </c>
      <c r="PE23">
        <f>IF(COUNTIF('Buyer Groups'!DG23:EF23,0)+COUNTIF('Buyer Groups'!EH23:EN23,0)&gt;0,0,1)</f>
        <v/>
      </c>
      <c r="PF23">
        <f>IF($EO$23="",FALSE,SUMPRODUCT(('Final Calculation Sheet'!$AA$4:$AA$40=$EO$23)*($PE$6:$PE$42=1))&gt;0)</f>
        <v/>
      </c>
      <c r="PG23">
        <f>$PG$22+--($PF23)</f>
        <v/>
      </c>
      <c r="PH23">
        <f>IF(ROW()-3&gt;MAX($PG$4:$PG$40),"",INDEX($EO$4:$EO$40,MATCH(ROW()-3,$PG$4:$PG$40,0)))</f>
        <v/>
      </c>
      <c r="PI23">
        <f>IF(COUNTIF('Buyer Groups'!DG23:EG23,0)+COUNTIF('Buyer Groups'!EI23:EN23,0)&gt;0,0,1)</f>
        <v/>
      </c>
      <c r="PJ23">
        <f>IF($ET$23="",FALSE,SUMPRODUCT(('Final Calculation Sheet'!$AB$4:$AB$40=$ET$23)*($PI$6:$PI$42=1))&gt;0)</f>
        <v/>
      </c>
      <c r="PK23">
        <f>$PK$22+--($PJ23)</f>
        <v/>
      </c>
      <c r="PL23">
        <f>IF(ROW()-3&gt;MAX($PK$4:$PK$40),"",INDEX($ET$4:$ET$40,MATCH(ROW()-3,$PK$4:$PK$40,0)))</f>
        <v/>
      </c>
      <c r="PM23">
        <f>IF(COUNTIF('Buyer Groups'!DG23:EH23,0)+COUNTIF('Buyer Groups'!EJ23:EN23,0)&gt;0,0,1)</f>
        <v/>
      </c>
      <c r="PN23">
        <f>IF($EY$23="",FALSE,SUMPRODUCT(('Final Calculation Sheet'!$AC$4:$AC$40=$EY$23)*($PM$6:$PM$42=1))&gt;0)</f>
        <v/>
      </c>
      <c r="PO23">
        <f>$PO$22+--($PN23)</f>
        <v/>
      </c>
      <c r="PP23">
        <f>IF(ROW()-3&gt;MAX($PO$4:$PO$40),"",INDEX($EY$4:$EY$40,MATCH(ROW()-3,$PO$4:$PO$40,0)))</f>
        <v/>
      </c>
      <c r="PQ23">
        <f>IF(COUNTIF('Buyer Groups'!DG23:EI23,0)+COUNTIF('Buyer Groups'!EK23:EN23,0)&gt;0,0,1)</f>
        <v/>
      </c>
      <c r="PR23">
        <f>IF($FD$23="",FALSE,SUMPRODUCT(('Final Calculation Sheet'!$AD$4:$AD$40=$FD$23)*($PQ$6:$PQ$42=1))&gt;0)</f>
        <v/>
      </c>
      <c r="PS23">
        <f>$PS$22+--($PR23)</f>
        <v/>
      </c>
      <c r="PT23">
        <f>IF(ROW()-3&gt;MAX($PS$4:$PS$40),"",INDEX($FD$4:$FD$40,MATCH(ROW()-3,$PS$4:$PS$40,0)))</f>
        <v/>
      </c>
      <c r="PU23">
        <f>IF(COUNTIF('Buyer Groups'!DG23:EJ23,0)+COUNTIF('Buyer Groups'!EL23:EN23,0)&gt;0,0,1)</f>
        <v/>
      </c>
      <c r="PV23">
        <f>IF($FX$23="",FALSE,SUMPRODUCT((IF('Final Calculation Sheet'!$AD$4:$AD$40&lt;=5,"SETTLED","OUTSTANDING")=$FX$23)*($PU$6:$PU$42=1))&gt;0)</f>
        <v/>
      </c>
      <c r="PW23">
        <f>$PW$22+--($PV23)</f>
        <v/>
      </c>
      <c r="PX23">
        <f>IF(ROW()-3&gt;MAX($PW$4:$PW$40),"",INDEX($FX$4:$FX$40,MATCH(ROW()-3,$PW$4:$PW$40,0)))</f>
        <v/>
      </c>
      <c r="PY23">
        <f>IF(COUNTIF('Buyer Groups'!DG23:EK23,0)+COUNTIF('Buyer Groups'!EM23:EN23,0)&gt;0,0,1)</f>
        <v/>
      </c>
      <c r="PZ23">
        <f>IF($FI$23="",FALSE,SUMPRODUCT(('Final Calculation Sheet'!$AF$4:$AF$40=$FI$23)*($PY$6:$PY$42=1))&gt;0)</f>
        <v/>
      </c>
      <c r="QA23">
        <f>$QA$22+--($PZ23)</f>
        <v/>
      </c>
      <c r="QB23">
        <f>IF(ROW()-3&gt;MAX($QA$4:$QA$40),"",INDEX($FI$4:$FI$40,MATCH(ROW()-3,$QA$4:$QA$40,0)))</f>
        <v/>
      </c>
      <c r="QC23">
        <f>IF(COUNTIF('Buyer Groups'!DG23:EL23,0)+COUNTIF('Buyer Groups'!EN23:EN23,0)&gt;0,0,1)</f>
        <v/>
      </c>
      <c r="QD23">
        <f>IF($FN$23="",FALSE,SUMPRODUCT(('Final Calculation Sheet'!$AG$4:$AG$40=$FN$23)*($QC$6:$QC$42=1))&gt;0)</f>
        <v/>
      </c>
      <c r="QE23">
        <f>$QE$22+--($QD23)</f>
        <v/>
      </c>
      <c r="QF23">
        <f>IF(ROW()-3&gt;MAX($QE$4:$QE$40),"",INDEX($FN$4:$FN$40,MATCH(ROW()-3,$QE$4:$QE$40,0)))</f>
        <v/>
      </c>
      <c r="QG23">
        <f>IF(COUNTIF('Buyer Groups'!DG23:EM23,0)&gt;0,0,1)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Groups'!DH24:EN24,0)&gt;0,0,1)</f>
        <v/>
      </c>
      <c r="LF24">
        <f>IF($O$24="",FALSE,SUMPRODUCT(('Final Calculation Sheet'!$F$4:$F$40=$O$24)*($LE$6:$LE$42=1))&gt;0)</f>
        <v/>
      </c>
      <c r="LG24">
        <f>$LG$23+--($LF24)</f>
        <v/>
      </c>
      <c r="LH24">
        <f>IF(ROW()-3&gt;MAX($LG$4:$LG$40),"",INDEX($O$4:$O$40,MATCH(ROW()-3,$LG$4:$LG$40,0)))</f>
        <v/>
      </c>
      <c r="LI24">
        <f>IF(COUNTIF('Buyer Groups'!DG24:DG24,0)+COUNTIF('Buyer Groups'!DI24:EN24,0)&gt;0,0,1)</f>
        <v/>
      </c>
      <c r="LJ24">
        <f>IF($T$24="",FALSE,SUMPRODUCT(('Final Calculation Sheet'!$G$4:$G$40=$T$24)*($LI$6:$LI$42=1))&gt;0)</f>
        <v/>
      </c>
      <c r="LK24">
        <f>$LK$23+--($LJ24)</f>
        <v/>
      </c>
      <c r="LL24">
        <f>IF(ROW()-3&gt;MAX($LK$4:$LK$40),"",INDEX($T$4:$T$40,MATCH(ROW()-3,$LK$4:$LK$40,0)))</f>
        <v/>
      </c>
      <c r="LM24">
        <f>IF(COUNTIF('Buyer Groups'!DG24:DH24,0)+COUNTIF('Buyer Groups'!DJ24:EN24,0)&gt;0,0,1)</f>
        <v/>
      </c>
      <c r="LN24">
        <f>IF($Y$24="",FALSE,SUMPRODUCT(('Final Calculation Sheet'!$B$4:$B$40=$Y$24)*($LM$6:$LM$42=1))&gt;0)</f>
        <v/>
      </c>
      <c r="LO24">
        <f>$LO$23+--($LN24)</f>
        <v/>
      </c>
      <c r="LP24">
        <f>IF(ROW()-3&gt;MAX($LO$4:$LO$40),"",INDEX($Y$4:$Y$40,MATCH(ROW()-3,$LO$4:$LO$40,0)))</f>
        <v/>
      </c>
      <c r="LQ24">
        <f>IF(COUNTIF('Buyer Groups'!DG24:DI24,0)+COUNTIF('Buyer Groups'!DK24:EN24,0)&gt;0,0,1)</f>
        <v/>
      </c>
      <c r="LR24">
        <f>IF($AD$24="",FALSE,SUMPRODUCT(('Final Calculation Sheet'!$D$4:$D$40=$AD$24)*($LQ$6:$LQ$42=1))&gt;0)</f>
        <v/>
      </c>
      <c r="LS24">
        <f>$LS$23+--($LR24)</f>
        <v/>
      </c>
      <c r="LT24">
        <f>IF(ROW()-3&gt;MAX($LS$4:$LS$40),"",INDEX($AD$4:$AD$40,MATCH(ROW()-3,$LS$4:$LS$40,0)))</f>
        <v/>
      </c>
      <c r="LU24">
        <f>IF(COUNTIF('Buyer Groups'!DG24:DJ24,0)+COUNTIF('Buyer Groups'!DL24:EN24,0)&gt;0,0,1)</f>
        <v/>
      </c>
      <c r="LV24">
        <f>IF($AI$24="",FALSE,SUMPRODUCT(('Final Calculation Sheet'!$A$4:$A$40=$AI$24)*($LU$6:$LU$42=1))&gt;0)</f>
        <v/>
      </c>
      <c r="LW24">
        <f>$LW$23+--($LV24)</f>
        <v/>
      </c>
      <c r="LX24">
        <f>IF(ROW()-3&gt;MAX($LW$4:$LW$40),"",INDEX($AI$4:$AI$40,MATCH(ROW()-3,$LW$4:$LW$40,0)))</f>
        <v/>
      </c>
      <c r="LY24">
        <f>IF(COUNTIF('Buyer Groups'!DG24:DK24,0)+COUNTIF('Buyer Groups'!DM24:EN24,0)&gt;0,0,1)</f>
        <v/>
      </c>
      <c r="LZ24">
        <f>IF($AN$24="",FALSE,SUMPRODUCT(('Final Calculation Sheet'!$E$4:$E$40=$AN$24)*($LY$6:$LY$42=1))&gt;0)</f>
        <v/>
      </c>
      <c r="MA24">
        <f>$MA$23+--($LZ24)</f>
        <v/>
      </c>
      <c r="MB24">
        <f>IF(ROW()-3&gt;MAX($MA$4:$MA$40),"",INDEX($AN$4:$AN$40,MATCH(ROW()-3,$MA$4:$MA$40,0)))</f>
        <v/>
      </c>
      <c r="MC24">
        <f>IF(COUNTIF('Buyer Groups'!DG24:DL24,0)+COUNTIF('Buyer Groups'!DN24:EN24,0)&gt;0,0,1)</f>
        <v/>
      </c>
      <c r="MD24">
        <f>IF($AS$24="",FALSE,SUMPRODUCT(('Final Calculation Sheet'!$C$4:$C$40=$AS$24)*($MC$6:$MC$42=1))&gt;0)</f>
        <v/>
      </c>
      <c r="ME24">
        <f>$ME$23+--($MD24)</f>
        <v/>
      </c>
      <c r="MF24">
        <f>IF(ROW()-3&gt;MAX($ME$4:$ME$40),"",INDEX($AS$4:$AS$40,MATCH(ROW()-3,$ME$4:$ME$40,0)))</f>
        <v/>
      </c>
      <c r="MG24">
        <f>IF(COUNTIF('Buyer Groups'!DG24:DM24,0)+COUNTIF('Buyer Groups'!DO24:EN24,0)&gt;0,0,1)</f>
        <v/>
      </c>
      <c r="MH24">
        <f>IF($AX$24="",FALSE,SUMPRODUCT(('Final Calculation Sheet'!$H$4:$H$40=$AX$24)*($MG$6:$MG$42=1))&gt;0)</f>
        <v/>
      </c>
      <c r="MI24">
        <f>$MI$23+--($MH24)</f>
        <v/>
      </c>
      <c r="MJ24">
        <f>IF(ROW()-3&gt;MAX($MI$4:$MI$40),"",INDEX($AX$4:$AX$40,MATCH(ROW()-3,$MI$4:$MI$40,0)))</f>
        <v/>
      </c>
      <c r="MK24">
        <f>IF(COUNTIF('Buyer Groups'!DG24:DN24,0)+COUNTIF('Buyer Groups'!DP24:EN24,0)&gt;0,0,1)</f>
        <v/>
      </c>
      <c r="ML24">
        <f>IF($BC$24="",FALSE,SUMPRODUCT(('Final Calculation Sheet'!$I$4:$I$40=$BC$24)*($MK$6:$MK$42=1))&gt;0)</f>
        <v/>
      </c>
      <c r="MM24">
        <f>$MM$23+--($ML24)</f>
        <v/>
      </c>
      <c r="MN24">
        <f>IF(ROW()-3&gt;MAX($MM$4:$MM$40),"",INDEX($BC$4:$BC$40,MATCH(ROW()-3,$MM$4:$MM$40,0)))</f>
        <v/>
      </c>
      <c r="MO24">
        <f>IF(COUNTIF('Buyer Groups'!DG24:DO24,0)+COUNTIF('Buyer Groups'!DQ24:EN24,0)&gt;0,0,1)</f>
        <v/>
      </c>
      <c r="MP24">
        <f>IF($BH$24="",FALSE,SUMPRODUCT(('Final Calculation Sheet'!$J$4:$J$40=$BH$24)*($MO$6:$MO$42=1))&gt;0)</f>
        <v/>
      </c>
      <c r="MQ24">
        <f>$MQ$23+--($MP24)</f>
        <v/>
      </c>
      <c r="MR24">
        <f>IF(ROW()-3&gt;MAX($MQ$4:$MQ$40),"",INDEX($BH$4:$BH$40,MATCH(ROW()-3,$MQ$4:$MQ$40,0)))</f>
        <v/>
      </c>
      <c r="MS24">
        <f>IF(COUNTIF('Buyer Groups'!DG24:DP24,0)+COUNTIF('Buyer Groups'!DR24:EN24,0)&gt;0,0,1)</f>
        <v/>
      </c>
      <c r="MT24">
        <f>IF($BM$24="",FALSE,SUMPRODUCT(('Final Calculation Sheet'!$K$4:$K$40=$BM$24)*($MS$6:$MS$42=1))&gt;0)</f>
        <v/>
      </c>
      <c r="MU24">
        <f>$MU$23+--($MT24)</f>
        <v/>
      </c>
      <c r="MV24">
        <f>IF(ROW()-3&gt;MAX($MU$4:$MU$40),"",INDEX($BM$4:$BM$40,MATCH(ROW()-3,$MU$4:$MU$40,0)))</f>
        <v/>
      </c>
      <c r="MW24">
        <f>IF(COUNTIF('Buyer Groups'!DG24:DQ24,0)+COUNTIF('Buyer Groups'!DS24:EN24,0)&gt;0,0,1)</f>
        <v/>
      </c>
      <c r="MX24">
        <f>IF($BR$24="",FALSE,SUMPRODUCT(('Final Calculation Sheet'!$L$4:$L$40=$BR$24)*($MW$6:$MW$42=1))&gt;0)</f>
        <v/>
      </c>
      <c r="MY24">
        <f>$MY$23+--($MX24)</f>
        <v/>
      </c>
      <c r="MZ24">
        <f>IF(ROW()-3&gt;MAX($MY$4:$MY$40),"",INDEX($BR$4:$BR$40,MATCH(ROW()-3,$MY$4:$MY$40,0)))</f>
        <v/>
      </c>
      <c r="NA24">
        <f>IF(COUNTIF('Buyer Groups'!DG24:DR24,0)+COUNTIF('Buyer Groups'!DT24:EN24,0)&gt;0,0,1)</f>
        <v/>
      </c>
      <c r="NB24">
        <f>IF($BW$24="",FALSE,SUMPRODUCT(('Final Calculation Sheet'!$M$4:$M$40=$BW$24)*($NA$6:$NA$42=1))&gt;0)</f>
        <v/>
      </c>
      <c r="NC24">
        <f>$NC$23+--($NB24)</f>
        <v/>
      </c>
      <c r="ND24">
        <f>IF(ROW()-3&gt;MAX($NC$4:$NC$40),"",INDEX($BW$4:$BW$40,MATCH(ROW()-3,$NC$4:$NC$40,0)))</f>
        <v/>
      </c>
      <c r="NE24">
        <f>IF(COUNTIF('Buyer Groups'!DG24:DS24,0)+COUNTIF('Buyer Groups'!DU24:EN24,0)&gt;0,0,1)</f>
        <v/>
      </c>
      <c r="NF24">
        <f>IF($CB$24="",FALSE,SUMPRODUCT(('Final Calculation Sheet'!$N$4:$N$40=$CB$24)*($NE$6:$NE$42=1))&gt;0)</f>
        <v/>
      </c>
      <c r="NG24">
        <f>$NG$23+--($NF24)</f>
        <v/>
      </c>
      <c r="NH24">
        <f>IF(ROW()-3&gt;MAX($NG$4:$NG$40),"",INDEX($CB$4:$CB$40,MATCH(ROW()-3,$NG$4:$NG$40,0)))</f>
        <v/>
      </c>
      <c r="NI24">
        <f>IF(COUNTIF('Buyer Groups'!DG24:DT24,0)+COUNTIF('Buyer Groups'!DV24:EN24,0)&gt;0,0,1)</f>
        <v/>
      </c>
      <c r="NJ24">
        <f>IF($CG$24="",FALSE,SUMPRODUCT(('Final Calculation Sheet'!$O$4:$O$40=$CG$24)*($NI$6:$NI$42=1))&gt;0)</f>
        <v/>
      </c>
      <c r="NK24">
        <f>$NK$23+--($NJ24)</f>
        <v/>
      </c>
      <c r="NL24">
        <f>IF(ROW()-3&gt;MAX($NK$4:$NK$40),"",INDEX($CG$4:$CG$40,MATCH(ROW()-3,$NK$4:$NK$40,0)))</f>
        <v/>
      </c>
      <c r="NM24">
        <f>IF(COUNTIF('Buyer Groups'!DG24:DU24,0)+COUNTIF('Buyer Groups'!DW24:EN24,0)&gt;0,0,1)</f>
        <v/>
      </c>
      <c r="NN24">
        <f>IF($CL$24="",FALSE,SUMPRODUCT(('Final Calculation Sheet'!$P$4:$P$40=$CL$24)*($NM$6:$NM$42=1))&gt;0)</f>
        <v/>
      </c>
      <c r="NO24">
        <f>$NO$23+--($NN24)</f>
        <v/>
      </c>
      <c r="NP24">
        <f>IF(ROW()-3&gt;MAX($NO$4:$NO$40),"",INDEX($CL$4:$CL$40,MATCH(ROW()-3,$NO$4:$NO$40,0)))</f>
        <v/>
      </c>
      <c r="NQ24">
        <f>IF(COUNTIF('Buyer Groups'!DG24:DV24,0)+COUNTIF('Buyer Groups'!DX24:EN24,0)&gt;0,0,1)</f>
        <v/>
      </c>
      <c r="NR24">
        <f>IF($CQ$24="",FALSE,SUMPRODUCT(('Final Calculation Sheet'!$Q$4:$Q$40=$CQ$24)*($NQ$6:$NQ$42=1))&gt;0)</f>
        <v/>
      </c>
      <c r="NS24">
        <f>$NS$23+--($NR24)</f>
        <v/>
      </c>
      <c r="NT24">
        <f>IF(ROW()-3&gt;MAX($NS$4:$NS$40),"",INDEX($CQ$4:$CQ$40,MATCH(ROW()-3,$NS$4:$NS$40,0)))</f>
        <v/>
      </c>
      <c r="NU24">
        <f>IF(COUNTIF('Buyer Groups'!DG24:DW24,0)+COUNTIF('Buyer Groups'!DY24:EN24,0)&gt;0,0,1)</f>
        <v/>
      </c>
      <c r="NV24">
        <f>IF($CV$24="",FALSE,SUMPRODUCT(('Final Calculation Sheet'!$R$4:$R$40=$CV$24)*($NU$6:$NU$42=1))&gt;0)</f>
        <v/>
      </c>
      <c r="NW24">
        <f>$NW$23+--($NV24)</f>
        <v/>
      </c>
      <c r="NX24">
        <f>IF(ROW()-3&gt;MAX($NW$4:$NW$40),"",INDEX($CV$4:$CV$40,MATCH(ROW()-3,$NW$4:$NW$40,0)))</f>
        <v/>
      </c>
      <c r="NY24">
        <f>IF(COUNTIF('Buyer Groups'!DG24:DX24,0)+COUNTIF('Buyer Groups'!DZ24:EN24,0)&gt;0,0,1)</f>
        <v/>
      </c>
      <c r="NZ24">
        <f>IF($DA$24="",FALSE,SUMPRODUCT(('Final Calculation Sheet'!$S$4:$S$40=$DA$24)*($NY$6:$NY$42=1))&gt;0)</f>
        <v/>
      </c>
      <c r="OA24">
        <f>$OA$23+--($NZ24)</f>
        <v/>
      </c>
      <c r="OB24">
        <f>IF(ROW()-3&gt;MAX($OA$4:$OA$40),"",INDEX($DA$4:$DA$40,MATCH(ROW()-3,$OA$4:$OA$40,0)))</f>
        <v/>
      </c>
      <c r="OC24">
        <f>IF(COUNTIF('Buyer Groups'!DG24:DY24,0)+COUNTIF('Buyer Groups'!EA24:EN24,0)&gt;0,0,1)</f>
        <v/>
      </c>
      <c r="OD24">
        <f>IF($DF$24="",FALSE,SUMPRODUCT(('Final Calculation Sheet'!$T$4:$T$40=$DF$24)*($OC$6:$OC$42=1))&gt;0)</f>
        <v/>
      </c>
      <c r="OE24">
        <f>$OE$23+--($OD24)</f>
        <v/>
      </c>
      <c r="OF24">
        <f>IF(ROW()-3&gt;MAX($OE$4:$OE$40),"",INDEX($DF$4:$DF$40,MATCH(ROW()-3,$OE$4:$OE$40,0)))</f>
        <v/>
      </c>
      <c r="OG24">
        <f>IF(COUNTIF('Buyer Groups'!DG24:DZ24,0)+COUNTIF('Buyer Groups'!EB24:EN24,0)&gt;0,0,1)</f>
        <v/>
      </c>
      <c r="OH24">
        <f>IF($DK$24="",FALSE,SUMPRODUCT(('Final Calculation Sheet'!$U$4:$U$40=$DK$24)*($OG$6:$OG$42=1))&gt;0)</f>
        <v/>
      </c>
      <c r="OI24">
        <f>$OI$23+--($OH24)</f>
        <v/>
      </c>
      <c r="OJ24">
        <f>IF(ROW()-3&gt;MAX($OI$4:$OI$40),"",INDEX($DK$4:$DK$40,MATCH(ROW()-3,$OI$4:$OI$40,0)))</f>
        <v/>
      </c>
      <c r="OK24">
        <f>IF(COUNTIF('Buyer Groups'!DG24:EA24,0)+COUNTIF('Buyer Groups'!EC24:EN24,0)&gt;0,0,1)</f>
        <v/>
      </c>
      <c r="OL24">
        <f>IF($DP$24="",FALSE,SUMPRODUCT(('Final Calculation Sheet'!$V$4:$V$40=$DP$24)*($OK$6:$OK$42=1))&gt;0)</f>
        <v/>
      </c>
      <c r="OM24">
        <f>$OM$23+--($OL24)</f>
        <v/>
      </c>
      <c r="ON24">
        <f>IF(ROW()-3&gt;MAX($OM$4:$OM$40),"",INDEX($DP$4:$DP$40,MATCH(ROW()-3,$OM$4:$OM$40,0)))</f>
        <v/>
      </c>
      <c r="OO24">
        <f>IF(COUNTIF('Buyer Groups'!DG24:EB24,0)+COUNTIF('Buyer Groups'!ED24:EN24,0)&gt;0,0,1)</f>
        <v/>
      </c>
      <c r="OP24">
        <f>IF($DU$24="",FALSE,SUMPRODUCT(('Final Calculation Sheet'!$W$4:$W$40=$DU$24)*($OO$6:$OO$42=1))&gt;0)</f>
        <v/>
      </c>
      <c r="OQ24">
        <f>$OQ$23+--($OP24)</f>
        <v/>
      </c>
      <c r="OR24">
        <f>IF(ROW()-3&gt;MAX($OQ$4:$OQ$40),"",INDEX($DU$4:$DU$40,MATCH(ROW()-3,$OQ$4:$OQ$40,0)))</f>
        <v/>
      </c>
      <c r="OS24">
        <f>IF(COUNTIF('Buyer Groups'!DG24:EC24,0)+COUNTIF('Buyer Groups'!EE24:EN24,0)&gt;0,0,1)</f>
        <v/>
      </c>
      <c r="OT24">
        <f>IF($DZ$24="",FALSE,SUMPRODUCT(('Final Calculation Sheet'!$X$4:$X$40=$DZ$24)*($OS$6:$OS$42=1))&gt;0)</f>
        <v/>
      </c>
      <c r="OU24">
        <f>$OU$23+--($OT24)</f>
        <v/>
      </c>
      <c r="OV24">
        <f>IF(ROW()-3&gt;MAX($OU$4:$OU$40),"",INDEX($DZ$4:$DZ$40,MATCH(ROW()-3,$OU$4:$OU$40,0)))</f>
        <v/>
      </c>
      <c r="OW24">
        <f>IF(COUNTIF('Buyer Groups'!DG24:ED24,0)+COUNTIF('Buyer Groups'!EF24:EN24,0)&gt;0,0,1)</f>
        <v/>
      </c>
      <c r="OX24">
        <f>IF($EE$24="",FALSE,SUMPRODUCT(('Final Calculation Sheet'!$Y$4:$Y$40=$EE$24)*($OW$6:$OW$42=1))&gt;0)</f>
        <v/>
      </c>
      <c r="OY24">
        <f>$OY$23+--($OX24)</f>
        <v/>
      </c>
      <c r="OZ24">
        <f>IF(ROW()-3&gt;MAX($OY$4:$OY$40),"",INDEX($EE$4:$EE$40,MATCH(ROW()-3,$OY$4:$OY$40,0)))</f>
        <v/>
      </c>
      <c r="PA24">
        <f>IF(COUNTIF('Buyer Groups'!DG24:EE24,0)+COUNTIF('Buyer Groups'!EG24:EN24,0)&gt;0,0,1)</f>
        <v/>
      </c>
      <c r="PB24">
        <f>IF($EJ$24="",FALSE,SUMPRODUCT(('Final Calculation Sheet'!$Z$4:$Z$40=$EJ$24)*($PA$6:$PA$42=1))&gt;0)</f>
        <v/>
      </c>
      <c r="PC24">
        <f>$PC$23+--($PB24)</f>
        <v/>
      </c>
      <c r="PD24">
        <f>IF(ROW()-3&gt;MAX($PC$4:$PC$40),"",INDEX($EJ$4:$EJ$40,MATCH(ROW()-3,$PC$4:$PC$40,0)))</f>
        <v/>
      </c>
      <c r="PE24">
        <f>IF(COUNTIF('Buyer Groups'!DG24:EF24,0)+COUNTIF('Buyer Groups'!EH24:EN24,0)&gt;0,0,1)</f>
        <v/>
      </c>
      <c r="PF24">
        <f>IF($EO$24="",FALSE,SUMPRODUCT(('Final Calculation Sheet'!$AA$4:$AA$40=$EO$24)*($PE$6:$PE$42=1))&gt;0)</f>
        <v/>
      </c>
      <c r="PG24">
        <f>$PG$23+--($PF24)</f>
        <v/>
      </c>
      <c r="PH24">
        <f>IF(ROW()-3&gt;MAX($PG$4:$PG$40),"",INDEX($EO$4:$EO$40,MATCH(ROW()-3,$PG$4:$PG$40,0)))</f>
        <v/>
      </c>
      <c r="PI24">
        <f>IF(COUNTIF('Buyer Groups'!DG24:EG24,0)+COUNTIF('Buyer Groups'!EI24:EN24,0)&gt;0,0,1)</f>
        <v/>
      </c>
      <c r="PJ24">
        <f>IF($ET$24="",FALSE,SUMPRODUCT(('Final Calculation Sheet'!$AB$4:$AB$40=$ET$24)*($PI$6:$PI$42=1))&gt;0)</f>
        <v/>
      </c>
      <c r="PK24">
        <f>$PK$23+--($PJ24)</f>
        <v/>
      </c>
      <c r="PL24">
        <f>IF(ROW()-3&gt;MAX($PK$4:$PK$40),"",INDEX($ET$4:$ET$40,MATCH(ROW()-3,$PK$4:$PK$40,0)))</f>
        <v/>
      </c>
      <c r="PM24">
        <f>IF(COUNTIF('Buyer Groups'!DG24:EH24,0)+COUNTIF('Buyer Groups'!EJ24:EN24,0)&gt;0,0,1)</f>
        <v/>
      </c>
      <c r="PN24">
        <f>IF($EY$24="",FALSE,SUMPRODUCT(('Final Calculation Sheet'!$AC$4:$AC$40=$EY$24)*($PM$6:$PM$42=1))&gt;0)</f>
        <v/>
      </c>
      <c r="PO24">
        <f>$PO$23+--($PN24)</f>
        <v/>
      </c>
      <c r="PP24">
        <f>IF(ROW()-3&gt;MAX($PO$4:$PO$40),"",INDEX($EY$4:$EY$40,MATCH(ROW()-3,$PO$4:$PO$40,0)))</f>
        <v/>
      </c>
      <c r="PQ24">
        <f>IF(COUNTIF('Buyer Groups'!DG24:EI24,0)+COUNTIF('Buyer Groups'!EK24:EN24,0)&gt;0,0,1)</f>
        <v/>
      </c>
      <c r="PR24">
        <f>IF($FD$24="",FALSE,SUMPRODUCT(('Final Calculation Sheet'!$AD$4:$AD$40=$FD$24)*($PQ$6:$PQ$42=1))&gt;0)</f>
        <v/>
      </c>
      <c r="PS24">
        <f>$PS$23+--($PR24)</f>
        <v/>
      </c>
      <c r="PT24">
        <f>IF(ROW()-3&gt;MAX($PS$4:$PS$40),"",INDEX($FD$4:$FD$40,MATCH(ROW()-3,$PS$4:$PS$40,0)))</f>
        <v/>
      </c>
      <c r="PU24">
        <f>IF(COUNTIF('Buyer Groups'!DG24:EJ24,0)+COUNTIF('Buyer Groups'!EL24:EN24,0)&gt;0,0,1)</f>
        <v/>
      </c>
      <c r="PV24">
        <f>IF($FX$24="",FALSE,SUMPRODUCT((IF('Final Calculation Sheet'!$AD$4:$AD$40&lt;=5,"SETTLED","OUTSTANDING")=$FX$24)*($PU$6:$PU$42=1))&gt;0)</f>
        <v/>
      </c>
      <c r="PW24">
        <f>$PW$23+--($PV24)</f>
        <v/>
      </c>
      <c r="PX24">
        <f>IF(ROW()-3&gt;MAX($PW$4:$PW$40),"",INDEX($FX$4:$FX$40,MATCH(ROW()-3,$PW$4:$PW$40,0)))</f>
        <v/>
      </c>
      <c r="PY24">
        <f>IF(COUNTIF('Buyer Groups'!DG24:EK24,0)+COUNTIF('Buyer Groups'!EM24:EN24,0)&gt;0,0,1)</f>
        <v/>
      </c>
      <c r="PZ24">
        <f>IF($FI$24="",FALSE,SUMPRODUCT(('Final Calculation Sheet'!$AF$4:$AF$40=$FI$24)*($PY$6:$PY$42=1))&gt;0)</f>
        <v/>
      </c>
      <c r="QA24">
        <f>$QA$23+--($PZ24)</f>
        <v/>
      </c>
      <c r="QB24">
        <f>IF(ROW()-3&gt;MAX($QA$4:$QA$40),"",INDEX($FI$4:$FI$40,MATCH(ROW()-3,$QA$4:$QA$40,0)))</f>
        <v/>
      </c>
      <c r="QC24">
        <f>IF(COUNTIF('Buyer Groups'!DG24:EL24,0)+COUNTIF('Buyer Groups'!EN24:EN24,0)&gt;0,0,1)</f>
        <v/>
      </c>
      <c r="QD24">
        <f>IF($FN$24="",FALSE,SUMPRODUCT(('Final Calculation Sheet'!$AG$4:$AG$40=$FN$24)*($QC$6:$QC$42=1))&gt;0)</f>
        <v/>
      </c>
      <c r="QE24">
        <f>$QE$23+--($QD24)</f>
        <v/>
      </c>
      <c r="QF24">
        <f>IF(ROW()-3&gt;MAX($QE$4:$QE$40),"",INDEX($FN$4:$FN$40,MATCH(ROW()-3,$QE$4:$QE$40,0)))</f>
        <v/>
      </c>
      <c r="QG24">
        <f>IF(COUNTIF('Buyer Groups'!DG24:EM24,0)&gt;0,0,1)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Groups'!DH25:EN25,0)&gt;0,0,1)</f>
        <v/>
      </c>
      <c r="LF25">
        <f>IF($O$25="",FALSE,SUMPRODUCT(('Final Calculation Sheet'!$F$4:$F$40=$O$25)*($LE$6:$LE$42=1))&gt;0)</f>
        <v/>
      </c>
      <c r="LG25">
        <f>$LG$24+--($LF25)</f>
        <v/>
      </c>
      <c r="LH25">
        <f>IF(ROW()-3&gt;MAX($LG$4:$LG$40),"",INDEX($O$4:$O$40,MATCH(ROW()-3,$LG$4:$LG$40,0)))</f>
        <v/>
      </c>
      <c r="LI25">
        <f>IF(COUNTIF('Buyer Groups'!DG25:DG25,0)+COUNTIF('Buyer Groups'!DI25:EN25,0)&gt;0,0,1)</f>
        <v/>
      </c>
      <c r="LJ25">
        <f>IF($T$25="",FALSE,SUMPRODUCT(('Final Calculation Sheet'!$G$4:$G$40=$T$25)*($LI$6:$LI$42=1))&gt;0)</f>
        <v/>
      </c>
      <c r="LK25">
        <f>$LK$24+--($LJ25)</f>
        <v/>
      </c>
      <c r="LL25">
        <f>IF(ROW()-3&gt;MAX($LK$4:$LK$40),"",INDEX($T$4:$T$40,MATCH(ROW()-3,$LK$4:$LK$40,0)))</f>
        <v/>
      </c>
      <c r="LM25">
        <f>IF(COUNTIF('Buyer Groups'!DG25:DH25,0)+COUNTIF('Buyer Groups'!DJ25:EN25,0)&gt;0,0,1)</f>
        <v/>
      </c>
      <c r="LN25">
        <f>IF($Y$25="",FALSE,SUMPRODUCT(('Final Calculation Sheet'!$B$4:$B$40=$Y$25)*($LM$6:$LM$42=1))&gt;0)</f>
        <v/>
      </c>
      <c r="LO25">
        <f>$LO$24+--($LN25)</f>
        <v/>
      </c>
      <c r="LP25">
        <f>IF(ROW()-3&gt;MAX($LO$4:$LO$40),"",INDEX($Y$4:$Y$40,MATCH(ROW()-3,$LO$4:$LO$40,0)))</f>
        <v/>
      </c>
      <c r="LQ25">
        <f>IF(COUNTIF('Buyer Groups'!DG25:DI25,0)+COUNTIF('Buyer Groups'!DK25:EN25,0)&gt;0,0,1)</f>
        <v/>
      </c>
      <c r="LR25">
        <f>IF($AD$25="",FALSE,SUMPRODUCT(('Final Calculation Sheet'!$D$4:$D$40=$AD$25)*($LQ$6:$LQ$42=1))&gt;0)</f>
        <v/>
      </c>
      <c r="LS25">
        <f>$LS$24+--($LR25)</f>
        <v/>
      </c>
      <c r="LT25">
        <f>IF(ROW()-3&gt;MAX($LS$4:$LS$40),"",INDEX($AD$4:$AD$40,MATCH(ROW()-3,$LS$4:$LS$40,0)))</f>
        <v/>
      </c>
      <c r="LU25">
        <f>IF(COUNTIF('Buyer Groups'!DG25:DJ25,0)+COUNTIF('Buyer Groups'!DL25:EN25,0)&gt;0,0,1)</f>
        <v/>
      </c>
      <c r="LV25">
        <f>IF($AI$25="",FALSE,SUMPRODUCT(('Final Calculation Sheet'!$A$4:$A$40=$AI$25)*($LU$6:$LU$42=1))&gt;0)</f>
        <v/>
      </c>
      <c r="LW25">
        <f>$LW$24+--($LV25)</f>
        <v/>
      </c>
      <c r="LX25">
        <f>IF(ROW()-3&gt;MAX($LW$4:$LW$40),"",INDEX($AI$4:$AI$40,MATCH(ROW()-3,$LW$4:$LW$40,0)))</f>
        <v/>
      </c>
      <c r="LY25">
        <f>IF(COUNTIF('Buyer Groups'!DG25:DK25,0)+COUNTIF('Buyer Groups'!DM25:EN25,0)&gt;0,0,1)</f>
        <v/>
      </c>
      <c r="LZ25">
        <f>IF($AN$25="",FALSE,SUMPRODUCT(('Final Calculation Sheet'!$E$4:$E$40=$AN$25)*($LY$6:$LY$42=1))&gt;0)</f>
        <v/>
      </c>
      <c r="MA25">
        <f>$MA$24+--($LZ25)</f>
        <v/>
      </c>
      <c r="MB25">
        <f>IF(ROW()-3&gt;MAX($MA$4:$MA$40),"",INDEX($AN$4:$AN$40,MATCH(ROW()-3,$MA$4:$MA$40,0)))</f>
        <v/>
      </c>
      <c r="MC25">
        <f>IF(COUNTIF('Buyer Groups'!DG25:DL25,0)+COUNTIF('Buyer Groups'!DN25:EN25,0)&gt;0,0,1)</f>
        <v/>
      </c>
      <c r="MD25">
        <f>IF($AS$25="",FALSE,SUMPRODUCT(('Final Calculation Sheet'!$C$4:$C$40=$AS$25)*($MC$6:$MC$42=1))&gt;0)</f>
        <v/>
      </c>
      <c r="ME25">
        <f>$ME$24+--($MD25)</f>
        <v/>
      </c>
      <c r="MF25">
        <f>IF(ROW()-3&gt;MAX($ME$4:$ME$40),"",INDEX($AS$4:$AS$40,MATCH(ROW()-3,$ME$4:$ME$40,0)))</f>
        <v/>
      </c>
      <c r="MG25">
        <f>IF(COUNTIF('Buyer Groups'!DG25:DM25,0)+COUNTIF('Buyer Groups'!DO25:EN25,0)&gt;0,0,1)</f>
        <v/>
      </c>
      <c r="MH25">
        <f>IF($AX$25="",FALSE,SUMPRODUCT(('Final Calculation Sheet'!$H$4:$H$40=$AX$25)*($MG$6:$MG$42=1))&gt;0)</f>
        <v/>
      </c>
      <c r="MI25">
        <f>$MI$24+--($MH25)</f>
        <v/>
      </c>
      <c r="MJ25">
        <f>IF(ROW()-3&gt;MAX($MI$4:$MI$40),"",INDEX($AX$4:$AX$40,MATCH(ROW()-3,$MI$4:$MI$40,0)))</f>
        <v/>
      </c>
      <c r="MK25">
        <f>IF(COUNTIF('Buyer Groups'!DG25:DN25,0)+COUNTIF('Buyer Groups'!DP25:EN25,0)&gt;0,0,1)</f>
        <v/>
      </c>
      <c r="ML25">
        <f>IF($BC$25="",FALSE,SUMPRODUCT(('Final Calculation Sheet'!$I$4:$I$40=$BC$25)*($MK$6:$MK$42=1))&gt;0)</f>
        <v/>
      </c>
      <c r="MM25">
        <f>$MM$24+--($ML25)</f>
        <v/>
      </c>
      <c r="MN25">
        <f>IF(ROW()-3&gt;MAX($MM$4:$MM$40),"",INDEX($BC$4:$BC$40,MATCH(ROW()-3,$MM$4:$MM$40,0)))</f>
        <v/>
      </c>
      <c r="MO25">
        <f>IF(COUNTIF('Buyer Groups'!DG25:DO25,0)+COUNTIF('Buyer Groups'!DQ25:EN25,0)&gt;0,0,1)</f>
        <v/>
      </c>
      <c r="MP25">
        <f>IF($BH$25="",FALSE,SUMPRODUCT(('Final Calculation Sheet'!$J$4:$J$40=$BH$25)*($MO$6:$MO$42=1))&gt;0)</f>
        <v/>
      </c>
      <c r="MQ25">
        <f>$MQ$24+--($MP25)</f>
        <v/>
      </c>
      <c r="MR25">
        <f>IF(ROW()-3&gt;MAX($MQ$4:$MQ$40),"",INDEX($BH$4:$BH$40,MATCH(ROW()-3,$MQ$4:$MQ$40,0)))</f>
        <v/>
      </c>
      <c r="MS25">
        <f>IF(COUNTIF('Buyer Groups'!DG25:DP25,0)+COUNTIF('Buyer Groups'!DR25:EN25,0)&gt;0,0,1)</f>
        <v/>
      </c>
      <c r="MT25">
        <f>IF($BM$25="",FALSE,SUMPRODUCT(('Final Calculation Sheet'!$K$4:$K$40=$BM$25)*($MS$6:$MS$42=1))&gt;0)</f>
        <v/>
      </c>
      <c r="MU25">
        <f>$MU$24+--($MT25)</f>
        <v/>
      </c>
      <c r="MV25">
        <f>IF(ROW()-3&gt;MAX($MU$4:$MU$40),"",INDEX($BM$4:$BM$40,MATCH(ROW()-3,$MU$4:$MU$40,0)))</f>
        <v/>
      </c>
      <c r="MW25">
        <f>IF(COUNTIF('Buyer Groups'!DG25:DQ25,0)+COUNTIF('Buyer Groups'!DS25:EN25,0)&gt;0,0,1)</f>
        <v/>
      </c>
      <c r="MX25">
        <f>IF($BR$25="",FALSE,SUMPRODUCT(('Final Calculation Sheet'!$L$4:$L$40=$BR$25)*($MW$6:$MW$42=1))&gt;0)</f>
        <v/>
      </c>
      <c r="MY25">
        <f>$MY$24+--($MX25)</f>
        <v/>
      </c>
      <c r="MZ25">
        <f>IF(ROW()-3&gt;MAX($MY$4:$MY$40),"",INDEX($BR$4:$BR$40,MATCH(ROW()-3,$MY$4:$MY$40,0)))</f>
        <v/>
      </c>
      <c r="NA25">
        <f>IF(COUNTIF('Buyer Groups'!DG25:DR25,0)+COUNTIF('Buyer Groups'!DT25:EN25,0)&gt;0,0,1)</f>
        <v/>
      </c>
      <c r="NB25">
        <f>IF($BW$25="",FALSE,SUMPRODUCT(('Final Calculation Sheet'!$M$4:$M$40=$BW$25)*($NA$6:$NA$42=1))&gt;0)</f>
        <v/>
      </c>
      <c r="NC25">
        <f>$NC$24+--($NB25)</f>
        <v/>
      </c>
      <c r="ND25">
        <f>IF(ROW()-3&gt;MAX($NC$4:$NC$40),"",INDEX($BW$4:$BW$40,MATCH(ROW()-3,$NC$4:$NC$40,0)))</f>
        <v/>
      </c>
      <c r="NE25">
        <f>IF(COUNTIF('Buyer Groups'!DG25:DS25,0)+COUNTIF('Buyer Groups'!DU25:EN25,0)&gt;0,0,1)</f>
        <v/>
      </c>
      <c r="NF25">
        <f>IF($CB$25="",FALSE,SUMPRODUCT(('Final Calculation Sheet'!$N$4:$N$40=$CB$25)*($NE$6:$NE$42=1))&gt;0)</f>
        <v/>
      </c>
      <c r="NG25">
        <f>$NG$24+--($NF25)</f>
        <v/>
      </c>
      <c r="NH25">
        <f>IF(ROW()-3&gt;MAX($NG$4:$NG$40),"",INDEX($CB$4:$CB$40,MATCH(ROW()-3,$NG$4:$NG$40,0)))</f>
        <v/>
      </c>
      <c r="NI25">
        <f>IF(COUNTIF('Buyer Groups'!DG25:DT25,0)+COUNTIF('Buyer Groups'!DV25:EN25,0)&gt;0,0,1)</f>
        <v/>
      </c>
      <c r="NJ25">
        <f>IF($CG$25="",FALSE,SUMPRODUCT(('Final Calculation Sheet'!$O$4:$O$40=$CG$25)*($NI$6:$NI$42=1))&gt;0)</f>
        <v/>
      </c>
      <c r="NK25">
        <f>$NK$24+--($NJ25)</f>
        <v/>
      </c>
      <c r="NL25">
        <f>IF(ROW()-3&gt;MAX($NK$4:$NK$40),"",INDEX($CG$4:$CG$40,MATCH(ROW()-3,$NK$4:$NK$40,0)))</f>
        <v/>
      </c>
      <c r="NM25">
        <f>IF(COUNTIF('Buyer Groups'!DG25:DU25,0)+COUNTIF('Buyer Groups'!DW25:EN25,0)&gt;0,0,1)</f>
        <v/>
      </c>
      <c r="NN25">
        <f>IF($CL$25="",FALSE,SUMPRODUCT(('Final Calculation Sheet'!$P$4:$P$40=$CL$25)*($NM$6:$NM$42=1))&gt;0)</f>
        <v/>
      </c>
      <c r="NO25">
        <f>$NO$24+--($NN25)</f>
        <v/>
      </c>
      <c r="NP25">
        <f>IF(ROW()-3&gt;MAX($NO$4:$NO$40),"",INDEX($CL$4:$CL$40,MATCH(ROW()-3,$NO$4:$NO$40,0)))</f>
        <v/>
      </c>
      <c r="NQ25">
        <f>IF(COUNTIF('Buyer Groups'!DG25:DV25,0)+COUNTIF('Buyer Groups'!DX25:EN25,0)&gt;0,0,1)</f>
        <v/>
      </c>
      <c r="NR25">
        <f>IF($CQ$25="",FALSE,SUMPRODUCT(('Final Calculation Sheet'!$Q$4:$Q$40=$CQ$25)*($NQ$6:$NQ$42=1))&gt;0)</f>
        <v/>
      </c>
      <c r="NS25">
        <f>$NS$24+--($NR25)</f>
        <v/>
      </c>
      <c r="NT25">
        <f>IF(ROW()-3&gt;MAX($NS$4:$NS$40),"",INDEX($CQ$4:$CQ$40,MATCH(ROW()-3,$NS$4:$NS$40,0)))</f>
        <v/>
      </c>
      <c r="NU25">
        <f>IF(COUNTIF('Buyer Groups'!DG25:DW25,0)+COUNTIF('Buyer Groups'!DY25:EN25,0)&gt;0,0,1)</f>
        <v/>
      </c>
      <c r="NV25">
        <f>IF($CV$25="",FALSE,SUMPRODUCT(('Final Calculation Sheet'!$R$4:$R$40=$CV$25)*($NU$6:$NU$42=1))&gt;0)</f>
        <v/>
      </c>
      <c r="NW25">
        <f>$NW$24+--($NV25)</f>
        <v/>
      </c>
      <c r="NX25">
        <f>IF(ROW()-3&gt;MAX($NW$4:$NW$40),"",INDEX($CV$4:$CV$40,MATCH(ROW()-3,$NW$4:$NW$40,0)))</f>
        <v/>
      </c>
      <c r="NY25">
        <f>IF(COUNTIF('Buyer Groups'!DG25:DX25,0)+COUNTIF('Buyer Groups'!DZ25:EN25,0)&gt;0,0,1)</f>
        <v/>
      </c>
      <c r="NZ25">
        <f>IF($DA$25="",FALSE,SUMPRODUCT(('Final Calculation Sheet'!$S$4:$S$40=$DA$25)*($NY$6:$NY$42=1))&gt;0)</f>
        <v/>
      </c>
      <c r="OA25">
        <f>$OA$24+--($NZ25)</f>
        <v/>
      </c>
      <c r="OB25">
        <f>IF(ROW()-3&gt;MAX($OA$4:$OA$40),"",INDEX($DA$4:$DA$40,MATCH(ROW()-3,$OA$4:$OA$40,0)))</f>
        <v/>
      </c>
      <c r="OC25">
        <f>IF(COUNTIF('Buyer Groups'!DG25:DY25,0)+COUNTIF('Buyer Groups'!EA25:EN25,0)&gt;0,0,1)</f>
        <v/>
      </c>
      <c r="OD25">
        <f>IF($DF$25="",FALSE,SUMPRODUCT(('Final Calculation Sheet'!$T$4:$T$40=$DF$25)*($OC$6:$OC$42=1))&gt;0)</f>
        <v/>
      </c>
      <c r="OE25">
        <f>$OE$24+--($OD25)</f>
        <v/>
      </c>
      <c r="OF25">
        <f>IF(ROW()-3&gt;MAX($OE$4:$OE$40),"",INDEX($DF$4:$DF$40,MATCH(ROW()-3,$OE$4:$OE$40,0)))</f>
        <v/>
      </c>
      <c r="OG25">
        <f>IF(COUNTIF('Buyer Groups'!DG25:DZ25,0)+COUNTIF('Buyer Groups'!EB25:EN25,0)&gt;0,0,1)</f>
        <v/>
      </c>
      <c r="OH25">
        <f>IF($DK$25="",FALSE,SUMPRODUCT(('Final Calculation Sheet'!$U$4:$U$40=$DK$25)*($OG$6:$OG$42=1))&gt;0)</f>
        <v/>
      </c>
      <c r="OI25">
        <f>$OI$24+--($OH25)</f>
        <v/>
      </c>
      <c r="OJ25">
        <f>IF(ROW()-3&gt;MAX($OI$4:$OI$40),"",INDEX($DK$4:$DK$40,MATCH(ROW()-3,$OI$4:$OI$40,0)))</f>
        <v/>
      </c>
      <c r="OK25">
        <f>IF(COUNTIF('Buyer Groups'!DG25:EA25,0)+COUNTIF('Buyer Groups'!EC25:EN25,0)&gt;0,0,1)</f>
        <v/>
      </c>
      <c r="OL25">
        <f>IF($DP$25="",FALSE,SUMPRODUCT(('Final Calculation Sheet'!$V$4:$V$40=$DP$25)*($OK$6:$OK$42=1))&gt;0)</f>
        <v/>
      </c>
      <c r="OM25">
        <f>$OM$24+--($OL25)</f>
        <v/>
      </c>
      <c r="ON25">
        <f>IF(ROW()-3&gt;MAX($OM$4:$OM$40),"",INDEX($DP$4:$DP$40,MATCH(ROW()-3,$OM$4:$OM$40,0)))</f>
        <v/>
      </c>
      <c r="OO25">
        <f>IF(COUNTIF('Buyer Groups'!DG25:EB25,0)+COUNTIF('Buyer Groups'!ED25:EN25,0)&gt;0,0,1)</f>
        <v/>
      </c>
      <c r="OP25">
        <f>IF($DU$25="",FALSE,SUMPRODUCT(('Final Calculation Sheet'!$W$4:$W$40=$DU$25)*($OO$6:$OO$42=1))&gt;0)</f>
        <v/>
      </c>
      <c r="OQ25">
        <f>$OQ$24+--($OP25)</f>
        <v/>
      </c>
      <c r="OR25">
        <f>IF(ROW()-3&gt;MAX($OQ$4:$OQ$40),"",INDEX($DU$4:$DU$40,MATCH(ROW()-3,$OQ$4:$OQ$40,0)))</f>
        <v/>
      </c>
      <c r="OS25">
        <f>IF(COUNTIF('Buyer Groups'!DG25:EC25,0)+COUNTIF('Buyer Groups'!EE25:EN25,0)&gt;0,0,1)</f>
        <v/>
      </c>
      <c r="OT25">
        <f>IF($DZ$25="",FALSE,SUMPRODUCT(('Final Calculation Sheet'!$X$4:$X$40=$DZ$25)*($OS$6:$OS$42=1))&gt;0)</f>
        <v/>
      </c>
      <c r="OU25">
        <f>$OU$24+--($OT25)</f>
        <v/>
      </c>
      <c r="OV25">
        <f>IF(ROW()-3&gt;MAX($OU$4:$OU$40),"",INDEX($DZ$4:$DZ$40,MATCH(ROW()-3,$OU$4:$OU$40,0)))</f>
        <v/>
      </c>
      <c r="OW25">
        <f>IF(COUNTIF('Buyer Groups'!DG25:ED25,0)+COUNTIF('Buyer Groups'!EF25:EN25,0)&gt;0,0,1)</f>
        <v/>
      </c>
      <c r="OX25">
        <f>IF($EE$25="",FALSE,SUMPRODUCT(('Final Calculation Sheet'!$Y$4:$Y$40=$EE$25)*($OW$6:$OW$42=1))&gt;0)</f>
        <v/>
      </c>
      <c r="OY25">
        <f>$OY$24+--($OX25)</f>
        <v/>
      </c>
      <c r="OZ25">
        <f>IF(ROW()-3&gt;MAX($OY$4:$OY$40),"",INDEX($EE$4:$EE$40,MATCH(ROW()-3,$OY$4:$OY$40,0)))</f>
        <v/>
      </c>
      <c r="PA25">
        <f>IF(COUNTIF('Buyer Groups'!DG25:EE25,0)+COUNTIF('Buyer Groups'!EG25:EN25,0)&gt;0,0,1)</f>
        <v/>
      </c>
      <c r="PB25">
        <f>IF($EJ$25="",FALSE,SUMPRODUCT(('Final Calculation Sheet'!$Z$4:$Z$40=$EJ$25)*($PA$6:$PA$42=1))&gt;0)</f>
        <v/>
      </c>
      <c r="PC25">
        <f>$PC$24+--($PB25)</f>
        <v/>
      </c>
      <c r="PD25">
        <f>IF(ROW()-3&gt;MAX($PC$4:$PC$40),"",INDEX($EJ$4:$EJ$40,MATCH(ROW()-3,$PC$4:$PC$40,0)))</f>
        <v/>
      </c>
      <c r="PE25">
        <f>IF(COUNTIF('Buyer Groups'!DG25:EF25,0)+COUNTIF('Buyer Groups'!EH25:EN25,0)&gt;0,0,1)</f>
        <v/>
      </c>
      <c r="PF25">
        <f>IF($EO$25="",FALSE,SUMPRODUCT(('Final Calculation Sheet'!$AA$4:$AA$40=$EO$25)*($PE$6:$PE$42=1))&gt;0)</f>
        <v/>
      </c>
      <c r="PG25">
        <f>$PG$24+--($PF25)</f>
        <v/>
      </c>
      <c r="PH25">
        <f>IF(ROW()-3&gt;MAX($PG$4:$PG$40),"",INDEX($EO$4:$EO$40,MATCH(ROW()-3,$PG$4:$PG$40,0)))</f>
        <v/>
      </c>
      <c r="PI25">
        <f>IF(COUNTIF('Buyer Groups'!DG25:EG25,0)+COUNTIF('Buyer Groups'!EI25:EN25,0)&gt;0,0,1)</f>
        <v/>
      </c>
      <c r="PJ25">
        <f>IF($ET$25="",FALSE,SUMPRODUCT(('Final Calculation Sheet'!$AB$4:$AB$40=$ET$25)*($PI$6:$PI$42=1))&gt;0)</f>
        <v/>
      </c>
      <c r="PK25">
        <f>$PK$24+--($PJ25)</f>
        <v/>
      </c>
      <c r="PL25">
        <f>IF(ROW()-3&gt;MAX($PK$4:$PK$40),"",INDEX($ET$4:$ET$40,MATCH(ROW()-3,$PK$4:$PK$40,0)))</f>
        <v/>
      </c>
      <c r="PM25">
        <f>IF(COUNTIF('Buyer Groups'!DG25:EH25,0)+COUNTIF('Buyer Groups'!EJ25:EN25,0)&gt;0,0,1)</f>
        <v/>
      </c>
      <c r="PN25">
        <f>IF($EY$25="",FALSE,SUMPRODUCT(('Final Calculation Sheet'!$AC$4:$AC$40=$EY$25)*($PM$6:$PM$42=1))&gt;0)</f>
        <v/>
      </c>
      <c r="PO25">
        <f>$PO$24+--($PN25)</f>
        <v/>
      </c>
      <c r="PP25">
        <f>IF(ROW()-3&gt;MAX($PO$4:$PO$40),"",INDEX($EY$4:$EY$40,MATCH(ROW()-3,$PO$4:$PO$40,0)))</f>
        <v/>
      </c>
      <c r="PQ25">
        <f>IF(COUNTIF('Buyer Groups'!DG25:EI25,0)+COUNTIF('Buyer Groups'!EK25:EN25,0)&gt;0,0,1)</f>
        <v/>
      </c>
      <c r="PR25">
        <f>IF($FD$25="",FALSE,SUMPRODUCT(('Final Calculation Sheet'!$AD$4:$AD$40=$FD$25)*($PQ$6:$PQ$42=1))&gt;0)</f>
        <v/>
      </c>
      <c r="PS25">
        <f>$PS$24+--($PR25)</f>
        <v/>
      </c>
      <c r="PT25">
        <f>IF(ROW()-3&gt;MAX($PS$4:$PS$40),"",INDEX($FD$4:$FD$40,MATCH(ROW()-3,$PS$4:$PS$40,0)))</f>
        <v/>
      </c>
      <c r="PU25">
        <f>IF(COUNTIF('Buyer Groups'!DG25:EJ25,0)+COUNTIF('Buyer Groups'!EL25:EN25,0)&gt;0,0,1)</f>
        <v/>
      </c>
      <c r="PV25">
        <f>IF($FX$25="",FALSE,SUMPRODUCT((IF('Final Calculation Sheet'!$AD$4:$AD$40&lt;=5,"SETTLED","OUTSTANDING")=$FX$25)*($PU$6:$PU$42=1))&gt;0)</f>
        <v/>
      </c>
      <c r="PW25">
        <f>$PW$24+--($PV25)</f>
        <v/>
      </c>
      <c r="PX25">
        <f>IF(ROW()-3&gt;MAX($PW$4:$PW$40),"",INDEX($FX$4:$FX$40,MATCH(ROW()-3,$PW$4:$PW$40,0)))</f>
        <v/>
      </c>
      <c r="PY25">
        <f>IF(COUNTIF('Buyer Groups'!DG25:EK25,0)+COUNTIF('Buyer Groups'!EM25:EN25,0)&gt;0,0,1)</f>
        <v/>
      </c>
      <c r="PZ25">
        <f>IF($FI$25="",FALSE,SUMPRODUCT(('Final Calculation Sheet'!$AF$4:$AF$40=$FI$25)*($PY$6:$PY$42=1))&gt;0)</f>
        <v/>
      </c>
      <c r="QA25">
        <f>$QA$24+--($PZ25)</f>
        <v/>
      </c>
      <c r="QB25">
        <f>IF(ROW()-3&gt;MAX($QA$4:$QA$40),"",INDEX($FI$4:$FI$40,MATCH(ROW()-3,$QA$4:$QA$40,0)))</f>
        <v/>
      </c>
      <c r="QC25">
        <f>IF(COUNTIF('Buyer Groups'!DG25:EL25,0)+COUNTIF('Buyer Groups'!EN25:EN25,0)&gt;0,0,1)</f>
        <v/>
      </c>
      <c r="QD25">
        <f>IF($FN$25="",FALSE,SUMPRODUCT(('Final Calculation Sheet'!$AG$4:$AG$40=$FN$25)*($QC$6:$QC$42=1))&gt;0)</f>
        <v/>
      </c>
      <c r="QE25">
        <f>$QE$24+--($QD25)</f>
        <v/>
      </c>
      <c r="QF25">
        <f>IF(ROW()-3&gt;MAX($QE$4:$QE$40),"",INDEX($FN$4:$FN$40,MATCH(ROW()-3,$QE$4:$QE$40,0)))</f>
        <v/>
      </c>
      <c r="QG25">
        <f>IF(COUNTIF('Buyer Groups'!DG25:EM25,0)&gt;0,0,1)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Groups'!DH26:EN26,0)&gt;0,0,1)</f>
        <v/>
      </c>
      <c r="LF26">
        <f>IF($O$26="",FALSE,SUMPRODUCT(('Final Calculation Sheet'!$F$4:$F$40=$O$26)*($LE$6:$LE$42=1))&gt;0)</f>
        <v/>
      </c>
      <c r="LG26">
        <f>$LG$25+--($LF26)</f>
        <v/>
      </c>
      <c r="LH26">
        <f>IF(ROW()-3&gt;MAX($LG$4:$LG$40),"",INDEX($O$4:$O$40,MATCH(ROW()-3,$LG$4:$LG$40,0)))</f>
        <v/>
      </c>
      <c r="LI26">
        <f>IF(COUNTIF('Buyer Groups'!DG26:DG26,0)+COUNTIF('Buyer Groups'!DI26:EN26,0)&gt;0,0,1)</f>
        <v/>
      </c>
      <c r="LJ26">
        <f>IF($T$26="",FALSE,SUMPRODUCT(('Final Calculation Sheet'!$G$4:$G$40=$T$26)*($LI$6:$LI$42=1))&gt;0)</f>
        <v/>
      </c>
      <c r="LK26">
        <f>$LK$25+--($LJ26)</f>
        <v/>
      </c>
      <c r="LL26">
        <f>IF(ROW()-3&gt;MAX($LK$4:$LK$40),"",INDEX($T$4:$T$40,MATCH(ROW()-3,$LK$4:$LK$40,0)))</f>
        <v/>
      </c>
      <c r="LM26">
        <f>IF(COUNTIF('Buyer Groups'!DG26:DH26,0)+COUNTIF('Buyer Groups'!DJ26:EN26,0)&gt;0,0,1)</f>
        <v/>
      </c>
      <c r="LN26">
        <f>IF($Y$26="",FALSE,SUMPRODUCT(('Final Calculation Sheet'!$B$4:$B$40=$Y$26)*($LM$6:$LM$42=1))&gt;0)</f>
        <v/>
      </c>
      <c r="LO26">
        <f>$LO$25+--($LN26)</f>
        <v/>
      </c>
      <c r="LP26">
        <f>IF(ROW()-3&gt;MAX($LO$4:$LO$40),"",INDEX($Y$4:$Y$40,MATCH(ROW()-3,$LO$4:$LO$40,0)))</f>
        <v/>
      </c>
      <c r="LQ26">
        <f>IF(COUNTIF('Buyer Groups'!DG26:DI26,0)+COUNTIF('Buyer Groups'!DK26:EN26,0)&gt;0,0,1)</f>
        <v/>
      </c>
      <c r="LR26">
        <f>IF($AD$26="",FALSE,SUMPRODUCT(('Final Calculation Sheet'!$D$4:$D$40=$AD$26)*($LQ$6:$LQ$42=1))&gt;0)</f>
        <v/>
      </c>
      <c r="LS26">
        <f>$LS$25+--($LR26)</f>
        <v/>
      </c>
      <c r="LT26">
        <f>IF(ROW()-3&gt;MAX($LS$4:$LS$40),"",INDEX($AD$4:$AD$40,MATCH(ROW()-3,$LS$4:$LS$40,0)))</f>
        <v/>
      </c>
      <c r="LU26">
        <f>IF(COUNTIF('Buyer Groups'!DG26:DJ26,0)+COUNTIF('Buyer Groups'!DL26:EN26,0)&gt;0,0,1)</f>
        <v/>
      </c>
      <c r="LV26">
        <f>IF($AI$26="",FALSE,SUMPRODUCT(('Final Calculation Sheet'!$A$4:$A$40=$AI$26)*($LU$6:$LU$42=1))&gt;0)</f>
        <v/>
      </c>
      <c r="LW26">
        <f>$LW$25+--($LV26)</f>
        <v/>
      </c>
      <c r="LX26">
        <f>IF(ROW()-3&gt;MAX($LW$4:$LW$40),"",INDEX($AI$4:$AI$40,MATCH(ROW()-3,$LW$4:$LW$40,0)))</f>
        <v/>
      </c>
      <c r="LY26">
        <f>IF(COUNTIF('Buyer Groups'!DG26:DK26,0)+COUNTIF('Buyer Groups'!DM26:EN26,0)&gt;0,0,1)</f>
        <v/>
      </c>
      <c r="LZ26">
        <f>IF($AN$26="",FALSE,SUMPRODUCT(('Final Calculation Sheet'!$E$4:$E$40=$AN$26)*($LY$6:$LY$42=1))&gt;0)</f>
        <v/>
      </c>
      <c r="MA26">
        <f>$MA$25+--($LZ26)</f>
        <v/>
      </c>
      <c r="MB26">
        <f>IF(ROW()-3&gt;MAX($MA$4:$MA$40),"",INDEX($AN$4:$AN$40,MATCH(ROW()-3,$MA$4:$MA$40,0)))</f>
        <v/>
      </c>
      <c r="MC26">
        <f>IF(COUNTIF('Buyer Groups'!DG26:DL26,0)+COUNTIF('Buyer Groups'!DN26:EN26,0)&gt;0,0,1)</f>
        <v/>
      </c>
      <c r="MD26">
        <f>IF($AS$26="",FALSE,SUMPRODUCT(('Final Calculation Sheet'!$C$4:$C$40=$AS$26)*($MC$6:$MC$42=1))&gt;0)</f>
        <v/>
      </c>
      <c r="ME26">
        <f>$ME$25+--($MD26)</f>
        <v/>
      </c>
      <c r="MF26">
        <f>IF(ROW()-3&gt;MAX($ME$4:$ME$40),"",INDEX($AS$4:$AS$40,MATCH(ROW()-3,$ME$4:$ME$40,0)))</f>
        <v/>
      </c>
      <c r="MG26">
        <f>IF(COUNTIF('Buyer Groups'!DG26:DM26,0)+COUNTIF('Buyer Groups'!DO26:EN26,0)&gt;0,0,1)</f>
        <v/>
      </c>
      <c r="MH26">
        <f>IF($AX$26="",FALSE,SUMPRODUCT(('Final Calculation Sheet'!$H$4:$H$40=$AX$26)*($MG$6:$MG$42=1))&gt;0)</f>
        <v/>
      </c>
      <c r="MI26">
        <f>$MI$25+--($MH26)</f>
        <v/>
      </c>
      <c r="MJ26">
        <f>IF(ROW()-3&gt;MAX($MI$4:$MI$40),"",INDEX($AX$4:$AX$40,MATCH(ROW()-3,$MI$4:$MI$40,0)))</f>
        <v/>
      </c>
      <c r="MK26">
        <f>IF(COUNTIF('Buyer Groups'!DG26:DN26,0)+COUNTIF('Buyer Groups'!DP26:EN26,0)&gt;0,0,1)</f>
        <v/>
      </c>
      <c r="ML26">
        <f>IF($BC$26="",FALSE,SUMPRODUCT(('Final Calculation Sheet'!$I$4:$I$40=$BC$26)*($MK$6:$MK$42=1))&gt;0)</f>
        <v/>
      </c>
      <c r="MM26">
        <f>$MM$25+--($ML26)</f>
        <v/>
      </c>
      <c r="MN26">
        <f>IF(ROW()-3&gt;MAX($MM$4:$MM$40),"",INDEX($BC$4:$BC$40,MATCH(ROW()-3,$MM$4:$MM$40,0)))</f>
        <v/>
      </c>
      <c r="MO26">
        <f>IF(COUNTIF('Buyer Groups'!DG26:DO26,0)+COUNTIF('Buyer Groups'!DQ26:EN26,0)&gt;0,0,1)</f>
        <v/>
      </c>
      <c r="MP26">
        <f>IF($BH$26="",FALSE,SUMPRODUCT(('Final Calculation Sheet'!$J$4:$J$40=$BH$26)*($MO$6:$MO$42=1))&gt;0)</f>
        <v/>
      </c>
      <c r="MQ26">
        <f>$MQ$25+--($MP26)</f>
        <v/>
      </c>
      <c r="MR26">
        <f>IF(ROW()-3&gt;MAX($MQ$4:$MQ$40),"",INDEX($BH$4:$BH$40,MATCH(ROW()-3,$MQ$4:$MQ$40,0)))</f>
        <v/>
      </c>
      <c r="MS26">
        <f>IF(COUNTIF('Buyer Groups'!DG26:DP26,0)+COUNTIF('Buyer Groups'!DR26:EN26,0)&gt;0,0,1)</f>
        <v/>
      </c>
      <c r="MT26">
        <f>IF($BM$26="",FALSE,SUMPRODUCT(('Final Calculation Sheet'!$K$4:$K$40=$BM$26)*($MS$6:$MS$42=1))&gt;0)</f>
        <v/>
      </c>
      <c r="MU26">
        <f>$MU$25+--($MT26)</f>
        <v/>
      </c>
      <c r="MV26">
        <f>IF(ROW()-3&gt;MAX($MU$4:$MU$40),"",INDEX($BM$4:$BM$40,MATCH(ROW()-3,$MU$4:$MU$40,0)))</f>
        <v/>
      </c>
      <c r="MW26">
        <f>IF(COUNTIF('Buyer Groups'!DG26:DQ26,0)+COUNTIF('Buyer Groups'!DS26:EN26,0)&gt;0,0,1)</f>
        <v/>
      </c>
      <c r="MX26">
        <f>IF($BR$26="",FALSE,SUMPRODUCT(('Final Calculation Sheet'!$L$4:$L$40=$BR$26)*($MW$6:$MW$42=1))&gt;0)</f>
        <v/>
      </c>
      <c r="MY26">
        <f>$MY$25+--($MX26)</f>
        <v/>
      </c>
      <c r="MZ26">
        <f>IF(ROW()-3&gt;MAX($MY$4:$MY$40),"",INDEX($BR$4:$BR$40,MATCH(ROW()-3,$MY$4:$MY$40,0)))</f>
        <v/>
      </c>
      <c r="NA26">
        <f>IF(COUNTIF('Buyer Groups'!DG26:DR26,0)+COUNTIF('Buyer Groups'!DT26:EN26,0)&gt;0,0,1)</f>
        <v/>
      </c>
      <c r="NB26">
        <f>IF($BW$26="",FALSE,SUMPRODUCT(('Final Calculation Sheet'!$M$4:$M$40=$BW$26)*($NA$6:$NA$42=1))&gt;0)</f>
        <v/>
      </c>
      <c r="NC26">
        <f>$NC$25+--($NB26)</f>
        <v/>
      </c>
      <c r="ND26">
        <f>IF(ROW()-3&gt;MAX($NC$4:$NC$40),"",INDEX($BW$4:$BW$40,MATCH(ROW()-3,$NC$4:$NC$40,0)))</f>
        <v/>
      </c>
      <c r="NE26">
        <f>IF(COUNTIF('Buyer Groups'!DG26:DS26,0)+COUNTIF('Buyer Groups'!DU26:EN26,0)&gt;0,0,1)</f>
        <v/>
      </c>
      <c r="NF26">
        <f>IF($CB$26="",FALSE,SUMPRODUCT(('Final Calculation Sheet'!$N$4:$N$40=$CB$26)*($NE$6:$NE$42=1))&gt;0)</f>
        <v/>
      </c>
      <c r="NG26">
        <f>$NG$25+--($NF26)</f>
        <v/>
      </c>
      <c r="NH26">
        <f>IF(ROW()-3&gt;MAX($NG$4:$NG$40),"",INDEX($CB$4:$CB$40,MATCH(ROW()-3,$NG$4:$NG$40,0)))</f>
        <v/>
      </c>
      <c r="NI26">
        <f>IF(COUNTIF('Buyer Groups'!DG26:DT26,0)+COUNTIF('Buyer Groups'!DV26:EN26,0)&gt;0,0,1)</f>
        <v/>
      </c>
      <c r="NJ26">
        <f>IF($CG$26="",FALSE,SUMPRODUCT(('Final Calculation Sheet'!$O$4:$O$40=$CG$26)*($NI$6:$NI$42=1))&gt;0)</f>
        <v/>
      </c>
      <c r="NK26">
        <f>$NK$25+--($NJ26)</f>
        <v/>
      </c>
      <c r="NL26">
        <f>IF(ROW()-3&gt;MAX($NK$4:$NK$40),"",INDEX($CG$4:$CG$40,MATCH(ROW()-3,$NK$4:$NK$40,0)))</f>
        <v/>
      </c>
      <c r="NM26">
        <f>IF(COUNTIF('Buyer Groups'!DG26:DU26,0)+COUNTIF('Buyer Groups'!DW26:EN26,0)&gt;0,0,1)</f>
        <v/>
      </c>
      <c r="NN26">
        <f>IF($CL$26="",FALSE,SUMPRODUCT(('Final Calculation Sheet'!$P$4:$P$40=$CL$26)*($NM$6:$NM$42=1))&gt;0)</f>
        <v/>
      </c>
      <c r="NO26">
        <f>$NO$25+--($NN26)</f>
        <v/>
      </c>
      <c r="NP26">
        <f>IF(ROW()-3&gt;MAX($NO$4:$NO$40),"",INDEX($CL$4:$CL$40,MATCH(ROW()-3,$NO$4:$NO$40,0)))</f>
        <v/>
      </c>
      <c r="NQ26">
        <f>IF(COUNTIF('Buyer Groups'!DG26:DV26,0)+COUNTIF('Buyer Groups'!DX26:EN26,0)&gt;0,0,1)</f>
        <v/>
      </c>
      <c r="NR26">
        <f>IF($CQ$26="",FALSE,SUMPRODUCT(('Final Calculation Sheet'!$Q$4:$Q$40=$CQ$26)*($NQ$6:$NQ$42=1))&gt;0)</f>
        <v/>
      </c>
      <c r="NS26">
        <f>$NS$25+--($NR26)</f>
        <v/>
      </c>
      <c r="NT26">
        <f>IF(ROW()-3&gt;MAX($NS$4:$NS$40),"",INDEX($CQ$4:$CQ$40,MATCH(ROW()-3,$NS$4:$NS$40,0)))</f>
        <v/>
      </c>
      <c r="NU26">
        <f>IF(COUNTIF('Buyer Groups'!DG26:DW26,0)+COUNTIF('Buyer Groups'!DY26:EN26,0)&gt;0,0,1)</f>
        <v/>
      </c>
      <c r="NV26">
        <f>IF($CV$26="",FALSE,SUMPRODUCT(('Final Calculation Sheet'!$R$4:$R$40=$CV$26)*($NU$6:$NU$42=1))&gt;0)</f>
        <v/>
      </c>
      <c r="NW26">
        <f>$NW$25+--($NV26)</f>
        <v/>
      </c>
      <c r="NX26">
        <f>IF(ROW()-3&gt;MAX($NW$4:$NW$40),"",INDEX($CV$4:$CV$40,MATCH(ROW()-3,$NW$4:$NW$40,0)))</f>
        <v/>
      </c>
      <c r="NY26">
        <f>IF(COUNTIF('Buyer Groups'!DG26:DX26,0)+COUNTIF('Buyer Groups'!DZ26:EN26,0)&gt;0,0,1)</f>
        <v/>
      </c>
      <c r="NZ26">
        <f>IF($DA$26="",FALSE,SUMPRODUCT(('Final Calculation Sheet'!$S$4:$S$40=$DA$26)*($NY$6:$NY$42=1))&gt;0)</f>
        <v/>
      </c>
      <c r="OA26">
        <f>$OA$25+--($NZ26)</f>
        <v/>
      </c>
      <c r="OB26">
        <f>IF(ROW()-3&gt;MAX($OA$4:$OA$40),"",INDEX($DA$4:$DA$40,MATCH(ROW()-3,$OA$4:$OA$40,0)))</f>
        <v/>
      </c>
      <c r="OC26">
        <f>IF(COUNTIF('Buyer Groups'!DG26:DY26,0)+COUNTIF('Buyer Groups'!EA26:EN26,0)&gt;0,0,1)</f>
        <v/>
      </c>
      <c r="OD26">
        <f>IF($DF$26="",FALSE,SUMPRODUCT(('Final Calculation Sheet'!$T$4:$T$40=$DF$26)*($OC$6:$OC$42=1))&gt;0)</f>
        <v/>
      </c>
      <c r="OE26">
        <f>$OE$25+--($OD26)</f>
        <v/>
      </c>
      <c r="OF26">
        <f>IF(ROW()-3&gt;MAX($OE$4:$OE$40),"",INDEX($DF$4:$DF$40,MATCH(ROW()-3,$OE$4:$OE$40,0)))</f>
        <v/>
      </c>
      <c r="OG26">
        <f>IF(COUNTIF('Buyer Groups'!DG26:DZ26,0)+COUNTIF('Buyer Groups'!EB26:EN26,0)&gt;0,0,1)</f>
        <v/>
      </c>
      <c r="OH26">
        <f>IF($DK$26="",FALSE,SUMPRODUCT(('Final Calculation Sheet'!$U$4:$U$40=$DK$26)*($OG$6:$OG$42=1))&gt;0)</f>
        <v/>
      </c>
      <c r="OI26">
        <f>$OI$25+--($OH26)</f>
        <v/>
      </c>
      <c r="OJ26">
        <f>IF(ROW()-3&gt;MAX($OI$4:$OI$40),"",INDEX($DK$4:$DK$40,MATCH(ROW()-3,$OI$4:$OI$40,0)))</f>
        <v/>
      </c>
      <c r="OK26">
        <f>IF(COUNTIF('Buyer Groups'!DG26:EA26,0)+COUNTIF('Buyer Groups'!EC26:EN26,0)&gt;0,0,1)</f>
        <v/>
      </c>
      <c r="OL26">
        <f>IF($DP$26="",FALSE,SUMPRODUCT(('Final Calculation Sheet'!$V$4:$V$40=$DP$26)*($OK$6:$OK$42=1))&gt;0)</f>
        <v/>
      </c>
      <c r="OM26">
        <f>$OM$25+--($OL26)</f>
        <v/>
      </c>
      <c r="ON26">
        <f>IF(ROW()-3&gt;MAX($OM$4:$OM$40),"",INDEX($DP$4:$DP$40,MATCH(ROW()-3,$OM$4:$OM$40,0)))</f>
        <v/>
      </c>
      <c r="OO26">
        <f>IF(COUNTIF('Buyer Groups'!DG26:EB26,0)+COUNTIF('Buyer Groups'!ED26:EN26,0)&gt;0,0,1)</f>
        <v/>
      </c>
      <c r="OP26">
        <f>IF($DU$26="",FALSE,SUMPRODUCT(('Final Calculation Sheet'!$W$4:$W$40=$DU$26)*($OO$6:$OO$42=1))&gt;0)</f>
        <v/>
      </c>
      <c r="OQ26">
        <f>$OQ$25+--($OP26)</f>
        <v/>
      </c>
      <c r="OR26">
        <f>IF(ROW()-3&gt;MAX($OQ$4:$OQ$40),"",INDEX($DU$4:$DU$40,MATCH(ROW()-3,$OQ$4:$OQ$40,0)))</f>
        <v/>
      </c>
      <c r="OS26">
        <f>IF(COUNTIF('Buyer Groups'!DG26:EC26,0)+COUNTIF('Buyer Groups'!EE26:EN26,0)&gt;0,0,1)</f>
        <v/>
      </c>
      <c r="OT26">
        <f>IF($DZ$26="",FALSE,SUMPRODUCT(('Final Calculation Sheet'!$X$4:$X$40=$DZ$26)*($OS$6:$OS$42=1))&gt;0)</f>
        <v/>
      </c>
      <c r="OU26">
        <f>$OU$25+--($OT26)</f>
        <v/>
      </c>
      <c r="OV26">
        <f>IF(ROW()-3&gt;MAX($OU$4:$OU$40),"",INDEX($DZ$4:$DZ$40,MATCH(ROW()-3,$OU$4:$OU$40,0)))</f>
        <v/>
      </c>
      <c r="OW26">
        <f>IF(COUNTIF('Buyer Groups'!DG26:ED26,0)+COUNTIF('Buyer Groups'!EF26:EN26,0)&gt;0,0,1)</f>
        <v/>
      </c>
      <c r="OX26">
        <f>IF($EE$26="",FALSE,SUMPRODUCT(('Final Calculation Sheet'!$Y$4:$Y$40=$EE$26)*($OW$6:$OW$42=1))&gt;0)</f>
        <v/>
      </c>
      <c r="OY26">
        <f>$OY$25+--($OX26)</f>
        <v/>
      </c>
      <c r="OZ26">
        <f>IF(ROW()-3&gt;MAX($OY$4:$OY$40),"",INDEX($EE$4:$EE$40,MATCH(ROW()-3,$OY$4:$OY$40,0)))</f>
        <v/>
      </c>
      <c r="PA26">
        <f>IF(COUNTIF('Buyer Groups'!DG26:EE26,0)+COUNTIF('Buyer Groups'!EG26:EN26,0)&gt;0,0,1)</f>
        <v/>
      </c>
      <c r="PB26">
        <f>IF($EJ$26="",FALSE,SUMPRODUCT(('Final Calculation Sheet'!$Z$4:$Z$40=$EJ$26)*($PA$6:$PA$42=1))&gt;0)</f>
        <v/>
      </c>
      <c r="PC26">
        <f>$PC$25+--($PB26)</f>
        <v/>
      </c>
      <c r="PD26">
        <f>IF(ROW()-3&gt;MAX($PC$4:$PC$40),"",INDEX($EJ$4:$EJ$40,MATCH(ROW()-3,$PC$4:$PC$40,0)))</f>
        <v/>
      </c>
      <c r="PE26">
        <f>IF(COUNTIF('Buyer Groups'!DG26:EF26,0)+COUNTIF('Buyer Groups'!EH26:EN26,0)&gt;0,0,1)</f>
        <v/>
      </c>
      <c r="PF26">
        <f>IF($EO$26="",FALSE,SUMPRODUCT(('Final Calculation Sheet'!$AA$4:$AA$40=$EO$26)*($PE$6:$PE$42=1))&gt;0)</f>
        <v/>
      </c>
      <c r="PG26">
        <f>$PG$25+--($PF26)</f>
        <v/>
      </c>
      <c r="PH26">
        <f>IF(ROW()-3&gt;MAX($PG$4:$PG$40),"",INDEX($EO$4:$EO$40,MATCH(ROW()-3,$PG$4:$PG$40,0)))</f>
        <v/>
      </c>
      <c r="PI26">
        <f>IF(COUNTIF('Buyer Groups'!DG26:EG26,0)+COUNTIF('Buyer Groups'!EI26:EN26,0)&gt;0,0,1)</f>
        <v/>
      </c>
      <c r="PJ26">
        <f>IF($ET$26="",FALSE,SUMPRODUCT(('Final Calculation Sheet'!$AB$4:$AB$40=$ET$26)*($PI$6:$PI$42=1))&gt;0)</f>
        <v/>
      </c>
      <c r="PK26">
        <f>$PK$25+--($PJ26)</f>
        <v/>
      </c>
      <c r="PL26">
        <f>IF(ROW()-3&gt;MAX($PK$4:$PK$40),"",INDEX($ET$4:$ET$40,MATCH(ROW()-3,$PK$4:$PK$40,0)))</f>
        <v/>
      </c>
      <c r="PM26">
        <f>IF(COUNTIF('Buyer Groups'!DG26:EH26,0)+COUNTIF('Buyer Groups'!EJ26:EN26,0)&gt;0,0,1)</f>
        <v/>
      </c>
      <c r="PN26">
        <f>IF($EY$26="",FALSE,SUMPRODUCT(('Final Calculation Sheet'!$AC$4:$AC$40=$EY$26)*($PM$6:$PM$42=1))&gt;0)</f>
        <v/>
      </c>
      <c r="PO26">
        <f>$PO$25+--($PN26)</f>
        <v/>
      </c>
      <c r="PP26">
        <f>IF(ROW()-3&gt;MAX($PO$4:$PO$40),"",INDEX($EY$4:$EY$40,MATCH(ROW()-3,$PO$4:$PO$40,0)))</f>
        <v/>
      </c>
      <c r="PQ26">
        <f>IF(COUNTIF('Buyer Groups'!DG26:EI26,0)+COUNTIF('Buyer Groups'!EK26:EN26,0)&gt;0,0,1)</f>
        <v/>
      </c>
      <c r="PR26">
        <f>IF($FD$26="",FALSE,SUMPRODUCT(('Final Calculation Sheet'!$AD$4:$AD$40=$FD$26)*($PQ$6:$PQ$42=1))&gt;0)</f>
        <v/>
      </c>
      <c r="PS26">
        <f>$PS$25+--($PR26)</f>
        <v/>
      </c>
      <c r="PT26">
        <f>IF(ROW()-3&gt;MAX($PS$4:$PS$40),"",INDEX($FD$4:$FD$40,MATCH(ROW()-3,$PS$4:$PS$40,0)))</f>
        <v/>
      </c>
      <c r="PU26">
        <f>IF(COUNTIF('Buyer Groups'!DG26:EJ26,0)+COUNTIF('Buyer Groups'!EL26:EN26,0)&gt;0,0,1)</f>
        <v/>
      </c>
      <c r="PV26">
        <f>IF($FX$26="",FALSE,SUMPRODUCT((IF('Final Calculation Sheet'!$AD$4:$AD$40&lt;=5,"SETTLED","OUTSTANDING")=$FX$26)*($PU$6:$PU$42=1))&gt;0)</f>
        <v/>
      </c>
      <c r="PW26">
        <f>$PW$25+--($PV26)</f>
        <v/>
      </c>
      <c r="PX26">
        <f>IF(ROW()-3&gt;MAX($PW$4:$PW$40),"",INDEX($FX$4:$FX$40,MATCH(ROW()-3,$PW$4:$PW$40,0)))</f>
        <v/>
      </c>
      <c r="PY26">
        <f>IF(COUNTIF('Buyer Groups'!DG26:EK26,0)+COUNTIF('Buyer Groups'!EM26:EN26,0)&gt;0,0,1)</f>
        <v/>
      </c>
      <c r="PZ26">
        <f>IF($FI$26="",FALSE,SUMPRODUCT(('Final Calculation Sheet'!$AF$4:$AF$40=$FI$26)*($PY$6:$PY$42=1))&gt;0)</f>
        <v/>
      </c>
      <c r="QA26">
        <f>$QA$25+--($PZ26)</f>
        <v/>
      </c>
      <c r="QB26">
        <f>IF(ROW()-3&gt;MAX($QA$4:$QA$40),"",INDEX($FI$4:$FI$40,MATCH(ROW()-3,$QA$4:$QA$40,0)))</f>
        <v/>
      </c>
      <c r="QC26">
        <f>IF(COUNTIF('Buyer Groups'!DG26:EL26,0)+COUNTIF('Buyer Groups'!EN26:EN26,0)&gt;0,0,1)</f>
        <v/>
      </c>
      <c r="QD26">
        <f>IF($FN$26="",FALSE,SUMPRODUCT(('Final Calculation Sheet'!$AG$4:$AG$40=$FN$26)*($QC$6:$QC$42=1))&gt;0)</f>
        <v/>
      </c>
      <c r="QE26">
        <f>$QE$25+--($QD26)</f>
        <v/>
      </c>
      <c r="QF26">
        <f>IF(ROW()-3&gt;MAX($QE$4:$QE$40),"",INDEX($FN$4:$FN$40,MATCH(ROW()-3,$QE$4:$QE$40,0)))</f>
        <v/>
      </c>
      <c r="QG26">
        <f>IF(COUNTIF('Buyer Groups'!DG26:EM26,0)&gt;0,0,1)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Groups'!DH27:EN27,0)&gt;0,0,1)</f>
        <v/>
      </c>
      <c r="LF27">
        <f>IF($O$27="",FALSE,SUMPRODUCT(('Final Calculation Sheet'!$F$4:$F$40=$O$27)*($LE$6:$LE$42=1))&gt;0)</f>
        <v/>
      </c>
      <c r="LG27">
        <f>$LG$26+--($LF27)</f>
        <v/>
      </c>
      <c r="LH27">
        <f>IF(ROW()-3&gt;MAX($LG$4:$LG$40),"",INDEX($O$4:$O$40,MATCH(ROW()-3,$LG$4:$LG$40,0)))</f>
        <v/>
      </c>
      <c r="LI27">
        <f>IF(COUNTIF('Buyer Groups'!DG27:DG27,0)+COUNTIF('Buyer Groups'!DI27:EN27,0)&gt;0,0,1)</f>
        <v/>
      </c>
      <c r="LJ27">
        <f>IF($T$27="",FALSE,SUMPRODUCT(('Final Calculation Sheet'!$G$4:$G$40=$T$27)*($LI$6:$LI$42=1))&gt;0)</f>
        <v/>
      </c>
      <c r="LK27">
        <f>$LK$26+--($LJ27)</f>
        <v/>
      </c>
      <c r="LL27">
        <f>IF(ROW()-3&gt;MAX($LK$4:$LK$40),"",INDEX($T$4:$T$40,MATCH(ROW()-3,$LK$4:$LK$40,0)))</f>
        <v/>
      </c>
      <c r="LM27">
        <f>IF(COUNTIF('Buyer Groups'!DG27:DH27,0)+COUNTIF('Buyer Groups'!DJ27:EN27,0)&gt;0,0,1)</f>
        <v/>
      </c>
      <c r="LN27">
        <f>IF($Y$27="",FALSE,SUMPRODUCT(('Final Calculation Sheet'!$B$4:$B$40=$Y$27)*($LM$6:$LM$42=1))&gt;0)</f>
        <v/>
      </c>
      <c r="LO27">
        <f>$LO$26+--($LN27)</f>
        <v/>
      </c>
      <c r="LP27">
        <f>IF(ROW()-3&gt;MAX($LO$4:$LO$40),"",INDEX($Y$4:$Y$40,MATCH(ROW()-3,$LO$4:$LO$40,0)))</f>
        <v/>
      </c>
      <c r="LQ27">
        <f>IF(COUNTIF('Buyer Groups'!DG27:DI27,0)+COUNTIF('Buyer Groups'!DK27:EN27,0)&gt;0,0,1)</f>
        <v/>
      </c>
      <c r="LR27">
        <f>IF($AD$27="",FALSE,SUMPRODUCT(('Final Calculation Sheet'!$D$4:$D$40=$AD$27)*($LQ$6:$LQ$42=1))&gt;0)</f>
        <v/>
      </c>
      <c r="LS27">
        <f>$LS$26+--($LR27)</f>
        <v/>
      </c>
      <c r="LT27">
        <f>IF(ROW()-3&gt;MAX($LS$4:$LS$40),"",INDEX($AD$4:$AD$40,MATCH(ROW()-3,$LS$4:$LS$40,0)))</f>
        <v/>
      </c>
      <c r="LU27">
        <f>IF(COUNTIF('Buyer Groups'!DG27:DJ27,0)+COUNTIF('Buyer Groups'!DL27:EN27,0)&gt;0,0,1)</f>
        <v/>
      </c>
      <c r="LV27">
        <f>IF($AI$27="",FALSE,SUMPRODUCT(('Final Calculation Sheet'!$A$4:$A$40=$AI$27)*($LU$6:$LU$42=1))&gt;0)</f>
        <v/>
      </c>
      <c r="LW27">
        <f>$LW$26+--($LV27)</f>
        <v/>
      </c>
      <c r="LX27">
        <f>IF(ROW()-3&gt;MAX($LW$4:$LW$40),"",INDEX($AI$4:$AI$40,MATCH(ROW()-3,$LW$4:$LW$40,0)))</f>
        <v/>
      </c>
      <c r="LY27">
        <f>IF(COUNTIF('Buyer Groups'!DG27:DK27,0)+COUNTIF('Buyer Groups'!DM27:EN27,0)&gt;0,0,1)</f>
        <v/>
      </c>
      <c r="LZ27">
        <f>IF($AN$27="",FALSE,SUMPRODUCT(('Final Calculation Sheet'!$E$4:$E$40=$AN$27)*($LY$6:$LY$42=1))&gt;0)</f>
        <v/>
      </c>
      <c r="MA27">
        <f>$MA$26+--($LZ27)</f>
        <v/>
      </c>
      <c r="MB27">
        <f>IF(ROW()-3&gt;MAX($MA$4:$MA$40),"",INDEX($AN$4:$AN$40,MATCH(ROW()-3,$MA$4:$MA$40,0)))</f>
        <v/>
      </c>
      <c r="MC27">
        <f>IF(COUNTIF('Buyer Groups'!DG27:DL27,0)+COUNTIF('Buyer Groups'!DN27:EN27,0)&gt;0,0,1)</f>
        <v/>
      </c>
      <c r="MD27">
        <f>IF($AS$27="",FALSE,SUMPRODUCT(('Final Calculation Sheet'!$C$4:$C$40=$AS$27)*($MC$6:$MC$42=1))&gt;0)</f>
        <v/>
      </c>
      <c r="ME27">
        <f>$ME$26+--($MD27)</f>
        <v/>
      </c>
      <c r="MF27">
        <f>IF(ROW()-3&gt;MAX($ME$4:$ME$40),"",INDEX($AS$4:$AS$40,MATCH(ROW()-3,$ME$4:$ME$40,0)))</f>
        <v/>
      </c>
      <c r="MG27">
        <f>IF(COUNTIF('Buyer Groups'!DG27:DM27,0)+COUNTIF('Buyer Groups'!DO27:EN27,0)&gt;0,0,1)</f>
        <v/>
      </c>
      <c r="MH27">
        <f>IF($AX$27="",FALSE,SUMPRODUCT(('Final Calculation Sheet'!$H$4:$H$40=$AX$27)*($MG$6:$MG$42=1))&gt;0)</f>
        <v/>
      </c>
      <c r="MI27">
        <f>$MI$26+--($MH27)</f>
        <v/>
      </c>
      <c r="MJ27">
        <f>IF(ROW()-3&gt;MAX($MI$4:$MI$40),"",INDEX($AX$4:$AX$40,MATCH(ROW()-3,$MI$4:$MI$40,0)))</f>
        <v/>
      </c>
      <c r="MK27">
        <f>IF(COUNTIF('Buyer Groups'!DG27:DN27,0)+COUNTIF('Buyer Groups'!DP27:EN27,0)&gt;0,0,1)</f>
        <v/>
      </c>
      <c r="ML27">
        <f>IF($BC$27="",FALSE,SUMPRODUCT(('Final Calculation Sheet'!$I$4:$I$40=$BC$27)*($MK$6:$MK$42=1))&gt;0)</f>
        <v/>
      </c>
      <c r="MM27">
        <f>$MM$26+--($ML27)</f>
        <v/>
      </c>
      <c r="MN27">
        <f>IF(ROW()-3&gt;MAX($MM$4:$MM$40),"",INDEX($BC$4:$BC$40,MATCH(ROW()-3,$MM$4:$MM$40,0)))</f>
        <v/>
      </c>
      <c r="MO27">
        <f>IF(COUNTIF('Buyer Groups'!DG27:DO27,0)+COUNTIF('Buyer Groups'!DQ27:EN27,0)&gt;0,0,1)</f>
        <v/>
      </c>
      <c r="MP27">
        <f>IF($BH$27="",FALSE,SUMPRODUCT(('Final Calculation Sheet'!$J$4:$J$40=$BH$27)*($MO$6:$MO$42=1))&gt;0)</f>
        <v/>
      </c>
      <c r="MQ27">
        <f>$MQ$26+--($MP27)</f>
        <v/>
      </c>
      <c r="MR27">
        <f>IF(ROW()-3&gt;MAX($MQ$4:$MQ$40),"",INDEX($BH$4:$BH$40,MATCH(ROW()-3,$MQ$4:$MQ$40,0)))</f>
        <v/>
      </c>
      <c r="MS27">
        <f>IF(COUNTIF('Buyer Groups'!DG27:DP27,0)+COUNTIF('Buyer Groups'!DR27:EN27,0)&gt;0,0,1)</f>
        <v/>
      </c>
      <c r="MT27">
        <f>IF($BM$27="",FALSE,SUMPRODUCT(('Final Calculation Sheet'!$K$4:$K$40=$BM$27)*($MS$6:$MS$42=1))&gt;0)</f>
        <v/>
      </c>
      <c r="MU27">
        <f>$MU$26+--($MT27)</f>
        <v/>
      </c>
      <c r="MV27">
        <f>IF(ROW()-3&gt;MAX($MU$4:$MU$40),"",INDEX($BM$4:$BM$40,MATCH(ROW()-3,$MU$4:$MU$40,0)))</f>
        <v/>
      </c>
      <c r="MW27">
        <f>IF(COUNTIF('Buyer Groups'!DG27:DQ27,0)+COUNTIF('Buyer Groups'!DS27:EN27,0)&gt;0,0,1)</f>
        <v/>
      </c>
      <c r="MX27">
        <f>IF($BR$27="",FALSE,SUMPRODUCT(('Final Calculation Sheet'!$L$4:$L$40=$BR$27)*($MW$6:$MW$42=1))&gt;0)</f>
        <v/>
      </c>
      <c r="MY27">
        <f>$MY$26+--($MX27)</f>
        <v/>
      </c>
      <c r="MZ27">
        <f>IF(ROW()-3&gt;MAX($MY$4:$MY$40),"",INDEX($BR$4:$BR$40,MATCH(ROW()-3,$MY$4:$MY$40,0)))</f>
        <v/>
      </c>
      <c r="NA27">
        <f>IF(COUNTIF('Buyer Groups'!DG27:DR27,0)+COUNTIF('Buyer Groups'!DT27:EN27,0)&gt;0,0,1)</f>
        <v/>
      </c>
      <c r="NB27">
        <f>IF($BW$27="",FALSE,SUMPRODUCT(('Final Calculation Sheet'!$M$4:$M$40=$BW$27)*($NA$6:$NA$42=1))&gt;0)</f>
        <v/>
      </c>
      <c r="NC27">
        <f>$NC$26+--($NB27)</f>
        <v/>
      </c>
      <c r="ND27">
        <f>IF(ROW()-3&gt;MAX($NC$4:$NC$40),"",INDEX($BW$4:$BW$40,MATCH(ROW()-3,$NC$4:$NC$40,0)))</f>
        <v/>
      </c>
      <c r="NE27">
        <f>IF(COUNTIF('Buyer Groups'!DG27:DS27,0)+COUNTIF('Buyer Groups'!DU27:EN27,0)&gt;0,0,1)</f>
        <v/>
      </c>
      <c r="NF27">
        <f>IF($CB$27="",FALSE,SUMPRODUCT(('Final Calculation Sheet'!$N$4:$N$40=$CB$27)*($NE$6:$NE$42=1))&gt;0)</f>
        <v/>
      </c>
      <c r="NG27">
        <f>$NG$26+--($NF27)</f>
        <v/>
      </c>
      <c r="NH27">
        <f>IF(ROW()-3&gt;MAX($NG$4:$NG$40),"",INDEX($CB$4:$CB$40,MATCH(ROW()-3,$NG$4:$NG$40,0)))</f>
        <v/>
      </c>
      <c r="NI27">
        <f>IF(COUNTIF('Buyer Groups'!DG27:DT27,0)+COUNTIF('Buyer Groups'!DV27:EN27,0)&gt;0,0,1)</f>
        <v/>
      </c>
      <c r="NJ27">
        <f>IF($CG$27="",FALSE,SUMPRODUCT(('Final Calculation Sheet'!$O$4:$O$40=$CG$27)*($NI$6:$NI$42=1))&gt;0)</f>
        <v/>
      </c>
      <c r="NK27">
        <f>$NK$26+--($NJ27)</f>
        <v/>
      </c>
      <c r="NL27">
        <f>IF(ROW()-3&gt;MAX($NK$4:$NK$40),"",INDEX($CG$4:$CG$40,MATCH(ROW()-3,$NK$4:$NK$40,0)))</f>
        <v/>
      </c>
      <c r="NM27">
        <f>IF(COUNTIF('Buyer Groups'!DG27:DU27,0)+COUNTIF('Buyer Groups'!DW27:EN27,0)&gt;0,0,1)</f>
        <v/>
      </c>
      <c r="NN27">
        <f>IF($CL$27="",FALSE,SUMPRODUCT(('Final Calculation Sheet'!$P$4:$P$40=$CL$27)*($NM$6:$NM$42=1))&gt;0)</f>
        <v/>
      </c>
      <c r="NO27">
        <f>$NO$26+--($NN27)</f>
        <v/>
      </c>
      <c r="NP27">
        <f>IF(ROW()-3&gt;MAX($NO$4:$NO$40),"",INDEX($CL$4:$CL$40,MATCH(ROW()-3,$NO$4:$NO$40,0)))</f>
        <v/>
      </c>
      <c r="NQ27">
        <f>IF(COUNTIF('Buyer Groups'!DG27:DV27,0)+COUNTIF('Buyer Groups'!DX27:EN27,0)&gt;0,0,1)</f>
        <v/>
      </c>
      <c r="NR27">
        <f>IF($CQ$27="",FALSE,SUMPRODUCT(('Final Calculation Sheet'!$Q$4:$Q$40=$CQ$27)*($NQ$6:$NQ$42=1))&gt;0)</f>
        <v/>
      </c>
      <c r="NS27">
        <f>$NS$26+--($NR27)</f>
        <v/>
      </c>
      <c r="NT27">
        <f>IF(ROW()-3&gt;MAX($NS$4:$NS$40),"",INDEX($CQ$4:$CQ$40,MATCH(ROW()-3,$NS$4:$NS$40,0)))</f>
        <v/>
      </c>
      <c r="NU27">
        <f>IF(COUNTIF('Buyer Groups'!DG27:DW27,0)+COUNTIF('Buyer Groups'!DY27:EN27,0)&gt;0,0,1)</f>
        <v/>
      </c>
      <c r="NV27">
        <f>IF($CV$27="",FALSE,SUMPRODUCT(('Final Calculation Sheet'!$R$4:$R$40=$CV$27)*($NU$6:$NU$42=1))&gt;0)</f>
        <v/>
      </c>
      <c r="NW27">
        <f>$NW$26+--($NV27)</f>
        <v/>
      </c>
      <c r="NX27">
        <f>IF(ROW()-3&gt;MAX($NW$4:$NW$40),"",INDEX($CV$4:$CV$40,MATCH(ROW()-3,$NW$4:$NW$40,0)))</f>
        <v/>
      </c>
      <c r="NY27">
        <f>IF(COUNTIF('Buyer Groups'!DG27:DX27,0)+COUNTIF('Buyer Groups'!DZ27:EN27,0)&gt;0,0,1)</f>
        <v/>
      </c>
      <c r="NZ27">
        <f>IF($DA$27="",FALSE,SUMPRODUCT(('Final Calculation Sheet'!$S$4:$S$40=$DA$27)*($NY$6:$NY$42=1))&gt;0)</f>
        <v/>
      </c>
      <c r="OA27">
        <f>$OA$26+--($NZ27)</f>
        <v/>
      </c>
      <c r="OB27">
        <f>IF(ROW()-3&gt;MAX($OA$4:$OA$40),"",INDEX($DA$4:$DA$40,MATCH(ROW()-3,$OA$4:$OA$40,0)))</f>
        <v/>
      </c>
      <c r="OC27">
        <f>IF(COUNTIF('Buyer Groups'!DG27:DY27,0)+COUNTIF('Buyer Groups'!EA27:EN27,0)&gt;0,0,1)</f>
        <v/>
      </c>
      <c r="OD27">
        <f>IF($DF$27="",FALSE,SUMPRODUCT(('Final Calculation Sheet'!$T$4:$T$40=$DF$27)*($OC$6:$OC$42=1))&gt;0)</f>
        <v/>
      </c>
      <c r="OE27">
        <f>$OE$26+--($OD27)</f>
        <v/>
      </c>
      <c r="OF27">
        <f>IF(ROW()-3&gt;MAX($OE$4:$OE$40),"",INDEX($DF$4:$DF$40,MATCH(ROW()-3,$OE$4:$OE$40,0)))</f>
        <v/>
      </c>
      <c r="OG27">
        <f>IF(COUNTIF('Buyer Groups'!DG27:DZ27,0)+COUNTIF('Buyer Groups'!EB27:EN27,0)&gt;0,0,1)</f>
        <v/>
      </c>
      <c r="OH27">
        <f>IF($DK$27="",FALSE,SUMPRODUCT(('Final Calculation Sheet'!$U$4:$U$40=$DK$27)*($OG$6:$OG$42=1))&gt;0)</f>
        <v/>
      </c>
      <c r="OI27">
        <f>$OI$26+--($OH27)</f>
        <v/>
      </c>
      <c r="OJ27">
        <f>IF(ROW()-3&gt;MAX($OI$4:$OI$40),"",INDEX($DK$4:$DK$40,MATCH(ROW()-3,$OI$4:$OI$40,0)))</f>
        <v/>
      </c>
      <c r="OK27">
        <f>IF(COUNTIF('Buyer Groups'!DG27:EA27,0)+COUNTIF('Buyer Groups'!EC27:EN27,0)&gt;0,0,1)</f>
        <v/>
      </c>
      <c r="OL27">
        <f>IF($DP$27="",FALSE,SUMPRODUCT(('Final Calculation Sheet'!$V$4:$V$40=$DP$27)*($OK$6:$OK$42=1))&gt;0)</f>
        <v/>
      </c>
      <c r="OM27">
        <f>$OM$26+--($OL27)</f>
        <v/>
      </c>
      <c r="ON27">
        <f>IF(ROW()-3&gt;MAX($OM$4:$OM$40),"",INDEX($DP$4:$DP$40,MATCH(ROW()-3,$OM$4:$OM$40,0)))</f>
        <v/>
      </c>
      <c r="OO27">
        <f>IF(COUNTIF('Buyer Groups'!DG27:EB27,0)+COUNTIF('Buyer Groups'!ED27:EN27,0)&gt;0,0,1)</f>
        <v/>
      </c>
      <c r="OP27">
        <f>IF($DU$27="",FALSE,SUMPRODUCT(('Final Calculation Sheet'!$W$4:$W$40=$DU$27)*($OO$6:$OO$42=1))&gt;0)</f>
        <v/>
      </c>
      <c r="OQ27">
        <f>$OQ$26+--($OP27)</f>
        <v/>
      </c>
      <c r="OR27">
        <f>IF(ROW()-3&gt;MAX($OQ$4:$OQ$40),"",INDEX($DU$4:$DU$40,MATCH(ROW()-3,$OQ$4:$OQ$40,0)))</f>
        <v/>
      </c>
      <c r="OS27">
        <f>IF(COUNTIF('Buyer Groups'!DG27:EC27,0)+COUNTIF('Buyer Groups'!EE27:EN27,0)&gt;0,0,1)</f>
        <v/>
      </c>
      <c r="OT27">
        <f>IF($DZ$27="",FALSE,SUMPRODUCT(('Final Calculation Sheet'!$X$4:$X$40=$DZ$27)*($OS$6:$OS$42=1))&gt;0)</f>
        <v/>
      </c>
      <c r="OU27">
        <f>$OU$26+--($OT27)</f>
        <v/>
      </c>
      <c r="OV27">
        <f>IF(ROW()-3&gt;MAX($OU$4:$OU$40),"",INDEX($DZ$4:$DZ$40,MATCH(ROW()-3,$OU$4:$OU$40,0)))</f>
        <v/>
      </c>
      <c r="OW27">
        <f>IF(COUNTIF('Buyer Groups'!DG27:ED27,0)+COUNTIF('Buyer Groups'!EF27:EN27,0)&gt;0,0,1)</f>
        <v/>
      </c>
      <c r="OX27">
        <f>IF($EE$27="",FALSE,SUMPRODUCT(('Final Calculation Sheet'!$Y$4:$Y$40=$EE$27)*($OW$6:$OW$42=1))&gt;0)</f>
        <v/>
      </c>
      <c r="OY27">
        <f>$OY$26+--($OX27)</f>
        <v/>
      </c>
      <c r="OZ27">
        <f>IF(ROW()-3&gt;MAX($OY$4:$OY$40),"",INDEX($EE$4:$EE$40,MATCH(ROW()-3,$OY$4:$OY$40,0)))</f>
        <v/>
      </c>
      <c r="PA27">
        <f>IF(COUNTIF('Buyer Groups'!DG27:EE27,0)+COUNTIF('Buyer Groups'!EG27:EN27,0)&gt;0,0,1)</f>
        <v/>
      </c>
      <c r="PB27">
        <f>IF($EJ$27="",FALSE,SUMPRODUCT(('Final Calculation Sheet'!$Z$4:$Z$40=$EJ$27)*($PA$6:$PA$42=1))&gt;0)</f>
        <v/>
      </c>
      <c r="PC27">
        <f>$PC$26+--($PB27)</f>
        <v/>
      </c>
      <c r="PD27">
        <f>IF(ROW()-3&gt;MAX($PC$4:$PC$40),"",INDEX($EJ$4:$EJ$40,MATCH(ROW()-3,$PC$4:$PC$40,0)))</f>
        <v/>
      </c>
      <c r="PE27">
        <f>IF(COUNTIF('Buyer Groups'!DG27:EF27,0)+COUNTIF('Buyer Groups'!EH27:EN27,0)&gt;0,0,1)</f>
        <v/>
      </c>
      <c r="PF27">
        <f>IF($EO$27="",FALSE,SUMPRODUCT(('Final Calculation Sheet'!$AA$4:$AA$40=$EO$27)*($PE$6:$PE$42=1))&gt;0)</f>
        <v/>
      </c>
      <c r="PG27">
        <f>$PG$26+--($PF27)</f>
        <v/>
      </c>
      <c r="PH27">
        <f>IF(ROW()-3&gt;MAX($PG$4:$PG$40),"",INDEX($EO$4:$EO$40,MATCH(ROW()-3,$PG$4:$PG$40,0)))</f>
        <v/>
      </c>
      <c r="PI27">
        <f>IF(COUNTIF('Buyer Groups'!DG27:EG27,0)+COUNTIF('Buyer Groups'!EI27:EN27,0)&gt;0,0,1)</f>
        <v/>
      </c>
      <c r="PJ27">
        <f>IF($ET$27="",FALSE,SUMPRODUCT(('Final Calculation Sheet'!$AB$4:$AB$40=$ET$27)*($PI$6:$PI$42=1))&gt;0)</f>
        <v/>
      </c>
      <c r="PK27">
        <f>$PK$26+--($PJ27)</f>
        <v/>
      </c>
      <c r="PL27">
        <f>IF(ROW()-3&gt;MAX($PK$4:$PK$40),"",INDEX($ET$4:$ET$40,MATCH(ROW()-3,$PK$4:$PK$40,0)))</f>
        <v/>
      </c>
      <c r="PM27">
        <f>IF(COUNTIF('Buyer Groups'!DG27:EH27,0)+COUNTIF('Buyer Groups'!EJ27:EN27,0)&gt;0,0,1)</f>
        <v/>
      </c>
      <c r="PN27">
        <f>IF($EY$27="",FALSE,SUMPRODUCT(('Final Calculation Sheet'!$AC$4:$AC$40=$EY$27)*($PM$6:$PM$42=1))&gt;0)</f>
        <v/>
      </c>
      <c r="PO27">
        <f>$PO$26+--($PN27)</f>
        <v/>
      </c>
      <c r="PP27">
        <f>IF(ROW()-3&gt;MAX($PO$4:$PO$40),"",INDEX($EY$4:$EY$40,MATCH(ROW()-3,$PO$4:$PO$40,0)))</f>
        <v/>
      </c>
      <c r="PQ27">
        <f>IF(COUNTIF('Buyer Groups'!DG27:EI27,0)+COUNTIF('Buyer Groups'!EK27:EN27,0)&gt;0,0,1)</f>
        <v/>
      </c>
      <c r="PR27">
        <f>IF($FD$27="",FALSE,SUMPRODUCT(('Final Calculation Sheet'!$AD$4:$AD$40=$FD$27)*($PQ$6:$PQ$42=1))&gt;0)</f>
        <v/>
      </c>
      <c r="PS27">
        <f>$PS$26+--($PR27)</f>
        <v/>
      </c>
      <c r="PT27">
        <f>IF(ROW()-3&gt;MAX($PS$4:$PS$40),"",INDEX($FD$4:$FD$40,MATCH(ROW()-3,$PS$4:$PS$40,0)))</f>
        <v/>
      </c>
      <c r="PU27">
        <f>IF(COUNTIF('Buyer Groups'!DG27:EJ27,0)+COUNTIF('Buyer Groups'!EL27:EN27,0)&gt;0,0,1)</f>
        <v/>
      </c>
      <c r="PV27">
        <f>IF($FX$27="",FALSE,SUMPRODUCT((IF('Final Calculation Sheet'!$AD$4:$AD$40&lt;=5,"SETTLED","OUTSTANDING")=$FX$27)*($PU$6:$PU$42=1))&gt;0)</f>
        <v/>
      </c>
      <c r="PW27">
        <f>$PW$26+--($PV27)</f>
        <v/>
      </c>
      <c r="PX27">
        <f>IF(ROW()-3&gt;MAX($PW$4:$PW$40),"",INDEX($FX$4:$FX$40,MATCH(ROW()-3,$PW$4:$PW$40,0)))</f>
        <v/>
      </c>
      <c r="PY27">
        <f>IF(COUNTIF('Buyer Groups'!DG27:EK27,0)+COUNTIF('Buyer Groups'!EM27:EN27,0)&gt;0,0,1)</f>
        <v/>
      </c>
      <c r="PZ27">
        <f>IF($FI$27="",FALSE,SUMPRODUCT(('Final Calculation Sheet'!$AF$4:$AF$40=$FI$27)*($PY$6:$PY$42=1))&gt;0)</f>
        <v/>
      </c>
      <c r="QA27">
        <f>$QA$26+--($PZ27)</f>
        <v/>
      </c>
      <c r="QB27">
        <f>IF(ROW()-3&gt;MAX($QA$4:$QA$40),"",INDEX($FI$4:$FI$40,MATCH(ROW()-3,$QA$4:$QA$40,0)))</f>
        <v/>
      </c>
      <c r="QC27">
        <f>IF(COUNTIF('Buyer Groups'!DG27:EL27,0)+COUNTIF('Buyer Groups'!EN27:EN27,0)&gt;0,0,1)</f>
        <v/>
      </c>
      <c r="QD27">
        <f>IF($FN$27="",FALSE,SUMPRODUCT(('Final Calculation Sheet'!$AG$4:$AG$40=$FN$27)*($QC$6:$QC$42=1))&gt;0)</f>
        <v/>
      </c>
      <c r="QE27">
        <f>$QE$26+--($QD27)</f>
        <v/>
      </c>
      <c r="QF27">
        <f>IF(ROW()-3&gt;MAX($QE$4:$QE$40),"",INDEX($FN$4:$FN$40,MATCH(ROW()-3,$QE$4:$QE$40,0)))</f>
        <v/>
      </c>
      <c r="QG27">
        <f>IF(COUNTIF('Buyer Groups'!DG27:EM27,0)&gt;0,0,1)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Groups'!DH28:EN28,0)&gt;0,0,1)</f>
        <v/>
      </c>
      <c r="LF28">
        <f>IF($O$28="",FALSE,SUMPRODUCT(('Final Calculation Sheet'!$F$4:$F$40=$O$28)*($LE$6:$LE$42=1))&gt;0)</f>
        <v/>
      </c>
      <c r="LG28">
        <f>$LG$27+--($LF28)</f>
        <v/>
      </c>
      <c r="LH28">
        <f>IF(ROW()-3&gt;MAX($LG$4:$LG$40),"",INDEX($O$4:$O$40,MATCH(ROW()-3,$LG$4:$LG$40,0)))</f>
        <v/>
      </c>
      <c r="LI28">
        <f>IF(COUNTIF('Buyer Groups'!DG28:DG28,0)+COUNTIF('Buyer Groups'!DI28:EN28,0)&gt;0,0,1)</f>
        <v/>
      </c>
      <c r="LJ28">
        <f>IF($T$28="",FALSE,SUMPRODUCT(('Final Calculation Sheet'!$G$4:$G$40=$T$28)*($LI$6:$LI$42=1))&gt;0)</f>
        <v/>
      </c>
      <c r="LK28">
        <f>$LK$27+--($LJ28)</f>
        <v/>
      </c>
      <c r="LL28">
        <f>IF(ROW()-3&gt;MAX($LK$4:$LK$40),"",INDEX($T$4:$T$40,MATCH(ROW()-3,$LK$4:$LK$40,0)))</f>
        <v/>
      </c>
      <c r="LM28">
        <f>IF(COUNTIF('Buyer Groups'!DG28:DH28,0)+COUNTIF('Buyer Groups'!DJ28:EN28,0)&gt;0,0,1)</f>
        <v/>
      </c>
      <c r="LN28">
        <f>IF($Y$28="",FALSE,SUMPRODUCT(('Final Calculation Sheet'!$B$4:$B$40=$Y$28)*($LM$6:$LM$42=1))&gt;0)</f>
        <v/>
      </c>
      <c r="LO28">
        <f>$LO$27+--($LN28)</f>
        <v/>
      </c>
      <c r="LP28">
        <f>IF(ROW()-3&gt;MAX($LO$4:$LO$40),"",INDEX($Y$4:$Y$40,MATCH(ROW()-3,$LO$4:$LO$40,0)))</f>
        <v/>
      </c>
      <c r="LQ28">
        <f>IF(COUNTIF('Buyer Groups'!DG28:DI28,0)+COUNTIF('Buyer Groups'!DK28:EN28,0)&gt;0,0,1)</f>
        <v/>
      </c>
      <c r="LR28">
        <f>IF($AD$28="",FALSE,SUMPRODUCT(('Final Calculation Sheet'!$D$4:$D$40=$AD$28)*($LQ$6:$LQ$42=1))&gt;0)</f>
        <v/>
      </c>
      <c r="LS28">
        <f>$LS$27+--($LR28)</f>
        <v/>
      </c>
      <c r="LT28">
        <f>IF(ROW()-3&gt;MAX($LS$4:$LS$40),"",INDEX($AD$4:$AD$40,MATCH(ROW()-3,$LS$4:$LS$40,0)))</f>
        <v/>
      </c>
      <c r="LU28">
        <f>IF(COUNTIF('Buyer Groups'!DG28:DJ28,0)+COUNTIF('Buyer Groups'!DL28:EN28,0)&gt;0,0,1)</f>
        <v/>
      </c>
      <c r="LV28">
        <f>IF($AI$28="",FALSE,SUMPRODUCT(('Final Calculation Sheet'!$A$4:$A$40=$AI$28)*($LU$6:$LU$42=1))&gt;0)</f>
        <v/>
      </c>
      <c r="LW28">
        <f>$LW$27+--($LV28)</f>
        <v/>
      </c>
      <c r="LX28">
        <f>IF(ROW()-3&gt;MAX($LW$4:$LW$40),"",INDEX($AI$4:$AI$40,MATCH(ROW()-3,$LW$4:$LW$40,0)))</f>
        <v/>
      </c>
      <c r="LY28">
        <f>IF(COUNTIF('Buyer Groups'!DG28:DK28,0)+COUNTIF('Buyer Groups'!DM28:EN28,0)&gt;0,0,1)</f>
        <v/>
      </c>
      <c r="LZ28">
        <f>IF($AN$28="",FALSE,SUMPRODUCT(('Final Calculation Sheet'!$E$4:$E$40=$AN$28)*($LY$6:$LY$42=1))&gt;0)</f>
        <v/>
      </c>
      <c r="MA28">
        <f>$MA$27+--($LZ28)</f>
        <v/>
      </c>
      <c r="MB28">
        <f>IF(ROW()-3&gt;MAX($MA$4:$MA$40),"",INDEX($AN$4:$AN$40,MATCH(ROW()-3,$MA$4:$MA$40,0)))</f>
        <v/>
      </c>
      <c r="MC28">
        <f>IF(COUNTIF('Buyer Groups'!DG28:DL28,0)+COUNTIF('Buyer Groups'!DN28:EN28,0)&gt;0,0,1)</f>
        <v/>
      </c>
      <c r="MD28">
        <f>IF($AS$28="",FALSE,SUMPRODUCT(('Final Calculation Sheet'!$C$4:$C$40=$AS$28)*($MC$6:$MC$42=1))&gt;0)</f>
        <v/>
      </c>
      <c r="ME28">
        <f>$ME$27+--($MD28)</f>
        <v/>
      </c>
      <c r="MF28">
        <f>IF(ROW()-3&gt;MAX($ME$4:$ME$40),"",INDEX($AS$4:$AS$40,MATCH(ROW()-3,$ME$4:$ME$40,0)))</f>
        <v/>
      </c>
      <c r="MG28">
        <f>IF(COUNTIF('Buyer Groups'!DG28:DM28,0)+COUNTIF('Buyer Groups'!DO28:EN28,0)&gt;0,0,1)</f>
        <v/>
      </c>
      <c r="MH28">
        <f>IF($AX$28="",FALSE,SUMPRODUCT(('Final Calculation Sheet'!$H$4:$H$40=$AX$28)*($MG$6:$MG$42=1))&gt;0)</f>
        <v/>
      </c>
      <c r="MI28">
        <f>$MI$27+--($MH28)</f>
        <v/>
      </c>
      <c r="MJ28">
        <f>IF(ROW()-3&gt;MAX($MI$4:$MI$40),"",INDEX($AX$4:$AX$40,MATCH(ROW()-3,$MI$4:$MI$40,0)))</f>
        <v/>
      </c>
      <c r="MK28">
        <f>IF(COUNTIF('Buyer Groups'!DG28:DN28,0)+COUNTIF('Buyer Groups'!DP28:EN28,0)&gt;0,0,1)</f>
        <v/>
      </c>
      <c r="ML28">
        <f>IF($BC$28="",FALSE,SUMPRODUCT(('Final Calculation Sheet'!$I$4:$I$40=$BC$28)*($MK$6:$MK$42=1))&gt;0)</f>
        <v/>
      </c>
      <c r="MM28">
        <f>$MM$27+--($ML28)</f>
        <v/>
      </c>
      <c r="MN28">
        <f>IF(ROW()-3&gt;MAX($MM$4:$MM$40),"",INDEX($BC$4:$BC$40,MATCH(ROW()-3,$MM$4:$MM$40,0)))</f>
        <v/>
      </c>
      <c r="MO28">
        <f>IF(COUNTIF('Buyer Groups'!DG28:DO28,0)+COUNTIF('Buyer Groups'!DQ28:EN28,0)&gt;0,0,1)</f>
        <v/>
      </c>
      <c r="MP28">
        <f>IF($BH$28="",FALSE,SUMPRODUCT(('Final Calculation Sheet'!$J$4:$J$40=$BH$28)*($MO$6:$MO$42=1))&gt;0)</f>
        <v/>
      </c>
      <c r="MQ28">
        <f>$MQ$27+--($MP28)</f>
        <v/>
      </c>
      <c r="MR28">
        <f>IF(ROW()-3&gt;MAX($MQ$4:$MQ$40),"",INDEX($BH$4:$BH$40,MATCH(ROW()-3,$MQ$4:$MQ$40,0)))</f>
        <v/>
      </c>
      <c r="MS28">
        <f>IF(COUNTIF('Buyer Groups'!DG28:DP28,0)+COUNTIF('Buyer Groups'!DR28:EN28,0)&gt;0,0,1)</f>
        <v/>
      </c>
      <c r="MT28">
        <f>IF($BM$28="",FALSE,SUMPRODUCT(('Final Calculation Sheet'!$K$4:$K$40=$BM$28)*($MS$6:$MS$42=1))&gt;0)</f>
        <v/>
      </c>
      <c r="MU28">
        <f>$MU$27+--($MT28)</f>
        <v/>
      </c>
      <c r="MV28">
        <f>IF(ROW()-3&gt;MAX($MU$4:$MU$40),"",INDEX($BM$4:$BM$40,MATCH(ROW()-3,$MU$4:$MU$40,0)))</f>
        <v/>
      </c>
      <c r="MW28">
        <f>IF(COUNTIF('Buyer Groups'!DG28:DQ28,0)+COUNTIF('Buyer Groups'!DS28:EN28,0)&gt;0,0,1)</f>
        <v/>
      </c>
      <c r="MX28">
        <f>IF($BR$28="",FALSE,SUMPRODUCT(('Final Calculation Sheet'!$L$4:$L$40=$BR$28)*($MW$6:$MW$42=1))&gt;0)</f>
        <v/>
      </c>
      <c r="MY28">
        <f>$MY$27+--($MX28)</f>
        <v/>
      </c>
      <c r="MZ28">
        <f>IF(ROW()-3&gt;MAX($MY$4:$MY$40),"",INDEX($BR$4:$BR$40,MATCH(ROW()-3,$MY$4:$MY$40,0)))</f>
        <v/>
      </c>
      <c r="NA28">
        <f>IF(COUNTIF('Buyer Groups'!DG28:DR28,0)+COUNTIF('Buyer Groups'!DT28:EN28,0)&gt;0,0,1)</f>
        <v/>
      </c>
      <c r="NB28">
        <f>IF($BW$28="",FALSE,SUMPRODUCT(('Final Calculation Sheet'!$M$4:$M$40=$BW$28)*($NA$6:$NA$42=1))&gt;0)</f>
        <v/>
      </c>
      <c r="NC28">
        <f>$NC$27+--($NB28)</f>
        <v/>
      </c>
      <c r="ND28">
        <f>IF(ROW()-3&gt;MAX($NC$4:$NC$40),"",INDEX($BW$4:$BW$40,MATCH(ROW()-3,$NC$4:$NC$40,0)))</f>
        <v/>
      </c>
      <c r="NE28">
        <f>IF(COUNTIF('Buyer Groups'!DG28:DS28,0)+COUNTIF('Buyer Groups'!DU28:EN28,0)&gt;0,0,1)</f>
        <v/>
      </c>
      <c r="NF28">
        <f>IF($CB$28="",FALSE,SUMPRODUCT(('Final Calculation Sheet'!$N$4:$N$40=$CB$28)*($NE$6:$NE$42=1))&gt;0)</f>
        <v/>
      </c>
      <c r="NG28">
        <f>$NG$27+--($NF28)</f>
        <v/>
      </c>
      <c r="NH28">
        <f>IF(ROW()-3&gt;MAX($NG$4:$NG$40),"",INDEX($CB$4:$CB$40,MATCH(ROW()-3,$NG$4:$NG$40,0)))</f>
        <v/>
      </c>
      <c r="NI28">
        <f>IF(COUNTIF('Buyer Groups'!DG28:DT28,0)+COUNTIF('Buyer Groups'!DV28:EN28,0)&gt;0,0,1)</f>
        <v/>
      </c>
      <c r="NJ28">
        <f>IF($CG$28="",FALSE,SUMPRODUCT(('Final Calculation Sheet'!$O$4:$O$40=$CG$28)*($NI$6:$NI$42=1))&gt;0)</f>
        <v/>
      </c>
      <c r="NK28">
        <f>$NK$27+--($NJ28)</f>
        <v/>
      </c>
      <c r="NL28">
        <f>IF(ROW()-3&gt;MAX($NK$4:$NK$40),"",INDEX($CG$4:$CG$40,MATCH(ROW()-3,$NK$4:$NK$40,0)))</f>
        <v/>
      </c>
      <c r="NM28">
        <f>IF(COUNTIF('Buyer Groups'!DG28:DU28,0)+COUNTIF('Buyer Groups'!DW28:EN28,0)&gt;0,0,1)</f>
        <v/>
      </c>
      <c r="NN28">
        <f>IF($CL$28="",FALSE,SUMPRODUCT(('Final Calculation Sheet'!$P$4:$P$40=$CL$28)*($NM$6:$NM$42=1))&gt;0)</f>
        <v/>
      </c>
      <c r="NO28">
        <f>$NO$27+--($NN28)</f>
        <v/>
      </c>
      <c r="NP28">
        <f>IF(ROW()-3&gt;MAX($NO$4:$NO$40),"",INDEX($CL$4:$CL$40,MATCH(ROW()-3,$NO$4:$NO$40,0)))</f>
        <v/>
      </c>
      <c r="NQ28">
        <f>IF(COUNTIF('Buyer Groups'!DG28:DV28,0)+COUNTIF('Buyer Groups'!DX28:EN28,0)&gt;0,0,1)</f>
        <v/>
      </c>
      <c r="NR28">
        <f>IF($CQ$28="",FALSE,SUMPRODUCT(('Final Calculation Sheet'!$Q$4:$Q$40=$CQ$28)*($NQ$6:$NQ$42=1))&gt;0)</f>
        <v/>
      </c>
      <c r="NS28">
        <f>$NS$27+--($NR28)</f>
        <v/>
      </c>
      <c r="NT28">
        <f>IF(ROW()-3&gt;MAX($NS$4:$NS$40),"",INDEX($CQ$4:$CQ$40,MATCH(ROW()-3,$NS$4:$NS$40,0)))</f>
        <v/>
      </c>
      <c r="NU28">
        <f>IF(COUNTIF('Buyer Groups'!DG28:DW28,0)+COUNTIF('Buyer Groups'!DY28:EN28,0)&gt;0,0,1)</f>
        <v/>
      </c>
      <c r="NV28">
        <f>IF($CV$28="",FALSE,SUMPRODUCT(('Final Calculation Sheet'!$R$4:$R$40=$CV$28)*($NU$6:$NU$42=1))&gt;0)</f>
        <v/>
      </c>
      <c r="NW28">
        <f>$NW$27+--($NV28)</f>
        <v/>
      </c>
      <c r="NX28">
        <f>IF(ROW()-3&gt;MAX($NW$4:$NW$40),"",INDEX($CV$4:$CV$40,MATCH(ROW()-3,$NW$4:$NW$40,0)))</f>
        <v/>
      </c>
      <c r="NY28">
        <f>IF(COUNTIF('Buyer Groups'!DG28:DX28,0)+COUNTIF('Buyer Groups'!DZ28:EN28,0)&gt;0,0,1)</f>
        <v/>
      </c>
      <c r="NZ28">
        <f>IF($DA$28="",FALSE,SUMPRODUCT(('Final Calculation Sheet'!$S$4:$S$40=$DA$28)*($NY$6:$NY$42=1))&gt;0)</f>
        <v/>
      </c>
      <c r="OA28">
        <f>$OA$27+--($NZ28)</f>
        <v/>
      </c>
      <c r="OB28">
        <f>IF(ROW()-3&gt;MAX($OA$4:$OA$40),"",INDEX($DA$4:$DA$40,MATCH(ROW()-3,$OA$4:$OA$40,0)))</f>
        <v/>
      </c>
      <c r="OC28">
        <f>IF(COUNTIF('Buyer Groups'!DG28:DY28,0)+COUNTIF('Buyer Groups'!EA28:EN28,0)&gt;0,0,1)</f>
        <v/>
      </c>
      <c r="OD28">
        <f>IF($DF$28="",FALSE,SUMPRODUCT(('Final Calculation Sheet'!$T$4:$T$40=$DF$28)*($OC$6:$OC$42=1))&gt;0)</f>
        <v/>
      </c>
      <c r="OE28">
        <f>$OE$27+--($OD28)</f>
        <v/>
      </c>
      <c r="OF28">
        <f>IF(ROW()-3&gt;MAX($OE$4:$OE$40),"",INDEX($DF$4:$DF$40,MATCH(ROW()-3,$OE$4:$OE$40,0)))</f>
        <v/>
      </c>
      <c r="OG28">
        <f>IF(COUNTIF('Buyer Groups'!DG28:DZ28,0)+COUNTIF('Buyer Groups'!EB28:EN28,0)&gt;0,0,1)</f>
        <v/>
      </c>
      <c r="OH28">
        <f>IF($DK$28="",FALSE,SUMPRODUCT(('Final Calculation Sheet'!$U$4:$U$40=$DK$28)*($OG$6:$OG$42=1))&gt;0)</f>
        <v/>
      </c>
      <c r="OI28">
        <f>$OI$27+--($OH28)</f>
        <v/>
      </c>
      <c r="OJ28">
        <f>IF(ROW()-3&gt;MAX($OI$4:$OI$40),"",INDEX($DK$4:$DK$40,MATCH(ROW()-3,$OI$4:$OI$40,0)))</f>
        <v/>
      </c>
      <c r="OK28">
        <f>IF(COUNTIF('Buyer Groups'!DG28:EA28,0)+COUNTIF('Buyer Groups'!EC28:EN28,0)&gt;0,0,1)</f>
        <v/>
      </c>
      <c r="OL28">
        <f>IF($DP$28="",FALSE,SUMPRODUCT(('Final Calculation Sheet'!$V$4:$V$40=$DP$28)*($OK$6:$OK$42=1))&gt;0)</f>
        <v/>
      </c>
      <c r="OM28">
        <f>$OM$27+--($OL28)</f>
        <v/>
      </c>
      <c r="ON28">
        <f>IF(ROW()-3&gt;MAX($OM$4:$OM$40),"",INDEX($DP$4:$DP$40,MATCH(ROW()-3,$OM$4:$OM$40,0)))</f>
        <v/>
      </c>
      <c r="OO28">
        <f>IF(COUNTIF('Buyer Groups'!DG28:EB28,0)+COUNTIF('Buyer Groups'!ED28:EN28,0)&gt;0,0,1)</f>
        <v/>
      </c>
      <c r="OP28">
        <f>IF($DU$28="",FALSE,SUMPRODUCT(('Final Calculation Sheet'!$W$4:$W$40=$DU$28)*($OO$6:$OO$42=1))&gt;0)</f>
        <v/>
      </c>
      <c r="OQ28">
        <f>$OQ$27+--($OP28)</f>
        <v/>
      </c>
      <c r="OR28">
        <f>IF(ROW()-3&gt;MAX($OQ$4:$OQ$40),"",INDEX($DU$4:$DU$40,MATCH(ROW()-3,$OQ$4:$OQ$40,0)))</f>
        <v/>
      </c>
      <c r="OS28">
        <f>IF(COUNTIF('Buyer Groups'!DG28:EC28,0)+COUNTIF('Buyer Groups'!EE28:EN28,0)&gt;0,0,1)</f>
        <v/>
      </c>
      <c r="OT28">
        <f>IF($DZ$28="",FALSE,SUMPRODUCT(('Final Calculation Sheet'!$X$4:$X$40=$DZ$28)*($OS$6:$OS$42=1))&gt;0)</f>
        <v/>
      </c>
      <c r="OU28">
        <f>$OU$27+--($OT28)</f>
        <v/>
      </c>
      <c r="OV28">
        <f>IF(ROW()-3&gt;MAX($OU$4:$OU$40),"",INDEX($DZ$4:$DZ$40,MATCH(ROW()-3,$OU$4:$OU$40,0)))</f>
        <v/>
      </c>
      <c r="OW28">
        <f>IF(COUNTIF('Buyer Groups'!DG28:ED28,0)+COUNTIF('Buyer Groups'!EF28:EN28,0)&gt;0,0,1)</f>
        <v/>
      </c>
      <c r="OX28">
        <f>IF($EE$28="",FALSE,SUMPRODUCT(('Final Calculation Sheet'!$Y$4:$Y$40=$EE$28)*($OW$6:$OW$42=1))&gt;0)</f>
        <v/>
      </c>
      <c r="OY28">
        <f>$OY$27+--($OX28)</f>
        <v/>
      </c>
      <c r="OZ28">
        <f>IF(ROW()-3&gt;MAX($OY$4:$OY$40),"",INDEX($EE$4:$EE$40,MATCH(ROW()-3,$OY$4:$OY$40,0)))</f>
        <v/>
      </c>
      <c r="PA28">
        <f>IF(COUNTIF('Buyer Groups'!DG28:EE28,0)+COUNTIF('Buyer Groups'!EG28:EN28,0)&gt;0,0,1)</f>
        <v/>
      </c>
      <c r="PB28">
        <f>IF($EJ$28="",FALSE,SUMPRODUCT(('Final Calculation Sheet'!$Z$4:$Z$40=$EJ$28)*($PA$6:$PA$42=1))&gt;0)</f>
        <v/>
      </c>
      <c r="PC28">
        <f>$PC$27+--($PB28)</f>
        <v/>
      </c>
      <c r="PD28">
        <f>IF(ROW()-3&gt;MAX($PC$4:$PC$40),"",INDEX($EJ$4:$EJ$40,MATCH(ROW()-3,$PC$4:$PC$40,0)))</f>
        <v/>
      </c>
      <c r="PE28">
        <f>IF(COUNTIF('Buyer Groups'!DG28:EF28,0)+COUNTIF('Buyer Groups'!EH28:EN28,0)&gt;0,0,1)</f>
        <v/>
      </c>
      <c r="PF28">
        <f>IF($EO$28="",FALSE,SUMPRODUCT(('Final Calculation Sheet'!$AA$4:$AA$40=$EO$28)*($PE$6:$PE$42=1))&gt;0)</f>
        <v/>
      </c>
      <c r="PG28">
        <f>$PG$27+--($PF28)</f>
        <v/>
      </c>
      <c r="PH28">
        <f>IF(ROW()-3&gt;MAX($PG$4:$PG$40),"",INDEX($EO$4:$EO$40,MATCH(ROW()-3,$PG$4:$PG$40,0)))</f>
        <v/>
      </c>
      <c r="PI28">
        <f>IF(COUNTIF('Buyer Groups'!DG28:EG28,0)+COUNTIF('Buyer Groups'!EI28:EN28,0)&gt;0,0,1)</f>
        <v/>
      </c>
      <c r="PJ28">
        <f>IF($ET$28="",FALSE,SUMPRODUCT(('Final Calculation Sheet'!$AB$4:$AB$40=$ET$28)*($PI$6:$PI$42=1))&gt;0)</f>
        <v/>
      </c>
      <c r="PK28">
        <f>$PK$27+--($PJ28)</f>
        <v/>
      </c>
      <c r="PL28">
        <f>IF(ROW()-3&gt;MAX($PK$4:$PK$40),"",INDEX($ET$4:$ET$40,MATCH(ROW()-3,$PK$4:$PK$40,0)))</f>
        <v/>
      </c>
      <c r="PM28">
        <f>IF(COUNTIF('Buyer Groups'!DG28:EH28,0)+COUNTIF('Buyer Groups'!EJ28:EN28,0)&gt;0,0,1)</f>
        <v/>
      </c>
      <c r="PN28">
        <f>IF($EY$28="",FALSE,SUMPRODUCT(('Final Calculation Sheet'!$AC$4:$AC$40=$EY$28)*($PM$6:$PM$42=1))&gt;0)</f>
        <v/>
      </c>
      <c r="PO28">
        <f>$PO$27+--($PN28)</f>
        <v/>
      </c>
      <c r="PP28">
        <f>IF(ROW()-3&gt;MAX($PO$4:$PO$40),"",INDEX($EY$4:$EY$40,MATCH(ROW()-3,$PO$4:$PO$40,0)))</f>
        <v/>
      </c>
      <c r="PQ28">
        <f>IF(COUNTIF('Buyer Groups'!DG28:EI28,0)+COUNTIF('Buyer Groups'!EK28:EN28,0)&gt;0,0,1)</f>
        <v/>
      </c>
      <c r="PR28">
        <f>IF($FD$28="",FALSE,SUMPRODUCT(('Final Calculation Sheet'!$AD$4:$AD$40=$FD$28)*($PQ$6:$PQ$42=1))&gt;0)</f>
        <v/>
      </c>
      <c r="PS28">
        <f>$PS$27+--($PR28)</f>
        <v/>
      </c>
      <c r="PT28">
        <f>IF(ROW()-3&gt;MAX($PS$4:$PS$40),"",INDEX($FD$4:$FD$40,MATCH(ROW()-3,$PS$4:$PS$40,0)))</f>
        <v/>
      </c>
      <c r="PU28">
        <f>IF(COUNTIF('Buyer Groups'!DG28:EJ28,0)+COUNTIF('Buyer Groups'!EL28:EN28,0)&gt;0,0,1)</f>
        <v/>
      </c>
      <c r="PV28">
        <f>IF($FX$28="",FALSE,SUMPRODUCT((IF('Final Calculation Sheet'!$AD$4:$AD$40&lt;=5,"SETTLED","OUTSTANDING")=$FX$28)*($PU$6:$PU$42=1))&gt;0)</f>
        <v/>
      </c>
      <c r="PW28">
        <f>$PW$27+--($PV28)</f>
        <v/>
      </c>
      <c r="PX28">
        <f>IF(ROW()-3&gt;MAX($PW$4:$PW$40),"",INDEX($FX$4:$FX$40,MATCH(ROW()-3,$PW$4:$PW$40,0)))</f>
        <v/>
      </c>
      <c r="PY28">
        <f>IF(COUNTIF('Buyer Groups'!DG28:EK28,0)+COUNTIF('Buyer Groups'!EM28:EN28,0)&gt;0,0,1)</f>
        <v/>
      </c>
      <c r="PZ28">
        <f>IF($FI$28="",FALSE,SUMPRODUCT(('Final Calculation Sheet'!$AF$4:$AF$40=$FI$28)*($PY$6:$PY$42=1))&gt;0)</f>
        <v/>
      </c>
      <c r="QA28">
        <f>$QA$27+--($PZ28)</f>
        <v/>
      </c>
      <c r="QB28">
        <f>IF(ROW()-3&gt;MAX($QA$4:$QA$40),"",INDEX($FI$4:$FI$40,MATCH(ROW()-3,$QA$4:$QA$40,0)))</f>
        <v/>
      </c>
      <c r="QC28">
        <f>IF(COUNTIF('Buyer Groups'!DG28:EL28,0)+COUNTIF('Buyer Groups'!EN28:EN28,0)&gt;0,0,1)</f>
        <v/>
      </c>
      <c r="QD28">
        <f>IF($FN$28="",FALSE,SUMPRODUCT(('Final Calculation Sheet'!$AG$4:$AG$40=$FN$28)*($QC$6:$QC$42=1))&gt;0)</f>
        <v/>
      </c>
      <c r="QE28">
        <f>$QE$27+--($QD28)</f>
        <v/>
      </c>
      <c r="QF28">
        <f>IF(ROW()-3&gt;MAX($QE$4:$QE$40),"",INDEX($FN$4:$FN$40,MATCH(ROW()-3,$QE$4:$QE$40,0)))</f>
        <v/>
      </c>
      <c r="QG28">
        <f>IF(COUNTIF('Buyer Groups'!DG28:EM28,0)&gt;0,0,1)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Groups'!DH29:EN29,0)&gt;0,0,1)</f>
        <v/>
      </c>
      <c r="LF29">
        <f>IF($O$29="",FALSE,SUMPRODUCT(('Final Calculation Sheet'!$F$4:$F$40=$O$29)*($LE$6:$LE$42=1))&gt;0)</f>
        <v/>
      </c>
      <c r="LG29">
        <f>$LG$28+--($LF29)</f>
        <v/>
      </c>
      <c r="LH29">
        <f>IF(ROW()-3&gt;MAX($LG$4:$LG$40),"",INDEX($O$4:$O$40,MATCH(ROW()-3,$LG$4:$LG$40,0)))</f>
        <v/>
      </c>
      <c r="LI29">
        <f>IF(COUNTIF('Buyer Groups'!DG29:DG29,0)+COUNTIF('Buyer Groups'!DI29:EN29,0)&gt;0,0,1)</f>
        <v/>
      </c>
      <c r="LJ29">
        <f>IF($T$29="",FALSE,SUMPRODUCT(('Final Calculation Sheet'!$G$4:$G$40=$T$29)*($LI$6:$LI$42=1))&gt;0)</f>
        <v/>
      </c>
      <c r="LK29">
        <f>$LK$28+--($LJ29)</f>
        <v/>
      </c>
      <c r="LL29">
        <f>IF(ROW()-3&gt;MAX($LK$4:$LK$40),"",INDEX($T$4:$T$40,MATCH(ROW()-3,$LK$4:$LK$40,0)))</f>
        <v/>
      </c>
      <c r="LM29">
        <f>IF(COUNTIF('Buyer Groups'!DG29:DH29,0)+COUNTIF('Buyer Groups'!DJ29:EN29,0)&gt;0,0,1)</f>
        <v/>
      </c>
      <c r="LN29">
        <f>IF($Y$29="",FALSE,SUMPRODUCT(('Final Calculation Sheet'!$B$4:$B$40=$Y$29)*($LM$6:$LM$42=1))&gt;0)</f>
        <v/>
      </c>
      <c r="LO29">
        <f>$LO$28+--($LN29)</f>
        <v/>
      </c>
      <c r="LP29">
        <f>IF(ROW()-3&gt;MAX($LO$4:$LO$40),"",INDEX($Y$4:$Y$40,MATCH(ROW()-3,$LO$4:$LO$40,0)))</f>
        <v/>
      </c>
      <c r="LQ29">
        <f>IF(COUNTIF('Buyer Groups'!DG29:DI29,0)+COUNTIF('Buyer Groups'!DK29:EN29,0)&gt;0,0,1)</f>
        <v/>
      </c>
      <c r="LR29">
        <f>IF($AD$29="",FALSE,SUMPRODUCT(('Final Calculation Sheet'!$D$4:$D$40=$AD$29)*($LQ$6:$LQ$42=1))&gt;0)</f>
        <v/>
      </c>
      <c r="LS29">
        <f>$LS$28+--($LR29)</f>
        <v/>
      </c>
      <c r="LT29">
        <f>IF(ROW()-3&gt;MAX($LS$4:$LS$40),"",INDEX($AD$4:$AD$40,MATCH(ROW()-3,$LS$4:$LS$40,0)))</f>
        <v/>
      </c>
      <c r="LU29">
        <f>IF(COUNTIF('Buyer Groups'!DG29:DJ29,0)+COUNTIF('Buyer Groups'!DL29:EN29,0)&gt;0,0,1)</f>
        <v/>
      </c>
      <c r="LV29">
        <f>IF($AI$29="",FALSE,SUMPRODUCT(('Final Calculation Sheet'!$A$4:$A$40=$AI$29)*($LU$6:$LU$42=1))&gt;0)</f>
        <v/>
      </c>
      <c r="LW29">
        <f>$LW$28+--($LV29)</f>
        <v/>
      </c>
      <c r="LX29">
        <f>IF(ROW()-3&gt;MAX($LW$4:$LW$40),"",INDEX($AI$4:$AI$40,MATCH(ROW()-3,$LW$4:$LW$40,0)))</f>
        <v/>
      </c>
      <c r="LY29">
        <f>IF(COUNTIF('Buyer Groups'!DG29:DK29,0)+COUNTIF('Buyer Groups'!DM29:EN29,0)&gt;0,0,1)</f>
        <v/>
      </c>
      <c r="LZ29">
        <f>IF($AN$29="",FALSE,SUMPRODUCT(('Final Calculation Sheet'!$E$4:$E$40=$AN$29)*($LY$6:$LY$42=1))&gt;0)</f>
        <v/>
      </c>
      <c r="MA29">
        <f>$MA$28+--($LZ29)</f>
        <v/>
      </c>
      <c r="MB29">
        <f>IF(ROW()-3&gt;MAX($MA$4:$MA$40),"",INDEX($AN$4:$AN$40,MATCH(ROW()-3,$MA$4:$MA$40,0)))</f>
        <v/>
      </c>
      <c r="MC29">
        <f>IF(COUNTIF('Buyer Groups'!DG29:DL29,0)+COUNTIF('Buyer Groups'!DN29:EN29,0)&gt;0,0,1)</f>
        <v/>
      </c>
      <c r="MD29">
        <f>IF($AS$29="",FALSE,SUMPRODUCT(('Final Calculation Sheet'!$C$4:$C$40=$AS$29)*($MC$6:$MC$42=1))&gt;0)</f>
        <v/>
      </c>
      <c r="ME29">
        <f>$ME$28+--($MD29)</f>
        <v/>
      </c>
      <c r="MF29">
        <f>IF(ROW()-3&gt;MAX($ME$4:$ME$40),"",INDEX($AS$4:$AS$40,MATCH(ROW()-3,$ME$4:$ME$40,0)))</f>
        <v/>
      </c>
      <c r="MG29">
        <f>IF(COUNTIF('Buyer Groups'!DG29:DM29,0)+COUNTIF('Buyer Groups'!DO29:EN29,0)&gt;0,0,1)</f>
        <v/>
      </c>
      <c r="MH29">
        <f>IF($AX$29="",FALSE,SUMPRODUCT(('Final Calculation Sheet'!$H$4:$H$40=$AX$29)*($MG$6:$MG$42=1))&gt;0)</f>
        <v/>
      </c>
      <c r="MI29">
        <f>$MI$28+--($MH29)</f>
        <v/>
      </c>
      <c r="MJ29">
        <f>IF(ROW()-3&gt;MAX($MI$4:$MI$40),"",INDEX($AX$4:$AX$40,MATCH(ROW()-3,$MI$4:$MI$40,0)))</f>
        <v/>
      </c>
      <c r="MK29">
        <f>IF(COUNTIF('Buyer Groups'!DG29:DN29,0)+COUNTIF('Buyer Groups'!DP29:EN29,0)&gt;0,0,1)</f>
        <v/>
      </c>
      <c r="ML29">
        <f>IF($BC$29="",FALSE,SUMPRODUCT(('Final Calculation Sheet'!$I$4:$I$40=$BC$29)*($MK$6:$MK$42=1))&gt;0)</f>
        <v/>
      </c>
      <c r="MM29">
        <f>$MM$28+--($ML29)</f>
        <v/>
      </c>
      <c r="MN29">
        <f>IF(ROW()-3&gt;MAX($MM$4:$MM$40),"",INDEX($BC$4:$BC$40,MATCH(ROW()-3,$MM$4:$MM$40,0)))</f>
        <v/>
      </c>
      <c r="MO29">
        <f>IF(COUNTIF('Buyer Groups'!DG29:DO29,0)+COUNTIF('Buyer Groups'!DQ29:EN29,0)&gt;0,0,1)</f>
        <v/>
      </c>
      <c r="MP29">
        <f>IF($BH$29="",FALSE,SUMPRODUCT(('Final Calculation Sheet'!$J$4:$J$40=$BH$29)*($MO$6:$MO$42=1))&gt;0)</f>
        <v/>
      </c>
      <c r="MQ29">
        <f>$MQ$28+--($MP29)</f>
        <v/>
      </c>
      <c r="MR29">
        <f>IF(ROW()-3&gt;MAX($MQ$4:$MQ$40),"",INDEX($BH$4:$BH$40,MATCH(ROW()-3,$MQ$4:$MQ$40,0)))</f>
        <v/>
      </c>
      <c r="MS29">
        <f>IF(COUNTIF('Buyer Groups'!DG29:DP29,0)+COUNTIF('Buyer Groups'!DR29:EN29,0)&gt;0,0,1)</f>
        <v/>
      </c>
      <c r="MT29">
        <f>IF($BM$29="",FALSE,SUMPRODUCT(('Final Calculation Sheet'!$K$4:$K$40=$BM$29)*($MS$6:$MS$42=1))&gt;0)</f>
        <v/>
      </c>
      <c r="MU29">
        <f>$MU$28+--($MT29)</f>
        <v/>
      </c>
      <c r="MV29">
        <f>IF(ROW()-3&gt;MAX($MU$4:$MU$40),"",INDEX($BM$4:$BM$40,MATCH(ROW()-3,$MU$4:$MU$40,0)))</f>
        <v/>
      </c>
      <c r="MW29">
        <f>IF(COUNTIF('Buyer Groups'!DG29:DQ29,0)+COUNTIF('Buyer Groups'!DS29:EN29,0)&gt;0,0,1)</f>
        <v/>
      </c>
      <c r="MX29">
        <f>IF($BR$29="",FALSE,SUMPRODUCT(('Final Calculation Sheet'!$L$4:$L$40=$BR$29)*($MW$6:$MW$42=1))&gt;0)</f>
        <v/>
      </c>
      <c r="MY29">
        <f>$MY$28+--($MX29)</f>
        <v/>
      </c>
      <c r="MZ29">
        <f>IF(ROW()-3&gt;MAX($MY$4:$MY$40),"",INDEX($BR$4:$BR$40,MATCH(ROW()-3,$MY$4:$MY$40,0)))</f>
        <v/>
      </c>
      <c r="NA29">
        <f>IF(COUNTIF('Buyer Groups'!DG29:DR29,0)+COUNTIF('Buyer Groups'!DT29:EN29,0)&gt;0,0,1)</f>
        <v/>
      </c>
      <c r="NB29">
        <f>IF($BW$29="",FALSE,SUMPRODUCT(('Final Calculation Sheet'!$M$4:$M$40=$BW$29)*($NA$6:$NA$42=1))&gt;0)</f>
        <v/>
      </c>
      <c r="NC29">
        <f>$NC$28+--($NB29)</f>
        <v/>
      </c>
      <c r="ND29">
        <f>IF(ROW()-3&gt;MAX($NC$4:$NC$40),"",INDEX($BW$4:$BW$40,MATCH(ROW()-3,$NC$4:$NC$40,0)))</f>
        <v/>
      </c>
      <c r="NE29">
        <f>IF(COUNTIF('Buyer Groups'!DG29:DS29,0)+COUNTIF('Buyer Groups'!DU29:EN29,0)&gt;0,0,1)</f>
        <v/>
      </c>
      <c r="NF29">
        <f>IF($CB$29="",FALSE,SUMPRODUCT(('Final Calculation Sheet'!$N$4:$N$40=$CB$29)*($NE$6:$NE$42=1))&gt;0)</f>
        <v/>
      </c>
      <c r="NG29">
        <f>$NG$28+--($NF29)</f>
        <v/>
      </c>
      <c r="NH29">
        <f>IF(ROW()-3&gt;MAX($NG$4:$NG$40),"",INDEX($CB$4:$CB$40,MATCH(ROW()-3,$NG$4:$NG$40,0)))</f>
        <v/>
      </c>
      <c r="NI29">
        <f>IF(COUNTIF('Buyer Groups'!DG29:DT29,0)+COUNTIF('Buyer Groups'!DV29:EN29,0)&gt;0,0,1)</f>
        <v/>
      </c>
      <c r="NJ29">
        <f>IF($CG$29="",FALSE,SUMPRODUCT(('Final Calculation Sheet'!$O$4:$O$40=$CG$29)*($NI$6:$NI$42=1))&gt;0)</f>
        <v/>
      </c>
      <c r="NK29">
        <f>$NK$28+--($NJ29)</f>
        <v/>
      </c>
      <c r="NL29">
        <f>IF(ROW()-3&gt;MAX($NK$4:$NK$40),"",INDEX($CG$4:$CG$40,MATCH(ROW()-3,$NK$4:$NK$40,0)))</f>
        <v/>
      </c>
      <c r="NM29">
        <f>IF(COUNTIF('Buyer Groups'!DG29:DU29,0)+COUNTIF('Buyer Groups'!DW29:EN29,0)&gt;0,0,1)</f>
        <v/>
      </c>
      <c r="NN29">
        <f>IF($CL$29="",FALSE,SUMPRODUCT(('Final Calculation Sheet'!$P$4:$P$40=$CL$29)*($NM$6:$NM$42=1))&gt;0)</f>
        <v/>
      </c>
      <c r="NO29">
        <f>$NO$28+--($NN29)</f>
        <v/>
      </c>
      <c r="NP29">
        <f>IF(ROW()-3&gt;MAX($NO$4:$NO$40),"",INDEX($CL$4:$CL$40,MATCH(ROW()-3,$NO$4:$NO$40,0)))</f>
        <v/>
      </c>
      <c r="NQ29">
        <f>IF(COUNTIF('Buyer Groups'!DG29:DV29,0)+COUNTIF('Buyer Groups'!DX29:EN29,0)&gt;0,0,1)</f>
        <v/>
      </c>
      <c r="NR29">
        <f>IF($CQ$29="",FALSE,SUMPRODUCT(('Final Calculation Sheet'!$Q$4:$Q$40=$CQ$29)*($NQ$6:$NQ$42=1))&gt;0)</f>
        <v/>
      </c>
      <c r="NS29">
        <f>$NS$28+--($NR29)</f>
        <v/>
      </c>
      <c r="NT29">
        <f>IF(ROW()-3&gt;MAX($NS$4:$NS$40),"",INDEX($CQ$4:$CQ$40,MATCH(ROW()-3,$NS$4:$NS$40,0)))</f>
        <v/>
      </c>
      <c r="NU29">
        <f>IF(COUNTIF('Buyer Groups'!DG29:DW29,0)+COUNTIF('Buyer Groups'!DY29:EN29,0)&gt;0,0,1)</f>
        <v/>
      </c>
      <c r="NV29">
        <f>IF($CV$29="",FALSE,SUMPRODUCT(('Final Calculation Sheet'!$R$4:$R$40=$CV$29)*($NU$6:$NU$42=1))&gt;0)</f>
        <v/>
      </c>
      <c r="NW29">
        <f>$NW$28+--($NV29)</f>
        <v/>
      </c>
      <c r="NX29">
        <f>IF(ROW()-3&gt;MAX($NW$4:$NW$40),"",INDEX($CV$4:$CV$40,MATCH(ROW()-3,$NW$4:$NW$40,0)))</f>
        <v/>
      </c>
      <c r="NY29">
        <f>IF(COUNTIF('Buyer Groups'!DG29:DX29,0)+COUNTIF('Buyer Groups'!DZ29:EN29,0)&gt;0,0,1)</f>
        <v/>
      </c>
      <c r="NZ29">
        <f>IF($DA$29="",FALSE,SUMPRODUCT(('Final Calculation Sheet'!$S$4:$S$40=$DA$29)*($NY$6:$NY$42=1))&gt;0)</f>
        <v/>
      </c>
      <c r="OA29">
        <f>$OA$28+--($NZ29)</f>
        <v/>
      </c>
      <c r="OB29">
        <f>IF(ROW()-3&gt;MAX($OA$4:$OA$40),"",INDEX($DA$4:$DA$40,MATCH(ROW()-3,$OA$4:$OA$40,0)))</f>
        <v/>
      </c>
      <c r="OC29">
        <f>IF(COUNTIF('Buyer Groups'!DG29:DY29,0)+COUNTIF('Buyer Groups'!EA29:EN29,0)&gt;0,0,1)</f>
        <v/>
      </c>
      <c r="OD29">
        <f>IF($DF$29="",FALSE,SUMPRODUCT(('Final Calculation Sheet'!$T$4:$T$40=$DF$29)*($OC$6:$OC$42=1))&gt;0)</f>
        <v/>
      </c>
      <c r="OE29">
        <f>$OE$28+--($OD29)</f>
        <v/>
      </c>
      <c r="OF29">
        <f>IF(ROW()-3&gt;MAX($OE$4:$OE$40),"",INDEX($DF$4:$DF$40,MATCH(ROW()-3,$OE$4:$OE$40,0)))</f>
        <v/>
      </c>
      <c r="OG29">
        <f>IF(COUNTIF('Buyer Groups'!DG29:DZ29,0)+COUNTIF('Buyer Groups'!EB29:EN29,0)&gt;0,0,1)</f>
        <v/>
      </c>
      <c r="OH29">
        <f>IF($DK$29="",FALSE,SUMPRODUCT(('Final Calculation Sheet'!$U$4:$U$40=$DK$29)*($OG$6:$OG$42=1))&gt;0)</f>
        <v/>
      </c>
      <c r="OI29">
        <f>$OI$28+--($OH29)</f>
        <v/>
      </c>
      <c r="OJ29">
        <f>IF(ROW()-3&gt;MAX($OI$4:$OI$40),"",INDEX($DK$4:$DK$40,MATCH(ROW()-3,$OI$4:$OI$40,0)))</f>
        <v/>
      </c>
      <c r="OK29">
        <f>IF(COUNTIF('Buyer Groups'!DG29:EA29,0)+COUNTIF('Buyer Groups'!EC29:EN29,0)&gt;0,0,1)</f>
        <v/>
      </c>
      <c r="OL29">
        <f>IF($DP$29="",FALSE,SUMPRODUCT(('Final Calculation Sheet'!$V$4:$V$40=$DP$29)*($OK$6:$OK$42=1))&gt;0)</f>
        <v/>
      </c>
      <c r="OM29">
        <f>$OM$28+--($OL29)</f>
        <v/>
      </c>
      <c r="ON29">
        <f>IF(ROW()-3&gt;MAX($OM$4:$OM$40),"",INDEX($DP$4:$DP$40,MATCH(ROW()-3,$OM$4:$OM$40,0)))</f>
        <v/>
      </c>
      <c r="OO29">
        <f>IF(COUNTIF('Buyer Groups'!DG29:EB29,0)+COUNTIF('Buyer Groups'!ED29:EN29,0)&gt;0,0,1)</f>
        <v/>
      </c>
      <c r="OP29">
        <f>IF($DU$29="",FALSE,SUMPRODUCT(('Final Calculation Sheet'!$W$4:$W$40=$DU$29)*($OO$6:$OO$42=1))&gt;0)</f>
        <v/>
      </c>
      <c r="OQ29">
        <f>$OQ$28+--($OP29)</f>
        <v/>
      </c>
      <c r="OR29">
        <f>IF(ROW()-3&gt;MAX($OQ$4:$OQ$40),"",INDEX($DU$4:$DU$40,MATCH(ROW()-3,$OQ$4:$OQ$40,0)))</f>
        <v/>
      </c>
      <c r="OS29">
        <f>IF(COUNTIF('Buyer Groups'!DG29:EC29,0)+COUNTIF('Buyer Groups'!EE29:EN29,0)&gt;0,0,1)</f>
        <v/>
      </c>
      <c r="OT29">
        <f>IF($DZ$29="",FALSE,SUMPRODUCT(('Final Calculation Sheet'!$X$4:$X$40=$DZ$29)*($OS$6:$OS$42=1))&gt;0)</f>
        <v/>
      </c>
      <c r="OU29">
        <f>$OU$28+--($OT29)</f>
        <v/>
      </c>
      <c r="OV29">
        <f>IF(ROW()-3&gt;MAX($OU$4:$OU$40),"",INDEX($DZ$4:$DZ$40,MATCH(ROW()-3,$OU$4:$OU$40,0)))</f>
        <v/>
      </c>
      <c r="OW29">
        <f>IF(COUNTIF('Buyer Groups'!DG29:ED29,0)+COUNTIF('Buyer Groups'!EF29:EN29,0)&gt;0,0,1)</f>
        <v/>
      </c>
      <c r="OX29">
        <f>IF($EE$29="",FALSE,SUMPRODUCT(('Final Calculation Sheet'!$Y$4:$Y$40=$EE$29)*($OW$6:$OW$42=1))&gt;0)</f>
        <v/>
      </c>
      <c r="OY29">
        <f>$OY$28+--($OX29)</f>
        <v/>
      </c>
      <c r="OZ29">
        <f>IF(ROW()-3&gt;MAX($OY$4:$OY$40),"",INDEX($EE$4:$EE$40,MATCH(ROW()-3,$OY$4:$OY$40,0)))</f>
        <v/>
      </c>
      <c r="PA29">
        <f>IF(COUNTIF('Buyer Groups'!DG29:EE29,0)+COUNTIF('Buyer Groups'!EG29:EN29,0)&gt;0,0,1)</f>
        <v/>
      </c>
      <c r="PB29">
        <f>IF($EJ$29="",FALSE,SUMPRODUCT(('Final Calculation Sheet'!$Z$4:$Z$40=$EJ$29)*($PA$6:$PA$42=1))&gt;0)</f>
        <v/>
      </c>
      <c r="PC29">
        <f>$PC$28+--($PB29)</f>
        <v/>
      </c>
      <c r="PD29">
        <f>IF(ROW()-3&gt;MAX($PC$4:$PC$40),"",INDEX($EJ$4:$EJ$40,MATCH(ROW()-3,$PC$4:$PC$40,0)))</f>
        <v/>
      </c>
      <c r="PE29">
        <f>IF(COUNTIF('Buyer Groups'!DG29:EF29,0)+COUNTIF('Buyer Groups'!EH29:EN29,0)&gt;0,0,1)</f>
        <v/>
      </c>
      <c r="PF29">
        <f>IF($EO$29="",FALSE,SUMPRODUCT(('Final Calculation Sheet'!$AA$4:$AA$40=$EO$29)*($PE$6:$PE$42=1))&gt;0)</f>
        <v/>
      </c>
      <c r="PG29">
        <f>$PG$28+--($PF29)</f>
        <v/>
      </c>
      <c r="PH29">
        <f>IF(ROW()-3&gt;MAX($PG$4:$PG$40),"",INDEX($EO$4:$EO$40,MATCH(ROW()-3,$PG$4:$PG$40,0)))</f>
        <v/>
      </c>
      <c r="PI29">
        <f>IF(COUNTIF('Buyer Groups'!DG29:EG29,0)+COUNTIF('Buyer Groups'!EI29:EN29,0)&gt;0,0,1)</f>
        <v/>
      </c>
      <c r="PJ29">
        <f>IF($ET$29="",FALSE,SUMPRODUCT(('Final Calculation Sheet'!$AB$4:$AB$40=$ET$29)*($PI$6:$PI$42=1))&gt;0)</f>
        <v/>
      </c>
      <c r="PK29">
        <f>$PK$28+--($PJ29)</f>
        <v/>
      </c>
      <c r="PL29">
        <f>IF(ROW()-3&gt;MAX($PK$4:$PK$40),"",INDEX($ET$4:$ET$40,MATCH(ROW()-3,$PK$4:$PK$40,0)))</f>
        <v/>
      </c>
      <c r="PM29">
        <f>IF(COUNTIF('Buyer Groups'!DG29:EH29,0)+COUNTIF('Buyer Groups'!EJ29:EN29,0)&gt;0,0,1)</f>
        <v/>
      </c>
      <c r="PN29">
        <f>IF($EY$29="",FALSE,SUMPRODUCT(('Final Calculation Sheet'!$AC$4:$AC$40=$EY$29)*($PM$6:$PM$42=1))&gt;0)</f>
        <v/>
      </c>
      <c r="PO29">
        <f>$PO$28+--($PN29)</f>
        <v/>
      </c>
      <c r="PP29">
        <f>IF(ROW()-3&gt;MAX($PO$4:$PO$40),"",INDEX($EY$4:$EY$40,MATCH(ROW()-3,$PO$4:$PO$40,0)))</f>
        <v/>
      </c>
      <c r="PQ29">
        <f>IF(COUNTIF('Buyer Groups'!DG29:EI29,0)+COUNTIF('Buyer Groups'!EK29:EN29,0)&gt;0,0,1)</f>
        <v/>
      </c>
      <c r="PR29">
        <f>IF($FD$29="",FALSE,SUMPRODUCT(('Final Calculation Sheet'!$AD$4:$AD$40=$FD$29)*($PQ$6:$PQ$42=1))&gt;0)</f>
        <v/>
      </c>
      <c r="PS29">
        <f>$PS$28+--($PR29)</f>
        <v/>
      </c>
      <c r="PT29">
        <f>IF(ROW()-3&gt;MAX($PS$4:$PS$40),"",INDEX($FD$4:$FD$40,MATCH(ROW()-3,$PS$4:$PS$40,0)))</f>
        <v/>
      </c>
      <c r="PU29">
        <f>IF(COUNTIF('Buyer Groups'!DG29:EJ29,0)+COUNTIF('Buyer Groups'!EL29:EN29,0)&gt;0,0,1)</f>
        <v/>
      </c>
      <c r="PV29">
        <f>IF($FX$29="",FALSE,SUMPRODUCT((IF('Final Calculation Sheet'!$AD$4:$AD$40&lt;=5,"SETTLED","OUTSTANDING")=$FX$29)*($PU$6:$PU$42=1))&gt;0)</f>
        <v/>
      </c>
      <c r="PW29">
        <f>$PW$28+--($PV29)</f>
        <v/>
      </c>
      <c r="PX29">
        <f>IF(ROW()-3&gt;MAX($PW$4:$PW$40),"",INDEX($FX$4:$FX$40,MATCH(ROW()-3,$PW$4:$PW$40,0)))</f>
        <v/>
      </c>
      <c r="PY29">
        <f>IF(COUNTIF('Buyer Groups'!DG29:EK29,0)+COUNTIF('Buyer Groups'!EM29:EN29,0)&gt;0,0,1)</f>
        <v/>
      </c>
      <c r="PZ29">
        <f>IF($FI$29="",FALSE,SUMPRODUCT(('Final Calculation Sheet'!$AF$4:$AF$40=$FI$29)*($PY$6:$PY$42=1))&gt;0)</f>
        <v/>
      </c>
      <c r="QA29">
        <f>$QA$28+--($PZ29)</f>
        <v/>
      </c>
      <c r="QB29">
        <f>IF(ROW()-3&gt;MAX($QA$4:$QA$40),"",INDEX($FI$4:$FI$40,MATCH(ROW()-3,$QA$4:$QA$40,0)))</f>
        <v/>
      </c>
      <c r="QC29">
        <f>IF(COUNTIF('Buyer Groups'!DG29:EL29,0)+COUNTIF('Buyer Groups'!EN29:EN29,0)&gt;0,0,1)</f>
        <v/>
      </c>
      <c r="QD29">
        <f>IF($FN$29="",FALSE,SUMPRODUCT(('Final Calculation Sheet'!$AG$4:$AG$40=$FN$29)*($QC$6:$QC$42=1))&gt;0)</f>
        <v/>
      </c>
      <c r="QE29">
        <f>$QE$28+--($QD29)</f>
        <v/>
      </c>
      <c r="QF29">
        <f>IF(ROW()-3&gt;MAX($QE$4:$QE$40),"",INDEX($FN$4:$FN$40,MATCH(ROW()-3,$QE$4:$QE$40,0)))</f>
        <v/>
      </c>
      <c r="QG29">
        <f>IF(COUNTIF('Buyer Groups'!DG29:EM29,0)&gt;0,0,1)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Groups'!DH30:EN30,0)&gt;0,0,1)</f>
        <v/>
      </c>
      <c r="LF30">
        <f>IF($O$30="",FALSE,SUMPRODUCT(('Final Calculation Sheet'!$F$4:$F$40=$O$30)*($LE$6:$LE$42=1))&gt;0)</f>
        <v/>
      </c>
      <c r="LG30">
        <f>$LG$29+--($LF30)</f>
        <v/>
      </c>
      <c r="LH30">
        <f>IF(ROW()-3&gt;MAX($LG$4:$LG$40),"",INDEX($O$4:$O$40,MATCH(ROW()-3,$LG$4:$LG$40,0)))</f>
        <v/>
      </c>
      <c r="LI30">
        <f>IF(COUNTIF('Buyer Groups'!DG30:DG30,0)+COUNTIF('Buyer Groups'!DI30:EN30,0)&gt;0,0,1)</f>
        <v/>
      </c>
      <c r="LJ30">
        <f>IF($T$30="",FALSE,SUMPRODUCT(('Final Calculation Sheet'!$G$4:$G$40=$T$30)*($LI$6:$LI$42=1))&gt;0)</f>
        <v/>
      </c>
      <c r="LK30">
        <f>$LK$29+--($LJ30)</f>
        <v/>
      </c>
      <c r="LL30">
        <f>IF(ROW()-3&gt;MAX($LK$4:$LK$40),"",INDEX($T$4:$T$40,MATCH(ROW()-3,$LK$4:$LK$40,0)))</f>
        <v/>
      </c>
      <c r="LM30">
        <f>IF(COUNTIF('Buyer Groups'!DG30:DH30,0)+COUNTIF('Buyer Groups'!DJ30:EN30,0)&gt;0,0,1)</f>
        <v/>
      </c>
      <c r="LN30">
        <f>IF($Y$30="",FALSE,SUMPRODUCT(('Final Calculation Sheet'!$B$4:$B$40=$Y$30)*($LM$6:$LM$42=1))&gt;0)</f>
        <v/>
      </c>
      <c r="LO30">
        <f>$LO$29+--($LN30)</f>
        <v/>
      </c>
      <c r="LP30">
        <f>IF(ROW()-3&gt;MAX($LO$4:$LO$40),"",INDEX($Y$4:$Y$40,MATCH(ROW()-3,$LO$4:$LO$40,0)))</f>
        <v/>
      </c>
      <c r="LQ30">
        <f>IF(COUNTIF('Buyer Groups'!DG30:DI30,0)+COUNTIF('Buyer Groups'!DK30:EN30,0)&gt;0,0,1)</f>
        <v/>
      </c>
      <c r="LR30">
        <f>IF($AD$30="",FALSE,SUMPRODUCT(('Final Calculation Sheet'!$D$4:$D$40=$AD$30)*($LQ$6:$LQ$42=1))&gt;0)</f>
        <v/>
      </c>
      <c r="LS30">
        <f>$LS$29+--($LR30)</f>
        <v/>
      </c>
      <c r="LT30">
        <f>IF(ROW()-3&gt;MAX($LS$4:$LS$40),"",INDEX($AD$4:$AD$40,MATCH(ROW()-3,$LS$4:$LS$40,0)))</f>
        <v/>
      </c>
      <c r="LU30">
        <f>IF(COUNTIF('Buyer Groups'!DG30:DJ30,0)+COUNTIF('Buyer Groups'!DL30:EN30,0)&gt;0,0,1)</f>
        <v/>
      </c>
      <c r="LV30">
        <f>IF($AI$30="",FALSE,SUMPRODUCT(('Final Calculation Sheet'!$A$4:$A$40=$AI$30)*($LU$6:$LU$42=1))&gt;0)</f>
        <v/>
      </c>
      <c r="LW30">
        <f>$LW$29+--($LV30)</f>
        <v/>
      </c>
      <c r="LX30">
        <f>IF(ROW()-3&gt;MAX($LW$4:$LW$40),"",INDEX($AI$4:$AI$40,MATCH(ROW()-3,$LW$4:$LW$40,0)))</f>
        <v/>
      </c>
      <c r="LY30">
        <f>IF(COUNTIF('Buyer Groups'!DG30:DK30,0)+COUNTIF('Buyer Groups'!DM30:EN30,0)&gt;0,0,1)</f>
        <v/>
      </c>
      <c r="LZ30">
        <f>IF($AN$30="",FALSE,SUMPRODUCT(('Final Calculation Sheet'!$E$4:$E$40=$AN$30)*($LY$6:$LY$42=1))&gt;0)</f>
        <v/>
      </c>
      <c r="MA30">
        <f>$MA$29+--($LZ30)</f>
        <v/>
      </c>
      <c r="MB30">
        <f>IF(ROW()-3&gt;MAX($MA$4:$MA$40),"",INDEX($AN$4:$AN$40,MATCH(ROW()-3,$MA$4:$MA$40,0)))</f>
        <v/>
      </c>
      <c r="MC30">
        <f>IF(COUNTIF('Buyer Groups'!DG30:DL30,0)+COUNTIF('Buyer Groups'!DN30:EN30,0)&gt;0,0,1)</f>
        <v/>
      </c>
      <c r="MD30">
        <f>IF($AS$30="",FALSE,SUMPRODUCT(('Final Calculation Sheet'!$C$4:$C$40=$AS$30)*($MC$6:$MC$42=1))&gt;0)</f>
        <v/>
      </c>
      <c r="ME30">
        <f>$ME$29+--($MD30)</f>
        <v/>
      </c>
      <c r="MF30">
        <f>IF(ROW()-3&gt;MAX($ME$4:$ME$40),"",INDEX($AS$4:$AS$40,MATCH(ROW()-3,$ME$4:$ME$40,0)))</f>
        <v/>
      </c>
      <c r="MG30">
        <f>IF(COUNTIF('Buyer Groups'!DG30:DM30,0)+COUNTIF('Buyer Groups'!DO30:EN30,0)&gt;0,0,1)</f>
        <v/>
      </c>
      <c r="MH30">
        <f>IF($AX$30="",FALSE,SUMPRODUCT(('Final Calculation Sheet'!$H$4:$H$40=$AX$30)*($MG$6:$MG$42=1))&gt;0)</f>
        <v/>
      </c>
      <c r="MI30">
        <f>$MI$29+--($MH30)</f>
        <v/>
      </c>
      <c r="MJ30">
        <f>IF(ROW()-3&gt;MAX($MI$4:$MI$40),"",INDEX($AX$4:$AX$40,MATCH(ROW()-3,$MI$4:$MI$40,0)))</f>
        <v/>
      </c>
      <c r="MK30">
        <f>IF(COUNTIF('Buyer Groups'!DG30:DN30,0)+COUNTIF('Buyer Groups'!DP30:EN30,0)&gt;0,0,1)</f>
        <v/>
      </c>
      <c r="ML30">
        <f>IF($BC$30="",FALSE,SUMPRODUCT(('Final Calculation Sheet'!$I$4:$I$40=$BC$30)*($MK$6:$MK$42=1))&gt;0)</f>
        <v/>
      </c>
      <c r="MM30">
        <f>$MM$29+--($ML30)</f>
        <v/>
      </c>
      <c r="MN30">
        <f>IF(ROW()-3&gt;MAX($MM$4:$MM$40),"",INDEX($BC$4:$BC$40,MATCH(ROW()-3,$MM$4:$MM$40,0)))</f>
        <v/>
      </c>
      <c r="MO30">
        <f>IF(COUNTIF('Buyer Groups'!DG30:DO30,0)+COUNTIF('Buyer Groups'!DQ30:EN30,0)&gt;0,0,1)</f>
        <v/>
      </c>
      <c r="MP30">
        <f>IF($BH$30="",FALSE,SUMPRODUCT(('Final Calculation Sheet'!$J$4:$J$40=$BH$30)*($MO$6:$MO$42=1))&gt;0)</f>
        <v/>
      </c>
      <c r="MQ30">
        <f>$MQ$29+--($MP30)</f>
        <v/>
      </c>
      <c r="MR30">
        <f>IF(ROW()-3&gt;MAX($MQ$4:$MQ$40),"",INDEX($BH$4:$BH$40,MATCH(ROW()-3,$MQ$4:$MQ$40,0)))</f>
        <v/>
      </c>
      <c r="MS30">
        <f>IF(COUNTIF('Buyer Groups'!DG30:DP30,0)+COUNTIF('Buyer Groups'!DR30:EN30,0)&gt;0,0,1)</f>
        <v/>
      </c>
      <c r="MT30">
        <f>IF($BM$30="",FALSE,SUMPRODUCT(('Final Calculation Sheet'!$K$4:$K$40=$BM$30)*($MS$6:$MS$42=1))&gt;0)</f>
        <v/>
      </c>
      <c r="MU30">
        <f>$MU$29+--($MT30)</f>
        <v/>
      </c>
      <c r="MV30">
        <f>IF(ROW()-3&gt;MAX($MU$4:$MU$40),"",INDEX($BM$4:$BM$40,MATCH(ROW()-3,$MU$4:$MU$40,0)))</f>
        <v/>
      </c>
      <c r="MW30">
        <f>IF(COUNTIF('Buyer Groups'!DG30:DQ30,0)+COUNTIF('Buyer Groups'!DS30:EN30,0)&gt;0,0,1)</f>
        <v/>
      </c>
      <c r="MX30">
        <f>IF($BR$30="",FALSE,SUMPRODUCT(('Final Calculation Sheet'!$L$4:$L$40=$BR$30)*($MW$6:$MW$42=1))&gt;0)</f>
        <v/>
      </c>
      <c r="MY30">
        <f>$MY$29+--($MX30)</f>
        <v/>
      </c>
      <c r="MZ30">
        <f>IF(ROW()-3&gt;MAX($MY$4:$MY$40),"",INDEX($BR$4:$BR$40,MATCH(ROW()-3,$MY$4:$MY$40,0)))</f>
        <v/>
      </c>
      <c r="NA30">
        <f>IF(COUNTIF('Buyer Groups'!DG30:DR30,0)+COUNTIF('Buyer Groups'!DT30:EN30,0)&gt;0,0,1)</f>
        <v/>
      </c>
      <c r="NB30">
        <f>IF($BW$30="",FALSE,SUMPRODUCT(('Final Calculation Sheet'!$M$4:$M$40=$BW$30)*($NA$6:$NA$42=1))&gt;0)</f>
        <v/>
      </c>
      <c r="NC30">
        <f>$NC$29+--($NB30)</f>
        <v/>
      </c>
      <c r="ND30">
        <f>IF(ROW()-3&gt;MAX($NC$4:$NC$40),"",INDEX($BW$4:$BW$40,MATCH(ROW()-3,$NC$4:$NC$40,0)))</f>
        <v/>
      </c>
      <c r="NE30">
        <f>IF(COUNTIF('Buyer Groups'!DG30:DS30,0)+COUNTIF('Buyer Groups'!DU30:EN30,0)&gt;0,0,1)</f>
        <v/>
      </c>
      <c r="NF30">
        <f>IF($CB$30="",FALSE,SUMPRODUCT(('Final Calculation Sheet'!$N$4:$N$40=$CB$30)*($NE$6:$NE$42=1))&gt;0)</f>
        <v/>
      </c>
      <c r="NG30">
        <f>$NG$29+--($NF30)</f>
        <v/>
      </c>
      <c r="NH30">
        <f>IF(ROW()-3&gt;MAX($NG$4:$NG$40),"",INDEX($CB$4:$CB$40,MATCH(ROW()-3,$NG$4:$NG$40,0)))</f>
        <v/>
      </c>
      <c r="NI30">
        <f>IF(COUNTIF('Buyer Groups'!DG30:DT30,0)+COUNTIF('Buyer Groups'!DV30:EN30,0)&gt;0,0,1)</f>
        <v/>
      </c>
      <c r="NJ30">
        <f>IF($CG$30="",FALSE,SUMPRODUCT(('Final Calculation Sheet'!$O$4:$O$40=$CG$30)*($NI$6:$NI$42=1))&gt;0)</f>
        <v/>
      </c>
      <c r="NK30">
        <f>$NK$29+--($NJ30)</f>
        <v/>
      </c>
      <c r="NL30">
        <f>IF(ROW()-3&gt;MAX($NK$4:$NK$40),"",INDEX($CG$4:$CG$40,MATCH(ROW()-3,$NK$4:$NK$40,0)))</f>
        <v/>
      </c>
      <c r="NM30">
        <f>IF(COUNTIF('Buyer Groups'!DG30:DU30,0)+COUNTIF('Buyer Groups'!DW30:EN30,0)&gt;0,0,1)</f>
        <v/>
      </c>
      <c r="NN30">
        <f>IF($CL$30="",FALSE,SUMPRODUCT(('Final Calculation Sheet'!$P$4:$P$40=$CL$30)*($NM$6:$NM$42=1))&gt;0)</f>
        <v/>
      </c>
      <c r="NO30">
        <f>$NO$29+--($NN30)</f>
        <v/>
      </c>
      <c r="NP30">
        <f>IF(ROW()-3&gt;MAX($NO$4:$NO$40),"",INDEX($CL$4:$CL$40,MATCH(ROW()-3,$NO$4:$NO$40,0)))</f>
        <v/>
      </c>
      <c r="NQ30">
        <f>IF(COUNTIF('Buyer Groups'!DG30:DV30,0)+COUNTIF('Buyer Groups'!DX30:EN30,0)&gt;0,0,1)</f>
        <v/>
      </c>
      <c r="NR30">
        <f>IF($CQ$30="",FALSE,SUMPRODUCT(('Final Calculation Sheet'!$Q$4:$Q$40=$CQ$30)*($NQ$6:$NQ$42=1))&gt;0)</f>
        <v/>
      </c>
      <c r="NS30">
        <f>$NS$29+--($NR30)</f>
        <v/>
      </c>
      <c r="NT30">
        <f>IF(ROW()-3&gt;MAX($NS$4:$NS$40),"",INDEX($CQ$4:$CQ$40,MATCH(ROW()-3,$NS$4:$NS$40,0)))</f>
        <v/>
      </c>
      <c r="NU30">
        <f>IF(COUNTIF('Buyer Groups'!DG30:DW30,0)+COUNTIF('Buyer Groups'!DY30:EN30,0)&gt;0,0,1)</f>
        <v/>
      </c>
      <c r="NV30">
        <f>IF($CV$30="",FALSE,SUMPRODUCT(('Final Calculation Sheet'!$R$4:$R$40=$CV$30)*($NU$6:$NU$42=1))&gt;0)</f>
        <v/>
      </c>
      <c r="NW30">
        <f>$NW$29+--($NV30)</f>
        <v/>
      </c>
      <c r="NX30">
        <f>IF(ROW()-3&gt;MAX($NW$4:$NW$40),"",INDEX($CV$4:$CV$40,MATCH(ROW()-3,$NW$4:$NW$40,0)))</f>
        <v/>
      </c>
      <c r="NY30">
        <f>IF(COUNTIF('Buyer Groups'!DG30:DX30,0)+COUNTIF('Buyer Groups'!DZ30:EN30,0)&gt;0,0,1)</f>
        <v/>
      </c>
      <c r="NZ30">
        <f>IF($DA$30="",FALSE,SUMPRODUCT(('Final Calculation Sheet'!$S$4:$S$40=$DA$30)*($NY$6:$NY$42=1))&gt;0)</f>
        <v/>
      </c>
      <c r="OA30">
        <f>$OA$29+--($NZ30)</f>
        <v/>
      </c>
      <c r="OB30">
        <f>IF(ROW()-3&gt;MAX($OA$4:$OA$40),"",INDEX($DA$4:$DA$40,MATCH(ROW()-3,$OA$4:$OA$40,0)))</f>
        <v/>
      </c>
      <c r="OC30">
        <f>IF(COUNTIF('Buyer Groups'!DG30:DY30,0)+COUNTIF('Buyer Groups'!EA30:EN30,0)&gt;0,0,1)</f>
        <v/>
      </c>
      <c r="OD30">
        <f>IF($DF$30="",FALSE,SUMPRODUCT(('Final Calculation Sheet'!$T$4:$T$40=$DF$30)*($OC$6:$OC$42=1))&gt;0)</f>
        <v/>
      </c>
      <c r="OE30">
        <f>$OE$29+--($OD30)</f>
        <v/>
      </c>
      <c r="OF30">
        <f>IF(ROW()-3&gt;MAX($OE$4:$OE$40),"",INDEX($DF$4:$DF$40,MATCH(ROW()-3,$OE$4:$OE$40,0)))</f>
        <v/>
      </c>
      <c r="OG30">
        <f>IF(COUNTIF('Buyer Groups'!DG30:DZ30,0)+COUNTIF('Buyer Groups'!EB30:EN30,0)&gt;0,0,1)</f>
        <v/>
      </c>
      <c r="OH30">
        <f>IF($DK$30="",FALSE,SUMPRODUCT(('Final Calculation Sheet'!$U$4:$U$40=$DK$30)*($OG$6:$OG$42=1))&gt;0)</f>
        <v/>
      </c>
      <c r="OI30">
        <f>$OI$29+--($OH30)</f>
        <v/>
      </c>
      <c r="OJ30">
        <f>IF(ROW()-3&gt;MAX($OI$4:$OI$40),"",INDEX($DK$4:$DK$40,MATCH(ROW()-3,$OI$4:$OI$40,0)))</f>
        <v/>
      </c>
      <c r="OK30">
        <f>IF(COUNTIF('Buyer Groups'!DG30:EA30,0)+COUNTIF('Buyer Groups'!EC30:EN30,0)&gt;0,0,1)</f>
        <v/>
      </c>
      <c r="OL30">
        <f>IF($DP$30="",FALSE,SUMPRODUCT(('Final Calculation Sheet'!$V$4:$V$40=$DP$30)*($OK$6:$OK$42=1))&gt;0)</f>
        <v/>
      </c>
      <c r="OM30">
        <f>$OM$29+--($OL30)</f>
        <v/>
      </c>
      <c r="ON30">
        <f>IF(ROW()-3&gt;MAX($OM$4:$OM$40),"",INDEX($DP$4:$DP$40,MATCH(ROW()-3,$OM$4:$OM$40,0)))</f>
        <v/>
      </c>
      <c r="OO30">
        <f>IF(COUNTIF('Buyer Groups'!DG30:EB30,0)+COUNTIF('Buyer Groups'!ED30:EN30,0)&gt;0,0,1)</f>
        <v/>
      </c>
      <c r="OP30">
        <f>IF($DU$30="",FALSE,SUMPRODUCT(('Final Calculation Sheet'!$W$4:$W$40=$DU$30)*($OO$6:$OO$42=1))&gt;0)</f>
        <v/>
      </c>
      <c r="OQ30">
        <f>$OQ$29+--($OP30)</f>
        <v/>
      </c>
      <c r="OR30">
        <f>IF(ROW()-3&gt;MAX($OQ$4:$OQ$40),"",INDEX($DU$4:$DU$40,MATCH(ROW()-3,$OQ$4:$OQ$40,0)))</f>
        <v/>
      </c>
      <c r="OS30">
        <f>IF(COUNTIF('Buyer Groups'!DG30:EC30,0)+COUNTIF('Buyer Groups'!EE30:EN30,0)&gt;0,0,1)</f>
        <v/>
      </c>
      <c r="OT30">
        <f>IF($DZ$30="",FALSE,SUMPRODUCT(('Final Calculation Sheet'!$X$4:$X$40=$DZ$30)*($OS$6:$OS$42=1))&gt;0)</f>
        <v/>
      </c>
      <c r="OU30">
        <f>$OU$29+--($OT30)</f>
        <v/>
      </c>
      <c r="OV30">
        <f>IF(ROW()-3&gt;MAX($OU$4:$OU$40),"",INDEX($DZ$4:$DZ$40,MATCH(ROW()-3,$OU$4:$OU$40,0)))</f>
        <v/>
      </c>
      <c r="OW30">
        <f>IF(COUNTIF('Buyer Groups'!DG30:ED30,0)+COUNTIF('Buyer Groups'!EF30:EN30,0)&gt;0,0,1)</f>
        <v/>
      </c>
      <c r="OX30">
        <f>IF($EE$30="",FALSE,SUMPRODUCT(('Final Calculation Sheet'!$Y$4:$Y$40=$EE$30)*($OW$6:$OW$42=1))&gt;0)</f>
        <v/>
      </c>
      <c r="OY30">
        <f>$OY$29+--($OX30)</f>
        <v/>
      </c>
      <c r="OZ30">
        <f>IF(ROW()-3&gt;MAX($OY$4:$OY$40),"",INDEX($EE$4:$EE$40,MATCH(ROW()-3,$OY$4:$OY$40,0)))</f>
        <v/>
      </c>
      <c r="PA30">
        <f>IF(COUNTIF('Buyer Groups'!DG30:EE30,0)+COUNTIF('Buyer Groups'!EG30:EN30,0)&gt;0,0,1)</f>
        <v/>
      </c>
      <c r="PB30">
        <f>IF($EJ$30="",FALSE,SUMPRODUCT(('Final Calculation Sheet'!$Z$4:$Z$40=$EJ$30)*($PA$6:$PA$42=1))&gt;0)</f>
        <v/>
      </c>
      <c r="PC30">
        <f>$PC$29+--($PB30)</f>
        <v/>
      </c>
      <c r="PD30">
        <f>IF(ROW()-3&gt;MAX($PC$4:$PC$40),"",INDEX($EJ$4:$EJ$40,MATCH(ROW()-3,$PC$4:$PC$40,0)))</f>
        <v/>
      </c>
      <c r="PE30">
        <f>IF(COUNTIF('Buyer Groups'!DG30:EF30,0)+COUNTIF('Buyer Groups'!EH30:EN30,0)&gt;0,0,1)</f>
        <v/>
      </c>
      <c r="PF30">
        <f>IF($EO$30="",FALSE,SUMPRODUCT(('Final Calculation Sheet'!$AA$4:$AA$40=$EO$30)*($PE$6:$PE$42=1))&gt;0)</f>
        <v/>
      </c>
      <c r="PG30">
        <f>$PG$29+--($PF30)</f>
        <v/>
      </c>
      <c r="PH30">
        <f>IF(ROW()-3&gt;MAX($PG$4:$PG$40),"",INDEX($EO$4:$EO$40,MATCH(ROW()-3,$PG$4:$PG$40,0)))</f>
        <v/>
      </c>
      <c r="PI30">
        <f>IF(COUNTIF('Buyer Groups'!DG30:EG30,0)+COUNTIF('Buyer Groups'!EI30:EN30,0)&gt;0,0,1)</f>
        <v/>
      </c>
      <c r="PJ30">
        <f>IF($ET$30="",FALSE,SUMPRODUCT(('Final Calculation Sheet'!$AB$4:$AB$40=$ET$30)*($PI$6:$PI$42=1))&gt;0)</f>
        <v/>
      </c>
      <c r="PK30">
        <f>$PK$29+--($PJ30)</f>
        <v/>
      </c>
      <c r="PL30">
        <f>IF(ROW()-3&gt;MAX($PK$4:$PK$40),"",INDEX($ET$4:$ET$40,MATCH(ROW()-3,$PK$4:$PK$40,0)))</f>
        <v/>
      </c>
      <c r="PM30">
        <f>IF(COUNTIF('Buyer Groups'!DG30:EH30,0)+COUNTIF('Buyer Groups'!EJ30:EN30,0)&gt;0,0,1)</f>
        <v/>
      </c>
      <c r="PN30">
        <f>IF($EY$30="",FALSE,SUMPRODUCT(('Final Calculation Sheet'!$AC$4:$AC$40=$EY$30)*($PM$6:$PM$42=1))&gt;0)</f>
        <v/>
      </c>
      <c r="PO30">
        <f>$PO$29+--($PN30)</f>
        <v/>
      </c>
      <c r="PP30">
        <f>IF(ROW()-3&gt;MAX($PO$4:$PO$40),"",INDEX($EY$4:$EY$40,MATCH(ROW()-3,$PO$4:$PO$40,0)))</f>
        <v/>
      </c>
      <c r="PQ30">
        <f>IF(COUNTIF('Buyer Groups'!DG30:EI30,0)+COUNTIF('Buyer Groups'!EK30:EN30,0)&gt;0,0,1)</f>
        <v/>
      </c>
      <c r="PR30">
        <f>IF($FD$30="",FALSE,SUMPRODUCT(('Final Calculation Sheet'!$AD$4:$AD$40=$FD$30)*($PQ$6:$PQ$42=1))&gt;0)</f>
        <v/>
      </c>
      <c r="PS30">
        <f>$PS$29+--($PR30)</f>
        <v/>
      </c>
      <c r="PT30">
        <f>IF(ROW()-3&gt;MAX($PS$4:$PS$40),"",INDEX($FD$4:$FD$40,MATCH(ROW()-3,$PS$4:$PS$40,0)))</f>
        <v/>
      </c>
      <c r="PU30">
        <f>IF(COUNTIF('Buyer Groups'!DG30:EJ30,0)+COUNTIF('Buyer Groups'!EL30:EN30,0)&gt;0,0,1)</f>
        <v/>
      </c>
      <c r="PV30">
        <f>IF($FX$30="",FALSE,SUMPRODUCT((IF('Final Calculation Sheet'!$AD$4:$AD$40&lt;=5,"SETTLED","OUTSTANDING")=$FX$30)*($PU$6:$PU$42=1))&gt;0)</f>
        <v/>
      </c>
      <c r="PW30">
        <f>$PW$29+--($PV30)</f>
        <v/>
      </c>
      <c r="PX30">
        <f>IF(ROW()-3&gt;MAX($PW$4:$PW$40),"",INDEX($FX$4:$FX$40,MATCH(ROW()-3,$PW$4:$PW$40,0)))</f>
        <v/>
      </c>
      <c r="PY30">
        <f>IF(COUNTIF('Buyer Groups'!DG30:EK30,0)+COUNTIF('Buyer Groups'!EM30:EN30,0)&gt;0,0,1)</f>
        <v/>
      </c>
      <c r="PZ30">
        <f>IF($FI$30="",FALSE,SUMPRODUCT(('Final Calculation Sheet'!$AF$4:$AF$40=$FI$30)*($PY$6:$PY$42=1))&gt;0)</f>
        <v/>
      </c>
      <c r="QA30">
        <f>$QA$29+--($PZ30)</f>
        <v/>
      </c>
      <c r="QB30">
        <f>IF(ROW()-3&gt;MAX($QA$4:$QA$40),"",INDEX($FI$4:$FI$40,MATCH(ROW()-3,$QA$4:$QA$40,0)))</f>
        <v/>
      </c>
      <c r="QC30">
        <f>IF(COUNTIF('Buyer Groups'!DG30:EL30,0)+COUNTIF('Buyer Groups'!EN30:EN30,0)&gt;0,0,1)</f>
        <v/>
      </c>
      <c r="QD30">
        <f>IF($FN$30="",FALSE,SUMPRODUCT(('Final Calculation Sheet'!$AG$4:$AG$40=$FN$30)*($QC$6:$QC$42=1))&gt;0)</f>
        <v/>
      </c>
      <c r="QE30">
        <f>$QE$29+--($QD30)</f>
        <v/>
      </c>
      <c r="QF30">
        <f>IF(ROW()-3&gt;MAX($QE$4:$QE$40),"",INDEX($FN$4:$FN$40,MATCH(ROW()-3,$QE$4:$QE$40,0)))</f>
        <v/>
      </c>
      <c r="QG30">
        <f>IF(COUNTIF('Buyer Groups'!DG30:EM30,0)&gt;0,0,1)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Groups'!DH31:EN31,0)&gt;0,0,1)</f>
        <v/>
      </c>
      <c r="LF31">
        <f>IF($O$31="",FALSE,SUMPRODUCT(('Final Calculation Sheet'!$F$4:$F$40=$O$31)*($LE$6:$LE$42=1))&gt;0)</f>
        <v/>
      </c>
      <c r="LG31">
        <f>$LG$30+--($LF31)</f>
        <v/>
      </c>
      <c r="LH31">
        <f>IF(ROW()-3&gt;MAX($LG$4:$LG$40),"",INDEX($O$4:$O$40,MATCH(ROW()-3,$LG$4:$LG$40,0)))</f>
        <v/>
      </c>
      <c r="LI31">
        <f>IF(COUNTIF('Buyer Groups'!DG31:DG31,0)+COUNTIF('Buyer Groups'!DI31:EN31,0)&gt;0,0,1)</f>
        <v/>
      </c>
      <c r="LJ31">
        <f>IF($T$31="",FALSE,SUMPRODUCT(('Final Calculation Sheet'!$G$4:$G$40=$T$31)*($LI$6:$LI$42=1))&gt;0)</f>
        <v/>
      </c>
      <c r="LK31">
        <f>$LK$30+--($LJ31)</f>
        <v/>
      </c>
      <c r="LL31">
        <f>IF(ROW()-3&gt;MAX($LK$4:$LK$40),"",INDEX($T$4:$T$40,MATCH(ROW()-3,$LK$4:$LK$40,0)))</f>
        <v/>
      </c>
      <c r="LM31">
        <f>IF(COUNTIF('Buyer Groups'!DG31:DH31,0)+COUNTIF('Buyer Groups'!DJ31:EN31,0)&gt;0,0,1)</f>
        <v/>
      </c>
      <c r="LN31">
        <f>IF($Y$31="",FALSE,SUMPRODUCT(('Final Calculation Sheet'!$B$4:$B$40=$Y$31)*($LM$6:$LM$42=1))&gt;0)</f>
        <v/>
      </c>
      <c r="LO31">
        <f>$LO$30+--($LN31)</f>
        <v/>
      </c>
      <c r="LP31">
        <f>IF(ROW()-3&gt;MAX($LO$4:$LO$40),"",INDEX($Y$4:$Y$40,MATCH(ROW()-3,$LO$4:$LO$40,0)))</f>
        <v/>
      </c>
      <c r="LQ31">
        <f>IF(COUNTIF('Buyer Groups'!DG31:DI31,0)+COUNTIF('Buyer Groups'!DK31:EN31,0)&gt;0,0,1)</f>
        <v/>
      </c>
      <c r="LR31">
        <f>IF($AD$31="",FALSE,SUMPRODUCT(('Final Calculation Sheet'!$D$4:$D$40=$AD$31)*($LQ$6:$LQ$42=1))&gt;0)</f>
        <v/>
      </c>
      <c r="LS31">
        <f>$LS$30+--($LR31)</f>
        <v/>
      </c>
      <c r="LT31">
        <f>IF(ROW()-3&gt;MAX($LS$4:$LS$40),"",INDEX($AD$4:$AD$40,MATCH(ROW()-3,$LS$4:$LS$40,0)))</f>
        <v/>
      </c>
      <c r="LU31">
        <f>IF(COUNTIF('Buyer Groups'!DG31:DJ31,0)+COUNTIF('Buyer Groups'!DL31:EN31,0)&gt;0,0,1)</f>
        <v/>
      </c>
      <c r="LV31">
        <f>IF($AI$31="",FALSE,SUMPRODUCT(('Final Calculation Sheet'!$A$4:$A$40=$AI$31)*($LU$6:$LU$42=1))&gt;0)</f>
        <v/>
      </c>
      <c r="LW31">
        <f>$LW$30+--($LV31)</f>
        <v/>
      </c>
      <c r="LX31">
        <f>IF(ROW()-3&gt;MAX($LW$4:$LW$40),"",INDEX($AI$4:$AI$40,MATCH(ROW()-3,$LW$4:$LW$40,0)))</f>
        <v/>
      </c>
      <c r="LY31">
        <f>IF(COUNTIF('Buyer Groups'!DG31:DK31,0)+COUNTIF('Buyer Groups'!DM31:EN31,0)&gt;0,0,1)</f>
        <v/>
      </c>
      <c r="LZ31">
        <f>IF($AN$31="",FALSE,SUMPRODUCT(('Final Calculation Sheet'!$E$4:$E$40=$AN$31)*($LY$6:$LY$42=1))&gt;0)</f>
        <v/>
      </c>
      <c r="MA31">
        <f>$MA$30+--($LZ31)</f>
        <v/>
      </c>
      <c r="MB31">
        <f>IF(ROW()-3&gt;MAX($MA$4:$MA$40),"",INDEX($AN$4:$AN$40,MATCH(ROW()-3,$MA$4:$MA$40,0)))</f>
        <v/>
      </c>
      <c r="MC31">
        <f>IF(COUNTIF('Buyer Groups'!DG31:DL31,0)+COUNTIF('Buyer Groups'!DN31:EN31,0)&gt;0,0,1)</f>
        <v/>
      </c>
      <c r="MD31">
        <f>IF($AS$31="",FALSE,SUMPRODUCT(('Final Calculation Sheet'!$C$4:$C$40=$AS$31)*($MC$6:$MC$42=1))&gt;0)</f>
        <v/>
      </c>
      <c r="ME31">
        <f>$ME$30+--($MD31)</f>
        <v/>
      </c>
      <c r="MF31">
        <f>IF(ROW()-3&gt;MAX($ME$4:$ME$40),"",INDEX($AS$4:$AS$40,MATCH(ROW()-3,$ME$4:$ME$40,0)))</f>
        <v/>
      </c>
      <c r="MG31">
        <f>IF(COUNTIF('Buyer Groups'!DG31:DM31,0)+COUNTIF('Buyer Groups'!DO31:EN31,0)&gt;0,0,1)</f>
        <v/>
      </c>
      <c r="MH31">
        <f>IF($AX$31="",FALSE,SUMPRODUCT(('Final Calculation Sheet'!$H$4:$H$40=$AX$31)*($MG$6:$MG$42=1))&gt;0)</f>
        <v/>
      </c>
      <c r="MI31">
        <f>$MI$30+--($MH31)</f>
        <v/>
      </c>
      <c r="MJ31">
        <f>IF(ROW()-3&gt;MAX($MI$4:$MI$40),"",INDEX($AX$4:$AX$40,MATCH(ROW()-3,$MI$4:$MI$40,0)))</f>
        <v/>
      </c>
      <c r="MK31">
        <f>IF(COUNTIF('Buyer Groups'!DG31:DN31,0)+COUNTIF('Buyer Groups'!DP31:EN31,0)&gt;0,0,1)</f>
        <v/>
      </c>
      <c r="ML31">
        <f>IF($BC$31="",FALSE,SUMPRODUCT(('Final Calculation Sheet'!$I$4:$I$40=$BC$31)*($MK$6:$MK$42=1))&gt;0)</f>
        <v/>
      </c>
      <c r="MM31">
        <f>$MM$30+--($ML31)</f>
        <v/>
      </c>
      <c r="MN31">
        <f>IF(ROW()-3&gt;MAX($MM$4:$MM$40),"",INDEX($BC$4:$BC$40,MATCH(ROW()-3,$MM$4:$MM$40,0)))</f>
        <v/>
      </c>
      <c r="MO31">
        <f>IF(COUNTIF('Buyer Groups'!DG31:DO31,0)+COUNTIF('Buyer Groups'!DQ31:EN31,0)&gt;0,0,1)</f>
        <v/>
      </c>
      <c r="MP31">
        <f>IF($BH$31="",FALSE,SUMPRODUCT(('Final Calculation Sheet'!$J$4:$J$40=$BH$31)*($MO$6:$MO$42=1))&gt;0)</f>
        <v/>
      </c>
      <c r="MQ31">
        <f>$MQ$30+--($MP31)</f>
        <v/>
      </c>
      <c r="MR31">
        <f>IF(ROW()-3&gt;MAX($MQ$4:$MQ$40),"",INDEX($BH$4:$BH$40,MATCH(ROW()-3,$MQ$4:$MQ$40,0)))</f>
        <v/>
      </c>
      <c r="MS31">
        <f>IF(COUNTIF('Buyer Groups'!DG31:DP31,0)+COUNTIF('Buyer Groups'!DR31:EN31,0)&gt;0,0,1)</f>
        <v/>
      </c>
      <c r="MT31">
        <f>IF($BM$31="",FALSE,SUMPRODUCT(('Final Calculation Sheet'!$K$4:$K$40=$BM$31)*($MS$6:$MS$42=1))&gt;0)</f>
        <v/>
      </c>
      <c r="MU31">
        <f>$MU$30+--($MT31)</f>
        <v/>
      </c>
      <c r="MV31">
        <f>IF(ROW()-3&gt;MAX($MU$4:$MU$40),"",INDEX($BM$4:$BM$40,MATCH(ROW()-3,$MU$4:$MU$40,0)))</f>
        <v/>
      </c>
      <c r="MW31">
        <f>IF(COUNTIF('Buyer Groups'!DG31:DQ31,0)+COUNTIF('Buyer Groups'!DS31:EN31,0)&gt;0,0,1)</f>
        <v/>
      </c>
      <c r="MX31">
        <f>IF($BR$31="",FALSE,SUMPRODUCT(('Final Calculation Sheet'!$L$4:$L$40=$BR$31)*($MW$6:$MW$42=1))&gt;0)</f>
        <v/>
      </c>
      <c r="MY31">
        <f>$MY$30+--($MX31)</f>
        <v/>
      </c>
      <c r="MZ31">
        <f>IF(ROW()-3&gt;MAX($MY$4:$MY$40),"",INDEX($BR$4:$BR$40,MATCH(ROW()-3,$MY$4:$MY$40,0)))</f>
        <v/>
      </c>
      <c r="NA31">
        <f>IF(COUNTIF('Buyer Groups'!DG31:DR31,0)+COUNTIF('Buyer Groups'!DT31:EN31,0)&gt;0,0,1)</f>
        <v/>
      </c>
      <c r="NB31">
        <f>IF($BW$31="",FALSE,SUMPRODUCT(('Final Calculation Sheet'!$M$4:$M$40=$BW$31)*($NA$6:$NA$42=1))&gt;0)</f>
        <v/>
      </c>
      <c r="NC31">
        <f>$NC$30+--($NB31)</f>
        <v/>
      </c>
      <c r="ND31">
        <f>IF(ROW()-3&gt;MAX($NC$4:$NC$40),"",INDEX($BW$4:$BW$40,MATCH(ROW()-3,$NC$4:$NC$40,0)))</f>
        <v/>
      </c>
      <c r="NE31">
        <f>IF(COUNTIF('Buyer Groups'!DG31:DS31,0)+COUNTIF('Buyer Groups'!DU31:EN31,0)&gt;0,0,1)</f>
        <v/>
      </c>
      <c r="NF31">
        <f>IF($CB$31="",FALSE,SUMPRODUCT(('Final Calculation Sheet'!$N$4:$N$40=$CB$31)*($NE$6:$NE$42=1))&gt;0)</f>
        <v/>
      </c>
      <c r="NG31">
        <f>$NG$30+--($NF31)</f>
        <v/>
      </c>
      <c r="NH31">
        <f>IF(ROW()-3&gt;MAX($NG$4:$NG$40),"",INDEX($CB$4:$CB$40,MATCH(ROW()-3,$NG$4:$NG$40,0)))</f>
        <v/>
      </c>
      <c r="NI31">
        <f>IF(COUNTIF('Buyer Groups'!DG31:DT31,0)+COUNTIF('Buyer Groups'!DV31:EN31,0)&gt;0,0,1)</f>
        <v/>
      </c>
      <c r="NJ31">
        <f>IF($CG$31="",FALSE,SUMPRODUCT(('Final Calculation Sheet'!$O$4:$O$40=$CG$31)*($NI$6:$NI$42=1))&gt;0)</f>
        <v/>
      </c>
      <c r="NK31">
        <f>$NK$30+--($NJ31)</f>
        <v/>
      </c>
      <c r="NL31">
        <f>IF(ROW()-3&gt;MAX($NK$4:$NK$40),"",INDEX($CG$4:$CG$40,MATCH(ROW()-3,$NK$4:$NK$40,0)))</f>
        <v/>
      </c>
      <c r="NM31">
        <f>IF(COUNTIF('Buyer Groups'!DG31:DU31,0)+COUNTIF('Buyer Groups'!DW31:EN31,0)&gt;0,0,1)</f>
        <v/>
      </c>
      <c r="NN31">
        <f>IF($CL$31="",FALSE,SUMPRODUCT(('Final Calculation Sheet'!$P$4:$P$40=$CL$31)*($NM$6:$NM$42=1))&gt;0)</f>
        <v/>
      </c>
      <c r="NO31">
        <f>$NO$30+--($NN31)</f>
        <v/>
      </c>
      <c r="NP31">
        <f>IF(ROW()-3&gt;MAX($NO$4:$NO$40),"",INDEX($CL$4:$CL$40,MATCH(ROW()-3,$NO$4:$NO$40,0)))</f>
        <v/>
      </c>
      <c r="NQ31">
        <f>IF(COUNTIF('Buyer Groups'!DG31:DV31,0)+COUNTIF('Buyer Groups'!DX31:EN31,0)&gt;0,0,1)</f>
        <v/>
      </c>
      <c r="NR31">
        <f>IF($CQ$31="",FALSE,SUMPRODUCT(('Final Calculation Sheet'!$Q$4:$Q$40=$CQ$31)*($NQ$6:$NQ$42=1))&gt;0)</f>
        <v/>
      </c>
      <c r="NS31">
        <f>$NS$30+--($NR31)</f>
        <v/>
      </c>
      <c r="NT31">
        <f>IF(ROW()-3&gt;MAX($NS$4:$NS$40),"",INDEX($CQ$4:$CQ$40,MATCH(ROW()-3,$NS$4:$NS$40,0)))</f>
        <v/>
      </c>
      <c r="NU31">
        <f>IF(COUNTIF('Buyer Groups'!DG31:DW31,0)+COUNTIF('Buyer Groups'!DY31:EN31,0)&gt;0,0,1)</f>
        <v/>
      </c>
      <c r="NV31">
        <f>IF($CV$31="",FALSE,SUMPRODUCT(('Final Calculation Sheet'!$R$4:$R$40=$CV$31)*($NU$6:$NU$42=1))&gt;0)</f>
        <v/>
      </c>
      <c r="NW31">
        <f>$NW$30+--($NV31)</f>
        <v/>
      </c>
      <c r="NX31">
        <f>IF(ROW()-3&gt;MAX($NW$4:$NW$40),"",INDEX($CV$4:$CV$40,MATCH(ROW()-3,$NW$4:$NW$40,0)))</f>
        <v/>
      </c>
      <c r="NY31">
        <f>IF(COUNTIF('Buyer Groups'!DG31:DX31,0)+COUNTIF('Buyer Groups'!DZ31:EN31,0)&gt;0,0,1)</f>
        <v/>
      </c>
      <c r="NZ31">
        <f>IF($DA$31="",FALSE,SUMPRODUCT(('Final Calculation Sheet'!$S$4:$S$40=$DA$31)*($NY$6:$NY$42=1))&gt;0)</f>
        <v/>
      </c>
      <c r="OA31">
        <f>$OA$30+--($NZ31)</f>
        <v/>
      </c>
      <c r="OB31">
        <f>IF(ROW()-3&gt;MAX($OA$4:$OA$40),"",INDEX($DA$4:$DA$40,MATCH(ROW()-3,$OA$4:$OA$40,0)))</f>
        <v/>
      </c>
      <c r="OC31">
        <f>IF(COUNTIF('Buyer Groups'!DG31:DY31,0)+COUNTIF('Buyer Groups'!EA31:EN31,0)&gt;0,0,1)</f>
        <v/>
      </c>
      <c r="OD31">
        <f>IF($DF$31="",FALSE,SUMPRODUCT(('Final Calculation Sheet'!$T$4:$T$40=$DF$31)*($OC$6:$OC$42=1))&gt;0)</f>
        <v/>
      </c>
      <c r="OE31">
        <f>$OE$30+--($OD31)</f>
        <v/>
      </c>
      <c r="OF31">
        <f>IF(ROW()-3&gt;MAX($OE$4:$OE$40),"",INDEX($DF$4:$DF$40,MATCH(ROW()-3,$OE$4:$OE$40,0)))</f>
        <v/>
      </c>
      <c r="OG31">
        <f>IF(COUNTIF('Buyer Groups'!DG31:DZ31,0)+COUNTIF('Buyer Groups'!EB31:EN31,0)&gt;0,0,1)</f>
        <v/>
      </c>
      <c r="OH31">
        <f>IF($DK$31="",FALSE,SUMPRODUCT(('Final Calculation Sheet'!$U$4:$U$40=$DK$31)*($OG$6:$OG$42=1))&gt;0)</f>
        <v/>
      </c>
      <c r="OI31">
        <f>$OI$30+--($OH31)</f>
        <v/>
      </c>
      <c r="OJ31">
        <f>IF(ROW()-3&gt;MAX($OI$4:$OI$40),"",INDEX($DK$4:$DK$40,MATCH(ROW()-3,$OI$4:$OI$40,0)))</f>
        <v/>
      </c>
      <c r="OK31">
        <f>IF(COUNTIF('Buyer Groups'!DG31:EA31,0)+COUNTIF('Buyer Groups'!EC31:EN31,0)&gt;0,0,1)</f>
        <v/>
      </c>
      <c r="OL31">
        <f>IF($DP$31="",FALSE,SUMPRODUCT(('Final Calculation Sheet'!$V$4:$V$40=$DP$31)*($OK$6:$OK$42=1))&gt;0)</f>
        <v/>
      </c>
      <c r="OM31">
        <f>$OM$30+--($OL31)</f>
        <v/>
      </c>
      <c r="ON31">
        <f>IF(ROW()-3&gt;MAX($OM$4:$OM$40),"",INDEX($DP$4:$DP$40,MATCH(ROW()-3,$OM$4:$OM$40,0)))</f>
        <v/>
      </c>
      <c r="OO31">
        <f>IF(COUNTIF('Buyer Groups'!DG31:EB31,0)+COUNTIF('Buyer Groups'!ED31:EN31,0)&gt;0,0,1)</f>
        <v/>
      </c>
      <c r="OP31">
        <f>IF($DU$31="",FALSE,SUMPRODUCT(('Final Calculation Sheet'!$W$4:$W$40=$DU$31)*($OO$6:$OO$42=1))&gt;0)</f>
        <v/>
      </c>
      <c r="OQ31">
        <f>$OQ$30+--($OP31)</f>
        <v/>
      </c>
      <c r="OR31">
        <f>IF(ROW()-3&gt;MAX($OQ$4:$OQ$40),"",INDEX($DU$4:$DU$40,MATCH(ROW()-3,$OQ$4:$OQ$40,0)))</f>
        <v/>
      </c>
      <c r="OS31">
        <f>IF(COUNTIF('Buyer Groups'!DG31:EC31,0)+COUNTIF('Buyer Groups'!EE31:EN31,0)&gt;0,0,1)</f>
        <v/>
      </c>
      <c r="OT31">
        <f>IF($DZ$31="",FALSE,SUMPRODUCT(('Final Calculation Sheet'!$X$4:$X$40=$DZ$31)*($OS$6:$OS$42=1))&gt;0)</f>
        <v/>
      </c>
      <c r="OU31">
        <f>$OU$30+--($OT31)</f>
        <v/>
      </c>
      <c r="OV31">
        <f>IF(ROW()-3&gt;MAX($OU$4:$OU$40),"",INDEX($DZ$4:$DZ$40,MATCH(ROW()-3,$OU$4:$OU$40,0)))</f>
        <v/>
      </c>
      <c r="OW31">
        <f>IF(COUNTIF('Buyer Groups'!DG31:ED31,0)+COUNTIF('Buyer Groups'!EF31:EN31,0)&gt;0,0,1)</f>
        <v/>
      </c>
      <c r="OX31">
        <f>IF($EE$31="",FALSE,SUMPRODUCT(('Final Calculation Sheet'!$Y$4:$Y$40=$EE$31)*($OW$6:$OW$42=1))&gt;0)</f>
        <v/>
      </c>
      <c r="OY31">
        <f>$OY$30+--($OX31)</f>
        <v/>
      </c>
      <c r="OZ31">
        <f>IF(ROW()-3&gt;MAX($OY$4:$OY$40),"",INDEX($EE$4:$EE$40,MATCH(ROW()-3,$OY$4:$OY$40,0)))</f>
        <v/>
      </c>
      <c r="PA31">
        <f>IF(COUNTIF('Buyer Groups'!DG31:EE31,0)+COUNTIF('Buyer Groups'!EG31:EN31,0)&gt;0,0,1)</f>
        <v/>
      </c>
      <c r="PB31">
        <f>IF($EJ$31="",FALSE,SUMPRODUCT(('Final Calculation Sheet'!$Z$4:$Z$40=$EJ$31)*($PA$6:$PA$42=1))&gt;0)</f>
        <v/>
      </c>
      <c r="PC31">
        <f>$PC$30+--($PB31)</f>
        <v/>
      </c>
      <c r="PD31">
        <f>IF(ROW()-3&gt;MAX($PC$4:$PC$40),"",INDEX($EJ$4:$EJ$40,MATCH(ROW()-3,$PC$4:$PC$40,0)))</f>
        <v/>
      </c>
      <c r="PE31">
        <f>IF(COUNTIF('Buyer Groups'!DG31:EF31,0)+COUNTIF('Buyer Groups'!EH31:EN31,0)&gt;0,0,1)</f>
        <v/>
      </c>
      <c r="PF31">
        <f>IF($EO$31="",FALSE,SUMPRODUCT(('Final Calculation Sheet'!$AA$4:$AA$40=$EO$31)*($PE$6:$PE$42=1))&gt;0)</f>
        <v/>
      </c>
      <c r="PG31">
        <f>$PG$30+--($PF31)</f>
        <v/>
      </c>
      <c r="PH31">
        <f>IF(ROW()-3&gt;MAX($PG$4:$PG$40),"",INDEX($EO$4:$EO$40,MATCH(ROW()-3,$PG$4:$PG$40,0)))</f>
        <v/>
      </c>
      <c r="PI31">
        <f>IF(COUNTIF('Buyer Groups'!DG31:EG31,0)+COUNTIF('Buyer Groups'!EI31:EN31,0)&gt;0,0,1)</f>
        <v/>
      </c>
      <c r="PJ31">
        <f>IF($ET$31="",FALSE,SUMPRODUCT(('Final Calculation Sheet'!$AB$4:$AB$40=$ET$31)*($PI$6:$PI$42=1))&gt;0)</f>
        <v/>
      </c>
      <c r="PK31">
        <f>$PK$30+--($PJ31)</f>
        <v/>
      </c>
      <c r="PL31">
        <f>IF(ROW()-3&gt;MAX($PK$4:$PK$40),"",INDEX($ET$4:$ET$40,MATCH(ROW()-3,$PK$4:$PK$40,0)))</f>
        <v/>
      </c>
      <c r="PM31">
        <f>IF(COUNTIF('Buyer Groups'!DG31:EH31,0)+COUNTIF('Buyer Groups'!EJ31:EN31,0)&gt;0,0,1)</f>
        <v/>
      </c>
      <c r="PN31">
        <f>IF($EY$31="",FALSE,SUMPRODUCT(('Final Calculation Sheet'!$AC$4:$AC$40=$EY$31)*($PM$6:$PM$42=1))&gt;0)</f>
        <v/>
      </c>
      <c r="PO31">
        <f>$PO$30+--($PN31)</f>
        <v/>
      </c>
      <c r="PP31">
        <f>IF(ROW()-3&gt;MAX($PO$4:$PO$40),"",INDEX($EY$4:$EY$40,MATCH(ROW()-3,$PO$4:$PO$40,0)))</f>
        <v/>
      </c>
      <c r="PQ31">
        <f>IF(COUNTIF('Buyer Groups'!DG31:EI31,0)+COUNTIF('Buyer Groups'!EK31:EN31,0)&gt;0,0,1)</f>
        <v/>
      </c>
      <c r="PR31">
        <f>IF($FD$31="",FALSE,SUMPRODUCT(('Final Calculation Sheet'!$AD$4:$AD$40=$FD$31)*($PQ$6:$PQ$42=1))&gt;0)</f>
        <v/>
      </c>
      <c r="PS31">
        <f>$PS$30+--($PR31)</f>
        <v/>
      </c>
      <c r="PT31">
        <f>IF(ROW()-3&gt;MAX($PS$4:$PS$40),"",INDEX($FD$4:$FD$40,MATCH(ROW()-3,$PS$4:$PS$40,0)))</f>
        <v/>
      </c>
      <c r="PU31">
        <f>IF(COUNTIF('Buyer Groups'!DG31:EJ31,0)+COUNTIF('Buyer Groups'!EL31:EN31,0)&gt;0,0,1)</f>
        <v/>
      </c>
      <c r="PV31">
        <f>IF($FX$31="",FALSE,SUMPRODUCT((IF('Final Calculation Sheet'!$AD$4:$AD$40&lt;=5,"SETTLED","OUTSTANDING")=$FX$31)*($PU$6:$PU$42=1))&gt;0)</f>
        <v/>
      </c>
      <c r="PW31">
        <f>$PW$30+--($PV31)</f>
        <v/>
      </c>
      <c r="PX31">
        <f>IF(ROW()-3&gt;MAX($PW$4:$PW$40),"",INDEX($FX$4:$FX$40,MATCH(ROW()-3,$PW$4:$PW$40,0)))</f>
        <v/>
      </c>
      <c r="PY31">
        <f>IF(COUNTIF('Buyer Groups'!DG31:EK31,0)+COUNTIF('Buyer Groups'!EM31:EN31,0)&gt;0,0,1)</f>
        <v/>
      </c>
      <c r="PZ31">
        <f>IF($FI$31="",FALSE,SUMPRODUCT(('Final Calculation Sheet'!$AF$4:$AF$40=$FI$31)*($PY$6:$PY$42=1))&gt;0)</f>
        <v/>
      </c>
      <c r="QA31">
        <f>$QA$30+--($PZ31)</f>
        <v/>
      </c>
      <c r="QB31">
        <f>IF(ROW()-3&gt;MAX($QA$4:$QA$40),"",INDEX($FI$4:$FI$40,MATCH(ROW()-3,$QA$4:$QA$40,0)))</f>
        <v/>
      </c>
      <c r="QC31">
        <f>IF(COUNTIF('Buyer Groups'!DG31:EL31,0)+COUNTIF('Buyer Groups'!EN31:EN31,0)&gt;0,0,1)</f>
        <v/>
      </c>
      <c r="QD31">
        <f>IF($FN$31="",FALSE,SUMPRODUCT(('Final Calculation Sheet'!$AG$4:$AG$40=$FN$31)*($QC$6:$QC$42=1))&gt;0)</f>
        <v/>
      </c>
      <c r="QE31">
        <f>$QE$30+--($QD31)</f>
        <v/>
      </c>
      <c r="QF31">
        <f>IF(ROW()-3&gt;MAX($QE$4:$QE$40),"",INDEX($FN$4:$FN$40,MATCH(ROW()-3,$QE$4:$QE$40,0)))</f>
        <v/>
      </c>
      <c r="QG31">
        <f>IF(COUNTIF('Buyer Groups'!DG31:EM31,0)&gt;0,0,1)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Groups'!DH32:EN32,0)&gt;0,0,1)</f>
        <v/>
      </c>
      <c r="LF32">
        <f>IF($O$32="",FALSE,SUMPRODUCT(('Final Calculation Sheet'!$F$4:$F$40=$O$32)*($LE$6:$LE$42=1))&gt;0)</f>
        <v/>
      </c>
      <c r="LG32">
        <f>$LG$31+--($LF32)</f>
        <v/>
      </c>
      <c r="LH32">
        <f>IF(ROW()-3&gt;MAX($LG$4:$LG$40),"",INDEX($O$4:$O$40,MATCH(ROW()-3,$LG$4:$LG$40,0)))</f>
        <v/>
      </c>
      <c r="LI32">
        <f>IF(COUNTIF('Buyer Groups'!DG32:DG32,0)+COUNTIF('Buyer Groups'!DI32:EN32,0)&gt;0,0,1)</f>
        <v/>
      </c>
      <c r="LJ32">
        <f>IF($T$32="",FALSE,SUMPRODUCT(('Final Calculation Sheet'!$G$4:$G$40=$T$32)*($LI$6:$LI$42=1))&gt;0)</f>
        <v/>
      </c>
      <c r="LK32">
        <f>$LK$31+--($LJ32)</f>
        <v/>
      </c>
      <c r="LL32">
        <f>IF(ROW()-3&gt;MAX($LK$4:$LK$40),"",INDEX($T$4:$T$40,MATCH(ROW()-3,$LK$4:$LK$40,0)))</f>
        <v/>
      </c>
      <c r="LM32">
        <f>IF(COUNTIF('Buyer Groups'!DG32:DH32,0)+COUNTIF('Buyer Groups'!DJ32:EN32,0)&gt;0,0,1)</f>
        <v/>
      </c>
      <c r="LN32">
        <f>IF($Y$32="",FALSE,SUMPRODUCT(('Final Calculation Sheet'!$B$4:$B$40=$Y$32)*($LM$6:$LM$42=1))&gt;0)</f>
        <v/>
      </c>
      <c r="LO32">
        <f>$LO$31+--($LN32)</f>
        <v/>
      </c>
      <c r="LP32">
        <f>IF(ROW()-3&gt;MAX($LO$4:$LO$40),"",INDEX($Y$4:$Y$40,MATCH(ROW()-3,$LO$4:$LO$40,0)))</f>
        <v/>
      </c>
      <c r="LQ32">
        <f>IF(COUNTIF('Buyer Groups'!DG32:DI32,0)+COUNTIF('Buyer Groups'!DK32:EN32,0)&gt;0,0,1)</f>
        <v/>
      </c>
      <c r="LR32">
        <f>IF($AD$32="",FALSE,SUMPRODUCT(('Final Calculation Sheet'!$D$4:$D$40=$AD$32)*($LQ$6:$LQ$42=1))&gt;0)</f>
        <v/>
      </c>
      <c r="LS32">
        <f>$LS$31+--($LR32)</f>
        <v/>
      </c>
      <c r="LT32">
        <f>IF(ROW()-3&gt;MAX($LS$4:$LS$40),"",INDEX($AD$4:$AD$40,MATCH(ROW()-3,$LS$4:$LS$40,0)))</f>
        <v/>
      </c>
      <c r="LU32">
        <f>IF(COUNTIF('Buyer Groups'!DG32:DJ32,0)+COUNTIF('Buyer Groups'!DL32:EN32,0)&gt;0,0,1)</f>
        <v/>
      </c>
      <c r="LV32">
        <f>IF($AI$32="",FALSE,SUMPRODUCT(('Final Calculation Sheet'!$A$4:$A$40=$AI$32)*($LU$6:$LU$42=1))&gt;0)</f>
        <v/>
      </c>
      <c r="LW32">
        <f>$LW$31+--($LV32)</f>
        <v/>
      </c>
      <c r="LX32">
        <f>IF(ROW()-3&gt;MAX($LW$4:$LW$40),"",INDEX($AI$4:$AI$40,MATCH(ROW()-3,$LW$4:$LW$40,0)))</f>
        <v/>
      </c>
      <c r="LY32">
        <f>IF(COUNTIF('Buyer Groups'!DG32:DK32,0)+COUNTIF('Buyer Groups'!DM32:EN32,0)&gt;0,0,1)</f>
        <v/>
      </c>
      <c r="LZ32">
        <f>IF($AN$32="",FALSE,SUMPRODUCT(('Final Calculation Sheet'!$E$4:$E$40=$AN$32)*($LY$6:$LY$42=1))&gt;0)</f>
        <v/>
      </c>
      <c r="MA32">
        <f>$MA$31+--($LZ32)</f>
        <v/>
      </c>
      <c r="MB32">
        <f>IF(ROW()-3&gt;MAX($MA$4:$MA$40),"",INDEX($AN$4:$AN$40,MATCH(ROW()-3,$MA$4:$MA$40,0)))</f>
        <v/>
      </c>
      <c r="MC32">
        <f>IF(COUNTIF('Buyer Groups'!DG32:DL32,0)+COUNTIF('Buyer Groups'!DN32:EN32,0)&gt;0,0,1)</f>
        <v/>
      </c>
      <c r="MD32">
        <f>IF($AS$32="",FALSE,SUMPRODUCT(('Final Calculation Sheet'!$C$4:$C$40=$AS$32)*($MC$6:$MC$42=1))&gt;0)</f>
        <v/>
      </c>
      <c r="ME32">
        <f>$ME$31+--($MD32)</f>
        <v/>
      </c>
      <c r="MF32">
        <f>IF(ROW()-3&gt;MAX($ME$4:$ME$40),"",INDEX($AS$4:$AS$40,MATCH(ROW()-3,$ME$4:$ME$40,0)))</f>
        <v/>
      </c>
      <c r="MG32">
        <f>IF(COUNTIF('Buyer Groups'!DG32:DM32,0)+COUNTIF('Buyer Groups'!DO32:EN32,0)&gt;0,0,1)</f>
        <v/>
      </c>
      <c r="MH32">
        <f>IF($AX$32="",FALSE,SUMPRODUCT(('Final Calculation Sheet'!$H$4:$H$40=$AX$32)*($MG$6:$MG$42=1))&gt;0)</f>
        <v/>
      </c>
      <c r="MI32">
        <f>$MI$31+--($MH32)</f>
        <v/>
      </c>
      <c r="MJ32">
        <f>IF(ROW()-3&gt;MAX($MI$4:$MI$40),"",INDEX($AX$4:$AX$40,MATCH(ROW()-3,$MI$4:$MI$40,0)))</f>
        <v/>
      </c>
      <c r="MK32">
        <f>IF(COUNTIF('Buyer Groups'!DG32:DN32,0)+COUNTIF('Buyer Groups'!DP32:EN32,0)&gt;0,0,1)</f>
        <v/>
      </c>
      <c r="ML32">
        <f>IF($BC$32="",FALSE,SUMPRODUCT(('Final Calculation Sheet'!$I$4:$I$40=$BC$32)*($MK$6:$MK$42=1))&gt;0)</f>
        <v/>
      </c>
      <c r="MM32">
        <f>$MM$31+--($ML32)</f>
        <v/>
      </c>
      <c r="MN32">
        <f>IF(ROW()-3&gt;MAX($MM$4:$MM$40),"",INDEX($BC$4:$BC$40,MATCH(ROW()-3,$MM$4:$MM$40,0)))</f>
        <v/>
      </c>
      <c r="MO32">
        <f>IF(COUNTIF('Buyer Groups'!DG32:DO32,0)+COUNTIF('Buyer Groups'!DQ32:EN32,0)&gt;0,0,1)</f>
        <v/>
      </c>
      <c r="MP32">
        <f>IF($BH$32="",FALSE,SUMPRODUCT(('Final Calculation Sheet'!$J$4:$J$40=$BH$32)*($MO$6:$MO$42=1))&gt;0)</f>
        <v/>
      </c>
      <c r="MQ32">
        <f>$MQ$31+--($MP32)</f>
        <v/>
      </c>
      <c r="MR32">
        <f>IF(ROW()-3&gt;MAX($MQ$4:$MQ$40),"",INDEX($BH$4:$BH$40,MATCH(ROW()-3,$MQ$4:$MQ$40,0)))</f>
        <v/>
      </c>
      <c r="MS32">
        <f>IF(COUNTIF('Buyer Groups'!DG32:DP32,0)+COUNTIF('Buyer Groups'!DR32:EN32,0)&gt;0,0,1)</f>
        <v/>
      </c>
      <c r="MT32">
        <f>IF($BM$32="",FALSE,SUMPRODUCT(('Final Calculation Sheet'!$K$4:$K$40=$BM$32)*($MS$6:$MS$42=1))&gt;0)</f>
        <v/>
      </c>
      <c r="MU32">
        <f>$MU$31+--($MT32)</f>
        <v/>
      </c>
      <c r="MV32">
        <f>IF(ROW()-3&gt;MAX($MU$4:$MU$40),"",INDEX($BM$4:$BM$40,MATCH(ROW()-3,$MU$4:$MU$40,0)))</f>
        <v/>
      </c>
      <c r="MW32">
        <f>IF(COUNTIF('Buyer Groups'!DG32:DQ32,0)+COUNTIF('Buyer Groups'!DS32:EN32,0)&gt;0,0,1)</f>
        <v/>
      </c>
      <c r="MX32">
        <f>IF($BR$32="",FALSE,SUMPRODUCT(('Final Calculation Sheet'!$L$4:$L$40=$BR$32)*($MW$6:$MW$42=1))&gt;0)</f>
        <v/>
      </c>
      <c r="MY32">
        <f>$MY$31+--($MX32)</f>
        <v/>
      </c>
      <c r="MZ32">
        <f>IF(ROW()-3&gt;MAX($MY$4:$MY$40),"",INDEX($BR$4:$BR$40,MATCH(ROW()-3,$MY$4:$MY$40,0)))</f>
        <v/>
      </c>
      <c r="NA32">
        <f>IF(COUNTIF('Buyer Groups'!DG32:DR32,0)+COUNTIF('Buyer Groups'!DT32:EN32,0)&gt;0,0,1)</f>
        <v/>
      </c>
      <c r="NB32">
        <f>IF($BW$32="",FALSE,SUMPRODUCT(('Final Calculation Sheet'!$M$4:$M$40=$BW$32)*($NA$6:$NA$42=1))&gt;0)</f>
        <v/>
      </c>
      <c r="NC32">
        <f>$NC$31+--($NB32)</f>
        <v/>
      </c>
      <c r="ND32">
        <f>IF(ROW()-3&gt;MAX($NC$4:$NC$40),"",INDEX($BW$4:$BW$40,MATCH(ROW()-3,$NC$4:$NC$40,0)))</f>
        <v/>
      </c>
      <c r="NE32">
        <f>IF(COUNTIF('Buyer Groups'!DG32:DS32,0)+COUNTIF('Buyer Groups'!DU32:EN32,0)&gt;0,0,1)</f>
        <v/>
      </c>
      <c r="NF32">
        <f>IF($CB$32="",FALSE,SUMPRODUCT(('Final Calculation Sheet'!$N$4:$N$40=$CB$32)*($NE$6:$NE$42=1))&gt;0)</f>
        <v/>
      </c>
      <c r="NG32">
        <f>$NG$31+--($NF32)</f>
        <v/>
      </c>
      <c r="NH32">
        <f>IF(ROW()-3&gt;MAX($NG$4:$NG$40),"",INDEX($CB$4:$CB$40,MATCH(ROW()-3,$NG$4:$NG$40,0)))</f>
        <v/>
      </c>
      <c r="NI32">
        <f>IF(COUNTIF('Buyer Groups'!DG32:DT32,0)+COUNTIF('Buyer Groups'!DV32:EN32,0)&gt;0,0,1)</f>
        <v/>
      </c>
      <c r="NJ32">
        <f>IF($CG$32="",FALSE,SUMPRODUCT(('Final Calculation Sheet'!$O$4:$O$40=$CG$32)*($NI$6:$NI$42=1))&gt;0)</f>
        <v/>
      </c>
      <c r="NK32">
        <f>$NK$31+--($NJ32)</f>
        <v/>
      </c>
      <c r="NL32">
        <f>IF(ROW()-3&gt;MAX($NK$4:$NK$40),"",INDEX($CG$4:$CG$40,MATCH(ROW()-3,$NK$4:$NK$40,0)))</f>
        <v/>
      </c>
      <c r="NM32">
        <f>IF(COUNTIF('Buyer Groups'!DG32:DU32,0)+COUNTIF('Buyer Groups'!DW32:EN32,0)&gt;0,0,1)</f>
        <v/>
      </c>
      <c r="NN32">
        <f>IF($CL$32="",FALSE,SUMPRODUCT(('Final Calculation Sheet'!$P$4:$P$40=$CL$32)*($NM$6:$NM$42=1))&gt;0)</f>
        <v/>
      </c>
      <c r="NO32">
        <f>$NO$31+--($NN32)</f>
        <v/>
      </c>
      <c r="NP32">
        <f>IF(ROW()-3&gt;MAX($NO$4:$NO$40),"",INDEX($CL$4:$CL$40,MATCH(ROW()-3,$NO$4:$NO$40,0)))</f>
        <v/>
      </c>
      <c r="NQ32">
        <f>IF(COUNTIF('Buyer Groups'!DG32:DV32,0)+COUNTIF('Buyer Groups'!DX32:EN32,0)&gt;0,0,1)</f>
        <v/>
      </c>
      <c r="NR32">
        <f>IF($CQ$32="",FALSE,SUMPRODUCT(('Final Calculation Sheet'!$Q$4:$Q$40=$CQ$32)*($NQ$6:$NQ$42=1))&gt;0)</f>
        <v/>
      </c>
      <c r="NS32">
        <f>$NS$31+--($NR32)</f>
        <v/>
      </c>
      <c r="NT32">
        <f>IF(ROW()-3&gt;MAX($NS$4:$NS$40),"",INDEX($CQ$4:$CQ$40,MATCH(ROW()-3,$NS$4:$NS$40,0)))</f>
        <v/>
      </c>
      <c r="NU32">
        <f>IF(COUNTIF('Buyer Groups'!DG32:DW32,0)+COUNTIF('Buyer Groups'!DY32:EN32,0)&gt;0,0,1)</f>
        <v/>
      </c>
      <c r="NV32">
        <f>IF($CV$32="",FALSE,SUMPRODUCT(('Final Calculation Sheet'!$R$4:$R$40=$CV$32)*($NU$6:$NU$42=1))&gt;0)</f>
        <v/>
      </c>
      <c r="NW32">
        <f>$NW$31+--($NV32)</f>
        <v/>
      </c>
      <c r="NX32">
        <f>IF(ROW()-3&gt;MAX($NW$4:$NW$40),"",INDEX($CV$4:$CV$40,MATCH(ROW()-3,$NW$4:$NW$40,0)))</f>
        <v/>
      </c>
      <c r="NY32">
        <f>IF(COUNTIF('Buyer Groups'!DG32:DX32,0)+COUNTIF('Buyer Groups'!DZ32:EN32,0)&gt;0,0,1)</f>
        <v/>
      </c>
      <c r="NZ32">
        <f>IF($DA$32="",FALSE,SUMPRODUCT(('Final Calculation Sheet'!$S$4:$S$40=$DA$32)*($NY$6:$NY$42=1))&gt;0)</f>
        <v/>
      </c>
      <c r="OA32">
        <f>$OA$31+--($NZ32)</f>
        <v/>
      </c>
      <c r="OB32">
        <f>IF(ROW()-3&gt;MAX($OA$4:$OA$40),"",INDEX($DA$4:$DA$40,MATCH(ROW()-3,$OA$4:$OA$40,0)))</f>
        <v/>
      </c>
      <c r="OC32">
        <f>IF(COUNTIF('Buyer Groups'!DG32:DY32,0)+COUNTIF('Buyer Groups'!EA32:EN32,0)&gt;0,0,1)</f>
        <v/>
      </c>
      <c r="OD32">
        <f>IF($DF$32="",FALSE,SUMPRODUCT(('Final Calculation Sheet'!$T$4:$T$40=$DF$32)*($OC$6:$OC$42=1))&gt;0)</f>
        <v/>
      </c>
      <c r="OE32">
        <f>$OE$31+--($OD32)</f>
        <v/>
      </c>
      <c r="OF32">
        <f>IF(ROW()-3&gt;MAX($OE$4:$OE$40),"",INDEX($DF$4:$DF$40,MATCH(ROW()-3,$OE$4:$OE$40,0)))</f>
        <v/>
      </c>
      <c r="OG32">
        <f>IF(COUNTIF('Buyer Groups'!DG32:DZ32,0)+COUNTIF('Buyer Groups'!EB32:EN32,0)&gt;0,0,1)</f>
        <v/>
      </c>
      <c r="OH32">
        <f>IF($DK$32="",FALSE,SUMPRODUCT(('Final Calculation Sheet'!$U$4:$U$40=$DK$32)*($OG$6:$OG$42=1))&gt;0)</f>
        <v/>
      </c>
      <c r="OI32">
        <f>$OI$31+--($OH32)</f>
        <v/>
      </c>
      <c r="OJ32">
        <f>IF(ROW()-3&gt;MAX($OI$4:$OI$40),"",INDEX($DK$4:$DK$40,MATCH(ROW()-3,$OI$4:$OI$40,0)))</f>
        <v/>
      </c>
      <c r="OK32">
        <f>IF(COUNTIF('Buyer Groups'!DG32:EA32,0)+COUNTIF('Buyer Groups'!EC32:EN32,0)&gt;0,0,1)</f>
        <v/>
      </c>
      <c r="OL32">
        <f>IF($DP$32="",FALSE,SUMPRODUCT(('Final Calculation Sheet'!$V$4:$V$40=$DP$32)*($OK$6:$OK$42=1))&gt;0)</f>
        <v/>
      </c>
      <c r="OM32">
        <f>$OM$31+--($OL32)</f>
        <v/>
      </c>
      <c r="ON32">
        <f>IF(ROW()-3&gt;MAX($OM$4:$OM$40),"",INDEX($DP$4:$DP$40,MATCH(ROW()-3,$OM$4:$OM$40,0)))</f>
        <v/>
      </c>
      <c r="OO32">
        <f>IF(COUNTIF('Buyer Groups'!DG32:EB32,0)+COUNTIF('Buyer Groups'!ED32:EN32,0)&gt;0,0,1)</f>
        <v/>
      </c>
      <c r="OP32">
        <f>IF($DU$32="",FALSE,SUMPRODUCT(('Final Calculation Sheet'!$W$4:$W$40=$DU$32)*($OO$6:$OO$42=1))&gt;0)</f>
        <v/>
      </c>
      <c r="OQ32">
        <f>$OQ$31+--($OP32)</f>
        <v/>
      </c>
      <c r="OR32">
        <f>IF(ROW()-3&gt;MAX($OQ$4:$OQ$40),"",INDEX($DU$4:$DU$40,MATCH(ROW()-3,$OQ$4:$OQ$40,0)))</f>
        <v/>
      </c>
      <c r="OS32">
        <f>IF(COUNTIF('Buyer Groups'!DG32:EC32,0)+COUNTIF('Buyer Groups'!EE32:EN32,0)&gt;0,0,1)</f>
        <v/>
      </c>
      <c r="OT32">
        <f>IF($DZ$32="",FALSE,SUMPRODUCT(('Final Calculation Sheet'!$X$4:$X$40=$DZ$32)*($OS$6:$OS$42=1))&gt;0)</f>
        <v/>
      </c>
      <c r="OU32">
        <f>$OU$31+--($OT32)</f>
        <v/>
      </c>
      <c r="OV32">
        <f>IF(ROW()-3&gt;MAX($OU$4:$OU$40),"",INDEX($DZ$4:$DZ$40,MATCH(ROW()-3,$OU$4:$OU$40,0)))</f>
        <v/>
      </c>
      <c r="OW32">
        <f>IF(COUNTIF('Buyer Groups'!DG32:ED32,0)+COUNTIF('Buyer Groups'!EF32:EN32,0)&gt;0,0,1)</f>
        <v/>
      </c>
      <c r="OX32">
        <f>IF($EE$32="",FALSE,SUMPRODUCT(('Final Calculation Sheet'!$Y$4:$Y$40=$EE$32)*($OW$6:$OW$42=1))&gt;0)</f>
        <v/>
      </c>
      <c r="OY32">
        <f>$OY$31+--($OX32)</f>
        <v/>
      </c>
      <c r="OZ32">
        <f>IF(ROW()-3&gt;MAX($OY$4:$OY$40),"",INDEX($EE$4:$EE$40,MATCH(ROW()-3,$OY$4:$OY$40,0)))</f>
        <v/>
      </c>
      <c r="PA32">
        <f>IF(COUNTIF('Buyer Groups'!DG32:EE32,0)+COUNTIF('Buyer Groups'!EG32:EN32,0)&gt;0,0,1)</f>
        <v/>
      </c>
      <c r="PB32">
        <f>IF($EJ$32="",FALSE,SUMPRODUCT(('Final Calculation Sheet'!$Z$4:$Z$40=$EJ$32)*($PA$6:$PA$42=1))&gt;0)</f>
        <v/>
      </c>
      <c r="PC32">
        <f>$PC$31+--($PB32)</f>
        <v/>
      </c>
      <c r="PD32">
        <f>IF(ROW()-3&gt;MAX($PC$4:$PC$40),"",INDEX($EJ$4:$EJ$40,MATCH(ROW()-3,$PC$4:$PC$40,0)))</f>
        <v/>
      </c>
      <c r="PE32">
        <f>IF(COUNTIF('Buyer Groups'!DG32:EF32,0)+COUNTIF('Buyer Groups'!EH32:EN32,0)&gt;0,0,1)</f>
        <v/>
      </c>
      <c r="PF32">
        <f>IF($EO$32="",FALSE,SUMPRODUCT(('Final Calculation Sheet'!$AA$4:$AA$40=$EO$32)*($PE$6:$PE$42=1))&gt;0)</f>
        <v/>
      </c>
      <c r="PG32">
        <f>$PG$31+--($PF32)</f>
        <v/>
      </c>
      <c r="PH32">
        <f>IF(ROW()-3&gt;MAX($PG$4:$PG$40),"",INDEX($EO$4:$EO$40,MATCH(ROW()-3,$PG$4:$PG$40,0)))</f>
        <v/>
      </c>
      <c r="PI32">
        <f>IF(COUNTIF('Buyer Groups'!DG32:EG32,0)+COUNTIF('Buyer Groups'!EI32:EN32,0)&gt;0,0,1)</f>
        <v/>
      </c>
      <c r="PJ32">
        <f>IF($ET$32="",FALSE,SUMPRODUCT(('Final Calculation Sheet'!$AB$4:$AB$40=$ET$32)*($PI$6:$PI$42=1))&gt;0)</f>
        <v/>
      </c>
      <c r="PK32">
        <f>$PK$31+--($PJ32)</f>
        <v/>
      </c>
      <c r="PL32">
        <f>IF(ROW()-3&gt;MAX($PK$4:$PK$40),"",INDEX($ET$4:$ET$40,MATCH(ROW()-3,$PK$4:$PK$40,0)))</f>
        <v/>
      </c>
      <c r="PM32">
        <f>IF(COUNTIF('Buyer Groups'!DG32:EH32,0)+COUNTIF('Buyer Groups'!EJ32:EN32,0)&gt;0,0,1)</f>
        <v/>
      </c>
      <c r="PN32">
        <f>IF($EY$32="",FALSE,SUMPRODUCT(('Final Calculation Sheet'!$AC$4:$AC$40=$EY$32)*($PM$6:$PM$42=1))&gt;0)</f>
        <v/>
      </c>
      <c r="PO32">
        <f>$PO$31+--($PN32)</f>
        <v/>
      </c>
      <c r="PP32">
        <f>IF(ROW()-3&gt;MAX($PO$4:$PO$40),"",INDEX($EY$4:$EY$40,MATCH(ROW()-3,$PO$4:$PO$40,0)))</f>
        <v/>
      </c>
      <c r="PQ32">
        <f>IF(COUNTIF('Buyer Groups'!DG32:EI32,0)+COUNTIF('Buyer Groups'!EK32:EN32,0)&gt;0,0,1)</f>
        <v/>
      </c>
      <c r="PR32">
        <f>IF($FD$32="",FALSE,SUMPRODUCT(('Final Calculation Sheet'!$AD$4:$AD$40=$FD$32)*($PQ$6:$PQ$42=1))&gt;0)</f>
        <v/>
      </c>
      <c r="PS32">
        <f>$PS$31+--($PR32)</f>
        <v/>
      </c>
      <c r="PT32">
        <f>IF(ROW()-3&gt;MAX($PS$4:$PS$40),"",INDEX($FD$4:$FD$40,MATCH(ROW()-3,$PS$4:$PS$40,0)))</f>
        <v/>
      </c>
      <c r="PU32">
        <f>IF(COUNTIF('Buyer Groups'!DG32:EJ32,0)+COUNTIF('Buyer Groups'!EL32:EN32,0)&gt;0,0,1)</f>
        <v/>
      </c>
      <c r="PV32">
        <f>IF($FX$32="",FALSE,SUMPRODUCT((IF('Final Calculation Sheet'!$AD$4:$AD$40&lt;=5,"SETTLED","OUTSTANDING")=$FX$32)*($PU$6:$PU$42=1))&gt;0)</f>
        <v/>
      </c>
      <c r="PW32">
        <f>$PW$31+--($PV32)</f>
        <v/>
      </c>
      <c r="PX32">
        <f>IF(ROW()-3&gt;MAX($PW$4:$PW$40),"",INDEX($FX$4:$FX$40,MATCH(ROW()-3,$PW$4:$PW$40,0)))</f>
        <v/>
      </c>
      <c r="PY32">
        <f>IF(COUNTIF('Buyer Groups'!DG32:EK32,0)+COUNTIF('Buyer Groups'!EM32:EN32,0)&gt;0,0,1)</f>
        <v/>
      </c>
      <c r="PZ32">
        <f>IF($FI$32="",FALSE,SUMPRODUCT(('Final Calculation Sheet'!$AF$4:$AF$40=$FI$32)*($PY$6:$PY$42=1))&gt;0)</f>
        <v/>
      </c>
      <c r="QA32">
        <f>$QA$31+--($PZ32)</f>
        <v/>
      </c>
      <c r="QB32">
        <f>IF(ROW()-3&gt;MAX($QA$4:$QA$40),"",INDEX($FI$4:$FI$40,MATCH(ROW()-3,$QA$4:$QA$40,0)))</f>
        <v/>
      </c>
      <c r="QC32">
        <f>IF(COUNTIF('Buyer Groups'!DG32:EL32,0)+COUNTIF('Buyer Groups'!EN32:EN32,0)&gt;0,0,1)</f>
        <v/>
      </c>
      <c r="QD32">
        <f>IF($FN$32="",FALSE,SUMPRODUCT(('Final Calculation Sheet'!$AG$4:$AG$40=$FN$32)*($QC$6:$QC$42=1))&gt;0)</f>
        <v/>
      </c>
      <c r="QE32">
        <f>$QE$31+--($QD32)</f>
        <v/>
      </c>
      <c r="QF32">
        <f>IF(ROW()-3&gt;MAX($QE$4:$QE$40),"",INDEX($FN$4:$FN$40,MATCH(ROW()-3,$QE$4:$QE$40,0)))</f>
        <v/>
      </c>
      <c r="QG32">
        <f>IF(COUNTIF('Buyer Groups'!DG32:EM32,0)&gt;0,0,1)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Groups'!DH33:EN33,0)&gt;0,0,1)</f>
        <v/>
      </c>
      <c r="LF33">
        <f>IF($O$33="",FALSE,SUMPRODUCT(('Final Calculation Sheet'!$F$4:$F$40=$O$33)*($LE$6:$LE$42=1))&gt;0)</f>
        <v/>
      </c>
      <c r="LG33">
        <f>$LG$32+--($LF33)</f>
        <v/>
      </c>
      <c r="LH33">
        <f>IF(ROW()-3&gt;MAX($LG$4:$LG$40),"",INDEX($O$4:$O$40,MATCH(ROW()-3,$LG$4:$LG$40,0)))</f>
        <v/>
      </c>
      <c r="LI33">
        <f>IF(COUNTIF('Buyer Groups'!DG33:DG33,0)+COUNTIF('Buyer Groups'!DI33:EN33,0)&gt;0,0,1)</f>
        <v/>
      </c>
      <c r="LJ33">
        <f>IF($T$33="",FALSE,SUMPRODUCT(('Final Calculation Sheet'!$G$4:$G$40=$T$33)*($LI$6:$LI$42=1))&gt;0)</f>
        <v/>
      </c>
      <c r="LK33">
        <f>$LK$32+--($LJ33)</f>
        <v/>
      </c>
      <c r="LL33">
        <f>IF(ROW()-3&gt;MAX($LK$4:$LK$40),"",INDEX($T$4:$T$40,MATCH(ROW()-3,$LK$4:$LK$40,0)))</f>
        <v/>
      </c>
      <c r="LM33">
        <f>IF(COUNTIF('Buyer Groups'!DG33:DH33,0)+COUNTIF('Buyer Groups'!DJ33:EN33,0)&gt;0,0,1)</f>
        <v/>
      </c>
      <c r="LN33">
        <f>IF($Y$33="",FALSE,SUMPRODUCT(('Final Calculation Sheet'!$B$4:$B$40=$Y$33)*($LM$6:$LM$42=1))&gt;0)</f>
        <v/>
      </c>
      <c r="LO33">
        <f>$LO$32+--($LN33)</f>
        <v/>
      </c>
      <c r="LP33">
        <f>IF(ROW()-3&gt;MAX($LO$4:$LO$40),"",INDEX($Y$4:$Y$40,MATCH(ROW()-3,$LO$4:$LO$40,0)))</f>
        <v/>
      </c>
      <c r="LQ33">
        <f>IF(COUNTIF('Buyer Groups'!DG33:DI33,0)+COUNTIF('Buyer Groups'!DK33:EN33,0)&gt;0,0,1)</f>
        <v/>
      </c>
      <c r="LR33">
        <f>IF($AD$33="",FALSE,SUMPRODUCT(('Final Calculation Sheet'!$D$4:$D$40=$AD$33)*($LQ$6:$LQ$42=1))&gt;0)</f>
        <v/>
      </c>
      <c r="LS33">
        <f>$LS$32+--($LR33)</f>
        <v/>
      </c>
      <c r="LT33">
        <f>IF(ROW()-3&gt;MAX($LS$4:$LS$40),"",INDEX($AD$4:$AD$40,MATCH(ROW()-3,$LS$4:$LS$40,0)))</f>
        <v/>
      </c>
      <c r="LU33">
        <f>IF(COUNTIF('Buyer Groups'!DG33:DJ33,0)+COUNTIF('Buyer Groups'!DL33:EN33,0)&gt;0,0,1)</f>
        <v/>
      </c>
      <c r="LV33">
        <f>IF($AI$33="",FALSE,SUMPRODUCT(('Final Calculation Sheet'!$A$4:$A$40=$AI$33)*($LU$6:$LU$42=1))&gt;0)</f>
        <v/>
      </c>
      <c r="LW33">
        <f>$LW$32+--($LV33)</f>
        <v/>
      </c>
      <c r="LX33">
        <f>IF(ROW()-3&gt;MAX($LW$4:$LW$40),"",INDEX($AI$4:$AI$40,MATCH(ROW()-3,$LW$4:$LW$40,0)))</f>
        <v/>
      </c>
      <c r="LY33">
        <f>IF(COUNTIF('Buyer Groups'!DG33:DK33,0)+COUNTIF('Buyer Groups'!DM33:EN33,0)&gt;0,0,1)</f>
        <v/>
      </c>
      <c r="LZ33">
        <f>IF($AN$33="",FALSE,SUMPRODUCT(('Final Calculation Sheet'!$E$4:$E$40=$AN$33)*($LY$6:$LY$42=1))&gt;0)</f>
        <v/>
      </c>
      <c r="MA33">
        <f>$MA$32+--($LZ33)</f>
        <v/>
      </c>
      <c r="MB33">
        <f>IF(ROW()-3&gt;MAX($MA$4:$MA$40),"",INDEX($AN$4:$AN$40,MATCH(ROW()-3,$MA$4:$MA$40,0)))</f>
        <v/>
      </c>
      <c r="MC33">
        <f>IF(COUNTIF('Buyer Groups'!DG33:DL33,0)+COUNTIF('Buyer Groups'!DN33:EN33,0)&gt;0,0,1)</f>
        <v/>
      </c>
      <c r="MD33">
        <f>IF($AS$33="",FALSE,SUMPRODUCT(('Final Calculation Sheet'!$C$4:$C$40=$AS$33)*($MC$6:$MC$42=1))&gt;0)</f>
        <v/>
      </c>
      <c r="ME33">
        <f>$ME$32+--($MD33)</f>
        <v/>
      </c>
      <c r="MF33">
        <f>IF(ROW()-3&gt;MAX($ME$4:$ME$40),"",INDEX($AS$4:$AS$40,MATCH(ROW()-3,$ME$4:$ME$40,0)))</f>
        <v/>
      </c>
      <c r="MG33">
        <f>IF(COUNTIF('Buyer Groups'!DG33:DM33,0)+COUNTIF('Buyer Groups'!DO33:EN33,0)&gt;0,0,1)</f>
        <v/>
      </c>
      <c r="MH33">
        <f>IF($AX$33="",FALSE,SUMPRODUCT(('Final Calculation Sheet'!$H$4:$H$40=$AX$33)*($MG$6:$MG$42=1))&gt;0)</f>
        <v/>
      </c>
      <c r="MI33">
        <f>$MI$32+--($MH33)</f>
        <v/>
      </c>
      <c r="MJ33">
        <f>IF(ROW()-3&gt;MAX($MI$4:$MI$40),"",INDEX($AX$4:$AX$40,MATCH(ROW()-3,$MI$4:$MI$40,0)))</f>
        <v/>
      </c>
      <c r="MK33">
        <f>IF(COUNTIF('Buyer Groups'!DG33:DN33,0)+COUNTIF('Buyer Groups'!DP33:EN33,0)&gt;0,0,1)</f>
        <v/>
      </c>
      <c r="ML33">
        <f>IF($BC$33="",FALSE,SUMPRODUCT(('Final Calculation Sheet'!$I$4:$I$40=$BC$33)*($MK$6:$MK$42=1))&gt;0)</f>
        <v/>
      </c>
      <c r="MM33">
        <f>$MM$32+--($ML33)</f>
        <v/>
      </c>
      <c r="MN33">
        <f>IF(ROW()-3&gt;MAX($MM$4:$MM$40),"",INDEX($BC$4:$BC$40,MATCH(ROW()-3,$MM$4:$MM$40,0)))</f>
        <v/>
      </c>
      <c r="MO33">
        <f>IF(COUNTIF('Buyer Groups'!DG33:DO33,0)+COUNTIF('Buyer Groups'!DQ33:EN33,0)&gt;0,0,1)</f>
        <v/>
      </c>
      <c r="MP33">
        <f>IF($BH$33="",FALSE,SUMPRODUCT(('Final Calculation Sheet'!$J$4:$J$40=$BH$33)*($MO$6:$MO$42=1))&gt;0)</f>
        <v/>
      </c>
      <c r="MQ33">
        <f>$MQ$32+--($MP33)</f>
        <v/>
      </c>
      <c r="MR33">
        <f>IF(ROW()-3&gt;MAX($MQ$4:$MQ$40),"",INDEX($BH$4:$BH$40,MATCH(ROW()-3,$MQ$4:$MQ$40,0)))</f>
        <v/>
      </c>
      <c r="MS33">
        <f>IF(COUNTIF('Buyer Groups'!DG33:DP33,0)+COUNTIF('Buyer Groups'!DR33:EN33,0)&gt;0,0,1)</f>
        <v/>
      </c>
      <c r="MT33">
        <f>IF($BM$33="",FALSE,SUMPRODUCT(('Final Calculation Sheet'!$K$4:$K$40=$BM$33)*($MS$6:$MS$42=1))&gt;0)</f>
        <v/>
      </c>
      <c r="MU33">
        <f>$MU$32+--($MT33)</f>
        <v/>
      </c>
      <c r="MV33">
        <f>IF(ROW()-3&gt;MAX($MU$4:$MU$40),"",INDEX($BM$4:$BM$40,MATCH(ROW()-3,$MU$4:$MU$40,0)))</f>
        <v/>
      </c>
      <c r="MW33">
        <f>IF(COUNTIF('Buyer Groups'!DG33:DQ33,0)+COUNTIF('Buyer Groups'!DS33:EN33,0)&gt;0,0,1)</f>
        <v/>
      </c>
      <c r="MX33">
        <f>IF($BR$33="",FALSE,SUMPRODUCT(('Final Calculation Sheet'!$L$4:$L$40=$BR$33)*($MW$6:$MW$42=1))&gt;0)</f>
        <v/>
      </c>
      <c r="MY33">
        <f>$MY$32+--($MX33)</f>
        <v/>
      </c>
      <c r="MZ33">
        <f>IF(ROW()-3&gt;MAX($MY$4:$MY$40),"",INDEX($BR$4:$BR$40,MATCH(ROW()-3,$MY$4:$MY$40,0)))</f>
        <v/>
      </c>
      <c r="NA33">
        <f>IF(COUNTIF('Buyer Groups'!DG33:DR33,0)+COUNTIF('Buyer Groups'!DT33:EN33,0)&gt;0,0,1)</f>
        <v/>
      </c>
      <c r="NB33">
        <f>IF($BW$33="",FALSE,SUMPRODUCT(('Final Calculation Sheet'!$M$4:$M$40=$BW$33)*($NA$6:$NA$42=1))&gt;0)</f>
        <v/>
      </c>
      <c r="NC33">
        <f>$NC$32+--($NB33)</f>
        <v/>
      </c>
      <c r="ND33">
        <f>IF(ROW()-3&gt;MAX($NC$4:$NC$40),"",INDEX($BW$4:$BW$40,MATCH(ROW()-3,$NC$4:$NC$40,0)))</f>
        <v/>
      </c>
      <c r="NE33">
        <f>IF(COUNTIF('Buyer Groups'!DG33:DS33,0)+COUNTIF('Buyer Groups'!DU33:EN33,0)&gt;0,0,1)</f>
        <v/>
      </c>
      <c r="NF33">
        <f>IF($CB$33="",FALSE,SUMPRODUCT(('Final Calculation Sheet'!$N$4:$N$40=$CB$33)*($NE$6:$NE$42=1))&gt;0)</f>
        <v/>
      </c>
      <c r="NG33">
        <f>$NG$32+--($NF33)</f>
        <v/>
      </c>
      <c r="NH33">
        <f>IF(ROW()-3&gt;MAX($NG$4:$NG$40),"",INDEX($CB$4:$CB$40,MATCH(ROW()-3,$NG$4:$NG$40,0)))</f>
        <v/>
      </c>
      <c r="NI33">
        <f>IF(COUNTIF('Buyer Groups'!DG33:DT33,0)+COUNTIF('Buyer Groups'!DV33:EN33,0)&gt;0,0,1)</f>
        <v/>
      </c>
      <c r="NJ33">
        <f>IF($CG$33="",FALSE,SUMPRODUCT(('Final Calculation Sheet'!$O$4:$O$40=$CG$33)*($NI$6:$NI$42=1))&gt;0)</f>
        <v/>
      </c>
      <c r="NK33">
        <f>$NK$32+--($NJ33)</f>
        <v/>
      </c>
      <c r="NL33">
        <f>IF(ROW()-3&gt;MAX($NK$4:$NK$40),"",INDEX($CG$4:$CG$40,MATCH(ROW()-3,$NK$4:$NK$40,0)))</f>
        <v/>
      </c>
      <c r="NM33">
        <f>IF(COUNTIF('Buyer Groups'!DG33:DU33,0)+COUNTIF('Buyer Groups'!DW33:EN33,0)&gt;0,0,1)</f>
        <v/>
      </c>
      <c r="NN33">
        <f>IF($CL$33="",FALSE,SUMPRODUCT(('Final Calculation Sheet'!$P$4:$P$40=$CL$33)*($NM$6:$NM$42=1))&gt;0)</f>
        <v/>
      </c>
      <c r="NO33">
        <f>$NO$32+--($NN33)</f>
        <v/>
      </c>
      <c r="NP33">
        <f>IF(ROW()-3&gt;MAX($NO$4:$NO$40),"",INDEX($CL$4:$CL$40,MATCH(ROW()-3,$NO$4:$NO$40,0)))</f>
        <v/>
      </c>
      <c r="NQ33">
        <f>IF(COUNTIF('Buyer Groups'!DG33:DV33,0)+COUNTIF('Buyer Groups'!DX33:EN33,0)&gt;0,0,1)</f>
        <v/>
      </c>
      <c r="NR33">
        <f>IF($CQ$33="",FALSE,SUMPRODUCT(('Final Calculation Sheet'!$Q$4:$Q$40=$CQ$33)*($NQ$6:$NQ$42=1))&gt;0)</f>
        <v/>
      </c>
      <c r="NS33">
        <f>$NS$32+--($NR33)</f>
        <v/>
      </c>
      <c r="NT33">
        <f>IF(ROW()-3&gt;MAX($NS$4:$NS$40),"",INDEX($CQ$4:$CQ$40,MATCH(ROW()-3,$NS$4:$NS$40,0)))</f>
        <v/>
      </c>
      <c r="NU33">
        <f>IF(COUNTIF('Buyer Groups'!DG33:DW33,0)+COUNTIF('Buyer Groups'!DY33:EN33,0)&gt;0,0,1)</f>
        <v/>
      </c>
      <c r="NV33">
        <f>IF($CV$33="",FALSE,SUMPRODUCT(('Final Calculation Sheet'!$R$4:$R$40=$CV$33)*($NU$6:$NU$42=1))&gt;0)</f>
        <v/>
      </c>
      <c r="NW33">
        <f>$NW$32+--($NV33)</f>
        <v/>
      </c>
      <c r="NX33">
        <f>IF(ROW()-3&gt;MAX($NW$4:$NW$40),"",INDEX($CV$4:$CV$40,MATCH(ROW()-3,$NW$4:$NW$40,0)))</f>
        <v/>
      </c>
      <c r="NY33">
        <f>IF(COUNTIF('Buyer Groups'!DG33:DX33,0)+COUNTIF('Buyer Groups'!DZ33:EN33,0)&gt;0,0,1)</f>
        <v/>
      </c>
      <c r="NZ33">
        <f>IF($DA$33="",FALSE,SUMPRODUCT(('Final Calculation Sheet'!$S$4:$S$40=$DA$33)*($NY$6:$NY$42=1))&gt;0)</f>
        <v/>
      </c>
      <c r="OA33">
        <f>$OA$32+--($NZ33)</f>
        <v/>
      </c>
      <c r="OB33">
        <f>IF(ROW()-3&gt;MAX($OA$4:$OA$40),"",INDEX($DA$4:$DA$40,MATCH(ROW()-3,$OA$4:$OA$40,0)))</f>
        <v/>
      </c>
      <c r="OC33">
        <f>IF(COUNTIF('Buyer Groups'!DG33:DY33,0)+COUNTIF('Buyer Groups'!EA33:EN33,0)&gt;0,0,1)</f>
        <v/>
      </c>
      <c r="OD33">
        <f>IF($DF$33="",FALSE,SUMPRODUCT(('Final Calculation Sheet'!$T$4:$T$40=$DF$33)*($OC$6:$OC$42=1))&gt;0)</f>
        <v/>
      </c>
      <c r="OE33">
        <f>$OE$32+--($OD33)</f>
        <v/>
      </c>
      <c r="OF33">
        <f>IF(ROW()-3&gt;MAX($OE$4:$OE$40),"",INDEX($DF$4:$DF$40,MATCH(ROW()-3,$OE$4:$OE$40,0)))</f>
        <v/>
      </c>
      <c r="OG33">
        <f>IF(COUNTIF('Buyer Groups'!DG33:DZ33,0)+COUNTIF('Buyer Groups'!EB33:EN33,0)&gt;0,0,1)</f>
        <v/>
      </c>
      <c r="OH33">
        <f>IF($DK$33="",FALSE,SUMPRODUCT(('Final Calculation Sheet'!$U$4:$U$40=$DK$33)*($OG$6:$OG$42=1))&gt;0)</f>
        <v/>
      </c>
      <c r="OI33">
        <f>$OI$32+--($OH33)</f>
        <v/>
      </c>
      <c r="OJ33">
        <f>IF(ROW()-3&gt;MAX($OI$4:$OI$40),"",INDEX($DK$4:$DK$40,MATCH(ROW()-3,$OI$4:$OI$40,0)))</f>
        <v/>
      </c>
      <c r="OK33">
        <f>IF(COUNTIF('Buyer Groups'!DG33:EA33,0)+COUNTIF('Buyer Groups'!EC33:EN33,0)&gt;0,0,1)</f>
        <v/>
      </c>
      <c r="OL33">
        <f>IF($DP$33="",FALSE,SUMPRODUCT(('Final Calculation Sheet'!$V$4:$V$40=$DP$33)*($OK$6:$OK$42=1))&gt;0)</f>
        <v/>
      </c>
      <c r="OM33">
        <f>$OM$32+--($OL33)</f>
        <v/>
      </c>
      <c r="ON33">
        <f>IF(ROW()-3&gt;MAX($OM$4:$OM$40),"",INDEX($DP$4:$DP$40,MATCH(ROW()-3,$OM$4:$OM$40,0)))</f>
        <v/>
      </c>
      <c r="OO33">
        <f>IF(COUNTIF('Buyer Groups'!DG33:EB33,0)+COUNTIF('Buyer Groups'!ED33:EN33,0)&gt;0,0,1)</f>
        <v/>
      </c>
      <c r="OP33">
        <f>IF($DU$33="",FALSE,SUMPRODUCT(('Final Calculation Sheet'!$W$4:$W$40=$DU$33)*($OO$6:$OO$42=1))&gt;0)</f>
        <v/>
      </c>
      <c r="OQ33">
        <f>$OQ$32+--($OP33)</f>
        <v/>
      </c>
      <c r="OR33">
        <f>IF(ROW()-3&gt;MAX($OQ$4:$OQ$40),"",INDEX($DU$4:$DU$40,MATCH(ROW()-3,$OQ$4:$OQ$40,0)))</f>
        <v/>
      </c>
      <c r="OS33">
        <f>IF(COUNTIF('Buyer Groups'!DG33:EC33,0)+COUNTIF('Buyer Groups'!EE33:EN33,0)&gt;0,0,1)</f>
        <v/>
      </c>
      <c r="OT33">
        <f>IF($DZ$33="",FALSE,SUMPRODUCT(('Final Calculation Sheet'!$X$4:$X$40=$DZ$33)*($OS$6:$OS$42=1))&gt;0)</f>
        <v/>
      </c>
      <c r="OU33">
        <f>$OU$32+--($OT33)</f>
        <v/>
      </c>
      <c r="OV33">
        <f>IF(ROW()-3&gt;MAX($OU$4:$OU$40),"",INDEX($DZ$4:$DZ$40,MATCH(ROW()-3,$OU$4:$OU$40,0)))</f>
        <v/>
      </c>
      <c r="OW33">
        <f>IF(COUNTIF('Buyer Groups'!DG33:ED33,0)+COUNTIF('Buyer Groups'!EF33:EN33,0)&gt;0,0,1)</f>
        <v/>
      </c>
      <c r="OX33">
        <f>IF($EE$33="",FALSE,SUMPRODUCT(('Final Calculation Sheet'!$Y$4:$Y$40=$EE$33)*($OW$6:$OW$42=1))&gt;0)</f>
        <v/>
      </c>
      <c r="OY33">
        <f>$OY$32+--($OX33)</f>
        <v/>
      </c>
      <c r="OZ33">
        <f>IF(ROW()-3&gt;MAX($OY$4:$OY$40),"",INDEX($EE$4:$EE$40,MATCH(ROW()-3,$OY$4:$OY$40,0)))</f>
        <v/>
      </c>
      <c r="PA33">
        <f>IF(COUNTIF('Buyer Groups'!DG33:EE33,0)+COUNTIF('Buyer Groups'!EG33:EN33,0)&gt;0,0,1)</f>
        <v/>
      </c>
      <c r="PB33">
        <f>IF($EJ$33="",FALSE,SUMPRODUCT(('Final Calculation Sheet'!$Z$4:$Z$40=$EJ$33)*($PA$6:$PA$42=1))&gt;0)</f>
        <v/>
      </c>
      <c r="PC33">
        <f>$PC$32+--($PB33)</f>
        <v/>
      </c>
      <c r="PD33">
        <f>IF(ROW()-3&gt;MAX($PC$4:$PC$40),"",INDEX($EJ$4:$EJ$40,MATCH(ROW()-3,$PC$4:$PC$40,0)))</f>
        <v/>
      </c>
      <c r="PE33">
        <f>IF(COUNTIF('Buyer Groups'!DG33:EF33,0)+COUNTIF('Buyer Groups'!EH33:EN33,0)&gt;0,0,1)</f>
        <v/>
      </c>
      <c r="PF33">
        <f>IF($EO$33="",FALSE,SUMPRODUCT(('Final Calculation Sheet'!$AA$4:$AA$40=$EO$33)*($PE$6:$PE$42=1))&gt;0)</f>
        <v/>
      </c>
      <c r="PG33">
        <f>$PG$32+--($PF33)</f>
        <v/>
      </c>
      <c r="PH33">
        <f>IF(ROW()-3&gt;MAX($PG$4:$PG$40),"",INDEX($EO$4:$EO$40,MATCH(ROW()-3,$PG$4:$PG$40,0)))</f>
        <v/>
      </c>
      <c r="PI33">
        <f>IF(COUNTIF('Buyer Groups'!DG33:EG33,0)+COUNTIF('Buyer Groups'!EI33:EN33,0)&gt;0,0,1)</f>
        <v/>
      </c>
      <c r="PJ33">
        <f>IF($ET$33="",FALSE,SUMPRODUCT(('Final Calculation Sheet'!$AB$4:$AB$40=$ET$33)*($PI$6:$PI$42=1))&gt;0)</f>
        <v/>
      </c>
      <c r="PK33">
        <f>$PK$32+--($PJ33)</f>
        <v/>
      </c>
      <c r="PL33">
        <f>IF(ROW()-3&gt;MAX($PK$4:$PK$40),"",INDEX($ET$4:$ET$40,MATCH(ROW()-3,$PK$4:$PK$40,0)))</f>
        <v/>
      </c>
      <c r="PM33">
        <f>IF(COUNTIF('Buyer Groups'!DG33:EH33,0)+COUNTIF('Buyer Groups'!EJ33:EN33,0)&gt;0,0,1)</f>
        <v/>
      </c>
      <c r="PN33">
        <f>IF($EY$33="",FALSE,SUMPRODUCT(('Final Calculation Sheet'!$AC$4:$AC$40=$EY$33)*($PM$6:$PM$42=1))&gt;0)</f>
        <v/>
      </c>
      <c r="PO33">
        <f>$PO$32+--($PN33)</f>
        <v/>
      </c>
      <c r="PP33">
        <f>IF(ROW()-3&gt;MAX($PO$4:$PO$40),"",INDEX($EY$4:$EY$40,MATCH(ROW()-3,$PO$4:$PO$40,0)))</f>
        <v/>
      </c>
      <c r="PQ33">
        <f>IF(COUNTIF('Buyer Groups'!DG33:EI33,0)+COUNTIF('Buyer Groups'!EK33:EN33,0)&gt;0,0,1)</f>
        <v/>
      </c>
      <c r="PR33">
        <f>IF($FD$33="",FALSE,SUMPRODUCT(('Final Calculation Sheet'!$AD$4:$AD$40=$FD$33)*($PQ$6:$PQ$42=1))&gt;0)</f>
        <v/>
      </c>
      <c r="PS33">
        <f>$PS$32+--($PR33)</f>
        <v/>
      </c>
      <c r="PT33">
        <f>IF(ROW()-3&gt;MAX($PS$4:$PS$40),"",INDEX($FD$4:$FD$40,MATCH(ROW()-3,$PS$4:$PS$40,0)))</f>
        <v/>
      </c>
      <c r="PU33">
        <f>IF(COUNTIF('Buyer Groups'!DG33:EJ33,0)+COUNTIF('Buyer Groups'!EL33:EN33,0)&gt;0,0,1)</f>
        <v/>
      </c>
      <c r="PV33">
        <f>IF($FX$33="",FALSE,SUMPRODUCT((IF('Final Calculation Sheet'!$AD$4:$AD$40&lt;=5,"SETTLED","OUTSTANDING")=$FX$33)*($PU$6:$PU$42=1))&gt;0)</f>
        <v/>
      </c>
      <c r="PW33">
        <f>$PW$32+--($PV33)</f>
        <v/>
      </c>
      <c r="PX33">
        <f>IF(ROW()-3&gt;MAX($PW$4:$PW$40),"",INDEX($FX$4:$FX$40,MATCH(ROW()-3,$PW$4:$PW$40,0)))</f>
        <v/>
      </c>
      <c r="PY33">
        <f>IF(COUNTIF('Buyer Groups'!DG33:EK33,0)+COUNTIF('Buyer Groups'!EM33:EN33,0)&gt;0,0,1)</f>
        <v/>
      </c>
      <c r="PZ33">
        <f>IF($FI$33="",FALSE,SUMPRODUCT(('Final Calculation Sheet'!$AF$4:$AF$40=$FI$33)*($PY$6:$PY$42=1))&gt;0)</f>
        <v/>
      </c>
      <c r="QA33">
        <f>$QA$32+--($PZ33)</f>
        <v/>
      </c>
      <c r="QB33">
        <f>IF(ROW()-3&gt;MAX($QA$4:$QA$40),"",INDEX($FI$4:$FI$40,MATCH(ROW()-3,$QA$4:$QA$40,0)))</f>
        <v/>
      </c>
      <c r="QC33">
        <f>IF(COUNTIF('Buyer Groups'!DG33:EL33,0)+COUNTIF('Buyer Groups'!EN33:EN33,0)&gt;0,0,1)</f>
        <v/>
      </c>
      <c r="QD33">
        <f>IF($FN$33="",FALSE,SUMPRODUCT(('Final Calculation Sheet'!$AG$4:$AG$40=$FN$33)*($QC$6:$QC$42=1))&gt;0)</f>
        <v/>
      </c>
      <c r="QE33">
        <f>$QE$32+--($QD33)</f>
        <v/>
      </c>
      <c r="QF33">
        <f>IF(ROW()-3&gt;MAX($QE$4:$QE$40),"",INDEX($FN$4:$FN$40,MATCH(ROW()-3,$QE$4:$QE$40,0)))</f>
        <v/>
      </c>
      <c r="QG33">
        <f>IF(COUNTIF('Buyer Groups'!DG33:EM33,0)&gt;0,0,1)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Groups'!DH34:EN34,0)&gt;0,0,1)</f>
        <v/>
      </c>
      <c r="LF34">
        <f>IF($O$34="",FALSE,SUMPRODUCT(('Final Calculation Sheet'!$F$4:$F$40=$O$34)*($LE$6:$LE$42=1))&gt;0)</f>
        <v/>
      </c>
      <c r="LG34">
        <f>$LG$33+--($LF34)</f>
        <v/>
      </c>
      <c r="LH34">
        <f>IF(ROW()-3&gt;MAX($LG$4:$LG$40),"",INDEX($O$4:$O$40,MATCH(ROW()-3,$LG$4:$LG$40,0)))</f>
        <v/>
      </c>
      <c r="LI34">
        <f>IF(COUNTIF('Buyer Groups'!DG34:DG34,0)+COUNTIF('Buyer Groups'!DI34:EN34,0)&gt;0,0,1)</f>
        <v/>
      </c>
      <c r="LJ34">
        <f>IF($T$34="",FALSE,SUMPRODUCT(('Final Calculation Sheet'!$G$4:$G$40=$T$34)*($LI$6:$LI$42=1))&gt;0)</f>
        <v/>
      </c>
      <c r="LK34">
        <f>$LK$33+--($LJ34)</f>
        <v/>
      </c>
      <c r="LL34">
        <f>IF(ROW()-3&gt;MAX($LK$4:$LK$40),"",INDEX($T$4:$T$40,MATCH(ROW()-3,$LK$4:$LK$40,0)))</f>
        <v/>
      </c>
      <c r="LM34">
        <f>IF(COUNTIF('Buyer Groups'!DG34:DH34,0)+COUNTIF('Buyer Groups'!DJ34:EN34,0)&gt;0,0,1)</f>
        <v/>
      </c>
      <c r="LN34">
        <f>IF($Y$34="",FALSE,SUMPRODUCT(('Final Calculation Sheet'!$B$4:$B$40=$Y$34)*($LM$6:$LM$42=1))&gt;0)</f>
        <v/>
      </c>
      <c r="LO34">
        <f>$LO$33+--($LN34)</f>
        <v/>
      </c>
      <c r="LP34">
        <f>IF(ROW()-3&gt;MAX($LO$4:$LO$40),"",INDEX($Y$4:$Y$40,MATCH(ROW()-3,$LO$4:$LO$40,0)))</f>
        <v/>
      </c>
      <c r="LQ34">
        <f>IF(COUNTIF('Buyer Groups'!DG34:DI34,0)+COUNTIF('Buyer Groups'!DK34:EN34,0)&gt;0,0,1)</f>
        <v/>
      </c>
      <c r="LR34">
        <f>IF($AD$34="",FALSE,SUMPRODUCT(('Final Calculation Sheet'!$D$4:$D$40=$AD$34)*($LQ$6:$LQ$42=1))&gt;0)</f>
        <v/>
      </c>
      <c r="LS34">
        <f>$LS$33+--($LR34)</f>
        <v/>
      </c>
      <c r="LT34">
        <f>IF(ROW()-3&gt;MAX($LS$4:$LS$40),"",INDEX($AD$4:$AD$40,MATCH(ROW()-3,$LS$4:$LS$40,0)))</f>
        <v/>
      </c>
      <c r="LU34">
        <f>IF(COUNTIF('Buyer Groups'!DG34:DJ34,0)+COUNTIF('Buyer Groups'!DL34:EN34,0)&gt;0,0,1)</f>
        <v/>
      </c>
      <c r="LV34">
        <f>IF($AI$34="",FALSE,SUMPRODUCT(('Final Calculation Sheet'!$A$4:$A$40=$AI$34)*($LU$6:$LU$42=1))&gt;0)</f>
        <v/>
      </c>
      <c r="LW34">
        <f>$LW$33+--($LV34)</f>
        <v/>
      </c>
      <c r="LX34">
        <f>IF(ROW()-3&gt;MAX($LW$4:$LW$40),"",INDEX($AI$4:$AI$40,MATCH(ROW()-3,$LW$4:$LW$40,0)))</f>
        <v/>
      </c>
      <c r="LY34">
        <f>IF(COUNTIF('Buyer Groups'!DG34:DK34,0)+COUNTIF('Buyer Groups'!DM34:EN34,0)&gt;0,0,1)</f>
        <v/>
      </c>
      <c r="LZ34">
        <f>IF($AN$34="",FALSE,SUMPRODUCT(('Final Calculation Sheet'!$E$4:$E$40=$AN$34)*($LY$6:$LY$42=1))&gt;0)</f>
        <v/>
      </c>
      <c r="MA34">
        <f>$MA$33+--($LZ34)</f>
        <v/>
      </c>
      <c r="MB34">
        <f>IF(ROW()-3&gt;MAX($MA$4:$MA$40),"",INDEX($AN$4:$AN$40,MATCH(ROW()-3,$MA$4:$MA$40,0)))</f>
        <v/>
      </c>
      <c r="MC34">
        <f>IF(COUNTIF('Buyer Groups'!DG34:DL34,0)+COUNTIF('Buyer Groups'!DN34:EN34,0)&gt;0,0,1)</f>
        <v/>
      </c>
      <c r="MD34">
        <f>IF($AS$34="",FALSE,SUMPRODUCT(('Final Calculation Sheet'!$C$4:$C$40=$AS$34)*($MC$6:$MC$42=1))&gt;0)</f>
        <v/>
      </c>
      <c r="ME34">
        <f>$ME$33+--($MD34)</f>
        <v/>
      </c>
      <c r="MF34">
        <f>IF(ROW()-3&gt;MAX($ME$4:$ME$40),"",INDEX($AS$4:$AS$40,MATCH(ROW()-3,$ME$4:$ME$40,0)))</f>
        <v/>
      </c>
      <c r="MG34">
        <f>IF(COUNTIF('Buyer Groups'!DG34:DM34,0)+COUNTIF('Buyer Groups'!DO34:EN34,0)&gt;0,0,1)</f>
        <v/>
      </c>
      <c r="MH34">
        <f>IF($AX$34="",FALSE,SUMPRODUCT(('Final Calculation Sheet'!$H$4:$H$40=$AX$34)*($MG$6:$MG$42=1))&gt;0)</f>
        <v/>
      </c>
      <c r="MI34">
        <f>$MI$33+--($MH34)</f>
        <v/>
      </c>
      <c r="MJ34">
        <f>IF(ROW()-3&gt;MAX($MI$4:$MI$40),"",INDEX($AX$4:$AX$40,MATCH(ROW()-3,$MI$4:$MI$40,0)))</f>
        <v/>
      </c>
      <c r="MK34">
        <f>IF(COUNTIF('Buyer Groups'!DG34:DN34,0)+COUNTIF('Buyer Groups'!DP34:EN34,0)&gt;0,0,1)</f>
        <v/>
      </c>
      <c r="ML34">
        <f>IF($BC$34="",FALSE,SUMPRODUCT(('Final Calculation Sheet'!$I$4:$I$40=$BC$34)*($MK$6:$MK$42=1))&gt;0)</f>
        <v/>
      </c>
      <c r="MM34">
        <f>$MM$33+--($ML34)</f>
        <v/>
      </c>
      <c r="MN34">
        <f>IF(ROW()-3&gt;MAX($MM$4:$MM$40),"",INDEX($BC$4:$BC$40,MATCH(ROW()-3,$MM$4:$MM$40,0)))</f>
        <v/>
      </c>
      <c r="MO34">
        <f>IF(COUNTIF('Buyer Groups'!DG34:DO34,0)+COUNTIF('Buyer Groups'!DQ34:EN34,0)&gt;0,0,1)</f>
        <v/>
      </c>
      <c r="MP34">
        <f>IF($BH$34="",FALSE,SUMPRODUCT(('Final Calculation Sheet'!$J$4:$J$40=$BH$34)*($MO$6:$MO$42=1))&gt;0)</f>
        <v/>
      </c>
      <c r="MQ34">
        <f>$MQ$33+--($MP34)</f>
        <v/>
      </c>
      <c r="MR34">
        <f>IF(ROW()-3&gt;MAX($MQ$4:$MQ$40),"",INDEX($BH$4:$BH$40,MATCH(ROW()-3,$MQ$4:$MQ$40,0)))</f>
        <v/>
      </c>
      <c r="MS34">
        <f>IF(COUNTIF('Buyer Groups'!DG34:DP34,0)+COUNTIF('Buyer Groups'!DR34:EN34,0)&gt;0,0,1)</f>
        <v/>
      </c>
      <c r="MT34">
        <f>IF($BM$34="",FALSE,SUMPRODUCT(('Final Calculation Sheet'!$K$4:$K$40=$BM$34)*($MS$6:$MS$42=1))&gt;0)</f>
        <v/>
      </c>
      <c r="MU34">
        <f>$MU$33+--($MT34)</f>
        <v/>
      </c>
      <c r="MV34">
        <f>IF(ROW()-3&gt;MAX($MU$4:$MU$40),"",INDEX($BM$4:$BM$40,MATCH(ROW()-3,$MU$4:$MU$40,0)))</f>
        <v/>
      </c>
      <c r="MW34">
        <f>IF(COUNTIF('Buyer Groups'!DG34:DQ34,0)+COUNTIF('Buyer Groups'!DS34:EN34,0)&gt;0,0,1)</f>
        <v/>
      </c>
      <c r="MX34">
        <f>IF($BR$34="",FALSE,SUMPRODUCT(('Final Calculation Sheet'!$L$4:$L$40=$BR$34)*($MW$6:$MW$42=1))&gt;0)</f>
        <v/>
      </c>
      <c r="MY34">
        <f>$MY$33+--($MX34)</f>
        <v/>
      </c>
      <c r="MZ34">
        <f>IF(ROW()-3&gt;MAX($MY$4:$MY$40),"",INDEX($BR$4:$BR$40,MATCH(ROW()-3,$MY$4:$MY$40,0)))</f>
        <v/>
      </c>
      <c r="NA34">
        <f>IF(COUNTIF('Buyer Groups'!DG34:DR34,0)+COUNTIF('Buyer Groups'!DT34:EN34,0)&gt;0,0,1)</f>
        <v/>
      </c>
      <c r="NB34">
        <f>IF($BW$34="",FALSE,SUMPRODUCT(('Final Calculation Sheet'!$M$4:$M$40=$BW$34)*($NA$6:$NA$42=1))&gt;0)</f>
        <v/>
      </c>
      <c r="NC34">
        <f>$NC$33+--($NB34)</f>
        <v/>
      </c>
      <c r="ND34">
        <f>IF(ROW()-3&gt;MAX($NC$4:$NC$40),"",INDEX($BW$4:$BW$40,MATCH(ROW()-3,$NC$4:$NC$40,0)))</f>
        <v/>
      </c>
      <c r="NE34">
        <f>IF(COUNTIF('Buyer Groups'!DG34:DS34,0)+COUNTIF('Buyer Groups'!DU34:EN34,0)&gt;0,0,1)</f>
        <v/>
      </c>
      <c r="NF34">
        <f>IF($CB$34="",FALSE,SUMPRODUCT(('Final Calculation Sheet'!$N$4:$N$40=$CB$34)*($NE$6:$NE$42=1))&gt;0)</f>
        <v/>
      </c>
      <c r="NG34">
        <f>$NG$33+--($NF34)</f>
        <v/>
      </c>
      <c r="NH34">
        <f>IF(ROW()-3&gt;MAX($NG$4:$NG$40),"",INDEX($CB$4:$CB$40,MATCH(ROW()-3,$NG$4:$NG$40,0)))</f>
        <v/>
      </c>
      <c r="NI34">
        <f>IF(COUNTIF('Buyer Groups'!DG34:DT34,0)+COUNTIF('Buyer Groups'!DV34:EN34,0)&gt;0,0,1)</f>
        <v/>
      </c>
      <c r="NJ34">
        <f>IF($CG$34="",FALSE,SUMPRODUCT(('Final Calculation Sheet'!$O$4:$O$40=$CG$34)*($NI$6:$NI$42=1))&gt;0)</f>
        <v/>
      </c>
      <c r="NK34">
        <f>$NK$33+--($NJ34)</f>
        <v/>
      </c>
      <c r="NL34">
        <f>IF(ROW()-3&gt;MAX($NK$4:$NK$40),"",INDEX($CG$4:$CG$40,MATCH(ROW()-3,$NK$4:$NK$40,0)))</f>
        <v/>
      </c>
      <c r="NM34">
        <f>IF(COUNTIF('Buyer Groups'!DG34:DU34,0)+COUNTIF('Buyer Groups'!DW34:EN34,0)&gt;0,0,1)</f>
        <v/>
      </c>
      <c r="NN34">
        <f>IF($CL$34="",FALSE,SUMPRODUCT(('Final Calculation Sheet'!$P$4:$P$40=$CL$34)*($NM$6:$NM$42=1))&gt;0)</f>
        <v/>
      </c>
      <c r="NO34">
        <f>$NO$33+--($NN34)</f>
        <v/>
      </c>
      <c r="NP34">
        <f>IF(ROW()-3&gt;MAX($NO$4:$NO$40),"",INDEX($CL$4:$CL$40,MATCH(ROW()-3,$NO$4:$NO$40,0)))</f>
        <v/>
      </c>
      <c r="NQ34">
        <f>IF(COUNTIF('Buyer Groups'!DG34:DV34,0)+COUNTIF('Buyer Groups'!DX34:EN34,0)&gt;0,0,1)</f>
        <v/>
      </c>
      <c r="NR34">
        <f>IF($CQ$34="",FALSE,SUMPRODUCT(('Final Calculation Sheet'!$Q$4:$Q$40=$CQ$34)*($NQ$6:$NQ$42=1))&gt;0)</f>
        <v/>
      </c>
      <c r="NS34">
        <f>$NS$33+--($NR34)</f>
        <v/>
      </c>
      <c r="NT34">
        <f>IF(ROW()-3&gt;MAX($NS$4:$NS$40),"",INDEX($CQ$4:$CQ$40,MATCH(ROW()-3,$NS$4:$NS$40,0)))</f>
        <v/>
      </c>
      <c r="NU34">
        <f>IF(COUNTIF('Buyer Groups'!DG34:DW34,0)+COUNTIF('Buyer Groups'!DY34:EN34,0)&gt;0,0,1)</f>
        <v/>
      </c>
      <c r="NV34">
        <f>IF($CV$34="",FALSE,SUMPRODUCT(('Final Calculation Sheet'!$R$4:$R$40=$CV$34)*($NU$6:$NU$42=1))&gt;0)</f>
        <v/>
      </c>
      <c r="NW34">
        <f>$NW$33+--($NV34)</f>
        <v/>
      </c>
      <c r="NX34">
        <f>IF(ROW()-3&gt;MAX($NW$4:$NW$40),"",INDEX($CV$4:$CV$40,MATCH(ROW()-3,$NW$4:$NW$40,0)))</f>
        <v/>
      </c>
      <c r="NY34">
        <f>IF(COUNTIF('Buyer Groups'!DG34:DX34,0)+COUNTIF('Buyer Groups'!DZ34:EN34,0)&gt;0,0,1)</f>
        <v/>
      </c>
      <c r="NZ34">
        <f>IF($DA$34="",FALSE,SUMPRODUCT(('Final Calculation Sheet'!$S$4:$S$40=$DA$34)*($NY$6:$NY$42=1))&gt;0)</f>
        <v/>
      </c>
      <c r="OA34">
        <f>$OA$33+--($NZ34)</f>
        <v/>
      </c>
      <c r="OB34">
        <f>IF(ROW()-3&gt;MAX($OA$4:$OA$40),"",INDEX($DA$4:$DA$40,MATCH(ROW()-3,$OA$4:$OA$40,0)))</f>
        <v/>
      </c>
      <c r="OC34">
        <f>IF(COUNTIF('Buyer Groups'!DG34:DY34,0)+COUNTIF('Buyer Groups'!EA34:EN34,0)&gt;0,0,1)</f>
        <v/>
      </c>
      <c r="OD34">
        <f>IF($DF$34="",FALSE,SUMPRODUCT(('Final Calculation Sheet'!$T$4:$T$40=$DF$34)*($OC$6:$OC$42=1))&gt;0)</f>
        <v/>
      </c>
      <c r="OE34">
        <f>$OE$33+--($OD34)</f>
        <v/>
      </c>
      <c r="OF34">
        <f>IF(ROW()-3&gt;MAX($OE$4:$OE$40),"",INDEX($DF$4:$DF$40,MATCH(ROW()-3,$OE$4:$OE$40,0)))</f>
        <v/>
      </c>
      <c r="OG34">
        <f>IF(COUNTIF('Buyer Groups'!DG34:DZ34,0)+COUNTIF('Buyer Groups'!EB34:EN34,0)&gt;0,0,1)</f>
        <v/>
      </c>
      <c r="OH34">
        <f>IF($DK$34="",FALSE,SUMPRODUCT(('Final Calculation Sheet'!$U$4:$U$40=$DK$34)*($OG$6:$OG$42=1))&gt;0)</f>
        <v/>
      </c>
      <c r="OI34">
        <f>$OI$33+--($OH34)</f>
        <v/>
      </c>
      <c r="OJ34">
        <f>IF(ROW()-3&gt;MAX($OI$4:$OI$40),"",INDEX($DK$4:$DK$40,MATCH(ROW()-3,$OI$4:$OI$40,0)))</f>
        <v/>
      </c>
      <c r="OK34">
        <f>IF(COUNTIF('Buyer Groups'!DG34:EA34,0)+COUNTIF('Buyer Groups'!EC34:EN34,0)&gt;0,0,1)</f>
        <v/>
      </c>
      <c r="OL34">
        <f>IF($DP$34="",FALSE,SUMPRODUCT(('Final Calculation Sheet'!$V$4:$V$40=$DP$34)*($OK$6:$OK$42=1))&gt;0)</f>
        <v/>
      </c>
      <c r="OM34">
        <f>$OM$33+--($OL34)</f>
        <v/>
      </c>
      <c r="ON34">
        <f>IF(ROW()-3&gt;MAX($OM$4:$OM$40),"",INDEX($DP$4:$DP$40,MATCH(ROW()-3,$OM$4:$OM$40,0)))</f>
        <v/>
      </c>
      <c r="OO34">
        <f>IF(COUNTIF('Buyer Groups'!DG34:EB34,0)+COUNTIF('Buyer Groups'!ED34:EN34,0)&gt;0,0,1)</f>
        <v/>
      </c>
      <c r="OP34">
        <f>IF($DU$34="",FALSE,SUMPRODUCT(('Final Calculation Sheet'!$W$4:$W$40=$DU$34)*($OO$6:$OO$42=1))&gt;0)</f>
        <v/>
      </c>
      <c r="OQ34">
        <f>$OQ$33+--($OP34)</f>
        <v/>
      </c>
      <c r="OR34">
        <f>IF(ROW()-3&gt;MAX($OQ$4:$OQ$40),"",INDEX($DU$4:$DU$40,MATCH(ROW()-3,$OQ$4:$OQ$40,0)))</f>
        <v/>
      </c>
      <c r="OS34">
        <f>IF(COUNTIF('Buyer Groups'!DG34:EC34,0)+COUNTIF('Buyer Groups'!EE34:EN34,0)&gt;0,0,1)</f>
        <v/>
      </c>
      <c r="OT34">
        <f>IF($DZ$34="",FALSE,SUMPRODUCT(('Final Calculation Sheet'!$X$4:$X$40=$DZ$34)*($OS$6:$OS$42=1))&gt;0)</f>
        <v/>
      </c>
      <c r="OU34">
        <f>$OU$33+--($OT34)</f>
        <v/>
      </c>
      <c r="OV34">
        <f>IF(ROW()-3&gt;MAX($OU$4:$OU$40),"",INDEX($DZ$4:$DZ$40,MATCH(ROW()-3,$OU$4:$OU$40,0)))</f>
        <v/>
      </c>
      <c r="OW34">
        <f>IF(COUNTIF('Buyer Groups'!DG34:ED34,0)+COUNTIF('Buyer Groups'!EF34:EN34,0)&gt;0,0,1)</f>
        <v/>
      </c>
      <c r="OX34">
        <f>IF($EE$34="",FALSE,SUMPRODUCT(('Final Calculation Sheet'!$Y$4:$Y$40=$EE$34)*($OW$6:$OW$42=1))&gt;0)</f>
        <v/>
      </c>
      <c r="OY34">
        <f>$OY$33+--($OX34)</f>
        <v/>
      </c>
      <c r="OZ34">
        <f>IF(ROW()-3&gt;MAX($OY$4:$OY$40),"",INDEX($EE$4:$EE$40,MATCH(ROW()-3,$OY$4:$OY$40,0)))</f>
        <v/>
      </c>
      <c r="PA34">
        <f>IF(COUNTIF('Buyer Groups'!DG34:EE34,0)+COUNTIF('Buyer Groups'!EG34:EN34,0)&gt;0,0,1)</f>
        <v/>
      </c>
      <c r="PB34">
        <f>IF($EJ$34="",FALSE,SUMPRODUCT(('Final Calculation Sheet'!$Z$4:$Z$40=$EJ$34)*($PA$6:$PA$42=1))&gt;0)</f>
        <v/>
      </c>
      <c r="PC34">
        <f>$PC$33+--($PB34)</f>
        <v/>
      </c>
      <c r="PD34">
        <f>IF(ROW()-3&gt;MAX($PC$4:$PC$40),"",INDEX($EJ$4:$EJ$40,MATCH(ROW()-3,$PC$4:$PC$40,0)))</f>
        <v/>
      </c>
      <c r="PE34">
        <f>IF(COUNTIF('Buyer Groups'!DG34:EF34,0)+COUNTIF('Buyer Groups'!EH34:EN34,0)&gt;0,0,1)</f>
        <v/>
      </c>
      <c r="PF34">
        <f>IF($EO$34="",FALSE,SUMPRODUCT(('Final Calculation Sheet'!$AA$4:$AA$40=$EO$34)*($PE$6:$PE$42=1))&gt;0)</f>
        <v/>
      </c>
      <c r="PG34">
        <f>$PG$33+--($PF34)</f>
        <v/>
      </c>
      <c r="PH34">
        <f>IF(ROW()-3&gt;MAX($PG$4:$PG$40),"",INDEX($EO$4:$EO$40,MATCH(ROW()-3,$PG$4:$PG$40,0)))</f>
        <v/>
      </c>
      <c r="PI34">
        <f>IF(COUNTIF('Buyer Groups'!DG34:EG34,0)+COUNTIF('Buyer Groups'!EI34:EN34,0)&gt;0,0,1)</f>
        <v/>
      </c>
      <c r="PJ34">
        <f>IF($ET$34="",FALSE,SUMPRODUCT(('Final Calculation Sheet'!$AB$4:$AB$40=$ET$34)*($PI$6:$PI$42=1))&gt;0)</f>
        <v/>
      </c>
      <c r="PK34">
        <f>$PK$33+--($PJ34)</f>
        <v/>
      </c>
      <c r="PL34">
        <f>IF(ROW()-3&gt;MAX($PK$4:$PK$40),"",INDEX($ET$4:$ET$40,MATCH(ROW()-3,$PK$4:$PK$40,0)))</f>
        <v/>
      </c>
      <c r="PM34">
        <f>IF(COUNTIF('Buyer Groups'!DG34:EH34,0)+COUNTIF('Buyer Groups'!EJ34:EN34,0)&gt;0,0,1)</f>
        <v/>
      </c>
      <c r="PN34">
        <f>IF($EY$34="",FALSE,SUMPRODUCT(('Final Calculation Sheet'!$AC$4:$AC$40=$EY$34)*($PM$6:$PM$42=1))&gt;0)</f>
        <v/>
      </c>
      <c r="PO34">
        <f>$PO$33+--($PN34)</f>
        <v/>
      </c>
      <c r="PP34">
        <f>IF(ROW()-3&gt;MAX($PO$4:$PO$40),"",INDEX($EY$4:$EY$40,MATCH(ROW()-3,$PO$4:$PO$40,0)))</f>
        <v/>
      </c>
      <c r="PQ34">
        <f>IF(COUNTIF('Buyer Groups'!DG34:EI34,0)+COUNTIF('Buyer Groups'!EK34:EN34,0)&gt;0,0,1)</f>
        <v/>
      </c>
      <c r="PR34">
        <f>IF($FD$34="",FALSE,SUMPRODUCT(('Final Calculation Sheet'!$AD$4:$AD$40=$FD$34)*($PQ$6:$PQ$42=1))&gt;0)</f>
        <v/>
      </c>
      <c r="PS34">
        <f>$PS$33+--($PR34)</f>
        <v/>
      </c>
      <c r="PT34">
        <f>IF(ROW()-3&gt;MAX($PS$4:$PS$40),"",INDEX($FD$4:$FD$40,MATCH(ROW()-3,$PS$4:$PS$40,0)))</f>
        <v/>
      </c>
      <c r="PU34">
        <f>IF(COUNTIF('Buyer Groups'!DG34:EJ34,0)+COUNTIF('Buyer Groups'!EL34:EN34,0)&gt;0,0,1)</f>
        <v/>
      </c>
      <c r="PV34">
        <f>IF($FX$34="",FALSE,SUMPRODUCT((IF('Final Calculation Sheet'!$AD$4:$AD$40&lt;=5,"SETTLED","OUTSTANDING")=$FX$34)*($PU$6:$PU$42=1))&gt;0)</f>
        <v/>
      </c>
      <c r="PW34">
        <f>$PW$33+--($PV34)</f>
        <v/>
      </c>
      <c r="PX34">
        <f>IF(ROW()-3&gt;MAX($PW$4:$PW$40),"",INDEX($FX$4:$FX$40,MATCH(ROW()-3,$PW$4:$PW$40,0)))</f>
        <v/>
      </c>
      <c r="PY34">
        <f>IF(COUNTIF('Buyer Groups'!DG34:EK34,0)+COUNTIF('Buyer Groups'!EM34:EN34,0)&gt;0,0,1)</f>
        <v/>
      </c>
      <c r="PZ34">
        <f>IF($FI$34="",FALSE,SUMPRODUCT(('Final Calculation Sheet'!$AF$4:$AF$40=$FI$34)*($PY$6:$PY$42=1))&gt;0)</f>
        <v/>
      </c>
      <c r="QA34">
        <f>$QA$33+--($PZ34)</f>
        <v/>
      </c>
      <c r="QB34">
        <f>IF(ROW()-3&gt;MAX($QA$4:$QA$40),"",INDEX($FI$4:$FI$40,MATCH(ROW()-3,$QA$4:$QA$40,0)))</f>
        <v/>
      </c>
      <c r="QC34">
        <f>IF(COUNTIF('Buyer Groups'!DG34:EL34,0)+COUNTIF('Buyer Groups'!EN34:EN34,0)&gt;0,0,1)</f>
        <v/>
      </c>
      <c r="QD34">
        <f>IF($FN$34="",FALSE,SUMPRODUCT(('Final Calculation Sheet'!$AG$4:$AG$40=$FN$34)*($QC$6:$QC$42=1))&gt;0)</f>
        <v/>
      </c>
      <c r="QE34">
        <f>$QE$33+--($QD34)</f>
        <v/>
      </c>
      <c r="QF34">
        <f>IF(ROW()-3&gt;MAX($QE$4:$QE$40),"",INDEX($FN$4:$FN$40,MATCH(ROW()-3,$QE$4:$QE$40,0)))</f>
        <v/>
      </c>
      <c r="QG34">
        <f>IF(COUNTIF('Buyer Groups'!DG34:EM34,0)&gt;0,0,1)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Groups'!DH35:EN35,0)&gt;0,0,1)</f>
        <v/>
      </c>
      <c r="LF35">
        <f>IF($O$35="",FALSE,SUMPRODUCT(('Final Calculation Sheet'!$F$4:$F$40=$O$35)*($LE$6:$LE$42=1))&gt;0)</f>
        <v/>
      </c>
      <c r="LG35">
        <f>$LG$34+--($LF35)</f>
        <v/>
      </c>
      <c r="LH35">
        <f>IF(ROW()-3&gt;MAX($LG$4:$LG$40),"",INDEX($O$4:$O$40,MATCH(ROW()-3,$LG$4:$LG$40,0)))</f>
        <v/>
      </c>
      <c r="LI35">
        <f>IF(COUNTIF('Buyer Groups'!DG35:DG35,0)+COUNTIF('Buyer Groups'!DI35:EN35,0)&gt;0,0,1)</f>
        <v/>
      </c>
      <c r="LJ35">
        <f>IF($T$35="",FALSE,SUMPRODUCT(('Final Calculation Sheet'!$G$4:$G$40=$T$35)*($LI$6:$LI$42=1))&gt;0)</f>
        <v/>
      </c>
      <c r="LK35">
        <f>$LK$34+--($LJ35)</f>
        <v/>
      </c>
      <c r="LL35">
        <f>IF(ROW()-3&gt;MAX($LK$4:$LK$40),"",INDEX($T$4:$T$40,MATCH(ROW()-3,$LK$4:$LK$40,0)))</f>
        <v/>
      </c>
      <c r="LM35">
        <f>IF(COUNTIF('Buyer Groups'!DG35:DH35,0)+COUNTIF('Buyer Groups'!DJ35:EN35,0)&gt;0,0,1)</f>
        <v/>
      </c>
      <c r="LN35">
        <f>IF($Y$35="",FALSE,SUMPRODUCT(('Final Calculation Sheet'!$B$4:$B$40=$Y$35)*($LM$6:$LM$42=1))&gt;0)</f>
        <v/>
      </c>
      <c r="LO35">
        <f>$LO$34+--($LN35)</f>
        <v/>
      </c>
      <c r="LP35">
        <f>IF(ROW()-3&gt;MAX($LO$4:$LO$40),"",INDEX($Y$4:$Y$40,MATCH(ROW()-3,$LO$4:$LO$40,0)))</f>
        <v/>
      </c>
      <c r="LQ35">
        <f>IF(COUNTIF('Buyer Groups'!DG35:DI35,0)+COUNTIF('Buyer Groups'!DK35:EN35,0)&gt;0,0,1)</f>
        <v/>
      </c>
      <c r="LR35">
        <f>IF($AD$35="",FALSE,SUMPRODUCT(('Final Calculation Sheet'!$D$4:$D$40=$AD$35)*($LQ$6:$LQ$42=1))&gt;0)</f>
        <v/>
      </c>
      <c r="LS35">
        <f>$LS$34+--($LR35)</f>
        <v/>
      </c>
      <c r="LT35">
        <f>IF(ROW()-3&gt;MAX($LS$4:$LS$40),"",INDEX($AD$4:$AD$40,MATCH(ROW()-3,$LS$4:$LS$40,0)))</f>
        <v/>
      </c>
      <c r="LU35">
        <f>IF(COUNTIF('Buyer Groups'!DG35:DJ35,0)+COUNTIF('Buyer Groups'!DL35:EN35,0)&gt;0,0,1)</f>
        <v/>
      </c>
      <c r="LV35">
        <f>IF($AI$35="",FALSE,SUMPRODUCT(('Final Calculation Sheet'!$A$4:$A$40=$AI$35)*($LU$6:$LU$42=1))&gt;0)</f>
        <v/>
      </c>
      <c r="LW35">
        <f>$LW$34+--($LV35)</f>
        <v/>
      </c>
      <c r="LX35">
        <f>IF(ROW()-3&gt;MAX($LW$4:$LW$40),"",INDEX($AI$4:$AI$40,MATCH(ROW()-3,$LW$4:$LW$40,0)))</f>
        <v/>
      </c>
      <c r="LY35">
        <f>IF(COUNTIF('Buyer Groups'!DG35:DK35,0)+COUNTIF('Buyer Groups'!DM35:EN35,0)&gt;0,0,1)</f>
        <v/>
      </c>
      <c r="LZ35">
        <f>IF($AN$35="",FALSE,SUMPRODUCT(('Final Calculation Sheet'!$E$4:$E$40=$AN$35)*($LY$6:$LY$42=1))&gt;0)</f>
        <v/>
      </c>
      <c r="MA35">
        <f>$MA$34+--($LZ35)</f>
        <v/>
      </c>
      <c r="MB35">
        <f>IF(ROW()-3&gt;MAX($MA$4:$MA$40),"",INDEX($AN$4:$AN$40,MATCH(ROW()-3,$MA$4:$MA$40,0)))</f>
        <v/>
      </c>
      <c r="MC35">
        <f>IF(COUNTIF('Buyer Groups'!DG35:DL35,0)+COUNTIF('Buyer Groups'!DN35:EN35,0)&gt;0,0,1)</f>
        <v/>
      </c>
      <c r="MD35">
        <f>IF($AS$35="",FALSE,SUMPRODUCT(('Final Calculation Sheet'!$C$4:$C$40=$AS$35)*($MC$6:$MC$42=1))&gt;0)</f>
        <v/>
      </c>
      <c r="ME35">
        <f>$ME$34+--($MD35)</f>
        <v/>
      </c>
      <c r="MF35">
        <f>IF(ROW()-3&gt;MAX($ME$4:$ME$40),"",INDEX($AS$4:$AS$40,MATCH(ROW()-3,$ME$4:$ME$40,0)))</f>
        <v/>
      </c>
      <c r="MG35">
        <f>IF(COUNTIF('Buyer Groups'!DG35:DM35,0)+COUNTIF('Buyer Groups'!DO35:EN35,0)&gt;0,0,1)</f>
        <v/>
      </c>
      <c r="MH35">
        <f>IF($AX$35="",FALSE,SUMPRODUCT(('Final Calculation Sheet'!$H$4:$H$40=$AX$35)*($MG$6:$MG$42=1))&gt;0)</f>
        <v/>
      </c>
      <c r="MI35">
        <f>$MI$34+--($MH35)</f>
        <v/>
      </c>
      <c r="MJ35">
        <f>IF(ROW()-3&gt;MAX($MI$4:$MI$40),"",INDEX($AX$4:$AX$40,MATCH(ROW()-3,$MI$4:$MI$40,0)))</f>
        <v/>
      </c>
      <c r="MK35">
        <f>IF(COUNTIF('Buyer Groups'!DG35:DN35,0)+COUNTIF('Buyer Groups'!DP35:EN35,0)&gt;0,0,1)</f>
        <v/>
      </c>
      <c r="ML35">
        <f>IF($BC$35="",FALSE,SUMPRODUCT(('Final Calculation Sheet'!$I$4:$I$40=$BC$35)*($MK$6:$MK$42=1))&gt;0)</f>
        <v/>
      </c>
      <c r="MM35">
        <f>$MM$34+--($ML35)</f>
        <v/>
      </c>
      <c r="MN35">
        <f>IF(ROW()-3&gt;MAX($MM$4:$MM$40),"",INDEX($BC$4:$BC$40,MATCH(ROW()-3,$MM$4:$MM$40,0)))</f>
        <v/>
      </c>
      <c r="MO35">
        <f>IF(COUNTIF('Buyer Groups'!DG35:DO35,0)+COUNTIF('Buyer Groups'!DQ35:EN35,0)&gt;0,0,1)</f>
        <v/>
      </c>
      <c r="MP35">
        <f>IF($BH$35="",FALSE,SUMPRODUCT(('Final Calculation Sheet'!$J$4:$J$40=$BH$35)*($MO$6:$MO$42=1))&gt;0)</f>
        <v/>
      </c>
      <c r="MQ35">
        <f>$MQ$34+--($MP35)</f>
        <v/>
      </c>
      <c r="MR35">
        <f>IF(ROW()-3&gt;MAX($MQ$4:$MQ$40),"",INDEX($BH$4:$BH$40,MATCH(ROW()-3,$MQ$4:$MQ$40,0)))</f>
        <v/>
      </c>
      <c r="MS35">
        <f>IF(COUNTIF('Buyer Groups'!DG35:DP35,0)+COUNTIF('Buyer Groups'!DR35:EN35,0)&gt;0,0,1)</f>
        <v/>
      </c>
      <c r="MT35">
        <f>IF($BM$35="",FALSE,SUMPRODUCT(('Final Calculation Sheet'!$K$4:$K$40=$BM$35)*($MS$6:$MS$42=1))&gt;0)</f>
        <v/>
      </c>
      <c r="MU35">
        <f>$MU$34+--($MT35)</f>
        <v/>
      </c>
      <c r="MV35">
        <f>IF(ROW()-3&gt;MAX($MU$4:$MU$40),"",INDEX($BM$4:$BM$40,MATCH(ROW()-3,$MU$4:$MU$40,0)))</f>
        <v/>
      </c>
      <c r="MW35">
        <f>IF(COUNTIF('Buyer Groups'!DG35:DQ35,0)+COUNTIF('Buyer Groups'!DS35:EN35,0)&gt;0,0,1)</f>
        <v/>
      </c>
      <c r="MX35">
        <f>IF($BR$35="",FALSE,SUMPRODUCT(('Final Calculation Sheet'!$L$4:$L$40=$BR$35)*($MW$6:$MW$42=1))&gt;0)</f>
        <v/>
      </c>
      <c r="MY35">
        <f>$MY$34+--($MX35)</f>
        <v/>
      </c>
      <c r="MZ35">
        <f>IF(ROW()-3&gt;MAX($MY$4:$MY$40),"",INDEX($BR$4:$BR$40,MATCH(ROW()-3,$MY$4:$MY$40,0)))</f>
        <v/>
      </c>
      <c r="NA35">
        <f>IF(COUNTIF('Buyer Groups'!DG35:DR35,0)+COUNTIF('Buyer Groups'!DT35:EN35,0)&gt;0,0,1)</f>
        <v/>
      </c>
      <c r="NB35">
        <f>IF($BW$35="",FALSE,SUMPRODUCT(('Final Calculation Sheet'!$M$4:$M$40=$BW$35)*($NA$6:$NA$42=1))&gt;0)</f>
        <v/>
      </c>
      <c r="NC35">
        <f>$NC$34+--($NB35)</f>
        <v/>
      </c>
      <c r="ND35">
        <f>IF(ROW()-3&gt;MAX($NC$4:$NC$40),"",INDEX($BW$4:$BW$40,MATCH(ROW()-3,$NC$4:$NC$40,0)))</f>
        <v/>
      </c>
      <c r="NE35">
        <f>IF(COUNTIF('Buyer Groups'!DG35:DS35,0)+COUNTIF('Buyer Groups'!DU35:EN35,0)&gt;0,0,1)</f>
        <v/>
      </c>
      <c r="NF35">
        <f>IF($CB$35="",FALSE,SUMPRODUCT(('Final Calculation Sheet'!$N$4:$N$40=$CB$35)*($NE$6:$NE$42=1))&gt;0)</f>
        <v/>
      </c>
      <c r="NG35">
        <f>$NG$34+--($NF35)</f>
        <v/>
      </c>
      <c r="NH35">
        <f>IF(ROW()-3&gt;MAX($NG$4:$NG$40),"",INDEX($CB$4:$CB$40,MATCH(ROW()-3,$NG$4:$NG$40,0)))</f>
        <v/>
      </c>
      <c r="NI35">
        <f>IF(COUNTIF('Buyer Groups'!DG35:DT35,0)+COUNTIF('Buyer Groups'!DV35:EN35,0)&gt;0,0,1)</f>
        <v/>
      </c>
      <c r="NJ35">
        <f>IF($CG$35="",FALSE,SUMPRODUCT(('Final Calculation Sheet'!$O$4:$O$40=$CG$35)*($NI$6:$NI$42=1))&gt;0)</f>
        <v/>
      </c>
      <c r="NK35">
        <f>$NK$34+--($NJ35)</f>
        <v/>
      </c>
      <c r="NL35">
        <f>IF(ROW()-3&gt;MAX($NK$4:$NK$40),"",INDEX($CG$4:$CG$40,MATCH(ROW()-3,$NK$4:$NK$40,0)))</f>
        <v/>
      </c>
      <c r="NM35">
        <f>IF(COUNTIF('Buyer Groups'!DG35:DU35,0)+COUNTIF('Buyer Groups'!DW35:EN35,0)&gt;0,0,1)</f>
        <v/>
      </c>
      <c r="NN35">
        <f>IF($CL$35="",FALSE,SUMPRODUCT(('Final Calculation Sheet'!$P$4:$P$40=$CL$35)*($NM$6:$NM$42=1))&gt;0)</f>
        <v/>
      </c>
      <c r="NO35">
        <f>$NO$34+--($NN35)</f>
        <v/>
      </c>
      <c r="NP35">
        <f>IF(ROW()-3&gt;MAX($NO$4:$NO$40),"",INDEX($CL$4:$CL$40,MATCH(ROW()-3,$NO$4:$NO$40,0)))</f>
        <v/>
      </c>
      <c r="NQ35">
        <f>IF(COUNTIF('Buyer Groups'!DG35:DV35,0)+COUNTIF('Buyer Groups'!DX35:EN35,0)&gt;0,0,1)</f>
        <v/>
      </c>
      <c r="NR35">
        <f>IF($CQ$35="",FALSE,SUMPRODUCT(('Final Calculation Sheet'!$Q$4:$Q$40=$CQ$35)*($NQ$6:$NQ$42=1))&gt;0)</f>
        <v/>
      </c>
      <c r="NS35">
        <f>$NS$34+--($NR35)</f>
        <v/>
      </c>
      <c r="NT35">
        <f>IF(ROW()-3&gt;MAX($NS$4:$NS$40),"",INDEX($CQ$4:$CQ$40,MATCH(ROW()-3,$NS$4:$NS$40,0)))</f>
        <v/>
      </c>
      <c r="NU35">
        <f>IF(COUNTIF('Buyer Groups'!DG35:DW35,0)+COUNTIF('Buyer Groups'!DY35:EN35,0)&gt;0,0,1)</f>
        <v/>
      </c>
      <c r="NV35">
        <f>IF($CV$35="",FALSE,SUMPRODUCT(('Final Calculation Sheet'!$R$4:$R$40=$CV$35)*($NU$6:$NU$42=1))&gt;0)</f>
        <v/>
      </c>
      <c r="NW35">
        <f>$NW$34+--($NV35)</f>
        <v/>
      </c>
      <c r="NX35">
        <f>IF(ROW()-3&gt;MAX($NW$4:$NW$40),"",INDEX($CV$4:$CV$40,MATCH(ROW()-3,$NW$4:$NW$40,0)))</f>
        <v/>
      </c>
      <c r="NY35">
        <f>IF(COUNTIF('Buyer Groups'!DG35:DX35,0)+COUNTIF('Buyer Groups'!DZ35:EN35,0)&gt;0,0,1)</f>
        <v/>
      </c>
      <c r="NZ35">
        <f>IF($DA$35="",FALSE,SUMPRODUCT(('Final Calculation Sheet'!$S$4:$S$40=$DA$35)*($NY$6:$NY$42=1))&gt;0)</f>
        <v/>
      </c>
      <c r="OA35">
        <f>$OA$34+--($NZ35)</f>
        <v/>
      </c>
      <c r="OB35">
        <f>IF(ROW()-3&gt;MAX($OA$4:$OA$40),"",INDEX($DA$4:$DA$40,MATCH(ROW()-3,$OA$4:$OA$40,0)))</f>
        <v/>
      </c>
      <c r="OC35">
        <f>IF(COUNTIF('Buyer Groups'!DG35:DY35,0)+COUNTIF('Buyer Groups'!EA35:EN35,0)&gt;0,0,1)</f>
        <v/>
      </c>
      <c r="OD35">
        <f>IF($DF$35="",FALSE,SUMPRODUCT(('Final Calculation Sheet'!$T$4:$T$40=$DF$35)*($OC$6:$OC$42=1))&gt;0)</f>
        <v/>
      </c>
      <c r="OE35">
        <f>$OE$34+--($OD35)</f>
        <v/>
      </c>
      <c r="OF35">
        <f>IF(ROW()-3&gt;MAX($OE$4:$OE$40),"",INDEX($DF$4:$DF$40,MATCH(ROW()-3,$OE$4:$OE$40,0)))</f>
        <v/>
      </c>
      <c r="OG35">
        <f>IF(COUNTIF('Buyer Groups'!DG35:DZ35,0)+COUNTIF('Buyer Groups'!EB35:EN35,0)&gt;0,0,1)</f>
        <v/>
      </c>
      <c r="OH35">
        <f>IF($DK$35="",FALSE,SUMPRODUCT(('Final Calculation Sheet'!$U$4:$U$40=$DK$35)*($OG$6:$OG$42=1))&gt;0)</f>
        <v/>
      </c>
      <c r="OI35">
        <f>$OI$34+--($OH35)</f>
        <v/>
      </c>
      <c r="OJ35">
        <f>IF(ROW()-3&gt;MAX($OI$4:$OI$40),"",INDEX($DK$4:$DK$40,MATCH(ROW()-3,$OI$4:$OI$40,0)))</f>
        <v/>
      </c>
      <c r="OK35">
        <f>IF(COUNTIF('Buyer Groups'!DG35:EA35,0)+COUNTIF('Buyer Groups'!EC35:EN35,0)&gt;0,0,1)</f>
        <v/>
      </c>
      <c r="OL35">
        <f>IF($DP$35="",FALSE,SUMPRODUCT(('Final Calculation Sheet'!$V$4:$V$40=$DP$35)*($OK$6:$OK$42=1))&gt;0)</f>
        <v/>
      </c>
      <c r="OM35">
        <f>$OM$34+--($OL35)</f>
        <v/>
      </c>
      <c r="ON35">
        <f>IF(ROW()-3&gt;MAX($OM$4:$OM$40),"",INDEX($DP$4:$DP$40,MATCH(ROW()-3,$OM$4:$OM$40,0)))</f>
        <v/>
      </c>
      <c r="OO35">
        <f>IF(COUNTIF('Buyer Groups'!DG35:EB35,0)+COUNTIF('Buyer Groups'!ED35:EN35,0)&gt;0,0,1)</f>
        <v/>
      </c>
      <c r="OP35">
        <f>IF($DU$35="",FALSE,SUMPRODUCT(('Final Calculation Sheet'!$W$4:$W$40=$DU$35)*($OO$6:$OO$42=1))&gt;0)</f>
        <v/>
      </c>
      <c r="OQ35">
        <f>$OQ$34+--($OP35)</f>
        <v/>
      </c>
      <c r="OR35">
        <f>IF(ROW()-3&gt;MAX($OQ$4:$OQ$40),"",INDEX($DU$4:$DU$40,MATCH(ROW()-3,$OQ$4:$OQ$40,0)))</f>
        <v/>
      </c>
      <c r="OS35">
        <f>IF(COUNTIF('Buyer Groups'!DG35:EC35,0)+COUNTIF('Buyer Groups'!EE35:EN35,0)&gt;0,0,1)</f>
        <v/>
      </c>
      <c r="OT35">
        <f>IF($DZ$35="",FALSE,SUMPRODUCT(('Final Calculation Sheet'!$X$4:$X$40=$DZ$35)*($OS$6:$OS$42=1))&gt;0)</f>
        <v/>
      </c>
      <c r="OU35">
        <f>$OU$34+--($OT35)</f>
        <v/>
      </c>
      <c r="OV35">
        <f>IF(ROW()-3&gt;MAX($OU$4:$OU$40),"",INDEX($DZ$4:$DZ$40,MATCH(ROW()-3,$OU$4:$OU$40,0)))</f>
        <v/>
      </c>
      <c r="OW35">
        <f>IF(COUNTIF('Buyer Groups'!DG35:ED35,0)+COUNTIF('Buyer Groups'!EF35:EN35,0)&gt;0,0,1)</f>
        <v/>
      </c>
      <c r="OX35">
        <f>IF($EE$35="",FALSE,SUMPRODUCT(('Final Calculation Sheet'!$Y$4:$Y$40=$EE$35)*($OW$6:$OW$42=1))&gt;0)</f>
        <v/>
      </c>
      <c r="OY35">
        <f>$OY$34+--($OX35)</f>
        <v/>
      </c>
      <c r="OZ35">
        <f>IF(ROW()-3&gt;MAX($OY$4:$OY$40),"",INDEX($EE$4:$EE$40,MATCH(ROW()-3,$OY$4:$OY$40,0)))</f>
        <v/>
      </c>
      <c r="PA35">
        <f>IF(COUNTIF('Buyer Groups'!DG35:EE35,0)+COUNTIF('Buyer Groups'!EG35:EN35,0)&gt;0,0,1)</f>
        <v/>
      </c>
      <c r="PB35">
        <f>IF($EJ$35="",FALSE,SUMPRODUCT(('Final Calculation Sheet'!$Z$4:$Z$40=$EJ$35)*($PA$6:$PA$42=1))&gt;0)</f>
        <v/>
      </c>
      <c r="PC35">
        <f>$PC$34+--($PB35)</f>
        <v/>
      </c>
      <c r="PD35">
        <f>IF(ROW()-3&gt;MAX($PC$4:$PC$40),"",INDEX($EJ$4:$EJ$40,MATCH(ROW()-3,$PC$4:$PC$40,0)))</f>
        <v/>
      </c>
      <c r="PE35">
        <f>IF(COUNTIF('Buyer Groups'!DG35:EF35,0)+COUNTIF('Buyer Groups'!EH35:EN35,0)&gt;0,0,1)</f>
        <v/>
      </c>
      <c r="PF35">
        <f>IF($EO$35="",FALSE,SUMPRODUCT(('Final Calculation Sheet'!$AA$4:$AA$40=$EO$35)*($PE$6:$PE$42=1))&gt;0)</f>
        <v/>
      </c>
      <c r="PG35">
        <f>$PG$34+--($PF35)</f>
        <v/>
      </c>
      <c r="PH35">
        <f>IF(ROW()-3&gt;MAX($PG$4:$PG$40),"",INDEX($EO$4:$EO$40,MATCH(ROW()-3,$PG$4:$PG$40,0)))</f>
        <v/>
      </c>
      <c r="PI35">
        <f>IF(COUNTIF('Buyer Groups'!DG35:EG35,0)+COUNTIF('Buyer Groups'!EI35:EN35,0)&gt;0,0,1)</f>
        <v/>
      </c>
      <c r="PJ35">
        <f>IF($ET$35="",FALSE,SUMPRODUCT(('Final Calculation Sheet'!$AB$4:$AB$40=$ET$35)*($PI$6:$PI$42=1))&gt;0)</f>
        <v/>
      </c>
      <c r="PK35">
        <f>$PK$34+--($PJ35)</f>
        <v/>
      </c>
      <c r="PL35">
        <f>IF(ROW()-3&gt;MAX($PK$4:$PK$40),"",INDEX($ET$4:$ET$40,MATCH(ROW()-3,$PK$4:$PK$40,0)))</f>
        <v/>
      </c>
      <c r="PM35">
        <f>IF(COUNTIF('Buyer Groups'!DG35:EH35,0)+COUNTIF('Buyer Groups'!EJ35:EN35,0)&gt;0,0,1)</f>
        <v/>
      </c>
      <c r="PN35">
        <f>IF($EY$35="",FALSE,SUMPRODUCT(('Final Calculation Sheet'!$AC$4:$AC$40=$EY$35)*($PM$6:$PM$42=1))&gt;0)</f>
        <v/>
      </c>
      <c r="PO35">
        <f>$PO$34+--($PN35)</f>
        <v/>
      </c>
      <c r="PP35">
        <f>IF(ROW()-3&gt;MAX($PO$4:$PO$40),"",INDEX($EY$4:$EY$40,MATCH(ROW()-3,$PO$4:$PO$40,0)))</f>
        <v/>
      </c>
      <c r="PQ35">
        <f>IF(COUNTIF('Buyer Groups'!DG35:EI35,0)+COUNTIF('Buyer Groups'!EK35:EN35,0)&gt;0,0,1)</f>
        <v/>
      </c>
      <c r="PR35">
        <f>IF($FD$35="",FALSE,SUMPRODUCT(('Final Calculation Sheet'!$AD$4:$AD$40=$FD$35)*($PQ$6:$PQ$42=1))&gt;0)</f>
        <v/>
      </c>
      <c r="PS35">
        <f>$PS$34+--($PR35)</f>
        <v/>
      </c>
      <c r="PT35">
        <f>IF(ROW()-3&gt;MAX($PS$4:$PS$40),"",INDEX($FD$4:$FD$40,MATCH(ROW()-3,$PS$4:$PS$40,0)))</f>
        <v/>
      </c>
      <c r="PU35">
        <f>IF(COUNTIF('Buyer Groups'!DG35:EJ35,0)+COUNTIF('Buyer Groups'!EL35:EN35,0)&gt;0,0,1)</f>
        <v/>
      </c>
      <c r="PV35">
        <f>IF($FX$35="",FALSE,SUMPRODUCT((IF('Final Calculation Sheet'!$AD$4:$AD$40&lt;=5,"SETTLED","OUTSTANDING")=$FX$35)*($PU$6:$PU$42=1))&gt;0)</f>
        <v/>
      </c>
      <c r="PW35">
        <f>$PW$34+--($PV35)</f>
        <v/>
      </c>
      <c r="PX35">
        <f>IF(ROW()-3&gt;MAX($PW$4:$PW$40),"",INDEX($FX$4:$FX$40,MATCH(ROW()-3,$PW$4:$PW$40,0)))</f>
        <v/>
      </c>
      <c r="PY35">
        <f>IF(COUNTIF('Buyer Groups'!DG35:EK35,0)+COUNTIF('Buyer Groups'!EM35:EN35,0)&gt;0,0,1)</f>
        <v/>
      </c>
      <c r="PZ35">
        <f>IF($FI$35="",FALSE,SUMPRODUCT(('Final Calculation Sheet'!$AF$4:$AF$40=$FI$35)*($PY$6:$PY$42=1))&gt;0)</f>
        <v/>
      </c>
      <c r="QA35">
        <f>$QA$34+--($PZ35)</f>
        <v/>
      </c>
      <c r="QB35">
        <f>IF(ROW()-3&gt;MAX($QA$4:$QA$40),"",INDEX($FI$4:$FI$40,MATCH(ROW()-3,$QA$4:$QA$40,0)))</f>
        <v/>
      </c>
      <c r="QC35">
        <f>IF(COUNTIF('Buyer Groups'!DG35:EL35,0)+COUNTIF('Buyer Groups'!EN35:EN35,0)&gt;0,0,1)</f>
        <v/>
      </c>
      <c r="QD35">
        <f>IF($FN$35="",FALSE,SUMPRODUCT(('Final Calculation Sheet'!$AG$4:$AG$40=$FN$35)*($QC$6:$QC$42=1))&gt;0)</f>
        <v/>
      </c>
      <c r="QE35">
        <f>$QE$34+--($QD35)</f>
        <v/>
      </c>
      <c r="QF35">
        <f>IF(ROW()-3&gt;MAX($QE$4:$QE$40),"",INDEX($FN$4:$FN$40,MATCH(ROW()-3,$QE$4:$QE$40,0)))</f>
        <v/>
      </c>
      <c r="QG35">
        <f>IF(COUNTIF('Buyer Groups'!DG35:EM35,0)&gt;0,0,1)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Groups'!DH36:EN36,0)&gt;0,0,1)</f>
        <v/>
      </c>
      <c r="LF36">
        <f>IF($O$36="",FALSE,SUMPRODUCT(('Final Calculation Sheet'!$F$4:$F$40=$O$36)*($LE$6:$LE$42=1))&gt;0)</f>
        <v/>
      </c>
      <c r="LG36">
        <f>$LG$35+--($LF36)</f>
        <v/>
      </c>
      <c r="LH36">
        <f>IF(ROW()-3&gt;MAX($LG$4:$LG$40),"",INDEX($O$4:$O$40,MATCH(ROW()-3,$LG$4:$LG$40,0)))</f>
        <v/>
      </c>
      <c r="LI36">
        <f>IF(COUNTIF('Buyer Groups'!DG36:DG36,0)+COUNTIF('Buyer Groups'!DI36:EN36,0)&gt;0,0,1)</f>
        <v/>
      </c>
      <c r="LJ36">
        <f>IF($T$36="",FALSE,SUMPRODUCT(('Final Calculation Sheet'!$G$4:$G$40=$T$36)*($LI$6:$LI$42=1))&gt;0)</f>
        <v/>
      </c>
      <c r="LK36">
        <f>$LK$35+--($LJ36)</f>
        <v/>
      </c>
      <c r="LL36">
        <f>IF(ROW()-3&gt;MAX($LK$4:$LK$40),"",INDEX($T$4:$T$40,MATCH(ROW()-3,$LK$4:$LK$40,0)))</f>
        <v/>
      </c>
      <c r="LM36">
        <f>IF(COUNTIF('Buyer Groups'!DG36:DH36,0)+COUNTIF('Buyer Groups'!DJ36:EN36,0)&gt;0,0,1)</f>
        <v/>
      </c>
      <c r="LN36">
        <f>IF($Y$36="",FALSE,SUMPRODUCT(('Final Calculation Sheet'!$B$4:$B$40=$Y$36)*($LM$6:$LM$42=1))&gt;0)</f>
        <v/>
      </c>
      <c r="LO36">
        <f>$LO$35+--($LN36)</f>
        <v/>
      </c>
      <c r="LP36">
        <f>IF(ROW()-3&gt;MAX($LO$4:$LO$40),"",INDEX($Y$4:$Y$40,MATCH(ROW()-3,$LO$4:$LO$40,0)))</f>
        <v/>
      </c>
      <c r="LQ36">
        <f>IF(COUNTIF('Buyer Groups'!DG36:DI36,0)+COUNTIF('Buyer Groups'!DK36:EN36,0)&gt;0,0,1)</f>
        <v/>
      </c>
      <c r="LR36">
        <f>IF($AD$36="",FALSE,SUMPRODUCT(('Final Calculation Sheet'!$D$4:$D$40=$AD$36)*($LQ$6:$LQ$42=1))&gt;0)</f>
        <v/>
      </c>
      <c r="LS36">
        <f>$LS$35+--($LR36)</f>
        <v/>
      </c>
      <c r="LT36">
        <f>IF(ROW()-3&gt;MAX($LS$4:$LS$40),"",INDEX($AD$4:$AD$40,MATCH(ROW()-3,$LS$4:$LS$40,0)))</f>
        <v/>
      </c>
      <c r="LU36">
        <f>IF(COUNTIF('Buyer Groups'!DG36:DJ36,0)+COUNTIF('Buyer Groups'!DL36:EN36,0)&gt;0,0,1)</f>
        <v/>
      </c>
      <c r="LV36">
        <f>IF($AI$36="",FALSE,SUMPRODUCT(('Final Calculation Sheet'!$A$4:$A$40=$AI$36)*($LU$6:$LU$42=1))&gt;0)</f>
        <v/>
      </c>
      <c r="LW36">
        <f>$LW$35+--($LV36)</f>
        <v/>
      </c>
      <c r="LX36">
        <f>IF(ROW()-3&gt;MAX($LW$4:$LW$40),"",INDEX($AI$4:$AI$40,MATCH(ROW()-3,$LW$4:$LW$40,0)))</f>
        <v/>
      </c>
      <c r="LY36">
        <f>IF(COUNTIF('Buyer Groups'!DG36:DK36,0)+COUNTIF('Buyer Groups'!DM36:EN36,0)&gt;0,0,1)</f>
        <v/>
      </c>
      <c r="LZ36">
        <f>IF($AN$36="",FALSE,SUMPRODUCT(('Final Calculation Sheet'!$E$4:$E$40=$AN$36)*($LY$6:$LY$42=1))&gt;0)</f>
        <v/>
      </c>
      <c r="MA36">
        <f>$MA$35+--($LZ36)</f>
        <v/>
      </c>
      <c r="MB36">
        <f>IF(ROW()-3&gt;MAX($MA$4:$MA$40),"",INDEX($AN$4:$AN$40,MATCH(ROW()-3,$MA$4:$MA$40,0)))</f>
        <v/>
      </c>
      <c r="MC36">
        <f>IF(COUNTIF('Buyer Groups'!DG36:DL36,0)+COUNTIF('Buyer Groups'!DN36:EN36,0)&gt;0,0,1)</f>
        <v/>
      </c>
      <c r="MD36">
        <f>IF($AS$36="",FALSE,SUMPRODUCT(('Final Calculation Sheet'!$C$4:$C$40=$AS$36)*($MC$6:$MC$42=1))&gt;0)</f>
        <v/>
      </c>
      <c r="ME36">
        <f>$ME$35+--($MD36)</f>
        <v/>
      </c>
      <c r="MF36">
        <f>IF(ROW()-3&gt;MAX($ME$4:$ME$40),"",INDEX($AS$4:$AS$40,MATCH(ROW()-3,$ME$4:$ME$40,0)))</f>
        <v/>
      </c>
      <c r="MG36">
        <f>IF(COUNTIF('Buyer Groups'!DG36:DM36,0)+COUNTIF('Buyer Groups'!DO36:EN36,0)&gt;0,0,1)</f>
        <v/>
      </c>
      <c r="MH36">
        <f>IF($AX$36="",FALSE,SUMPRODUCT(('Final Calculation Sheet'!$H$4:$H$40=$AX$36)*($MG$6:$MG$42=1))&gt;0)</f>
        <v/>
      </c>
      <c r="MI36">
        <f>$MI$35+--($MH36)</f>
        <v/>
      </c>
      <c r="MJ36">
        <f>IF(ROW()-3&gt;MAX($MI$4:$MI$40),"",INDEX($AX$4:$AX$40,MATCH(ROW()-3,$MI$4:$MI$40,0)))</f>
        <v/>
      </c>
      <c r="MK36">
        <f>IF(COUNTIF('Buyer Groups'!DG36:DN36,0)+COUNTIF('Buyer Groups'!DP36:EN36,0)&gt;0,0,1)</f>
        <v/>
      </c>
      <c r="ML36">
        <f>IF($BC$36="",FALSE,SUMPRODUCT(('Final Calculation Sheet'!$I$4:$I$40=$BC$36)*($MK$6:$MK$42=1))&gt;0)</f>
        <v/>
      </c>
      <c r="MM36">
        <f>$MM$35+--($ML36)</f>
        <v/>
      </c>
      <c r="MN36">
        <f>IF(ROW()-3&gt;MAX($MM$4:$MM$40),"",INDEX($BC$4:$BC$40,MATCH(ROW()-3,$MM$4:$MM$40,0)))</f>
        <v/>
      </c>
      <c r="MO36">
        <f>IF(COUNTIF('Buyer Groups'!DG36:DO36,0)+COUNTIF('Buyer Groups'!DQ36:EN36,0)&gt;0,0,1)</f>
        <v/>
      </c>
      <c r="MP36">
        <f>IF($BH$36="",FALSE,SUMPRODUCT(('Final Calculation Sheet'!$J$4:$J$40=$BH$36)*($MO$6:$MO$42=1))&gt;0)</f>
        <v/>
      </c>
      <c r="MQ36">
        <f>$MQ$35+--($MP36)</f>
        <v/>
      </c>
      <c r="MR36">
        <f>IF(ROW()-3&gt;MAX($MQ$4:$MQ$40),"",INDEX($BH$4:$BH$40,MATCH(ROW()-3,$MQ$4:$MQ$40,0)))</f>
        <v/>
      </c>
      <c r="MS36">
        <f>IF(COUNTIF('Buyer Groups'!DG36:DP36,0)+COUNTIF('Buyer Groups'!DR36:EN36,0)&gt;0,0,1)</f>
        <v/>
      </c>
      <c r="MT36">
        <f>IF($BM$36="",FALSE,SUMPRODUCT(('Final Calculation Sheet'!$K$4:$K$40=$BM$36)*($MS$6:$MS$42=1))&gt;0)</f>
        <v/>
      </c>
      <c r="MU36">
        <f>$MU$35+--($MT36)</f>
        <v/>
      </c>
      <c r="MV36">
        <f>IF(ROW()-3&gt;MAX($MU$4:$MU$40),"",INDEX($BM$4:$BM$40,MATCH(ROW()-3,$MU$4:$MU$40,0)))</f>
        <v/>
      </c>
      <c r="MW36">
        <f>IF(COUNTIF('Buyer Groups'!DG36:DQ36,0)+COUNTIF('Buyer Groups'!DS36:EN36,0)&gt;0,0,1)</f>
        <v/>
      </c>
      <c r="MX36">
        <f>IF($BR$36="",FALSE,SUMPRODUCT(('Final Calculation Sheet'!$L$4:$L$40=$BR$36)*($MW$6:$MW$42=1))&gt;0)</f>
        <v/>
      </c>
      <c r="MY36">
        <f>$MY$35+--($MX36)</f>
        <v/>
      </c>
      <c r="MZ36">
        <f>IF(ROW()-3&gt;MAX($MY$4:$MY$40),"",INDEX($BR$4:$BR$40,MATCH(ROW()-3,$MY$4:$MY$40,0)))</f>
        <v/>
      </c>
      <c r="NA36">
        <f>IF(COUNTIF('Buyer Groups'!DG36:DR36,0)+COUNTIF('Buyer Groups'!DT36:EN36,0)&gt;0,0,1)</f>
        <v/>
      </c>
      <c r="NB36">
        <f>IF($BW$36="",FALSE,SUMPRODUCT(('Final Calculation Sheet'!$M$4:$M$40=$BW$36)*($NA$6:$NA$42=1))&gt;0)</f>
        <v/>
      </c>
      <c r="NC36">
        <f>$NC$35+--($NB36)</f>
        <v/>
      </c>
      <c r="ND36">
        <f>IF(ROW()-3&gt;MAX($NC$4:$NC$40),"",INDEX($BW$4:$BW$40,MATCH(ROW()-3,$NC$4:$NC$40,0)))</f>
        <v/>
      </c>
      <c r="NE36">
        <f>IF(COUNTIF('Buyer Groups'!DG36:DS36,0)+COUNTIF('Buyer Groups'!DU36:EN36,0)&gt;0,0,1)</f>
        <v/>
      </c>
      <c r="NF36">
        <f>IF($CB$36="",FALSE,SUMPRODUCT(('Final Calculation Sheet'!$N$4:$N$40=$CB$36)*($NE$6:$NE$42=1))&gt;0)</f>
        <v/>
      </c>
      <c r="NG36">
        <f>$NG$35+--($NF36)</f>
        <v/>
      </c>
      <c r="NH36">
        <f>IF(ROW()-3&gt;MAX($NG$4:$NG$40),"",INDEX($CB$4:$CB$40,MATCH(ROW()-3,$NG$4:$NG$40,0)))</f>
        <v/>
      </c>
      <c r="NI36">
        <f>IF(COUNTIF('Buyer Groups'!DG36:DT36,0)+COUNTIF('Buyer Groups'!DV36:EN36,0)&gt;0,0,1)</f>
        <v/>
      </c>
      <c r="NJ36">
        <f>IF($CG$36="",FALSE,SUMPRODUCT(('Final Calculation Sheet'!$O$4:$O$40=$CG$36)*($NI$6:$NI$42=1))&gt;0)</f>
        <v/>
      </c>
      <c r="NK36">
        <f>$NK$35+--($NJ36)</f>
        <v/>
      </c>
      <c r="NL36">
        <f>IF(ROW()-3&gt;MAX($NK$4:$NK$40),"",INDEX($CG$4:$CG$40,MATCH(ROW()-3,$NK$4:$NK$40,0)))</f>
        <v/>
      </c>
      <c r="NM36">
        <f>IF(COUNTIF('Buyer Groups'!DG36:DU36,0)+COUNTIF('Buyer Groups'!DW36:EN36,0)&gt;0,0,1)</f>
        <v/>
      </c>
      <c r="NN36">
        <f>IF($CL$36="",FALSE,SUMPRODUCT(('Final Calculation Sheet'!$P$4:$P$40=$CL$36)*($NM$6:$NM$42=1))&gt;0)</f>
        <v/>
      </c>
      <c r="NO36">
        <f>$NO$35+--($NN36)</f>
        <v/>
      </c>
      <c r="NP36">
        <f>IF(ROW()-3&gt;MAX($NO$4:$NO$40),"",INDEX($CL$4:$CL$40,MATCH(ROW()-3,$NO$4:$NO$40,0)))</f>
        <v/>
      </c>
      <c r="NQ36">
        <f>IF(COUNTIF('Buyer Groups'!DG36:DV36,0)+COUNTIF('Buyer Groups'!DX36:EN36,0)&gt;0,0,1)</f>
        <v/>
      </c>
      <c r="NR36">
        <f>IF($CQ$36="",FALSE,SUMPRODUCT(('Final Calculation Sheet'!$Q$4:$Q$40=$CQ$36)*($NQ$6:$NQ$42=1))&gt;0)</f>
        <v/>
      </c>
      <c r="NS36">
        <f>$NS$35+--($NR36)</f>
        <v/>
      </c>
      <c r="NT36">
        <f>IF(ROW()-3&gt;MAX($NS$4:$NS$40),"",INDEX($CQ$4:$CQ$40,MATCH(ROW()-3,$NS$4:$NS$40,0)))</f>
        <v/>
      </c>
      <c r="NU36">
        <f>IF(COUNTIF('Buyer Groups'!DG36:DW36,0)+COUNTIF('Buyer Groups'!DY36:EN36,0)&gt;0,0,1)</f>
        <v/>
      </c>
      <c r="NV36">
        <f>IF($CV$36="",FALSE,SUMPRODUCT(('Final Calculation Sheet'!$R$4:$R$40=$CV$36)*($NU$6:$NU$42=1))&gt;0)</f>
        <v/>
      </c>
      <c r="NW36">
        <f>$NW$35+--($NV36)</f>
        <v/>
      </c>
      <c r="NX36">
        <f>IF(ROW()-3&gt;MAX($NW$4:$NW$40),"",INDEX($CV$4:$CV$40,MATCH(ROW()-3,$NW$4:$NW$40,0)))</f>
        <v/>
      </c>
      <c r="NY36">
        <f>IF(COUNTIF('Buyer Groups'!DG36:DX36,0)+COUNTIF('Buyer Groups'!DZ36:EN36,0)&gt;0,0,1)</f>
        <v/>
      </c>
      <c r="NZ36">
        <f>IF($DA$36="",FALSE,SUMPRODUCT(('Final Calculation Sheet'!$S$4:$S$40=$DA$36)*($NY$6:$NY$42=1))&gt;0)</f>
        <v/>
      </c>
      <c r="OA36">
        <f>$OA$35+--($NZ36)</f>
        <v/>
      </c>
      <c r="OB36">
        <f>IF(ROW()-3&gt;MAX($OA$4:$OA$40),"",INDEX($DA$4:$DA$40,MATCH(ROW()-3,$OA$4:$OA$40,0)))</f>
        <v/>
      </c>
      <c r="OC36">
        <f>IF(COUNTIF('Buyer Groups'!DG36:DY36,0)+COUNTIF('Buyer Groups'!EA36:EN36,0)&gt;0,0,1)</f>
        <v/>
      </c>
      <c r="OD36">
        <f>IF($DF$36="",FALSE,SUMPRODUCT(('Final Calculation Sheet'!$T$4:$T$40=$DF$36)*($OC$6:$OC$42=1))&gt;0)</f>
        <v/>
      </c>
      <c r="OE36">
        <f>$OE$35+--($OD36)</f>
        <v/>
      </c>
      <c r="OF36">
        <f>IF(ROW()-3&gt;MAX($OE$4:$OE$40),"",INDEX($DF$4:$DF$40,MATCH(ROW()-3,$OE$4:$OE$40,0)))</f>
        <v/>
      </c>
      <c r="OG36">
        <f>IF(COUNTIF('Buyer Groups'!DG36:DZ36,0)+COUNTIF('Buyer Groups'!EB36:EN36,0)&gt;0,0,1)</f>
        <v/>
      </c>
      <c r="OH36">
        <f>IF($DK$36="",FALSE,SUMPRODUCT(('Final Calculation Sheet'!$U$4:$U$40=$DK$36)*($OG$6:$OG$42=1))&gt;0)</f>
        <v/>
      </c>
      <c r="OI36">
        <f>$OI$35+--($OH36)</f>
        <v/>
      </c>
      <c r="OJ36">
        <f>IF(ROW()-3&gt;MAX($OI$4:$OI$40),"",INDEX($DK$4:$DK$40,MATCH(ROW()-3,$OI$4:$OI$40,0)))</f>
        <v/>
      </c>
      <c r="OK36">
        <f>IF(COUNTIF('Buyer Groups'!DG36:EA36,0)+COUNTIF('Buyer Groups'!EC36:EN36,0)&gt;0,0,1)</f>
        <v/>
      </c>
      <c r="OL36">
        <f>IF($DP$36="",FALSE,SUMPRODUCT(('Final Calculation Sheet'!$V$4:$V$40=$DP$36)*($OK$6:$OK$42=1))&gt;0)</f>
        <v/>
      </c>
      <c r="OM36">
        <f>$OM$35+--($OL36)</f>
        <v/>
      </c>
      <c r="ON36">
        <f>IF(ROW()-3&gt;MAX($OM$4:$OM$40),"",INDEX($DP$4:$DP$40,MATCH(ROW()-3,$OM$4:$OM$40,0)))</f>
        <v/>
      </c>
      <c r="OO36">
        <f>IF(COUNTIF('Buyer Groups'!DG36:EB36,0)+COUNTIF('Buyer Groups'!ED36:EN36,0)&gt;0,0,1)</f>
        <v/>
      </c>
      <c r="OP36">
        <f>IF($DU$36="",FALSE,SUMPRODUCT(('Final Calculation Sheet'!$W$4:$W$40=$DU$36)*($OO$6:$OO$42=1))&gt;0)</f>
        <v/>
      </c>
      <c r="OQ36">
        <f>$OQ$35+--($OP36)</f>
        <v/>
      </c>
      <c r="OR36">
        <f>IF(ROW()-3&gt;MAX($OQ$4:$OQ$40),"",INDEX($DU$4:$DU$40,MATCH(ROW()-3,$OQ$4:$OQ$40,0)))</f>
        <v/>
      </c>
      <c r="OS36">
        <f>IF(COUNTIF('Buyer Groups'!DG36:EC36,0)+COUNTIF('Buyer Groups'!EE36:EN36,0)&gt;0,0,1)</f>
        <v/>
      </c>
      <c r="OT36">
        <f>IF($DZ$36="",FALSE,SUMPRODUCT(('Final Calculation Sheet'!$X$4:$X$40=$DZ$36)*($OS$6:$OS$42=1))&gt;0)</f>
        <v/>
      </c>
      <c r="OU36">
        <f>$OU$35+--($OT36)</f>
        <v/>
      </c>
      <c r="OV36">
        <f>IF(ROW()-3&gt;MAX($OU$4:$OU$40),"",INDEX($DZ$4:$DZ$40,MATCH(ROW()-3,$OU$4:$OU$40,0)))</f>
        <v/>
      </c>
      <c r="OW36">
        <f>IF(COUNTIF('Buyer Groups'!DG36:ED36,0)+COUNTIF('Buyer Groups'!EF36:EN36,0)&gt;0,0,1)</f>
        <v/>
      </c>
      <c r="OX36">
        <f>IF($EE$36="",FALSE,SUMPRODUCT(('Final Calculation Sheet'!$Y$4:$Y$40=$EE$36)*($OW$6:$OW$42=1))&gt;0)</f>
        <v/>
      </c>
      <c r="OY36">
        <f>$OY$35+--($OX36)</f>
        <v/>
      </c>
      <c r="OZ36">
        <f>IF(ROW()-3&gt;MAX($OY$4:$OY$40),"",INDEX($EE$4:$EE$40,MATCH(ROW()-3,$OY$4:$OY$40,0)))</f>
        <v/>
      </c>
      <c r="PA36">
        <f>IF(COUNTIF('Buyer Groups'!DG36:EE36,0)+COUNTIF('Buyer Groups'!EG36:EN36,0)&gt;0,0,1)</f>
        <v/>
      </c>
      <c r="PB36">
        <f>IF($EJ$36="",FALSE,SUMPRODUCT(('Final Calculation Sheet'!$Z$4:$Z$40=$EJ$36)*($PA$6:$PA$42=1))&gt;0)</f>
        <v/>
      </c>
      <c r="PC36">
        <f>$PC$35+--($PB36)</f>
        <v/>
      </c>
      <c r="PD36">
        <f>IF(ROW()-3&gt;MAX($PC$4:$PC$40),"",INDEX($EJ$4:$EJ$40,MATCH(ROW()-3,$PC$4:$PC$40,0)))</f>
        <v/>
      </c>
      <c r="PE36">
        <f>IF(COUNTIF('Buyer Groups'!DG36:EF36,0)+COUNTIF('Buyer Groups'!EH36:EN36,0)&gt;0,0,1)</f>
        <v/>
      </c>
      <c r="PF36">
        <f>IF($EO$36="",FALSE,SUMPRODUCT(('Final Calculation Sheet'!$AA$4:$AA$40=$EO$36)*($PE$6:$PE$42=1))&gt;0)</f>
        <v/>
      </c>
      <c r="PG36">
        <f>$PG$35+--($PF36)</f>
        <v/>
      </c>
      <c r="PH36">
        <f>IF(ROW()-3&gt;MAX($PG$4:$PG$40),"",INDEX($EO$4:$EO$40,MATCH(ROW()-3,$PG$4:$PG$40,0)))</f>
        <v/>
      </c>
      <c r="PI36">
        <f>IF(COUNTIF('Buyer Groups'!DG36:EG36,0)+COUNTIF('Buyer Groups'!EI36:EN36,0)&gt;0,0,1)</f>
        <v/>
      </c>
      <c r="PJ36">
        <f>IF($ET$36="",FALSE,SUMPRODUCT(('Final Calculation Sheet'!$AB$4:$AB$40=$ET$36)*($PI$6:$PI$42=1))&gt;0)</f>
        <v/>
      </c>
      <c r="PK36">
        <f>$PK$35+--($PJ36)</f>
        <v/>
      </c>
      <c r="PL36">
        <f>IF(ROW()-3&gt;MAX($PK$4:$PK$40),"",INDEX($ET$4:$ET$40,MATCH(ROW()-3,$PK$4:$PK$40,0)))</f>
        <v/>
      </c>
      <c r="PM36">
        <f>IF(COUNTIF('Buyer Groups'!DG36:EH36,0)+COUNTIF('Buyer Groups'!EJ36:EN36,0)&gt;0,0,1)</f>
        <v/>
      </c>
      <c r="PN36">
        <f>IF($EY$36="",FALSE,SUMPRODUCT(('Final Calculation Sheet'!$AC$4:$AC$40=$EY$36)*($PM$6:$PM$42=1))&gt;0)</f>
        <v/>
      </c>
      <c r="PO36">
        <f>$PO$35+--($PN36)</f>
        <v/>
      </c>
      <c r="PP36">
        <f>IF(ROW()-3&gt;MAX($PO$4:$PO$40),"",INDEX($EY$4:$EY$40,MATCH(ROW()-3,$PO$4:$PO$40,0)))</f>
        <v/>
      </c>
      <c r="PQ36">
        <f>IF(COUNTIF('Buyer Groups'!DG36:EI36,0)+COUNTIF('Buyer Groups'!EK36:EN36,0)&gt;0,0,1)</f>
        <v/>
      </c>
      <c r="PR36">
        <f>IF($FD$36="",FALSE,SUMPRODUCT(('Final Calculation Sheet'!$AD$4:$AD$40=$FD$36)*($PQ$6:$PQ$42=1))&gt;0)</f>
        <v/>
      </c>
      <c r="PS36">
        <f>$PS$35+--($PR36)</f>
        <v/>
      </c>
      <c r="PT36">
        <f>IF(ROW()-3&gt;MAX($PS$4:$PS$40),"",INDEX($FD$4:$FD$40,MATCH(ROW()-3,$PS$4:$PS$40,0)))</f>
        <v/>
      </c>
      <c r="PU36">
        <f>IF(COUNTIF('Buyer Groups'!DG36:EJ36,0)+COUNTIF('Buyer Groups'!EL36:EN36,0)&gt;0,0,1)</f>
        <v/>
      </c>
      <c r="PV36">
        <f>IF($FX$36="",FALSE,SUMPRODUCT((IF('Final Calculation Sheet'!$AD$4:$AD$40&lt;=5,"SETTLED","OUTSTANDING")=$FX$36)*($PU$6:$PU$42=1))&gt;0)</f>
        <v/>
      </c>
      <c r="PW36">
        <f>$PW$35+--($PV36)</f>
        <v/>
      </c>
      <c r="PX36">
        <f>IF(ROW()-3&gt;MAX($PW$4:$PW$40),"",INDEX($FX$4:$FX$40,MATCH(ROW()-3,$PW$4:$PW$40,0)))</f>
        <v/>
      </c>
      <c r="PY36">
        <f>IF(COUNTIF('Buyer Groups'!DG36:EK36,0)+COUNTIF('Buyer Groups'!EM36:EN36,0)&gt;0,0,1)</f>
        <v/>
      </c>
      <c r="PZ36">
        <f>IF($FI$36="",FALSE,SUMPRODUCT(('Final Calculation Sheet'!$AF$4:$AF$40=$FI$36)*($PY$6:$PY$42=1))&gt;0)</f>
        <v/>
      </c>
      <c r="QA36">
        <f>$QA$35+--($PZ36)</f>
        <v/>
      </c>
      <c r="QB36">
        <f>IF(ROW()-3&gt;MAX($QA$4:$QA$40),"",INDEX($FI$4:$FI$40,MATCH(ROW()-3,$QA$4:$QA$40,0)))</f>
        <v/>
      </c>
      <c r="QC36">
        <f>IF(COUNTIF('Buyer Groups'!DG36:EL36,0)+COUNTIF('Buyer Groups'!EN36:EN36,0)&gt;0,0,1)</f>
        <v/>
      </c>
      <c r="QD36">
        <f>IF($FN$36="",FALSE,SUMPRODUCT(('Final Calculation Sheet'!$AG$4:$AG$40=$FN$36)*($QC$6:$QC$42=1))&gt;0)</f>
        <v/>
      </c>
      <c r="QE36">
        <f>$QE$35+--($QD36)</f>
        <v/>
      </c>
      <c r="QF36">
        <f>IF(ROW()-3&gt;MAX($QE$4:$QE$40),"",INDEX($FN$4:$FN$40,MATCH(ROW()-3,$QE$4:$QE$40,0)))</f>
        <v/>
      </c>
      <c r="QG36">
        <f>IF(COUNTIF('Buyer Groups'!DG36:EM36,0)&gt;0,0,1)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Groups'!DH37:EN37,0)&gt;0,0,1)</f>
        <v/>
      </c>
      <c r="LF37">
        <f>IF($O$37="",FALSE,SUMPRODUCT(('Final Calculation Sheet'!$F$4:$F$40=$O$37)*($LE$6:$LE$42=1))&gt;0)</f>
        <v/>
      </c>
      <c r="LG37">
        <f>$LG$36+--($LF37)</f>
        <v/>
      </c>
      <c r="LH37">
        <f>IF(ROW()-3&gt;MAX($LG$4:$LG$40),"",INDEX($O$4:$O$40,MATCH(ROW()-3,$LG$4:$LG$40,0)))</f>
        <v/>
      </c>
      <c r="LI37">
        <f>IF(COUNTIF('Buyer Groups'!DG37:DG37,0)+COUNTIF('Buyer Groups'!DI37:EN37,0)&gt;0,0,1)</f>
        <v/>
      </c>
      <c r="LJ37">
        <f>IF($T$37="",FALSE,SUMPRODUCT(('Final Calculation Sheet'!$G$4:$G$40=$T$37)*($LI$6:$LI$42=1))&gt;0)</f>
        <v/>
      </c>
      <c r="LK37">
        <f>$LK$36+--($LJ37)</f>
        <v/>
      </c>
      <c r="LL37">
        <f>IF(ROW()-3&gt;MAX($LK$4:$LK$40),"",INDEX($T$4:$T$40,MATCH(ROW()-3,$LK$4:$LK$40,0)))</f>
        <v/>
      </c>
      <c r="LM37">
        <f>IF(COUNTIF('Buyer Groups'!DG37:DH37,0)+COUNTIF('Buyer Groups'!DJ37:EN37,0)&gt;0,0,1)</f>
        <v/>
      </c>
      <c r="LN37">
        <f>IF($Y$37="",FALSE,SUMPRODUCT(('Final Calculation Sheet'!$B$4:$B$40=$Y$37)*($LM$6:$LM$42=1))&gt;0)</f>
        <v/>
      </c>
      <c r="LO37">
        <f>$LO$36+--($LN37)</f>
        <v/>
      </c>
      <c r="LP37">
        <f>IF(ROW()-3&gt;MAX($LO$4:$LO$40),"",INDEX($Y$4:$Y$40,MATCH(ROW()-3,$LO$4:$LO$40,0)))</f>
        <v/>
      </c>
      <c r="LQ37">
        <f>IF(COUNTIF('Buyer Groups'!DG37:DI37,0)+COUNTIF('Buyer Groups'!DK37:EN37,0)&gt;0,0,1)</f>
        <v/>
      </c>
      <c r="LR37">
        <f>IF($AD$37="",FALSE,SUMPRODUCT(('Final Calculation Sheet'!$D$4:$D$40=$AD$37)*($LQ$6:$LQ$42=1))&gt;0)</f>
        <v/>
      </c>
      <c r="LS37">
        <f>$LS$36+--($LR37)</f>
        <v/>
      </c>
      <c r="LT37">
        <f>IF(ROW()-3&gt;MAX($LS$4:$LS$40),"",INDEX($AD$4:$AD$40,MATCH(ROW()-3,$LS$4:$LS$40,0)))</f>
        <v/>
      </c>
      <c r="LU37">
        <f>IF(COUNTIF('Buyer Groups'!DG37:DJ37,0)+COUNTIF('Buyer Groups'!DL37:EN37,0)&gt;0,0,1)</f>
        <v/>
      </c>
      <c r="LV37">
        <f>IF($AI$37="",FALSE,SUMPRODUCT(('Final Calculation Sheet'!$A$4:$A$40=$AI$37)*($LU$6:$LU$42=1))&gt;0)</f>
        <v/>
      </c>
      <c r="LW37">
        <f>$LW$36+--($LV37)</f>
        <v/>
      </c>
      <c r="LX37">
        <f>IF(ROW()-3&gt;MAX($LW$4:$LW$40),"",INDEX($AI$4:$AI$40,MATCH(ROW()-3,$LW$4:$LW$40,0)))</f>
        <v/>
      </c>
      <c r="LY37">
        <f>IF(COUNTIF('Buyer Groups'!DG37:DK37,0)+COUNTIF('Buyer Groups'!DM37:EN37,0)&gt;0,0,1)</f>
        <v/>
      </c>
      <c r="LZ37">
        <f>IF($AN$37="",FALSE,SUMPRODUCT(('Final Calculation Sheet'!$E$4:$E$40=$AN$37)*($LY$6:$LY$42=1))&gt;0)</f>
        <v/>
      </c>
      <c r="MA37">
        <f>$MA$36+--($LZ37)</f>
        <v/>
      </c>
      <c r="MB37">
        <f>IF(ROW()-3&gt;MAX($MA$4:$MA$40),"",INDEX($AN$4:$AN$40,MATCH(ROW()-3,$MA$4:$MA$40,0)))</f>
        <v/>
      </c>
      <c r="MC37">
        <f>IF(COUNTIF('Buyer Groups'!DG37:DL37,0)+COUNTIF('Buyer Groups'!DN37:EN37,0)&gt;0,0,1)</f>
        <v/>
      </c>
      <c r="MD37">
        <f>IF($AS$37="",FALSE,SUMPRODUCT(('Final Calculation Sheet'!$C$4:$C$40=$AS$37)*($MC$6:$MC$42=1))&gt;0)</f>
        <v/>
      </c>
      <c r="ME37">
        <f>$ME$36+--($MD37)</f>
        <v/>
      </c>
      <c r="MF37">
        <f>IF(ROW()-3&gt;MAX($ME$4:$ME$40),"",INDEX($AS$4:$AS$40,MATCH(ROW()-3,$ME$4:$ME$40,0)))</f>
        <v/>
      </c>
      <c r="MG37">
        <f>IF(COUNTIF('Buyer Groups'!DG37:DM37,0)+COUNTIF('Buyer Groups'!DO37:EN37,0)&gt;0,0,1)</f>
        <v/>
      </c>
      <c r="MH37">
        <f>IF($AX$37="",FALSE,SUMPRODUCT(('Final Calculation Sheet'!$H$4:$H$40=$AX$37)*($MG$6:$MG$42=1))&gt;0)</f>
        <v/>
      </c>
      <c r="MI37">
        <f>$MI$36+--($MH37)</f>
        <v/>
      </c>
      <c r="MJ37">
        <f>IF(ROW()-3&gt;MAX($MI$4:$MI$40),"",INDEX($AX$4:$AX$40,MATCH(ROW()-3,$MI$4:$MI$40,0)))</f>
        <v/>
      </c>
      <c r="MK37">
        <f>IF(COUNTIF('Buyer Groups'!DG37:DN37,0)+COUNTIF('Buyer Groups'!DP37:EN37,0)&gt;0,0,1)</f>
        <v/>
      </c>
      <c r="ML37">
        <f>IF($BC$37="",FALSE,SUMPRODUCT(('Final Calculation Sheet'!$I$4:$I$40=$BC$37)*($MK$6:$MK$42=1))&gt;0)</f>
        <v/>
      </c>
      <c r="MM37">
        <f>$MM$36+--($ML37)</f>
        <v/>
      </c>
      <c r="MN37">
        <f>IF(ROW()-3&gt;MAX($MM$4:$MM$40),"",INDEX($BC$4:$BC$40,MATCH(ROW()-3,$MM$4:$MM$40,0)))</f>
        <v/>
      </c>
      <c r="MO37">
        <f>IF(COUNTIF('Buyer Groups'!DG37:DO37,0)+COUNTIF('Buyer Groups'!DQ37:EN37,0)&gt;0,0,1)</f>
        <v/>
      </c>
      <c r="MP37">
        <f>IF($BH$37="",FALSE,SUMPRODUCT(('Final Calculation Sheet'!$J$4:$J$40=$BH$37)*($MO$6:$MO$42=1))&gt;0)</f>
        <v/>
      </c>
      <c r="MQ37">
        <f>$MQ$36+--($MP37)</f>
        <v/>
      </c>
      <c r="MR37">
        <f>IF(ROW()-3&gt;MAX($MQ$4:$MQ$40),"",INDEX($BH$4:$BH$40,MATCH(ROW()-3,$MQ$4:$MQ$40,0)))</f>
        <v/>
      </c>
      <c r="MS37">
        <f>IF(COUNTIF('Buyer Groups'!DG37:DP37,0)+COUNTIF('Buyer Groups'!DR37:EN37,0)&gt;0,0,1)</f>
        <v/>
      </c>
      <c r="MT37">
        <f>IF($BM$37="",FALSE,SUMPRODUCT(('Final Calculation Sheet'!$K$4:$K$40=$BM$37)*($MS$6:$MS$42=1))&gt;0)</f>
        <v/>
      </c>
      <c r="MU37">
        <f>$MU$36+--($MT37)</f>
        <v/>
      </c>
      <c r="MV37">
        <f>IF(ROW()-3&gt;MAX($MU$4:$MU$40),"",INDEX($BM$4:$BM$40,MATCH(ROW()-3,$MU$4:$MU$40,0)))</f>
        <v/>
      </c>
      <c r="MW37">
        <f>IF(COUNTIF('Buyer Groups'!DG37:DQ37,0)+COUNTIF('Buyer Groups'!DS37:EN37,0)&gt;0,0,1)</f>
        <v/>
      </c>
      <c r="MX37">
        <f>IF($BR$37="",FALSE,SUMPRODUCT(('Final Calculation Sheet'!$L$4:$L$40=$BR$37)*($MW$6:$MW$42=1))&gt;0)</f>
        <v/>
      </c>
      <c r="MY37">
        <f>$MY$36+--($MX37)</f>
        <v/>
      </c>
      <c r="MZ37">
        <f>IF(ROW()-3&gt;MAX($MY$4:$MY$40),"",INDEX($BR$4:$BR$40,MATCH(ROW()-3,$MY$4:$MY$40,0)))</f>
        <v/>
      </c>
      <c r="NA37">
        <f>IF(COUNTIF('Buyer Groups'!DG37:DR37,0)+COUNTIF('Buyer Groups'!DT37:EN37,0)&gt;0,0,1)</f>
        <v/>
      </c>
      <c r="NB37">
        <f>IF($BW$37="",FALSE,SUMPRODUCT(('Final Calculation Sheet'!$M$4:$M$40=$BW$37)*($NA$6:$NA$42=1))&gt;0)</f>
        <v/>
      </c>
      <c r="NC37">
        <f>$NC$36+--($NB37)</f>
        <v/>
      </c>
      <c r="ND37">
        <f>IF(ROW()-3&gt;MAX($NC$4:$NC$40),"",INDEX($BW$4:$BW$40,MATCH(ROW()-3,$NC$4:$NC$40,0)))</f>
        <v/>
      </c>
      <c r="NE37">
        <f>IF(COUNTIF('Buyer Groups'!DG37:DS37,0)+COUNTIF('Buyer Groups'!DU37:EN37,0)&gt;0,0,1)</f>
        <v/>
      </c>
      <c r="NF37">
        <f>IF($CB$37="",FALSE,SUMPRODUCT(('Final Calculation Sheet'!$N$4:$N$40=$CB$37)*($NE$6:$NE$42=1))&gt;0)</f>
        <v/>
      </c>
      <c r="NG37">
        <f>$NG$36+--($NF37)</f>
        <v/>
      </c>
      <c r="NH37">
        <f>IF(ROW()-3&gt;MAX($NG$4:$NG$40),"",INDEX($CB$4:$CB$40,MATCH(ROW()-3,$NG$4:$NG$40,0)))</f>
        <v/>
      </c>
      <c r="NI37">
        <f>IF(COUNTIF('Buyer Groups'!DG37:DT37,0)+COUNTIF('Buyer Groups'!DV37:EN37,0)&gt;0,0,1)</f>
        <v/>
      </c>
      <c r="NJ37">
        <f>IF($CG$37="",FALSE,SUMPRODUCT(('Final Calculation Sheet'!$O$4:$O$40=$CG$37)*($NI$6:$NI$42=1))&gt;0)</f>
        <v/>
      </c>
      <c r="NK37">
        <f>$NK$36+--($NJ37)</f>
        <v/>
      </c>
      <c r="NL37">
        <f>IF(ROW()-3&gt;MAX($NK$4:$NK$40),"",INDEX($CG$4:$CG$40,MATCH(ROW()-3,$NK$4:$NK$40,0)))</f>
        <v/>
      </c>
      <c r="NM37">
        <f>IF(COUNTIF('Buyer Groups'!DG37:DU37,0)+COUNTIF('Buyer Groups'!DW37:EN37,0)&gt;0,0,1)</f>
        <v/>
      </c>
      <c r="NN37">
        <f>IF($CL$37="",FALSE,SUMPRODUCT(('Final Calculation Sheet'!$P$4:$P$40=$CL$37)*($NM$6:$NM$42=1))&gt;0)</f>
        <v/>
      </c>
      <c r="NO37">
        <f>$NO$36+--($NN37)</f>
        <v/>
      </c>
      <c r="NP37">
        <f>IF(ROW()-3&gt;MAX($NO$4:$NO$40),"",INDEX($CL$4:$CL$40,MATCH(ROW()-3,$NO$4:$NO$40,0)))</f>
        <v/>
      </c>
      <c r="NQ37">
        <f>IF(COUNTIF('Buyer Groups'!DG37:DV37,0)+COUNTIF('Buyer Groups'!DX37:EN37,0)&gt;0,0,1)</f>
        <v/>
      </c>
      <c r="NR37">
        <f>IF($CQ$37="",FALSE,SUMPRODUCT(('Final Calculation Sheet'!$Q$4:$Q$40=$CQ$37)*($NQ$6:$NQ$42=1))&gt;0)</f>
        <v/>
      </c>
      <c r="NS37">
        <f>$NS$36+--($NR37)</f>
        <v/>
      </c>
      <c r="NT37">
        <f>IF(ROW()-3&gt;MAX($NS$4:$NS$40),"",INDEX($CQ$4:$CQ$40,MATCH(ROW()-3,$NS$4:$NS$40,0)))</f>
        <v/>
      </c>
      <c r="NU37">
        <f>IF(COUNTIF('Buyer Groups'!DG37:DW37,0)+COUNTIF('Buyer Groups'!DY37:EN37,0)&gt;0,0,1)</f>
        <v/>
      </c>
      <c r="NV37">
        <f>IF($CV$37="",FALSE,SUMPRODUCT(('Final Calculation Sheet'!$R$4:$R$40=$CV$37)*($NU$6:$NU$42=1))&gt;0)</f>
        <v/>
      </c>
      <c r="NW37">
        <f>$NW$36+--($NV37)</f>
        <v/>
      </c>
      <c r="NX37">
        <f>IF(ROW()-3&gt;MAX($NW$4:$NW$40),"",INDEX($CV$4:$CV$40,MATCH(ROW()-3,$NW$4:$NW$40,0)))</f>
        <v/>
      </c>
      <c r="NY37">
        <f>IF(COUNTIF('Buyer Groups'!DG37:DX37,0)+COUNTIF('Buyer Groups'!DZ37:EN37,0)&gt;0,0,1)</f>
        <v/>
      </c>
      <c r="NZ37">
        <f>IF($DA$37="",FALSE,SUMPRODUCT(('Final Calculation Sheet'!$S$4:$S$40=$DA$37)*($NY$6:$NY$42=1))&gt;0)</f>
        <v/>
      </c>
      <c r="OA37">
        <f>$OA$36+--($NZ37)</f>
        <v/>
      </c>
      <c r="OB37">
        <f>IF(ROW()-3&gt;MAX($OA$4:$OA$40),"",INDEX($DA$4:$DA$40,MATCH(ROW()-3,$OA$4:$OA$40,0)))</f>
        <v/>
      </c>
      <c r="OC37">
        <f>IF(COUNTIF('Buyer Groups'!DG37:DY37,0)+COUNTIF('Buyer Groups'!EA37:EN37,0)&gt;0,0,1)</f>
        <v/>
      </c>
      <c r="OD37">
        <f>IF($DF$37="",FALSE,SUMPRODUCT(('Final Calculation Sheet'!$T$4:$T$40=$DF$37)*($OC$6:$OC$42=1))&gt;0)</f>
        <v/>
      </c>
      <c r="OE37">
        <f>$OE$36+--($OD37)</f>
        <v/>
      </c>
      <c r="OF37">
        <f>IF(ROW()-3&gt;MAX($OE$4:$OE$40),"",INDEX($DF$4:$DF$40,MATCH(ROW()-3,$OE$4:$OE$40,0)))</f>
        <v/>
      </c>
      <c r="OG37">
        <f>IF(COUNTIF('Buyer Groups'!DG37:DZ37,0)+COUNTIF('Buyer Groups'!EB37:EN37,0)&gt;0,0,1)</f>
        <v/>
      </c>
      <c r="OH37">
        <f>IF($DK$37="",FALSE,SUMPRODUCT(('Final Calculation Sheet'!$U$4:$U$40=$DK$37)*($OG$6:$OG$42=1))&gt;0)</f>
        <v/>
      </c>
      <c r="OI37">
        <f>$OI$36+--($OH37)</f>
        <v/>
      </c>
      <c r="OJ37">
        <f>IF(ROW()-3&gt;MAX($OI$4:$OI$40),"",INDEX($DK$4:$DK$40,MATCH(ROW()-3,$OI$4:$OI$40,0)))</f>
        <v/>
      </c>
      <c r="OK37">
        <f>IF(COUNTIF('Buyer Groups'!DG37:EA37,0)+COUNTIF('Buyer Groups'!EC37:EN37,0)&gt;0,0,1)</f>
        <v/>
      </c>
      <c r="OL37">
        <f>IF($DP$37="",FALSE,SUMPRODUCT(('Final Calculation Sheet'!$V$4:$V$40=$DP$37)*($OK$6:$OK$42=1))&gt;0)</f>
        <v/>
      </c>
      <c r="OM37">
        <f>$OM$36+--($OL37)</f>
        <v/>
      </c>
      <c r="ON37">
        <f>IF(ROW()-3&gt;MAX($OM$4:$OM$40),"",INDEX($DP$4:$DP$40,MATCH(ROW()-3,$OM$4:$OM$40,0)))</f>
        <v/>
      </c>
      <c r="OO37">
        <f>IF(COUNTIF('Buyer Groups'!DG37:EB37,0)+COUNTIF('Buyer Groups'!ED37:EN37,0)&gt;0,0,1)</f>
        <v/>
      </c>
      <c r="OP37">
        <f>IF($DU$37="",FALSE,SUMPRODUCT(('Final Calculation Sheet'!$W$4:$W$40=$DU$37)*($OO$6:$OO$42=1))&gt;0)</f>
        <v/>
      </c>
      <c r="OQ37">
        <f>$OQ$36+--($OP37)</f>
        <v/>
      </c>
      <c r="OR37">
        <f>IF(ROW()-3&gt;MAX($OQ$4:$OQ$40),"",INDEX($DU$4:$DU$40,MATCH(ROW()-3,$OQ$4:$OQ$40,0)))</f>
        <v/>
      </c>
      <c r="OS37">
        <f>IF(COUNTIF('Buyer Groups'!DG37:EC37,0)+COUNTIF('Buyer Groups'!EE37:EN37,0)&gt;0,0,1)</f>
        <v/>
      </c>
      <c r="OT37">
        <f>IF($DZ$37="",FALSE,SUMPRODUCT(('Final Calculation Sheet'!$X$4:$X$40=$DZ$37)*($OS$6:$OS$42=1))&gt;0)</f>
        <v/>
      </c>
      <c r="OU37">
        <f>$OU$36+--($OT37)</f>
        <v/>
      </c>
      <c r="OV37">
        <f>IF(ROW()-3&gt;MAX($OU$4:$OU$40),"",INDEX($DZ$4:$DZ$40,MATCH(ROW()-3,$OU$4:$OU$40,0)))</f>
        <v/>
      </c>
      <c r="OW37">
        <f>IF(COUNTIF('Buyer Groups'!DG37:ED37,0)+COUNTIF('Buyer Groups'!EF37:EN37,0)&gt;0,0,1)</f>
        <v/>
      </c>
      <c r="OX37">
        <f>IF($EE$37="",FALSE,SUMPRODUCT(('Final Calculation Sheet'!$Y$4:$Y$40=$EE$37)*($OW$6:$OW$42=1))&gt;0)</f>
        <v/>
      </c>
      <c r="OY37">
        <f>$OY$36+--($OX37)</f>
        <v/>
      </c>
      <c r="OZ37">
        <f>IF(ROW()-3&gt;MAX($OY$4:$OY$40),"",INDEX($EE$4:$EE$40,MATCH(ROW()-3,$OY$4:$OY$40,0)))</f>
        <v/>
      </c>
      <c r="PA37">
        <f>IF(COUNTIF('Buyer Groups'!DG37:EE37,0)+COUNTIF('Buyer Groups'!EG37:EN37,0)&gt;0,0,1)</f>
        <v/>
      </c>
      <c r="PB37">
        <f>IF($EJ$37="",FALSE,SUMPRODUCT(('Final Calculation Sheet'!$Z$4:$Z$40=$EJ$37)*($PA$6:$PA$42=1))&gt;0)</f>
        <v/>
      </c>
      <c r="PC37">
        <f>$PC$36+--($PB37)</f>
        <v/>
      </c>
      <c r="PD37">
        <f>IF(ROW()-3&gt;MAX($PC$4:$PC$40),"",INDEX($EJ$4:$EJ$40,MATCH(ROW()-3,$PC$4:$PC$40,0)))</f>
        <v/>
      </c>
      <c r="PE37">
        <f>IF(COUNTIF('Buyer Groups'!DG37:EF37,0)+COUNTIF('Buyer Groups'!EH37:EN37,0)&gt;0,0,1)</f>
        <v/>
      </c>
      <c r="PF37">
        <f>IF($EO$37="",FALSE,SUMPRODUCT(('Final Calculation Sheet'!$AA$4:$AA$40=$EO$37)*($PE$6:$PE$42=1))&gt;0)</f>
        <v/>
      </c>
      <c r="PG37">
        <f>$PG$36+--($PF37)</f>
        <v/>
      </c>
      <c r="PH37">
        <f>IF(ROW()-3&gt;MAX($PG$4:$PG$40),"",INDEX($EO$4:$EO$40,MATCH(ROW()-3,$PG$4:$PG$40,0)))</f>
        <v/>
      </c>
      <c r="PI37">
        <f>IF(COUNTIF('Buyer Groups'!DG37:EG37,0)+COUNTIF('Buyer Groups'!EI37:EN37,0)&gt;0,0,1)</f>
        <v/>
      </c>
      <c r="PJ37">
        <f>IF($ET$37="",FALSE,SUMPRODUCT(('Final Calculation Sheet'!$AB$4:$AB$40=$ET$37)*($PI$6:$PI$42=1))&gt;0)</f>
        <v/>
      </c>
      <c r="PK37">
        <f>$PK$36+--($PJ37)</f>
        <v/>
      </c>
      <c r="PL37">
        <f>IF(ROW()-3&gt;MAX($PK$4:$PK$40),"",INDEX($ET$4:$ET$40,MATCH(ROW()-3,$PK$4:$PK$40,0)))</f>
        <v/>
      </c>
      <c r="PM37">
        <f>IF(COUNTIF('Buyer Groups'!DG37:EH37,0)+COUNTIF('Buyer Groups'!EJ37:EN37,0)&gt;0,0,1)</f>
        <v/>
      </c>
      <c r="PN37">
        <f>IF($EY$37="",FALSE,SUMPRODUCT(('Final Calculation Sheet'!$AC$4:$AC$40=$EY$37)*($PM$6:$PM$42=1))&gt;0)</f>
        <v/>
      </c>
      <c r="PO37">
        <f>$PO$36+--($PN37)</f>
        <v/>
      </c>
      <c r="PP37">
        <f>IF(ROW()-3&gt;MAX($PO$4:$PO$40),"",INDEX($EY$4:$EY$40,MATCH(ROW()-3,$PO$4:$PO$40,0)))</f>
        <v/>
      </c>
      <c r="PQ37">
        <f>IF(COUNTIF('Buyer Groups'!DG37:EI37,0)+COUNTIF('Buyer Groups'!EK37:EN37,0)&gt;0,0,1)</f>
        <v/>
      </c>
      <c r="PR37">
        <f>IF($FD$37="",FALSE,SUMPRODUCT(('Final Calculation Sheet'!$AD$4:$AD$40=$FD$37)*($PQ$6:$PQ$42=1))&gt;0)</f>
        <v/>
      </c>
      <c r="PS37">
        <f>$PS$36+--($PR37)</f>
        <v/>
      </c>
      <c r="PT37">
        <f>IF(ROW()-3&gt;MAX($PS$4:$PS$40),"",INDEX($FD$4:$FD$40,MATCH(ROW()-3,$PS$4:$PS$40,0)))</f>
        <v/>
      </c>
      <c r="PU37">
        <f>IF(COUNTIF('Buyer Groups'!DG37:EJ37,0)+COUNTIF('Buyer Groups'!EL37:EN37,0)&gt;0,0,1)</f>
        <v/>
      </c>
      <c r="PV37">
        <f>IF($FX$37="",FALSE,SUMPRODUCT((IF('Final Calculation Sheet'!$AD$4:$AD$40&lt;=5,"SETTLED","OUTSTANDING")=$FX$37)*($PU$6:$PU$42=1))&gt;0)</f>
        <v/>
      </c>
      <c r="PW37">
        <f>$PW$36+--($PV37)</f>
        <v/>
      </c>
      <c r="PX37">
        <f>IF(ROW()-3&gt;MAX($PW$4:$PW$40),"",INDEX($FX$4:$FX$40,MATCH(ROW()-3,$PW$4:$PW$40,0)))</f>
        <v/>
      </c>
      <c r="PY37">
        <f>IF(COUNTIF('Buyer Groups'!DG37:EK37,0)+COUNTIF('Buyer Groups'!EM37:EN37,0)&gt;0,0,1)</f>
        <v/>
      </c>
      <c r="PZ37">
        <f>IF($FI$37="",FALSE,SUMPRODUCT(('Final Calculation Sheet'!$AF$4:$AF$40=$FI$37)*($PY$6:$PY$42=1))&gt;0)</f>
        <v/>
      </c>
      <c r="QA37">
        <f>$QA$36+--($PZ37)</f>
        <v/>
      </c>
      <c r="QB37">
        <f>IF(ROW()-3&gt;MAX($QA$4:$QA$40),"",INDEX($FI$4:$FI$40,MATCH(ROW()-3,$QA$4:$QA$40,0)))</f>
        <v/>
      </c>
      <c r="QC37">
        <f>IF(COUNTIF('Buyer Groups'!DG37:EL37,0)+COUNTIF('Buyer Groups'!EN37:EN37,0)&gt;0,0,1)</f>
        <v/>
      </c>
      <c r="QD37">
        <f>IF($FN$37="",FALSE,SUMPRODUCT(('Final Calculation Sheet'!$AG$4:$AG$40=$FN$37)*($QC$6:$QC$42=1))&gt;0)</f>
        <v/>
      </c>
      <c r="QE37">
        <f>$QE$36+--($QD37)</f>
        <v/>
      </c>
      <c r="QF37">
        <f>IF(ROW()-3&gt;MAX($QE$4:$QE$40),"",INDEX($FN$4:$FN$40,MATCH(ROW()-3,$QE$4:$QE$40,0)))</f>
        <v/>
      </c>
      <c r="QG37">
        <f>IF(COUNTIF('Buyer Groups'!DG37:EM37,0)&gt;0,0,1)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Groups'!DH38:EN38,0)&gt;0,0,1)</f>
        <v/>
      </c>
      <c r="LF38">
        <f>IF($O$38="",FALSE,SUMPRODUCT(('Final Calculation Sheet'!$F$4:$F$40=$O$38)*($LE$6:$LE$42=1))&gt;0)</f>
        <v/>
      </c>
      <c r="LG38">
        <f>$LG$37+--($LF38)</f>
        <v/>
      </c>
      <c r="LH38">
        <f>IF(ROW()-3&gt;MAX($LG$4:$LG$40),"",INDEX($O$4:$O$40,MATCH(ROW()-3,$LG$4:$LG$40,0)))</f>
        <v/>
      </c>
      <c r="LI38">
        <f>IF(COUNTIF('Buyer Groups'!DG38:DG38,0)+COUNTIF('Buyer Groups'!DI38:EN38,0)&gt;0,0,1)</f>
        <v/>
      </c>
      <c r="LJ38">
        <f>IF($T$38="",FALSE,SUMPRODUCT(('Final Calculation Sheet'!$G$4:$G$40=$T$38)*($LI$6:$LI$42=1))&gt;0)</f>
        <v/>
      </c>
      <c r="LK38">
        <f>$LK$37+--($LJ38)</f>
        <v/>
      </c>
      <c r="LL38">
        <f>IF(ROW()-3&gt;MAX($LK$4:$LK$40),"",INDEX($T$4:$T$40,MATCH(ROW()-3,$LK$4:$LK$40,0)))</f>
        <v/>
      </c>
      <c r="LM38">
        <f>IF(COUNTIF('Buyer Groups'!DG38:DH38,0)+COUNTIF('Buyer Groups'!DJ38:EN38,0)&gt;0,0,1)</f>
        <v/>
      </c>
      <c r="LN38">
        <f>IF($Y$38="",FALSE,SUMPRODUCT(('Final Calculation Sheet'!$B$4:$B$40=$Y$38)*($LM$6:$LM$42=1))&gt;0)</f>
        <v/>
      </c>
      <c r="LO38">
        <f>$LO$37+--($LN38)</f>
        <v/>
      </c>
      <c r="LP38">
        <f>IF(ROW()-3&gt;MAX($LO$4:$LO$40),"",INDEX($Y$4:$Y$40,MATCH(ROW()-3,$LO$4:$LO$40,0)))</f>
        <v/>
      </c>
      <c r="LQ38">
        <f>IF(COUNTIF('Buyer Groups'!DG38:DI38,0)+COUNTIF('Buyer Groups'!DK38:EN38,0)&gt;0,0,1)</f>
        <v/>
      </c>
      <c r="LR38">
        <f>IF($AD$38="",FALSE,SUMPRODUCT(('Final Calculation Sheet'!$D$4:$D$40=$AD$38)*($LQ$6:$LQ$42=1))&gt;0)</f>
        <v/>
      </c>
      <c r="LS38">
        <f>$LS$37+--($LR38)</f>
        <v/>
      </c>
      <c r="LT38">
        <f>IF(ROW()-3&gt;MAX($LS$4:$LS$40),"",INDEX($AD$4:$AD$40,MATCH(ROW()-3,$LS$4:$LS$40,0)))</f>
        <v/>
      </c>
      <c r="LU38">
        <f>IF(COUNTIF('Buyer Groups'!DG38:DJ38,0)+COUNTIF('Buyer Groups'!DL38:EN38,0)&gt;0,0,1)</f>
        <v/>
      </c>
      <c r="LV38">
        <f>IF($AI$38="",FALSE,SUMPRODUCT(('Final Calculation Sheet'!$A$4:$A$40=$AI$38)*($LU$6:$LU$42=1))&gt;0)</f>
        <v/>
      </c>
      <c r="LW38">
        <f>$LW$37+--($LV38)</f>
        <v/>
      </c>
      <c r="LX38">
        <f>IF(ROW()-3&gt;MAX($LW$4:$LW$40),"",INDEX($AI$4:$AI$40,MATCH(ROW()-3,$LW$4:$LW$40,0)))</f>
        <v/>
      </c>
      <c r="LY38">
        <f>IF(COUNTIF('Buyer Groups'!DG38:DK38,0)+COUNTIF('Buyer Groups'!DM38:EN38,0)&gt;0,0,1)</f>
        <v/>
      </c>
      <c r="LZ38">
        <f>IF($AN$38="",FALSE,SUMPRODUCT(('Final Calculation Sheet'!$E$4:$E$40=$AN$38)*($LY$6:$LY$42=1))&gt;0)</f>
        <v/>
      </c>
      <c r="MA38">
        <f>$MA$37+--($LZ38)</f>
        <v/>
      </c>
      <c r="MB38">
        <f>IF(ROW()-3&gt;MAX($MA$4:$MA$40),"",INDEX($AN$4:$AN$40,MATCH(ROW()-3,$MA$4:$MA$40,0)))</f>
        <v/>
      </c>
      <c r="MC38">
        <f>IF(COUNTIF('Buyer Groups'!DG38:DL38,0)+COUNTIF('Buyer Groups'!DN38:EN38,0)&gt;0,0,1)</f>
        <v/>
      </c>
      <c r="MD38">
        <f>IF($AS$38="",FALSE,SUMPRODUCT(('Final Calculation Sheet'!$C$4:$C$40=$AS$38)*($MC$6:$MC$42=1))&gt;0)</f>
        <v/>
      </c>
      <c r="ME38">
        <f>$ME$37+--($MD38)</f>
        <v/>
      </c>
      <c r="MF38">
        <f>IF(ROW()-3&gt;MAX($ME$4:$ME$40),"",INDEX($AS$4:$AS$40,MATCH(ROW()-3,$ME$4:$ME$40,0)))</f>
        <v/>
      </c>
      <c r="MG38">
        <f>IF(COUNTIF('Buyer Groups'!DG38:DM38,0)+COUNTIF('Buyer Groups'!DO38:EN38,0)&gt;0,0,1)</f>
        <v/>
      </c>
      <c r="MH38">
        <f>IF($AX$38="",FALSE,SUMPRODUCT(('Final Calculation Sheet'!$H$4:$H$40=$AX$38)*($MG$6:$MG$42=1))&gt;0)</f>
        <v/>
      </c>
      <c r="MI38">
        <f>$MI$37+--($MH38)</f>
        <v/>
      </c>
      <c r="MJ38">
        <f>IF(ROW()-3&gt;MAX($MI$4:$MI$40),"",INDEX($AX$4:$AX$40,MATCH(ROW()-3,$MI$4:$MI$40,0)))</f>
        <v/>
      </c>
      <c r="MK38">
        <f>IF(COUNTIF('Buyer Groups'!DG38:DN38,0)+COUNTIF('Buyer Groups'!DP38:EN38,0)&gt;0,0,1)</f>
        <v/>
      </c>
      <c r="ML38">
        <f>IF($BC$38="",FALSE,SUMPRODUCT(('Final Calculation Sheet'!$I$4:$I$40=$BC$38)*($MK$6:$MK$42=1))&gt;0)</f>
        <v/>
      </c>
      <c r="MM38">
        <f>$MM$37+--($ML38)</f>
        <v/>
      </c>
      <c r="MN38">
        <f>IF(ROW()-3&gt;MAX($MM$4:$MM$40),"",INDEX($BC$4:$BC$40,MATCH(ROW()-3,$MM$4:$MM$40,0)))</f>
        <v/>
      </c>
      <c r="MO38">
        <f>IF(COUNTIF('Buyer Groups'!DG38:DO38,0)+COUNTIF('Buyer Groups'!DQ38:EN38,0)&gt;0,0,1)</f>
        <v/>
      </c>
      <c r="MP38">
        <f>IF($BH$38="",FALSE,SUMPRODUCT(('Final Calculation Sheet'!$J$4:$J$40=$BH$38)*($MO$6:$MO$42=1))&gt;0)</f>
        <v/>
      </c>
      <c r="MQ38">
        <f>$MQ$37+--($MP38)</f>
        <v/>
      </c>
      <c r="MR38">
        <f>IF(ROW()-3&gt;MAX($MQ$4:$MQ$40),"",INDEX($BH$4:$BH$40,MATCH(ROW()-3,$MQ$4:$MQ$40,0)))</f>
        <v/>
      </c>
      <c r="MS38">
        <f>IF(COUNTIF('Buyer Groups'!DG38:DP38,0)+COUNTIF('Buyer Groups'!DR38:EN38,0)&gt;0,0,1)</f>
        <v/>
      </c>
      <c r="MT38">
        <f>IF($BM$38="",FALSE,SUMPRODUCT(('Final Calculation Sheet'!$K$4:$K$40=$BM$38)*($MS$6:$MS$42=1))&gt;0)</f>
        <v/>
      </c>
      <c r="MU38">
        <f>$MU$37+--($MT38)</f>
        <v/>
      </c>
      <c r="MV38">
        <f>IF(ROW()-3&gt;MAX($MU$4:$MU$40),"",INDEX($BM$4:$BM$40,MATCH(ROW()-3,$MU$4:$MU$40,0)))</f>
        <v/>
      </c>
      <c r="MW38">
        <f>IF(COUNTIF('Buyer Groups'!DG38:DQ38,0)+COUNTIF('Buyer Groups'!DS38:EN38,0)&gt;0,0,1)</f>
        <v/>
      </c>
      <c r="MX38">
        <f>IF($BR$38="",FALSE,SUMPRODUCT(('Final Calculation Sheet'!$L$4:$L$40=$BR$38)*($MW$6:$MW$42=1))&gt;0)</f>
        <v/>
      </c>
      <c r="MY38">
        <f>$MY$37+--($MX38)</f>
        <v/>
      </c>
      <c r="MZ38">
        <f>IF(ROW()-3&gt;MAX($MY$4:$MY$40),"",INDEX($BR$4:$BR$40,MATCH(ROW()-3,$MY$4:$MY$40,0)))</f>
        <v/>
      </c>
      <c r="NA38">
        <f>IF(COUNTIF('Buyer Groups'!DG38:DR38,0)+COUNTIF('Buyer Groups'!DT38:EN38,0)&gt;0,0,1)</f>
        <v/>
      </c>
      <c r="NB38">
        <f>IF($BW$38="",FALSE,SUMPRODUCT(('Final Calculation Sheet'!$M$4:$M$40=$BW$38)*($NA$6:$NA$42=1))&gt;0)</f>
        <v/>
      </c>
      <c r="NC38">
        <f>$NC$37+--($NB38)</f>
        <v/>
      </c>
      <c r="ND38">
        <f>IF(ROW()-3&gt;MAX($NC$4:$NC$40),"",INDEX($BW$4:$BW$40,MATCH(ROW()-3,$NC$4:$NC$40,0)))</f>
        <v/>
      </c>
      <c r="NE38">
        <f>IF(COUNTIF('Buyer Groups'!DG38:DS38,0)+COUNTIF('Buyer Groups'!DU38:EN38,0)&gt;0,0,1)</f>
        <v/>
      </c>
      <c r="NF38">
        <f>IF($CB$38="",FALSE,SUMPRODUCT(('Final Calculation Sheet'!$N$4:$N$40=$CB$38)*($NE$6:$NE$42=1))&gt;0)</f>
        <v/>
      </c>
      <c r="NG38">
        <f>$NG$37+--($NF38)</f>
        <v/>
      </c>
      <c r="NH38">
        <f>IF(ROW()-3&gt;MAX($NG$4:$NG$40),"",INDEX($CB$4:$CB$40,MATCH(ROW()-3,$NG$4:$NG$40,0)))</f>
        <v/>
      </c>
      <c r="NI38">
        <f>IF(COUNTIF('Buyer Groups'!DG38:DT38,0)+COUNTIF('Buyer Groups'!DV38:EN38,0)&gt;0,0,1)</f>
        <v/>
      </c>
      <c r="NJ38">
        <f>IF($CG$38="",FALSE,SUMPRODUCT(('Final Calculation Sheet'!$O$4:$O$40=$CG$38)*($NI$6:$NI$42=1))&gt;0)</f>
        <v/>
      </c>
      <c r="NK38">
        <f>$NK$37+--($NJ38)</f>
        <v/>
      </c>
      <c r="NL38">
        <f>IF(ROW()-3&gt;MAX($NK$4:$NK$40),"",INDEX($CG$4:$CG$40,MATCH(ROW()-3,$NK$4:$NK$40,0)))</f>
        <v/>
      </c>
      <c r="NM38">
        <f>IF(COUNTIF('Buyer Groups'!DG38:DU38,0)+COUNTIF('Buyer Groups'!DW38:EN38,0)&gt;0,0,1)</f>
        <v/>
      </c>
      <c r="NN38">
        <f>IF($CL$38="",FALSE,SUMPRODUCT(('Final Calculation Sheet'!$P$4:$P$40=$CL$38)*($NM$6:$NM$42=1))&gt;0)</f>
        <v/>
      </c>
      <c r="NO38">
        <f>$NO$37+--($NN38)</f>
        <v/>
      </c>
      <c r="NP38">
        <f>IF(ROW()-3&gt;MAX($NO$4:$NO$40),"",INDEX($CL$4:$CL$40,MATCH(ROW()-3,$NO$4:$NO$40,0)))</f>
        <v/>
      </c>
      <c r="NQ38">
        <f>IF(COUNTIF('Buyer Groups'!DG38:DV38,0)+COUNTIF('Buyer Groups'!DX38:EN38,0)&gt;0,0,1)</f>
        <v/>
      </c>
      <c r="NR38">
        <f>IF($CQ$38="",FALSE,SUMPRODUCT(('Final Calculation Sheet'!$Q$4:$Q$40=$CQ$38)*($NQ$6:$NQ$42=1))&gt;0)</f>
        <v/>
      </c>
      <c r="NS38">
        <f>$NS$37+--($NR38)</f>
        <v/>
      </c>
      <c r="NT38">
        <f>IF(ROW()-3&gt;MAX($NS$4:$NS$40),"",INDEX($CQ$4:$CQ$40,MATCH(ROW()-3,$NS$4:$NS$40,0)))</f>
        <v/>
      </c>
      <c r="NU38">
        <f>IF(COUNTIF('Buyer Groups'!DG38:DW38,0)+COUNTIF('Buyer Groups'!DY38:EN38,0)&gt;0,0,1)</f>
        <v/>
      </c>
      <c r="NV38">
        <f>IF($CV$38="",FALSE,SUMPRODUCT(('Final Calculation Sheet'!$R$4:$R$40=$CV$38)*($NU$6:$NU$42=1))&gt;0)</f>
        <v/>
      </c>
      <c r="NW38">
        <f>$NW$37+--($NV38)</f>
        <v/>
      </c>
      <c r="NX38">
        <f>IF(ROW()-3&gt;MAX($NW$4:$NW$40),"",INDEX($CV$4:$CV$40,MATCH(ROW()-3,$NW$4:$NW$40,0)))</f>
        <v/>
      </c>
      <c r="NY38">
        <f>IF(COUNTIF('Buyer Groups'!DG38:DX38,0)+COUNTIF('Buyer Groups'!DZ38:EN38,0)&gt;0,0,1)</f>
        <v/>
      </c>
      <c r="NZ38">
        <f>IF($DA$38="",FALSE,SUMPRODUCT(('Final Calculation Sheet'!$S$4:$S$40=$DA$38)*($NY$6:$NY$42=1))&gt;0)</f>
        <v/>
      </c>
      <c r="OA38">
        <f>$OA$37+--($NZ38)</f>
        <v/>
      </c>
      <c r="OB38">
        <f>IF(ROW()-3&gt;MAX($OA$4:$OA$40),"",INDEX($DA$4:$DA$40,MATCH(ROW()-3,$OA$4:$OA$40,0)))</f>
        <v/>
      </c>
      <c r="OC38">
        <f>IF(COUNTIF('Buyer Groups'!DG38:DY38,0)+COUNTIF('Buyer Groups'!EA38:EN38,0)&gt;0,0,1)</f>
        <v/>
      </c>
      <c r="OD38">
        <f>IF($DF$38="",FALSE,SUMPRODUCT(('Final Calculation Sheet'!$T$4:$T$40=$DF$38)*($OC$6:$OC$42=1))&gt;0)</f>
        <v/>
      </c>
      <c r="OE38">
        <f>$OE$37+--($OD38)</f>
        <v/>
      </c>
      <c r="OF38">
        <f>IF(ROW()-3&gt;MAX($OE$4:$OE$40),"",INDEX($DF$4:$DF$40,MATCH(ROW()-3,$OE$4:$OE$40,0)))</f>
        <v/>
      </c>
      <c r="OG38">
        <f>IF(COUNTIF('Buyer Groups'!DG38:DZ38,0)+COUNTIF('Buyer Groups'!EB38:EN38,0)&gt;0,0,1)</f>
        <v/>
      </c>
      <c r="OH38">
        <f>IF($DK$38="",FALSE,SUMPRODUCT(('Final Calculation Sheet'!$U$4:$U$40=$DK$38)*($OG$6:$OG$42=1))&gt;0)</f>
        <v/>
      </c>
      <c r="OI38">
        <f>$OI$37+--($OH38)</f>
        <v/>
      </c>
      <c r="OJ38">
        <f>IF(ROW()-3&gt;MAX($OI$4:$OI$40),"",INDEX($DK$4:$DK$40,MATCH(ROW()-3,$OI$4:$OI$40,0)))</f>
        <v/>
      </c>
      <c r="OK38">
        <f>IF(COUNTIF('Buyer Groups'!DG38:EA38,0)+COUNTIF('Buyer Groups'!EC38:EN38,0)&gt;0,0,1)</f>
        <v/>
      </c>
      <c r="OL38">
        <f>IF($DP$38="",FALSE,SUMPRODUCT(('Final Calculation Sheet'!$V$4:$V$40=$DP$38)*($OK$6:$OK$42=1))&gt;0)</f>
        <v/>
      </c>
      <c r="OM38">
        <f>$OM$37+--($OL38)</f>
        <v/>
      </c>
      <c r="ON38">
        <f>IF(ROW()-3&gt;MAX($OM$4:$OM$40),"",INDEX($DP$4:$DP$40,MATCH(ROW()-3,$OM$4:$OM$40,0)))</f>
        <v/>
      </c>
      <c r="OO38">
        <f>IF(COUNTIF('Buyer Groups'!DG38:EB38,0)+COUNTIF('Buyer Groups'!ED38:EN38,0)&gt;0,0,1)</f>
        <v/>
      </c>
      <c r="OP38">
        <f>IF($DU$38="",FALSE,SUMPRODUCT(('Final Calculation Sheet'!$W$4:$W$40=$DU$38)*($OO$6:$OO$42=1))&gt;0)</f>
        <v/>
      </c>
      <c r="OQ38">
        <f>$OQ$37+--($OP38)</f>
        <v/>
      </c>
      <c r="OR38">
        <f>IF(ROW()-3&gt;MAX($OQ$4:$OQ$40),"",INDEX($DU$4:$DU$40,MATCH(ROW()-3,$OQ$4:$OQ$40,0)))</f>
        <v/>
      </c>
      <c r="OS38">
        <f>IF(COUNTIF('Buyer Groups'!DG38:EC38,0)+COUNTIF('Buyer Groups'!EE38:EN38,0)&gt;0,0,1)</f>
        <v/>
      </c>
      <c r="OT38">
        <f>IF($DZ$38="",FALSE,SUMPRODUCT(('Final Calculation Sheet'!$X$4:$X$40=$DZ$38)*($OS$6:$OS$42=1))&gt;0)</f>
        <v/>
      </c>
      <c r="OU38">
        <f>$OU$37+--($OT38)</f>
        <v/>
      </c>
      <c r="OV38">
        <f>IF(ROW()-3&gt;MAX($OU$4:$OU$40),"",INDEX($DZ$4:$DZ$40,MATCH(ROW()-3,$OU$4:$OU$40,0)))</f>
        <v/>
      </c>
      <c r="OW38">
        <f>IF(COUNTIF('Buyer Groups'!DG38:ED38,0)+COUNTIF('Buyer Groups'!EF38:EN38,0)&gt;0,0,1)</f>
        <v/>
      </c>
      <c r="OX38">
        <f>IF($EE$38="",FALSE,SUMPRODUCT(('Final Calculation Sheet'!$Y$4:$Y$40=$EE$38)*($OW$6:$OW$42=1))&gt;0)</f>
        <v/>
      </c>
      <c r="OY38">
        <f>$OY$37+--($OX38)</f>
        <v/>
      </c>
      <c r="OZ38">
        <f>IF(ROW()-3&gt;MAX($OY$4:$OY$40),"",INDEX($EE$4:$EE$40,MATCH(ROW()-3,$OY$4:$OY$40,0)))</f>
        <v/>
      </c>
      <c r="PA38">
        <f>IF(COUNTIF('Buyer Groups'!DG38:EE38,0)+COUNTIF('Buyer Groups'!EG38:EN38,0)&gt;0,0,1)</f>
        <v/>
      </c>
      <c r="PB38">
        <f>IF($EJ$38="",FALSE,SUMPRODUCT(('Final Calculation Sheet'!$Z$4:$Z$40=$EJ$38)*($PA$6:$PA$42=1))&gt;0)</f>
        <v/>
      </c>
      <c r="PC38">
        <f>$PC$37+--($PB38)</f>
        <v/>
      </c>
      <c r="PD38">
        <f>IF(ROW()-3&gt;MAX($PC$4:$PC$40),"",INDEX($EJ$4:$EJ$40,MATCH(ROW()-3,$PC$4:$PC$40,0)))</f>
        <v/>
      </c>
      <c r="PE38">
        <f>IF(COUNTIF('Buyer Groups'!DG38:EF38,0)+COUNTIF('Buyer Groups'!EH38:EN38,0)&gt;0,0,1)</f>
        <v/>
      </c>
      <c r="PF38">
        <f>IF($EO$38="",FALSE,SUMPRODUCT(('Final Calculation Sheet'!$AA$4:$AA$40=$EO$38)*($PE$6:$PE$42=1))&gt;0)</f>
        <v/>
      </c>
      <c r="PG38">
        <f>$PG$37+--($PF38)</f>
        <v/>
      </c>
      <c r="PH38">
        <f>IF(ROW()-3&gt;MAX($PG$4:$PG$40),"",INDEX($EO$4:$EO$40,MATCH(ROW()-3,$PG$4:$PG$40,0)))</f>
        <v/>
      </c>
      <c r="PI38">
        <f>IF(COUNTIF('Buyer Groups'!DG38:EG38,0)+COUNTIF('Buyer Groups'!EI38:EN38,0)&gt;0,0,1)</f>
        <v/>
      </c>
      <c r="PJ38">
        <f>IF($ET$38="",FALSE,SUMPRODUCT(('Final Calculation Sheet'!$AB$4:$AB$40=$ET$38)*($PI$6:$PI$42=1))&gt;0)</f>
        <v/>
      </c>
      <c r="PK38">
        <f>$PK$37+--($PJ38)</f>
        <v/>
      </c>
      <c r="PL38">
        <f>IF(ROW()-3&gt;MAX($PK$4:$PK$40),"",INDEX($ET$4:$ET$40,MATCH(ROW()-3,$PK$4:$PK$40,0)))</f>
        <v/>
      </c>
      <c r="PM38">
        <f>IF(COUNTIF('Buyer Groups'!DG38:EH38,0)+COUNTIF('Buyer Groups'!EJ38:EN38,0)&gt;0,0,1)</f>
        <v/>
      </c>
      <c r="PN38">
        <f>IF($EY$38="",FALSE,SUMPRODUCT(('Final Calculation Sheet'!$AC$4:$AC$40=$EY$38)*($PM$6:$PM$42=1))&gt;0)</f>
        <v/>
      </c>
      <c r="PO38">
        <f>$PO$37+--($PN38)</f>
        <v/>
      </c>
      <c r="PP38">
        <f>IF(ROW()-3&gt;MAX($PO$4:$PO$40),"",INDEX($EY$4:$EY$40,MATCH(ROW()-3,$PO$4:$PO$40,0)))</f>
        <v/>
      </c>
      <c r="PQ38">
        <f>IF(COUNTIF('Buyer Groups'!DG38:EI38,0)+COUNTIF('Buyer Groups'!EK38:EN38,0)&gt;0,0,1)</f>
        <v/>
      </c>
      <c r="PR38">
        <f>IF($FD$38="",FALSE,SUMPRODUCT(('Final Calculation Sheet'!$AD$4:$AD$40=$FD$38)*($PQ$6:$PQ$42=1))&gt;0)</f>
        <v/>
      </c>
      <c r="PS38">
        <f>$PS$37+--($PR38)</f>
        <v/>
      </c>
      <c r="PT38">
        <f>IF(ROW()-3&gt;MAX($PS$4:$PS$40),"",INDEX($FD$4:$FD$40,MATCH(ROW()-3,$PS$4:$PS$40,0)))</f>
        <v/>
      </c>
      <c r="PU38">
        <f>IF(COUNTIF('Buyer Groups'!DG38:EJ38,0)+COUNTIF('Buyer Groups'!EL38:EN38,0)&gt;0,0,1)</f>
        <v/>
      </c>
      <c r="PV38">
        <f>IF($FX$38="",FALSE,SUMPRODUCT((IF('Final Calculation Sheet'!$AD$4:$AD$40&lt;=5,"SETTLED","OUTSTANDING")=$FX$38)*($PU$6:$PU$42=1))&gt;0)</f>
        <v/>
      </c>
      <c r="PW38">
        <f>$PW$37+--($PV38)</f>
        <v/>
      </c>
      <c r="PX38">
        <f>IF(ROW()-3&gt;MAX($PW$4:$PW$40),"",INDEX($FX$4:$FX$40,MATCH(ROW()-3,$PW$4:$PW$40,0)))</f>
        <v/>
      </c>
      <c r="PY38">
        <f>IF(COUNTIF('Buyer Groups'!DG38:EK38,0)+COUNTIF('Buyer Groups'!EM38:EN38,0)&gt;0,0,1)</f>
        <v/>
      </c>
      <c r="PZ38">
        <f>IF($FI$38="",FALSE,SUMPRODUCT(('Final Calculation Sheet'!$AF$4:$AF$40=$FI$38)*($PY$6:$PY$42=1))&gt;0)</f>
        <v/>
      </c>
      <c r="QA38">
        <f>$QA$37+--($PZ38)</f>
        <v/>
      </c>
      <c r="QB38">
        <f>IF(ROW()-3&gt;MAX($QA$4:$QA$40),"",INDEX($FI$4:$FI$40,MATCH(ROW()-3,$QA$4:$QA$40,0)))</f>
        <v/>
      </c>
      <c r="QC38">
        <f>IF(COUNTIF('Buyer Groups'!DG38:EL38,0)+COUNTIF('Buyer Groups'!EN38:EN38,0)&gt;0,0,1)</f>
        <v/>
      </c>
      <c r="QD38">
        <f>IF($FN$38="",FALSE,SUMPRODUCT(('Final Calculation Sheet'!$AG$4:$AG$40=$FN$38)*($QC$6:$QC$42=1))&gt;0)</f>
        <v/>
      </c>
      <c r="QE38">
        <f>$QE$37+--($QD38)</f>
        <v/>
      </c>
      <c r="QF38">
        <f>IF(ROW()-3&gt;MAX($QE$4:$QE$40),"",INDEX($FN$4:$FN$40,MATCH(ROW()-3,$QE$4:$QE$40,0)))</f>
        <v/>
      </c>
      <c r="QG38">
        <f>IF(COUNTIF('Buyer Groups'!DG38:EM38,0)&gt;0,0,1)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Groups'!DH39:EN39,0)&gt;0,0,1)</f>
        <v/>
      </c>
      <c r="LF39">
        <f>IF($O$39="",FALSE,SUMPRODUCT(('Final Calculation Sheet'!$F$4:$F$40=$O$39)*($LE$6:$LE$42=1))&gt;0)</f>
        <v/>
      </c>
      <c r="LG39">
        <f>$LG$38+--($LF39)</f>
        <v/>
      </c>
      <c r="LH39">
        <f>IF(ROW()-3&gt;MAX($LG$4:$LG$40),"",INDEX($O$4:$O$40,MATCH(ROW()-3,$LG$4:$LG$40,0)))</f>
        <v/>
      </c>
      <c r="LI39">
        <f>IF(COUNTIF('Buyer Groups'!DG39:DG39,0)+COUNTIF('Buyer Groups'!DI39:EN39,0)&gt;0,0,1)</f>
        <v/>
      </c>
      <c r="LJ39">
        <f>IF($T$39="",FALSE,SUMPRODUCT(('Final Calculation Sheet'!$G$4:$G$40=$T$39)*($LI$6:$LI$42=1))&gt;0)</f>
        <v/>
      </c>
      <c r="LK39">
        <f>$LK$38+--($LJ39)</f>
        <v/>
      </c>
      <c r="LL39">
        <f>IF(ROW()-3&gt;MAX($LK$4:$LK$40),"",INDEX($T$4:$T$40,MATCH(ROW()-3,$LK$4:$LK$40,0)))</f>
        <v/>
      </c>
      <c r="LM39">
        <f>IF(COUNTIF('Buyer Groups'!DG39:DH39,0)+COUNTIF('Buyer Groups'!DJ39:EN39,0)&gt;0,0,1)</f>
        <v/>
      </c>
      <c r="LN39">
        <f>IF($Y$39="",FALSE,SUMPRODUCT(('Final Calculation Sheet'!$B$4:$B$40=$Y$39)*($LM$6:$LM$42=1))&gt;0)</f>
        <v/>
      </c>
      <c r="LO39">
        <f>$LO$38+--($LN39)</f>
        <v/>
      </c>
      <c r="LP39">
        <f>IF(ROW()-3&gt;MAX($LO$4:$LO$40),"",INDEX($Y$4:$Y$40,MATCH(ROW()-3,$LO$4:$LO$40,0)))</f>
        <v/>
      </c>
      <c r="LQ39">
        <f>IF(COUNTIF('Buyer Groups'!DG39:DI39,0)+COUNTIF('Buyer Groups'!DK39:EN39,0)&gt;0,0,1)</f>
        <v/>
      </c>
      <c r="LR39">
        <f>IF($AD$39="",FALSE,SUMPRODUCT(('Final Calculation Sheet'!$D$4:$D$40=$AD$39)*($LQ$6:$LQ$42=1))&gt;0)</f>
        <v/>
      </c>
      <c r="LS39">
        <f>$LS$38+--($LR39)</f>
        <v/>
      </c>
      <c r="LT39">
        <f>IF(ROW()-3&gt;MAX($LS$4:$LS$40),"",INDEX($AD$4:$AD$40,MATCH(ROW()-3,$LS$4:$LS$40,0)))</f>
        <v/>
      </c>
      <c r="LU39">
        <f>IF(COUNTIF('Buyer Groups'!DG39:DJ39,0)+COUNTIF('Buyer Groups'!DL39:EN39,0)&gt;0,0,1)</f>
        <v/>
      </c>
      <c r="LV39">
        <f>IF($AI$39="",FALSE,SUMPRODUCT(('Final Calculation Sheet'!$A$4:$A$40=$AI$39)*($LU$6:$LU$42=1))&gt;0)</f>
        <v/>
      </c>
      <c r="LW39">
        <f>$LW$38+--($LV39)</f>
        <v/>
      </c>
      <c r="LX39">
        <f>IF(ROW()-3&gt;MAX($LW$4:$LW$40),"",INDEX($AI$4:$AI$40,MATCH(ROW()-3,$LW$4:$LW$40,0)))</f>
        <v/>
      </c>
      <c r="LY39">
        <f>IF(COUNTIF('Buyer Groups'!DG39:DK39,0)+COUNTIF('Buyer Groups'!DM39:EN39,0)&gt;0,0,1)</f>
        <v/>
      </c>
      <c r="LZ39">
        <f>IF($AN$39="",FALSE,SUMPRODUCT(('Final Calculation Sheet'!$E$4:$E$40=$AN$39)*($LY$6:$LY$42=1))&gt;0)</f>
        <v/>
      </c>
      <c r="MA39">
        <f>$MA$38+--($LZ39)</f>
        <v/>
      </c>
      <c r="MB39">
        <f>IF(ROW()-3&gt;MAX($MA$4:$MA$40),"",INDEX($AN$4:$AN$40,MATCH(ROW()-3,$MA$4:$MA$40,0)))</f>
        <v/>
      </c>
      <c r="MC39">
        <f>IF(COUNTIF('Buyer Groups'!DG39:DL39,0)+COUNTIF('Buyer Groups'!DN39:EN39,0)&gt;0,0,1)</f>
        <v/>
      </c>
      <c r="MD39">
        <f>IF($AS$39="",FALSE,SUMPRODUCT(('Final Calculation Sheet'!$C$4:$C$40=$AS$39)*($MC$6:$MC$42=1))&gt;0)</f>
        <v/>
      </c>
      <c r="ME39">
        <f>$ME$38+--($MD39)</f>
        <v/>
      </c>
      <c r="MF39">
        <f>IF(ROW()-3&gt;MAX($ME$4:$ME$40),"",INDEX($AS$4:$AS$40,MATCH(ROW()-3,$ME$4:$ME$40,0)))</f>
        <v/>
      </c>
      <c r="MG39">
        <f>IF(COUNTIF('Buyer Groups'!DG39:DM39,0)+COUNTIF('Buyer Groups'!DO39:EN39,0)&gt;0,0,1)</f>
        <v/>
      </c>
      <c r="MH39">
        <f>IF($AX$39="",FALSE,SUMPRODUCT(('Final Calculation Sheet'!$H$4:$H$40=$AX$39)*($MG$6:$MG$42=1))&gt;0)</f>
        <v/>
      </c>
      <c r="MI39">
        <f>$MI$38+--($MH39)</f>
        <v/>
      </c>
      <c r="MJ39">
        <f>IF(ROW()-3&gt;MAX($MI$4:$MI$40),"",INDEX($AX$4:$AX$40,MATCH(ROW()-3,$MI$4:$MI$40,0)))</f>
        <v/>
      </c>
      <c r="MK39">
        <f>IF(COUNTIF('Buyer Groups'!DG39:DN39,0)+COUNTIF('Buyer Groups'!DP39:EN39,0)&gt;0,0,1)</f>
        <v/>
      </c>
      <c r="ML39">
        <f>IF($BC$39="",FALSE,SUMPRODUCT(('Final Calculation Sheet'!$I$4:$I$40=$BC$39)*($MK$6:$MK$42=1))&gt;0)</f>
        <v/>
      </c>
      <c r="MM39">
        <f>$MM$38+--($ML39)</f>
        <v/>
      </c>
      <c r="MN39">
        <f>IF(ROW()-3&gt;MAX($MM$4:$MM$40),"",INDEX($BC$4:$BC$40,MATCH(ROW()-3,$MM$4:$MM$40,0)))</f>
        <v/>
      </c>
      <c r="MO39">
        <f>IF(COUNTIF('Buyer Groups'!DG39:DO39,0)+COUNTIF('Buyer Groups'!DQ39:EN39,0)&gt;0,0,1)</f>
        <v/>
      </c>
      <c r="MP39">
        <f>IF($BH$39="",FALSE,SUMPRODUCT(('Final Calculation Sheet'!$J$4:$J$40=$BH$39)*($MO$6:$MO$42=1))&gt;0)</f>
        <v/>
      </c>
      <c r="MQ39">
        <f>$MQ$38+--($MP39)</f>
        <v/>
      </c>
      <c r="MR39">
        <f>IF(ROW()-3&gt;MAX($MQ$4:$MQ$40),"",INDEX($BH$4:$BH$40,MATCH(ROW()-3,$MQ$4:$MQ$40,0)))</f>
        <v/>
      </c>
      <c r="MS39">
        <f>IF(COUNTIF('Buyer Groups'!DG39:DP39,0)+COUNTIF('Buyer Groups'!DR39:EN39,0)&gt;0,0,1)</f>
        <v/>
      </c>
      <c r="MT39">
        <f>IF($BM$39="",FALSE,SUMPRODUCT(('Final Calculation Sheet'!$K$4:$K$40=$BM$39)*($MS$6:$MS$42=1))&gt;0)</f>
        <v/>
      </c>
      <c r="MU39">
        <f>$MU$38+--($MT39)</f>
        <v/>
      </c>
      <c r="MV39">
        <f>IF(ROW()-3&gt;MAX($MU$4:$MU$40),"",INDEX($BM$4:$BM$40,MATCH(ROW()-3,$MU$4:$MU$40,0)))</f>
        <v/>
      </c>
      <c r="MW39">
        <f>IF(COUNTIF('Buyer Groups'!DG39:DQ39,0)+COUNTIF('Buyer Groups'!DS39:EN39,0)&gt;0,0,1)</f>
        <v/>
      </c>
      <c r="MX39">
        <f>IF($BR$39="",FALSE,SUMPRODUCT(('Final Calculation Sheet'!$L$4:$L$40=$BR$39)*($MW$6:$MW$42=1))&gt;0)</f>
        <v/>
      </c>
      <c r="MY39">
        <f>$MY$38+--($MX39)</f>
        <v/>
      </c>
      <c r="MZ39">
        <f>IF(ROW()-3&gt;MAX($MY$4:$MY$40),"",INDEX($BR$4:$BR$40,MATCH(ROW()-3,$MY$4:$MY$40,0)))</f>
        <v/>
      </c>
      <c r="NA39">
        <f>IF(COUNTIF('Buyer Groups'!DG39:DR39,0)+COUNTIF('Buyer Groups'!DT39:EN39,0)&gt;0,0,1)</f>
        <v/>
      </c>
      <c r="NB39">
        <f>IF($BW$39="",FALSE,SUMPRODUCT(('Final Calculation Sheet'!$M$4:$M$40=$BW$39)*($NA$6:$NA$42=1))&gt;0)</f>
        <v/>
      </c>
      <c r="NC39">
        <f>$NC$38+--($NB39)</f>
        <v/>
      </c>
      <c r="ND39">
        <f>IF(ROW()-3&gt;MAX($NC$4:$NC$40),"",INDEX($BW$4:$BW$40,MATCH(ROW()-3,$NC$4:$NC$40,0)))</f>
        <v/>
      </c>
      <c r="NE39">
        <f>IF(COUNTIF('Buyer Groups'!DG39:DS39,0)+COUNTIF('Buyer Groups'!DU39:EN39,0)&gt;0,0,1)</f>
        <v/>
      </c>
      <c r="NF39">
        <f>IF($CB$39="",FALSE,SUMPRODUCT(('Final Calculation Sheet'!$N$4:$N$40=$CB$39)*($NE$6:$NE$42=1))&gt;0)</f>
        <v/>
      </c>
      <c r="NG39">
        <f>$NG$38+--($NF39)</f>
        <v/>
      </c>
      <c r="NH39">
        <f>IF(ROW()-3&gt;MAX($NG$4:$NG$40),"",INDEX($CB$4:$CB$40,MATCH(ROW()-3,$NG$4:$NG$40,0)))</f>
        <v/>
      </c>
      <c r="NI39">
        <f>IF(COUNTIF('Buyer Groups'!DG39:DT39,0)+COUNTIF('Buyer Groups'!DV39:EN39,0)&gt;0,0,1)</f>
        <v/>
      </c>
      <c r="NJ39">
        <f>IF($CG$39="",FALSE,SUMPRODUCT(('Final Calculation Sheet'!$O$4:$O$40=$CG$39)*($NI$6:$NI$42=1))&gt;0)</f>
        <v/>
      </c>
      <c r="NK39">
        <f>$NK$38+--($NJ39)</f>
        <v/>
      </c>
      <c r="NL39">
        <f>IF(ROW()-3&gt;MAX($NK$4:$NK$40),"",INDEX($CG$4:$CG$40,MATCH(ROW()-3,$NK$4:$NK$40,0)))</f>
        <v/>
      </c>
      <c r="NM39">
        <f>IF(COUNTIF('Buyer Groups'!DG39:DU39,0)+COUNTIF('Buyer Groups'!DW39:EN39,0)&gt;0,0,1)</f>
        <v/>
      </c>
      <c r="NN39">
        <f>IF($CL$39="",FALSE,SUMPRODUCT(('Final Calculation Sheet'!$P$4:$P$40=$CL$39)*($NM$6:$NM$42=1))&gt;0)</f>
        <v/>
      </c>
      <c r="NO39">
        <f>$NO$38+--($NN39)</f>
        <v/>
      </c>
      <c r="NP39">
        <f>IF(ROW()-3&gt;MAX($NO$4:$NO$40),"",INDEX($CL$4:$CL$40,MATCH(ROW()-3,$NO$4:$NO$40,0)))</f>
        <v/>
      </c>
      <c r="NQ39">
        <f>IF(COUNTIF('Buyer Groups'!DG39:DV39,0)+COUNTIF('Buyer Groups'!DX39:EN39,0)&gt;0,0,1)</f>
        <v/>
      </c>
      <c r="NR39">
        <f>IF($CQ$39="",FALSE,SUMPRODUCT(('Final Calculation Sheet'!$Q$4:$Q$40=$CQ$39)*($NQ$6:$NQ$42=1))&gt;0)</f>
        <v/>
      </c>
      <c r="NS39">
        <f>$NS$38+--($NR39)</f>
        <v/>
      </c>
      <c r="NT39">
        <f>IF(ROW()-3&gt;MAX($NS$4:$NS$40),"",INDEX($CQ$4:$CQ$40,MATCH(ROW()-3,$NS$4:$NS$40,0)))</f>
        <v/>
      </c>
      <c r="NU39">
        <f>IF(COUNTIF('Buyer Groups'!DG39:DW39,0)+COUNTIF('Buyer Groups'!DY39:EN39,0)&gt;0,0,1)</f>
        <v/>
      </c>
      <c r="NV39">
        <f>IF($CV$39="",FALSE,SUMPRODUCT(('Final Calculation Sheet'!$R$4:$R$40=$CV$39)*($NU$6:$NU$42=1))&gt;0)</f>
        <v/>
      </c>
      <c r="NW39">
        <f>$NW$38+--($NV39)</f>
        <v/>
      </c>
      <c r="NX39">
        <f>IF(ROW()-3&gt;MAX($NW$4:$NW$40),"",INDEX($CV$4:$CV$40,MATCH(ROW()-3,$NW$4:$NW$40,0)))</f>
        <v/>
      </c>
      <c r="NY39">
        <f>IF(COUNTIF('Buyer Groups'!DG39:DX39,0)+COUNTIF('Buyer Groups'!DZ39:EN39,0)&gt;0,0,1)</f>
        <v/>
      </c>
      <c r="NZ39">
        <f>IF($DA$39="",FALSE,SUMPRODUCT(('Final Calculation Sheet'!$S$4:$S$40=$DA$39)*($NY$6:$NY$42=1))&gt;0)</f>
        <v/>
      </c>
      <c r="OA39">
        <f>$OA$38+--($NZ39)</f>
        <v/>
      </c>
      <c r="OB39">
        <f>IF(ROW()-3&gt;MAX($OA$4:$OA$40),"",INDEX($DA$4:$DA$40,MATCH(ROW()-3,$OA$4:$OA$40,0)))</f>
        <v/>
      </c>
      <c r="OC39">
        <f>IF(COUNTIF('Buyer Groups'!DG39:DY39,0)+COUNTIF('Buyer Groups'!EA39:EN39,0)&gt;0,0,1)</f>
        <v/>
      </c>
      <c r="OD39">
        <f>IF($DF$39="",FALSE,SUMPRODUCT(('Final Calculation Sheet'!$T$4:$T$40=$DF$39)*($OC$6:$OC$42=1))&gt;0)</f>
        <v/>
      </c>
      <c r="OE39">
        <f>$OE$38+--($OD39)</f>
        <v/>
      </c>
      <c r="OF39">
        <f>IF(ROW()-3&gt;MAX($OE$4:$OE$40),"",INDEX($DF$4:$DF$40,MATCH(ROW()-3,$OE$4:$OE$40,0)))</f>
        <v/>
      </c>
      <c r="OG39">
        <f>IF(COUNTIF('Buyer Groups'!DG39:DZ39,0)+COUNTIF('Buyer Groups'!EB39:EN39,0)&gt;0,0,1)</f>
        <v/>
      </c>
      <c r="OH39">
        <f>IF($DK$39="",FALSE,SUMPRODUCT(('Final Calculation Sheet'!$U$4:$U$40=$DK$39)*($OG$6:$OG$42=1))&gt;0)</f>
        <v/>
      </c>
      <c r="OI39">
        <f>$OI$38+--($OH39)</f>
        <v/>
      </c>
      <c r="OJ39">
        <f>IF(ROW()-3&gt;MAX($OI$4:$OI$40),"",INDEX($DK$4:$DK$40,MATCH(ROW()-3,$OI$4:$OI$40,0)))</f>
        <v/>
      </c>
      <c r="OK39">
        <f>IF(COUNTIF('Buyer Groups'!DG39:EA39,0)+COUNTIF('Buyer Groups'!EC39:EN39,0)&gt;0,0,1)</f>
        <v/>
      </c>
      <c r="OL39">
        <f>IF($DP$39="",FALSE,SUMPRODUCT(('Final Calculation Sheet'!$V$4:$V$40=$DP$39)*($OK$6:$OK$42=1))&gt;0)</f>
        <v/>
      </c>
      <c r="OM39">
        <f>$OM$38+--($OL39)</f>
        <v/>
      </c>
      <c r="ON39">
        <f>IF(ROW()-3&gt;MAX($OM$4:$OM$40),"",INDEX($DP$4:$DP$40,MATCH(ROW()-3,$OM$4:$OM$40,0)))</f>
        <v/>
      </c>
      <c r="OO39">
        <f>IF(COUNTIF('Buyer Groups'!DG39:EB39,0)+COUNTIF('Buyer Groups'!ED39:EN39,0)&gt;0,0,1)</f>
        <v/>
      </c>
      <c r="OP39">
        <f>IF($DU$39="",FALSE,SUMPRODUCT(('Final Calculation Sheet'!$W$4:$W$40=$DU$39)*($OO$6:$OO$42=1))&gt;0)</f>
        <v/>
      </c>
      <c r="OQ39">
        <f>$OQ$38+--($OP39)</f>
        <v/>
      </c>
      <c r="OR39">
        <f>IF(ROW()-3&gt;MAX($OQ$4:$OQ$40),"",INDEX($DU$4:$DU$40,MATCH(ROW()-3,$OQ$4:$OQ$40,0)))</f>
        <v/>
      </c>
      <c r="OS39">
        <f>IF(COUNTIF('Buyer Groups'!DG39:EC39,0)+COUNTIF('Buyer Groups'!EE39:EN39,0)&gt;0,0,1)</f>
        <v/>
      </c>
      <c r="OT39">
        <f>IF($DZ$39="",FALSE,SUMPRODUCT(('Final Calculation Sheet'!$X$4:$X$40=$DZ$39)*($OS$6:$OS$42=1))&gt;0)</f>
        <v/>
      </c>
      <c r="OU39">
        <f>$OU$38+--($OT39)</f>
        <v/>
      </c>
      <c r="OV39">
        <f>IF(ROW()-3&gt;MAX($OU$4:$OU$40),"",INDEX($DZ$4:$DZ$40,MATCH(ROW()-3,$OU$4:$OU$40,0)))</f>
        <v/>
      </c>
      <c r="OW39">
        <f>IF(COUNTIF('Buyer Groups'!DG39:ED39,0)+COUNTIF('Buyer Groups'!EF39:EN39,0)&gt;0,0,1)</f>
        <v/>
      </c>
      <c r="OX39">
        <f>IF($EE$39="",FALSE,SUMPRODUCT(('Final Calculation Sheet'!$Y$4:$Y$40=$EE$39)*($OW$6:$OW$42=1))&gt;0)</f>
        <v/>
      </c>
      <c r="OY39">
        <f>$OY$38+--($OX39)</f>
        <v/>
      </c>
      <c r="OZ39">
        <f>IF(ROW()-3&gt;MAX($OY$4:$OY$40),"",INDEX($EE$4:$EE$40,MATCH(ROW()-3,$OY$4:$OY$40,0)))</f>
        <v/>
      </c>
      <c r="PA39">
        <f>IF(COUNTIF('Buyer Groups'!DG39:EE39,0)+COUNTIF('Buyer Groups'!EG39:EN39,0)&gt;0,0,1)</f>
        <v/>
      </c>
      <c r="PB39">
        <f>IF($EJ$39="",FALSE,SUMPRODUCT(('Final Calculation Sheet'!$Z$4:$Z$40=$EJ$39)*($PA$6:$PA$42=1))&gt;0)</f>
        <v/>
      </c>
      <c r="PC39">
        <f>$PC$38+--($PB39)</f>
        <v/>
      </c>
      <c r="PD39">
        <f>IF(ROW()-3&gt;MAX($PC$4:$PC$40),"",INDEX($EJ$4:$EJ$40,MATCH(ROW()-3,$PC$4:$PC$40,0)))</f>
        <v/>
      </c>
      <c r="PE39">
        <f>IF(COUNTIF('Buyer Groups'!DG39:EF39,0)+COUNTIF('Buyer Groups'!EH39:EN39,0)&gt;0,0,1)</f>
        <v/>
      </c>
      <c r="PF39">
        <f>IF($EO$39="",FALSE,SUMPRODUCT(('Final Calculation Sheet'!$AA$4:$AA$40=$EO$39)*($PE$6:$PE$42=1))&gt;0)</f>
        <v/>
      </c>
      <c r="PG39">
        <f>$PG$38+--($PF39)</f>
        <v/>
      </c>
      <c r="PH39">
        <f>IF(ROW()-3&gt;MAX($PG$4:$PG$40),"",INDEX($EO$4:$EO$40,MATCH(ROW()-3,$PG$4:$PG$40,0)))</f>
        <v/>
      </c>
      <c r="PI39">
        <f>IF(COUNTIF('Buyer Groups'!DG39:EG39,0)+COUNTIF('Buyer Groups'!EI39:EN39,0)&gt;0,0,1)</f>
        <v/>
      </c>
      <c r="PJ39">
        <f>IF($ET$39="",FALSE,SUMPRODUCT(('Final Calculation Sheet'!$AB$4:$AB$40=$ET$39)*($PI$6:$PI$42=1))&gt;0)</f>
        <v/>
      </c>
      <c r="PK39">
        <f>$PK$38+--($PJ39)</f>
        <v/>
      </c>
      <c r="PL39">
        <f>IF(ROW()-3&gt;MAX($PK$4:$PK$40),"",INDEX($ET$4:$ET$40,MATCH(ROW()-3,$PK$4:$PK$40,0)))</f>
        <v/>
      </c>
      <c r="PM39">
        <f>IF(COUNTIF('Buyer Groups'!DG39:EH39,0)+COUNTIF('Buyer Groups'!EJ39:EN39,0)&gt;0,0,1)</f>
        <v/>
      </c>
      <c r="PN39">
        <f>IF($EY$39="",FALSE,SUMPRODUCT(('Final Calculation Sheet'!$AC$4:$AC$40=$EY$39)*($PM$6:$PM$42=1))&gt;0)</f>
        <v/>
      </c>
      <c r="PO39">
        <f>$PO$38+--($PN39)</f>
        <v/>
      </c>
      <c r="PP39">
        <f>IF(ROW()-3&gt;MAX($PO$4:$PO$40),"",INDEX($EY$4:$EY$40,MATCH(ROW()-3,$PO$4:$PO$40,0)))</f>
        <v/>
      </c>
      <c r="PQ39">
        <f>IF(COUNTIF('Buyer Groups'!DG39:EI39,0)+COUNTIF('Buyer Groups'!EK39:EN39,0)&gt;0,0,1)</f>
        <v/>
      </c>
      <c r="PR39">
        <f>IF($FD$39="",FALSE,SUMPRODUCT(('Final Calculation Sheet'!$AD$4:$AD$40=$FD$39)*($PQ$6:$PQ$42=1))&gt;0)</f>
        <v/>
      </c>
      <c r="PS39">
        <f>$PS$38+--($PR39)</f>
        <v/>
      </c>
      <c r="PT39">
        <f>IF(ROW()-3&gt;MAX($PS$4:$PS$40),"",INDEX($FD$4:$FD$40,MATCH(ROW()-3,$PS$4:$PS$40,0)))</f>
        <v/>
      </c>
      <c r="PU39">
        <f>IF(COUNTIF('Buyer Groups'!DG39:EJ39,0)+COUNTIF('Buyer Groups'!EL39:EN39,0)&gt;0,0,1)</f>
        <v/>
      </c>
      <c r="PV39">
        <f>IF($FX$39="",FALSE,SUMPRODUCT((IF('Final Calculation Sheet'!$AD$4:$AD$40&lt;=5,"SETTLED","OUTSTANDING")=$FX$39)*($PU$6:$PU$42=1))&gt;0)</f>
        <v/>
      </c>
      <c r="PW39">
        <f>$PW$38+--($PV39)</f>
        <v/>
      </c>
      <c r="PX39">
        <f>IF(ROW()-3&gt;MAX($PW$4:$PW$40),"",INDEX($FX$4:$FX$40,MATCH(ROW()-3,$PW$4:$PW$40,0)))</f>
        <v/>
      </c>
      <c r="PY39">
        <f>IF(COUNTIF('Buyer Groups'!DG39:EK39,0)+COUNTIF('Buyer Groups'!EM39:EN39,0)&gt;0,0,1)</f>
        <v/>
      </c>
      <c r="PZ39">
        <f>IF($FI$39="",FALSE,SUMPRODUCT(('Final Calculation Sheet'!$AF$4:$AF$40=$FI$39)*($PY$6:$PY$42=1))&gt;0)</f>
        <v/>
      </c>
      <c r="QA39">
        <f>$QA$38+--($PZ39)</f>
        <v/>
      </c>
      <c r="QB39">
        <f>IF(ROW()-3&gt;MAX($QA$4:$QA$40),"",INDEX($FI$4:$FI$40,MATCH(ROW()-3,$QA$4:$QA$40,0)))</f>
        <v/>
      </c>
      <c r="QC39">
        <f>IF(COUNTIF('Buyer Groups'!DG39:EL39,0)+COUNTIF('Buyer Groups'!EN39:EN39,0)&gt;0,0,1)</f>
        <v/>
      </c>
      <c r="QD39">
        <f>IF($FN$39="",FALSE,SUMPRODUCT(('Final Calculation Sheet'!$AG$4:$AG$40=$FN$39)*($QC$6:$QC$42=1))&gt;0)</f>
        <v/>
      </c>
      <c r="QE39">
        <f>$QE$38+--($QD39)</f>
        <v/>
      </c>
      <c r="QF39">
        <f>IF(ROW()-3&gt;MAX($QE$4:$QE$40),"",INDEX($FN$4:$FN$40,MATCH(ROW()-3,$QE$4:$QE$40,0)))</f>
        <v/>
      </c>
      <c r="QG39">
        <f>IF(COUNTIF('Buyer Groups'!DG39:EM39,0)&gt;0,0,1)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Groups'!DH40:EN40,0)&gt;0,0,1)</f>
        <v/>
      </c>
      <c r="LF40">
        <f>IF($O$40="",FALSE,SUMPRODUCT(('Final Calculation Sheet'!$F$4:$F$40=$O$40)*($LE$6:$LE$42=1))&gt;0)</f>
        <v/>
      </c>
      <c r="LG40">
        <f>$LG$39+--($LF40)</f>
        <v/>
      </c>
      <c r="LH40">
        <f>IF(ROW()-3&gt;MAX($LG$4:$LG$40),"",INDEX($O$4:$O$40,MATCH(ROW()-3,$LG$4:$LG$40,0)))</f>
        <v/>
      </c>
      <c r="LI40">
        <f>IF(COUNTIF('Buyer Groups'!DG40:DG40,0)+COUNTIF('Buyer Groups'!DI40:EN40,0)&gt;0,0,1)</f>
        <v/>
      </c>
      <c r="LJ40">
        <f>IF($T$40="",FALSE,SUMPRODUCT(('Final Calculation Sheet'!$G$4:$G$40=$T$40)*($LI$6:$LI$42=1))&gt;0)</f>
        <v/>
      </c>
      <c r="LK40">
        <f>$LK$39+--($LJ40)</f>
        <v/>
      </c>
      <c r="LL40">
        <f>IF(ROW()-3&gt;MAX($LK$4:$LK$40),"",INDEX($T$4:$T$40,MATCH(ROW()-3,$LK$4:$LK$40,0)))</f>
        <v/>
      </c>
      <c r="LM40">
        <f>IF(COUNTIF('Buyer Groups'!DG40:DH40,0)+COUNTIF('Buyer Groups'!DJ40:EN40,0)&gt;0,0,1)</f>
        <v/>
      </c>
      <c r="LN40">
        <f>IF($Y$40="",FALSE,SUMPRODUCT(('Final Calculation Sheet'!$B$4:$B$40=$Y$40)*($LM$6:$LM$42=1))&gt;0)</f>
        <v/>
      </c>
      <c r="LO40">
        <f>$LO$39+--($LN40)</f>
        <v/>
      </c>
      <c r="LP40">
        <f>IF(ROW()-3&gt;MAX($LO$4:$LO$40),"",INDEX($Y$4:$Y$40,MATCH(ROW()-3,$LO$4:$LO$40,0)))</f>
        <v/>
      </c>
      <c r="LQ40">
        <f>IF(COUNTIF('Buyer Groups'!DG40:DI40,0)+COUNTIF('Buyer Groups'!DK40:EN40,0)&gt;0,0,1)</f>
        <v/>
      </c>
      <c r="LR40">
        <f>IF($AD$40="",FALSE,SUMPRODUCT(('Final Calculation Sheet'!$D$4:$D$40=$AD$40)*($LQ$6:$LQ$42=1))&gt;0)</f>
        <v/>
      </c>
      <c r="LS40">
        <f>$LS$39+--($LR40)</f>
        <v/>
      </c>
      <c r="LT40">
        <f>IF(ROW()-3&gt;MAX($LS$4:$LS$40),"",INDEX($AD$4:$AD$40,MATCH(ROW()-3,$LS$4:$LS$40,0)))</f>
        <v/>
      </c>
      <c r="LU40">
        <f>IF(COUNTIF('Buyer Groups'!DG40:DJ40,0)+COUNTIF('Buyer Groups'!DL40:EN40,0)&gt;0,0,1)</f>
        <v/>
      </c>
      <c r="LV40">
        <f>IF($AI$40="",FALSE,SUMPRODUCT(('Final Calculation Sheet'!$A$4:$A$40=$AI$40)*($LU$6:$LU$42=1))&gt;0)</f>
        <v/>
      </c>
      <c r="LW40">
        <f>$LW$39+--($LV40)</f>
        <v/>
      </c>
      <c r="LX40">
        <f>IF(ROW()-3&gt;MAX($LW$4:$LW$40),"",INDEX($AI$4:$AI$40,MATCH(ROW()-3,$LW$4:$LW$40,0)))</f>
        <v/>
      </c>
      <c r="LY40">
        <f>IF(COUNTIF('Buyer Groups'!DG40:DK40,0)+COUNTIF('Buyer Groups'!DM40:EN40,0)&gt;0,0,1)</f>
        <v/>
      </c>
      <c r="LZ40">
        <f>IF($AN$40="",FALSE,SUMPRODUCT(('Final Calculation Sheet'!$E$4:$E$40=$AN$40)*($LY$6:$LY$42=1))&gt;0)</f>
        <v/>
      </c>
      <c r="MA40">
        <f>$MA$39+--($LZ40)</f>
        <v/>
      </c>
      <c r="MB40">
        <f>IF(ROW()-3&gt;MAX($MA$4:$MA$40),"",INDEX($AN$4:$AN$40,MATCH(ROW()-3,$MA$4:$MA$40,0)))</f>
        <v/>
      </c>
      <c r="MC40">
        <f>IF(COUNTIF('Buyer Groups'!DG40:DL40,0)+COUNTIF('Buyer Groups'!DN40:EN40,0)&gt;0,0,1)</f>
        <v/>
      </c>
      <c r="MD40">
        <f>IF($AS$40="",FALSE,SUMPRODUCT(('Final Calculation Sheet'!$C$4:$C$40=$AS$40)*($MC$6:$MC$42=1))&gt;0)</f>
        <v/>
      </c>
      <c r="ME40">
        <f>$ME$39+--($MD40)</f>
        <v/>
      </c>
      <c r="MF40">
        <f>IF(ROW()-3&gt;MAX($ME$4:$ME$40),"",INDEX($AS$4:$AS$40,MATCH(ROW()-3,$ME$4:$ME$40,0)))</f>
        <v/>
      </c>
      <c r="MG40">
        <f>IF(COUNTIF('Buyer Groups'!DG40:DM40,0)+COUNTIF('Buyer Groups'!DO40:EN40,0)&gt;0,0,1)</f>
        <v/>
      </c>
      <c r="MH40">
        <f>IF($AX$40="",FALSE,SUMPRODUCT(('Final Calculation Sheet'!$H$4:$H$40=$AX$40)*($MG$6:$MG$42=1))&gt;0)</f>
        <v/>
      </c>
      <c r="MI40">
        <f>$MI$39+--($MH40)</f>
        <v/>
      </c>
      <c r="MJ40">
        <f>IF(ROW()-3&gt;MAX($MI$4:$MI$40),"",INDEX($AX$4:$AX$40,MATCH(ROW()-3,$MI$4:$MI$40,0)))</f>
        <v/>
      </c>
      <c r="MK40">
        <f>IF(COUNTIF('Buyer Groups'!DG40:DN40,0)+COUNTIF('Buyer Groups'!DP40:EN40,0)&gt;0,0,1)</f>
        <v/>
      </c>
      <c r="ML40">
        <f>IF($BC$40="",FALSE,SUMPRODUCT(('Final Calculation Sheet'!$I$4:$I$40=$BC$40)*($MK$6:$MK$42=1))&gt;0)</f>
        <v/>
      </c>
      <c r="MM40">
        <f>$MM$39+--($ML40)</f>
        <v/>
      </c>
      <c r="MN40">
        <f>IF(ROW()-3&gt;MAX($MM$4:$MM$40),"",INDEX($BC$4:$BC$40,MATCH(ROW()-3,$MM$4:$MM$40,0)))</f>
        <v/>
      </c>
      <c r="MO40">
        <f>IF(COUNTIF('Buyer Groups'!DG40:DO40,0)+COUNTIF('Buyer Groups'!DQ40:EN40,0)&gt;0,0,1)</f>
        <v/>
      </c>
      <c r="MP40">
        <f>IF($BH$40="",FALSE,SUMPRODUCT(('Final Calculation Sheet'!$J$4:$J$40=$BH$40)*($MO$6:$MO$42=1))&gt;0)</f>
        <v/>
      </c>
      <c r="MQ40">
        <f>$MQ$39+--($MP40)</f>
        <v/>
      </c>
      <c r="MR40">
        <f>IF(ROW()-3&gt;MAX($MQ$4:$MQ$40),"",INDEX($BH$4:$BH$40,MATCH(ROW()-3,$MQ$4:$MQ$40,0)))</f>
        <v/>
      </c>
      <c r="MS40">
        <f>IF(COUNTIF('Buyer Groups'!DG40:DP40,0)+COUNTIF('Buyer Groups'!DR40:EN40,0)&gt;0,0,1)</f>
        <v/>
      </c>
      <c r="MT40">
        <f>IF($BM$40="",FALSE,SUMPRODUCT(('Final Calculation Sheet'!$K$4:$K$40=$BM$40)*($MS$6:$MS$42=1))&gt;0)</f>
        <v/>
      </c>
      <c r="MU40">
        <f>$MU$39+--($MT40)</f>
        <v/>
      </c>
      <c r="MV40">
        <f>IF(ROW()-3&gt;MAX($MU$4:$MU$40),"",INDEX($BM$4:$BM$40,MATCH(ROW()-3,$MU$4:$MU$40,0)))</f>
        <v/>
      </c>
      <c r="MW40">
        <f>IF(COUNTIF('Buyer Groups'!DG40:DQ40,0)+COUNTIF('Buyer Groups'!DS40:EN40,0)&gt;0,0,1)</f>
        <v/>
      </c>
      <c r="MX40">
        <f>IF($BR$40="",FALSE,SUMPRODUCT(('Final Calculation Sheet'!$L$4:$L$40=$BR$40)*($MW$6:$MW$42=1))&gt;0)</f>
        <v/>
      </c>
      <c r="MY40">
        <f>$MY$39+--($MX40)</f>
        <v/>
      </c>
      <c r="MZ40">
        <f>IF(ROW()-3&gt;MAX($MY$4:$MY$40),"",INDEX($BR$4:$BR$40,MATCH(ROW()-3,$MY$4:$MY$40,0)))</f>
        <v/>
      </c>
      <c r="NA40">
        <f>IF(COUNTIF('Buyer Groups'!DG40:DR40,0)+COUNTIF('Buyer Groups'!DT40:EN40,0)&gt;0,0,1)</f>
        <v/>
      </c>
      <c r="NB40">
        <f>IF($BW$40="",FALSE,SUMPRODUCT(('Final Calculation Sheet'!$M$4:$M$40=$BW$40)*($NA$6:$NA$42=1))&gt;0)</f>
        <v/>
      </c>
      <c r="NC40">
        <f>$NC$39+--($NB40)</f>
        <v/>
      </c>
      <c r="ND40">
        <f>IF(ROW()-3&gt;MAX($NC$4:$NC$40),"",INDEX($BW$4:$BW$40,MATCH(ROW()-3,$NC$4:$NC$40,0)))</f>
        <v/>
      </c>
      <c r="NE40">
        <f>IF(COUNTIF('Buyer Groups'!DG40:DS40,0)+COUNTIF('Buyer Groups'!DU40:EN40,0)&gt;0,0,1)</f>
        <v/>
      </c>
      <c r="NF40">
        <f>IF($CB$40="",FALSE,SUMPRODUCT(('Final Calculation Sheet'!$N$4:$N$40=$CB$40)*($NE$6:$NE$42=1))&gt;0)</f>
        <v/>
      </c>
      <c r="NG40">
        <f>$NG$39+--($NF40)</f>
        <v/>
      </c>
      <c r="NH40">
        <f>IF(ROW()-3&gt;MAX($NG$4:$NG$40),"",INDEX($CB$4:$CB$40,MATCH(ROW()-3,$NG$4:$NG$40,0)))</f>
        <v/>
      </c>
      <c r="NI40">
        <f>IF(COUNTIF('Buyer Groups'!DG40:DT40,0)+COUNTIF('Buyer Groups'!DV40:EN40,0)&gt;0,0,1)</f>
        <v/>
      </c>
      <c r="NJ40">
        <f>IF($CG$40="",FALSE,SUMPRODUCT(('Final Calculation Sheet'!$O$4:$O$40=$CG$40)*($NI$6:$NI$42=1))&gt;0)</f>
        <v/>
      </c>
      <c r="NK40">
        <f>$NK$39+--($NJ40)</f>
        <v/>
      </c>
      <c r="NL40">
        <f>IF(ROW()-3&gt;MAX($NK$4:$NK$40),"",INDEX($CG$4:$CG$40,MATCH(ROW()-3,$NK$4:$NK$40,0)))</f>
        <v/>
      </c>
      <c r="NM40">
        <f>IF(COUNTIF('Buyer Groups'!DG40:DU40,0)+COUNTIF('Buyer Groups'!DW40:EN40,0)&gt;0,0,1)</f>
        <v/>
      </c>
      <c r="NN40">
        <f>IF($CL$40="",FALSE,SUMPRODUCT(('Final Calculation Sheet'!$P$4:$P$40=$CL$40)*($NM$6:$NM$42=1))&gt;0)</f>
        <v/>
      </c>
      <c r="NO40">
        <f>$NO$39+--($NN40)</f>
        <v/>
      </c>
      <c r="NP40">
        <f>IF(ROW()-3&gt;MAX($NO$4:$NO$40),"",INDEX($CL$4:$CL$40,MATCH(ROW()-3,$NO$4:$NO$40,0)))</f>
        <v/>
      </c>
      <c r="NQ40">
        <f>IF(COUNTIF('Buyer Groups'!DG40:DV40,0)+COUNTIF('Buyer Groups'!DX40:EN40,0)&gt;0,0,1)</f>
        <v/>
      </c>
      <c r="NR40">
        <f>IF($CQ$40="",FALSE,SUMPRODUCT(('Final Calculation Sheet'!$Q$4:$Q$40=$CQ$40)*($NQ$6:$NQ$42=1))&gt;0)</f>
        <v/>
      </c>
      <c r="NS40">
        <f>$NS$39+--($NR40)</f>
        <v/>
      </c>
      <c r="NT40">
        <f>IF(ROW()-3&gt;MAX($NS$4:$NS$40),"",INDEX($CQ$4:$CQ$40,MATCH(ROW()-3,$NS$4:$NS$40,0)))</f>
        <v/>
      </c>
      <c r="NU40">
        <f>IF(COUNTIF('Buyer Groups'!DG40:DW40,0)+COUNTIF('Buyer Groups'!DY40:EN40,0)&gt;0,0,1)</f>
        <v/>
      </c>
      <c r="NV40">
        <f>IF($CV$40="",FALSE,SUMPRODUCT(('Final Calculation Sheet'!$R$4:$R$40=$CV$40)*($NU$6:$NU$42=1))&gt;0)</f>
        <v/>
      </c>
      <c r="NW40">
        <f>$NW$39+--($NV40)</f>
        <v/>
      </c>
      <c r="NX40">
        <f>IF(ROW()-3&gt;MAX($NW$4:$NW$40),"",INDEX($CV$4:$CV$40,MATCH(ROW()-3,$NW$4:$NW$40,0)))</f>
        <v/>
      </c>
      <c r="NY40">
        <f>IF(COUNTIF('Buyer Groups'!DG40:DX40,0)+COUNTIF('Buyer Groups'!DZ40:EN40,0)&gt;0,0,1)</f>
        <v/>
      </c>
      <c r="NZ40">
        <f>IF($DA$40="",FALSE,SUMPRODUCT(('Final Calculation Sheet'!$S$4:$S$40=$DA$40)*($NY$6:$NY$42=1))&gt;0)</f>
        <v/>
      </c>
      <c r="OA40">
        <f>$OA$39+--($NZ40)</f>
        <v/>
      </c>
      <c r="OB40">
        <f>IF(ROW()-3&gt;MAX($OA$4:$OA$40),"",INDEX($DA$4:$DA$40,MATCH(ROW()-3,$OA$4:$OA$40,0)))</f>
        <v/>
      </c>
      <c r="OC40">
        <f>IF(COUNTIF('Buyer Groups'!DG40:DY40,0)+COUNTIF('Buyer Groups'!EA40:EN40,0)&gt;0,0,1)</f>
        <v/>
      </c>
      <c r="OD40">
        <f>IF($DF$40="",FALSE,SUMPRODUCT(('Final Calculation Sheet'!$T$4:$T$40=$DF$40)*($OC$6:$OC$42=1))&gt;0)</f>
        <v/>
      </c>
      <c r="OE40">
        <f>$OE$39+--($OD40)</f>
        <v/>
      </c>
      <c r="OF40">
        <f>IF(ROW()-3&gt;MAX($OE$4:$OE$40),"",INDEX($DF$4:$DF$40,MATCH(ROW()-3,$OE$4:$OE$40,0)))</f>
        <v/>
      </c>
      <c r="OG40">
        <f>IF(COUNTIF('Buyer Groups'!DG40:DZ40,0)+COUNTIF('Buyer Groups'!EB40:EN40,0)&gt;0,0,1)</f>
        <v/>
      </c>
      <c r="OH40">
        <f>IF($DK$40="",FALSE,SUMPRODUCT(('Final Calculation Sheet'!$U$4:$U$40=$DK$40)*($OG$6:$OG$42=1))&gt;0)</f>
        <v/>
      </c>
      <c r="OI40">
        <f>$OI$39+--($OH40)</f>
        <v/>
      </c>
      <c r="OJ40">
        <f>IF(ROW()-3&gt;MAX($OI$4:$OI$40),"",INDEX($DK$4:$DK$40,MATCH(ROW()-3,$OI$4:$OI$40,0)))</f>
        <v/>
      </c>
      <c r="OK40">
        <f>IF(COUNTIF('Buyer Groups'!DG40:EA40,0)+COUNTIF('Buyer Groups'!EC40:EN40,0)&gt;0,0,1)</f>
        <v/>
      </c>
      <c r="OL40">
        <f>IF($DP$40="",FALSE,SUMPRODUCT(('Final Calculation Sheet'!$V$4:$V$40=$DP$40)*($OK$6:$OK$42=1))&gt;0)</f>
        <v/>
      </c>
      <c r="OM40">
        <f>$OM$39+--($OL40)</f>
        <v/>
      </c>
      <c r="ON40">
        <f>IF(ROW()-3&gt;MAX($OM$4:$OM$40),"",INDEX($DP$4:$DP$40,MATCH(ROW()-3,$OM$4:$OM$40,0)))</f>
        <v/>
      </c>
      <c r="OO40">
        <f>IF(COUNTIF('Buyer Groups'!DG40:EB40,0)+COUNTIF('Buyer Groups'!ED40:EN40,0)&gt;0,0,1)</f>
        <v/>
      </c>
      <c r="OP40">
        <f>IF($DU$40="",FALSE,SUMPRODUCT(('Final Calculation Sheet'!$W$4:$W$40=$DU$40)*($OO$6:$OO$42=1))&gt;0)</f>
        <v/>
      </c>
      <c r="OQ40">
        <f>$OQ$39+--($OP40)</f>
        <v/>
      </c>
      <c r="OR40">
        <f>IF(ROW()-3&gt;MAX($OQ$4:$OQ$40),"",INDEX($DU$4:$DU$40,MATCH(ROW()-3,$OQ$4:$OQ$40,0)))</f>
        <v/>
      </c>
      <c r="OS40">
        <f>IF(COUNTIF('Buyer Groups'!DG40:EC40,0)+COUNTIF('Buyer Groups'!EE40:EN40,0)&gt;0,0,1)</f>
        <v/>
      </c>
      <c r="OT40">
        <f>IF($DZ$40="",FALSE,SUMPRODUCT(('Final Calculation Sheet'!$X$4:$X$40=$DZ$40)*($OS$6:$OS$42=1))&gt;0)</f>
        <v/>
      </c>
      <c r="OU40">
        <f>$OU$39+--($OT40)</f>
        <v/>
      </c>
      <c r="OV40">
        <f>IF(ROW()-3&gt;MAX($OU$4:$OU$40),"",INDEX($DZ$4:$DZ$40,MATCH(ROW()-3,$OU$4:$OU$40,0)))</f>
        <v/>
      </c>
      <c r="OW40">
        <f>IF(COUNTIF('Buyer Groups'!DG40:ED40,0)+COUNTIF('Buyer Groups'!EF40:EN40,0)&gt;0,0,1)</f>
        <v/>
      </c>
      <c r="OX40">
        <f>IF($EE$40="",FALSE,SUMPRODUCT(('Final Calculation Sheet'!$Y$4:$Y$40=$EE$40)*($OW$6:$OW$42=1))&gt;0)</f>
        <v/>
      </c>
      <c r="OY40">
        <f>$OY$39+--($OX40)</f>
        <v/>
      </c>
      <c r="OZ40">
        <f>IF(ROW()-3&gt;MAX($OY$4:$OY$40),"",INDEX($EE$4:$EE$40,MATCH(ROW()-3,$OY$4:$OY$40,0)))</f>
        <v/>
      </c>
      <c r="PA40">
        <f>IF(COUNTIF('Buyer Groups'!DG40:EE40,0)+COUNTIF('Buyer Groups'!EG40:EN40,0)&gt;0,0,1)</f>
        <v/>
      </c>
      <c r="PB40">
        <f>IF($EJ$40="",FALSE,SUMPRODUCT(('Final Calculation Sheet'!$Z$4:$Z$40=$EJ$40)*($PA$6:$PA$42=1))&gt;0)</f>
        <v/>
      </c>
      <c r="PC40">
        <f>$PC$39+--($PB40)</f>
        <v/>
      </c>
      <c r="PD40">
        <f>IF(ROW()-3&gt;MAX($PC$4:$PC$40),"",INDEX($EJ$4:$EJ$40,MATCH(ROW()-3,$PC$4:$PC$40,0)))</f>
        <v/>
      </c>
      <c r="PE40">
        <f>IF(COUNTIF('Buyer Groups'!DG40:EF40,0)+COUNTIF('Buyer Groups'!EH40:EN40,0)&gt;0,0,1)</f>
        <v/>
      </c>
      <c r="PF40">
        <f>IF($EO$40="",FALSE,SUMPRODUCT(('Final Calculation Sheet'!$AA$4:$AA$40=$EO$40)*($PE$6:$PE$42=1))&gt;0)</f>
        <v/>
      </c>
      <c r="PG40">
        <f>$PG$39+--($PF40)</f>
        <v/>
      </c>
      <c r="PH40">
        <f>IF(ROW()-3&gt;MAX($PG$4:$PG$40),"",INDEX($EO$4:$EO$40,MATCH(ROW()-3,$PG$4:$PG$40,0)))</f>
        <v/>
      </c>
      <c r="PI40">
        <f>IF(COUNTIF('Buyer Groups'!DG40:EG40,0)+COUNTIF('Buyer Groups'!EI40:EN40,0)&gt;0,0,1)</f>
        <v/>
      </c>
      <c r="PJ40">
        <f>IF($ET$40="",FALSE,SUMPRODUCT(('Final Calculation Sheet'!$AB$4:$AB$40=$ET$40)*($PI$6:$PI$42=1))&gt;0)</f>
        <v/>
      </c>
      <c r="PK40">
        <f>$PK$39+--($PJ40)</f>
        <v/>
      </c>
      <c r="PL40">
        <f>IF(ROW()-3&gt;MAX($PK$4:$PK$40),"",INDEX($ET$4:$ET$40,MATCH(ROW()-3,$PK$4:$PK$40,0)))</f>
        <v/>
      </c>
      <c r="PM40">
        <f>IF(COUNTIF('Buyer Groups'!DG40:EH40,0)+COUNTIF('Buyer Groups'!EJ40:EN40,0)&gt;0,0,1)</f>
        <v/>
      </c>
      <c r="PN40">
        <f>IF($EY$40="",FALSE,SUMPRODUCT(('Final Calculation Sheet'!$AC$4:$AC$40=$EY$40)*($PM$6:$PM$42=1))&gt;0)</f>
        <v/>
      </c>
      <c r="PO40">
        <f>$PO$39+--($PN40)</f>
        <v/>
      </c>
      <c r="PP40">
        <f>IF(ROW()-3&gt;MAX($PO$4:$PO$40),"",INDEX($EY$4:$EY$40,MATCH(ROW()-3,$PO$4:$PO$40,0)))</f>
        <v/>
      </c>
      <c r="PQ40">
        <f>IF(COUNTIF('Buyer Groups'!DG40:EI40,0)+COUNTIF('Buyer Groups'!EK40:EN40,0)&gt;0,0,1)</f>
        <v/>
      </c>
      <c r="PR40">
        <f>IF($FD$40="",FALSE,SUMPRODUCT(('Final Calculation Sheet'!$AD$4:$AD$40=$FD$40)*($PQ$6:$PQ$42=1))&gt;0)</f>
        <v/>
      </c>
      <c r="PS40">
        <f>$PS$39+--($PR40)</f>
        <v/>
      </c>
      <c r="PT40">
        <f>IF(ROW()-3&gt;MAX($PS$4:$PS$40),"",INDEX($FD$4:$FD$40,MATCH(ROW()-3,$PS$4:$PS$40,0)))</f>
        <v/>
      </c>
      <c r="PU40">
        <f>IF(COUNTIF('Buyer Groups'!DG40:EJ40,0)+COUNTIF('Buyer Groups'!EL40:EN40,0)&gt;0,0,1)</f>
        <v/>
      </c>
      <c r="PV40">
        <f>IF($FX$40="",FALSE,SUMPRODUCT((IF('Final Calculation Sheet'!$AD$4:$AD$40&lt;=5,"SETTLED","OUTSTANDING")=$FX$40)*($PU$6:$PU$42=1))&gt;0)</f>
        <v/>
      </c>
      <c r="PW40">
        <f>$PW$39+--($PV40)</f>
        <v/>
      </c>
      <c r="PX40">
        <f>IF(ROW()-3&gt;MAX($PW$4:$PW$40),"",INDEX($FX$4:$FX$40,MATCH(ROW()-3,$PW$4:$PW$40,0)))</f>
        <v/>
      </c>
      <c r="PY40">
        <f>IF(COUNTIF('Buyer Groups'!DG40:EK40,0)+COUNTIF('Buyer Groups'!EM40:EN40,0)&gt;0,0,1)</f>
        <v/>
      </c>
      <c r="PZ40">
        <f>IF($FI$40="",FALSE,SUMPRODUCT(('Final Calculation Sheet'!$AF$4:$AF$40=$FI$40)*($PY$6:$PY$42=1))&gt;0)</f>
        <v/>
      </c>
      <c r="QA40">
        <f>$QA$39+--($PZ40)</f>
        <v/>
      </c>
      <c r="QB40">
        <f>IF(ROW()-3&gt;MAX($QA$4:$QA$40),"",INDEX($FI$4:$FI$40,MATCH(ROW()-3,$QA$4:$QA$40,0)))</f>
        <v/>
      </c>
      <c r="QC40">
        <f>IF(COUNTIF('Buyer Groups'!DG40:EL40,0)+COUNTIF('Buyer Groups'!EN40:EN40,0)&gt;0,0,1)</f>
        <v/>
      </c>
      <c r="QD40">
        <f>IF($FN$40="",FALSE,SUMPRODUCT(('Final Calculation Sheet'!$AG$4:$AG$40=$FN$40)*($QC$6:$QC$42=1))&gt;0)</f>
        <v/>
      </c>
      <c r="QE40">
        <f>$QE$39+--($QD40)</f>
        <v/>
      </c>
      <c r="QF40">
        <f>IF(ROW()-3&gt;MAX($QE$4:$QE$40),"",INDEX($FN$4:$FN$40,MATCH(ROW()-3,$QE$4:$QE$40,0)))</f>
        <v/>
      </c>
      <c r="QG40">
        <f>IF(COUNTIF('Buyer Groups'!DG40:EM40,0)&gt;0,0,1)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Groups'!DH41:EN41,0)&gt;0,0,1)</f>
        <v/>
      </c>
      <c r="LH41">
        <f>IF(ROW()-3&gt;MAX($LG$4:$LG$40),"",INDEX($O$4:$O$40,MATCH(ROW()-3,$LG$4:$LG$40,0)))</f>
        <v/>
      </c>
      <c r="LI41">
        <f>IF(COUNTIF('Buyer Groups'!DG41:DG41,0)+COUNTIF('Buyer Groups'!DI41:EN41,0)&gt;0,0,1)</f>
        <v/>
      </c>
      <c r="LL41">
        <f>IF(ROW()-3&gt;MAX($LK$4:$LK$40),"",INDEX($T$4:$T$40,MATCH(ROW()-3,$LK$4:$LK$40,0)))</f>
        <v/>
      </c>
      <c r="LM41">
        <f>IF(COUNTIF('Buyer Groups'!DG41:DH41,0)+COUNTIF('Buyer Groups'!DJ41:EN41,0)&gt;0,0,1)</f>
        <v/>
      </c>
      <c r="LP41">
        <f>IF(ROW()-3&gt;MAX($LO$4:$LO$40),"",INDEX($Y$4:$Y$40,MATCH(ROW()-3,$LO$4:$LO$40,0)))</f>
        <v/>
      </c>
      <c r="LQ41">
        <f>IF(COUNTIF('Buyer Groups'!DG41:DI41,0)+COUNTIF('Buyer Groups'!DK41:EN41,0)&gt;0,0,1)</f>
        <v/>
      </c>
      <c r="LT41">
        <f>IF(ROW()-3&gt;MAX($LS$4:$LS$40),"",INDEX($AD$4:$AD$40,MATCH(ROW()-3,$LS$4:$LS$40,0)))</f>
        <v/>
      </c>
      <c r="LU41">
        <f>IF(COUNTIF('Buyer Groups'!DG41:DJ41,0)+COUNTIF('Buyer Groups'!DL41:EN41,0)&gt;0,0,1)</f>
        <v/>
      </c>
      <c r="LX41">
        <f>IF(ROW()-3&gt;MAX($LW$4:$LW$40),"",INDEX($AI$4:$AI$40,MATCH(ROW()-3,$LW$4:$LW$40,0)))</f>
        <v/>
      </c>
      <c r="LY41">
        <f>IF(COUNTIF('Buyer Groups'!DG41:DK41,0)+COUNTIF('Buyer Groups'!DM41:EN41,0)&gt;0,0,1)</f>
        <v/>
      </c>
      <c r="MB41">
        <f>IF(ROW()-3&gt;MAX($MA$4:$MA$40),"",INDEX($AN$4:$AN$40,MATCH(ROW()-3,$MA$4:$MA$40,0)))</f>
        <v/>
      </c>
      <c r="MC41">
        <f>IF(COUNTIF('Buyer Groups'!DG41:DL41,0)+COUNTIF('Buyer Groups'!DN41:EN41,0)&gt;0,0,1)</f>
        <v/>
      </c>
      <c r="MF41">
        <f>IF(ROW()-3&gt;MAX($ME$4:$ME$40),"",INDEX($AS$4:$AS$40,MATCH(ROW()-3,$ME$4:$ME$40,0)))</f>
        <v/>
      </c>
      <c r="MG41">
        <f>IF(COUNTIF('Buyer Groups'!DG41:DM41,0)+COUNTIF('Buyer Groups'!DO41:EN41,0)&gt;0,0,1)</f>
        <v/>
      </c>
      <c r="MJ41">
        <f>IF(ROW()-3&gt;MAX($MI$4:$MI$40),"",INDEX($AX$4:$AX$40,MATCH(ROW()-3,$MI$4:$MI$40,0)))</f>
        <v/>
      </c>
      <c r="MK41">
        <f>IF(COUNTIF('Buyer Groups'!DG41:DN41,0)+COUNTIF('Buyer Groups'!DP41:EN41,0)&gt;0,0,1)</f>
        <v/>
      </c>
      <c r="MN41">
        <f>IF(ROW()-3&gt;MAX($MM$4:$MM$40),"",INDEX($BC$4:$BC$40,MATCH(ROW()-3,$MM$4:$MM$40,0)))</f>
        <v/>
      </c>
      <c r="MO41">
        <f>IF(COUNTIF('Buyer Groups'!DG41:DO41,0)+COUNTIF('Buyer Groups'!DQ41:EN41,0)&gt;0,0,1)</f>
        <v/>
      </c>
      <c r="MR41">
        <f>IF(ROW()-3&gt;MAX($MQ$4:$MQ$40),"",INDEX($BH$4:$BH$40,MATCH(ROW()-3,$MQ$4:$MQ$40,0)))</f>
        <v/>
      </c>
      <c r="MS41">
        <f>IF(COUNTIF('Buyer Groups'!DG41:DP41,0)+COUNTIF('Buyer Groups'!DR41:EN41,0)&gt;0,0,1)</f>
        <v/>
      </c>
      <c r="MV41">
        <f>IF(ROW()-3&gt;MAX($MU$4:$MU$40),"",INDEX($BM$4:$BM$40,MATCH(ROW()-3,$MU$4:$MU$40,0)))</f>
        <v/>
      </c>
      <c r="MW41">
        <f>IF(COUNTIF('Buyer Groups'!DG41:DQ41,0)+COUNTIF('Buyer Groups'!DS41:EN41,0)&gt;0,0,1)</f>
        <v/>
      </c>
      <c r="MZ41">
        <f>IF(ROW()-3&gt;MAX($MY$4:$MY$40),"",INDEX($BR$4:$BR$40,MATCH(ROW()-3,$MY$4:$MY$40,0)))</f>
        <v/>
      </c>
      <c r="NA41">
        <f>IF(COUNTIF('Buyer Groups'!DG41:DR41,0)+COUNTIF('Buyer Groups'!DT41:EN41,0)&gt;0,0,1)</f>
        <v/>
      </c>
      <c r="ND41">
        <f>IF(ROW()-3&gt;MAX($NC$4:$NC$40),"",INDEX($BW$4:$BW$40,MATCH(ROW()-3,$NC$4:$NC$40,0)))</f>
        <v/>
      </c>
      <c r="NE41">
        <f>IF(COUNTIF('Buyer Groups'!DG41:DS41,0)+COUNTIF('Buyer Groups'!DU41:EN41,0)&gt;0,0,1)</f>
        <v/>
      </c>
      <c r="NH41">
        <f>IF(ROW()-3&gt;MAX($NG$4:$NG$40),"",INDEX($CB$4:$CB$40,MATCH(ROW()-3,$NG$4:$NG$40,0)))</f>
        <v/>
      </c>
      <c r="NI41">
        <f>IF(COUNTIF('Buyer Groups'!DG41:DT41,0)+COUNTIF('Buyer Groups'!DV41:EN41,0)&gt;0,0,1)</f>
        <v/>
      </c>
      <c r="NL41">
        <f>IF(ROW()-3&gt;MAX($NK$4:$NK$40),"",INDEX($CG$4:$CG$40,MATCH(ROW()-3,$NK$4:$NK$40,0)))</f>
        <v/>
      </c>
      <c r="NM41">
        <f>IF(COUNTIF('Buyer Groups'!DG41:DU41,0)+COUNTIF('Buyer Groups'!DW41:EN41,0)&gt;0,0,1)</f>
        <v/>
      </c>
      <c r="NP41">
        <f>IF(ROW()-3&gt;MAX($NO$4:$NO$40),"",INDEX($CL$4:$CL$40,MATCH(ROW()-3,$NO$4:$NO$40,0)))</f>
        <v/>
      </c>
      <c r="NQ41">
        <f>IF(COUNTIF('Buyer Groups'!DG41:DV41,0)+COUNTIF('Buyer Groups'!DX41:EN41,0)&gt;0,0,1)</f>
        <v/>
      </c>
      <c r="NT41">
        <f>IF(ROW()-3&gt;MAX($NS$4:$NS$40),"",INDEX($CQ$4:$CQ$40,MATCH(ROW()-3,$NS$4:$NS$40,0)))</f>
        <v/>
      </c>
      <c r="NU41">
        <f>IF(COUNTIF('Buyer Groups'!DG41:DW41,0)+COUNTIF('Buyer Groups'!DY41:EN41,0)&gt;0,0,1)</f>
        <v/>
      </c>
      <c r="NX41">
        <f>IF(ROW()-3&gt;MAX($NW$4:$NW$40),"",INDEX($CV$4:$CV$40,MATCH(ROW()-3,$NW$4:$NW$40,0)))</f>
        <v/>
      </c>
      <c r="NY41">
        <f>IF(COUNTIF('Buyer Groups'!DG41:DX41,0)+COUNTIF('Buyer Groups'!DZ41:EN41,0)&gt;0,0,1)</f>
        <v/>
      </c>
      <c r="OB41">
        <f>IF(ROW()-3&gt;MAX($OA$4:$OA$40),"",INDEX($DA$4:$DA$40,MATCH(ROW()-3,$OA$4:$OA$40,0)))</f>
        <v/>
      </c>
      <c r="OC41">
        <f>IF(COUNTIF('Buyer Groups'!DG41:DY41,0)+COUNTIF('Buyer Groups'!EA41:EN41,0)&gt;0,0,1)</f>
        <v/>
      </c>
      <c r="OF41">
        <f>IF(ROW()-3&gt;MAX($OE$4:$OE$40),"",INDEX($DF$4:$DF$40,MATCH(ROW()-3,$OE$4:$OE$40,0)))</f>
        <v/>
      </c>
      <c r="OG41">
        <f>IF(COUNTIF('Buyer Groups'!DG41:DZ41,0)+COUNTIF('Buyer Groups'!EB41:EN41,0)&gt;0,0,1)</f>
        <v/>
      </c>
      <c r="OJ41">
        <f>IF(ROW()-3&gt;MAX($OI$4:$OI$40),"",INDEX($DK$4:$DK$40,MATCH(ROW()-3,$OI$4:$OI$40,0)))</f>
        <v/>
      </c>
      <c r="OK41">
        <f>IF(COUNTIF('Buyer Groups'!DG41:EA41,0)+COUNTIF('Buyer Groups'!EC41:EN41,0)&gt;0,0,1)</f>
        <v/>
      </c>
      <c r="ON41">
        <f>IF(ROW()-3&gt;MAX($OM$4:$OM$40),"",INDEX($DP$4:$DP$40,MATCH(ROW()-3,$OM$4:$OM$40,0)))</f>
        <v/>
      </c>
      <c r="OO41">
        <f>IF(COUNTIF('Buyer Groups'!DG41:EB41,0)+COUNTIF('Buyer Groups'!ED41:EN41,0)&gt;0,0,1)</f>
        <v/>
      </c>
      <c r="OR41">
        <f>IF(ROW()-3&gt;MAX($OQ$4:$OQ$40),"",INDEX($DU$4:$DU$40,MATCH(ROW()-3,$OQ$4:$OQ$40,0)))</f>
        <v/>
      </c>
      <c r="OS41">
        <f>IF(COUNTIF('Buyer Groups'!DG41:EC41,0)+COUNTIF('Buyer Groups'!EE41:EN41,0)&gt;0,0,1)</f>
        <v/>
      </c>
      <c r="OV41">
        <f>IF(ROW()-3&gt;MAX($OU$4:$OU$40),"",INDEX($DZ$4:$DZ$40,MATCH(ROW()-3,$OU$4:$OU$40,0)))</f>
        <v/>
      </c>
      <c r="OW41">
        <f>IF(COUNTIF('Buyer Groups'!DG41:ED41,0)+COUNTIF('Buyer Groups'!EF41:EN41,0)&gt;0,0,1)</f>
        <v/>
      </c>
      <c r="OZ41">
        <f>IF(ROW()-3&gt;MAX($OY$4:$OY$40),"",INDEX($EE$4:$EE$40,MATCH(ROW()-3,$OY$4:$OY$40,0)))</f>
        <v/>
      </c>
      <c r="PA41">
        <f>IF(COUNTIF('Buyer Groups'!DG41:EE41,0)+COUNTIF('Buyer Groups'!EG41:EN41,0)&gt;0,0,1)</f>
        <v/>
      </c>
      <c r="PD41">
        <f>IF(ROW()-3&gt;MAX($PC$4:$PC$40),"",INDEX($EJ$4:$EJ$40,MATCH(ROW()-3,$PC$4:$PC$40,0)))</f>
        <v/>
      </c>
      <c r="PE41">
        <f>IF(COUNTIF('Buyer Groups'!DG41:EF41,0)+COUNTIF('Buyer Groups'!EH41:EN41,0)&gt;0,0,1)</f>
        <v/>
      </c>
      <c r="PH41">
        <f>IF(ROW()-3&gt;MAX($PG$4:$PG$40),"",INDEX($EO$4:$EO$40,MATCH(ROW()-3,$PG$4:$PG$40,0)))</f>
        <v/>
      </c>
      <c r="PI41">
        <f>IF(COUNTIF('Buyer Groups'!DG41:EG41,0)+COUNTIF('Buyer Groups'!EI41:EN41,0)&gt;0,0,1)</f>
        <v/>
      </c>
      <c r="PL41">
        <f>IF(ROW()-3&gt;MAX($PK$4:$PK$40),"",INDEX($ET$4:$ET$40,MATCH(ROW()-3,$PK$4:$PK$40,0)))</f>
        <v/>
      </c>
      <c r="PM41">
        <f>IF(COUNTIF('Buyer Groups'!DG41:EH41,0)+COUNTIF('Buyer Groups'!EJ41:EN41,0)&gt;0,0,1)</f>
        <v/>
      </c>
      <c r="PP41">
        <f>IF(ROW()-3&gt;MAX($PO$4:$PO$40),"",INDEX($EY$4:$EY$40,MATCH(ROW()-3,$PO$4:$PO$40,0)))</f>
        <v/>
      </c>
      <c r="PQ41">
        <f>IF(COUNTIF('Buyer Groups'!DG41:EI41,0)+COUNTIF('Buyer Groups'!EK41:EN41,0)&gt;0,0,1)</f>
        <v/>
      </c>
      <c r="PT41">
        <f>IF(ROW()-3&gt;MAX($PS$4:$PS$40),"",INDEX($FD$4:$FD$40,MATCH(ROW()-3,$PS$4:$PS$40,0)))</f>
        <v/>
      </c>
      <c r="PU41">
        <f>IF(COUNTIF('Buyer Groups'!DG41:EJ41,0)+COUNTIF('Buyer Groups'!EL41:EN41,0)&gt;0,0,1)</f>
        <v/>
      </c>
      <c r="PX41">
        <f>IF(ROW()-3&gt;MAX($PW$4:$PW$40),"",INDEX($FX$4:$FX$40,MATCH(ROW()-3,$PW$4:$PW$40,0)))</f>
        <v/>
      </c>
      <c r="PY41">
        <f>IF(COUNTIF('Buyer Groups'!DG41:EK41,0)+COUNTIF('Buyer Groups'!EM41:EN41,0)&gt;0,0,1)</f>
        <v/>
      </c>
      <c r="QB41">
        <f>IF(ROW()-3&gt;MAX($QA$4:$QA$40),"",INDEX($FI$4:$FI$40,MATCH(ROW()-3,$QA$4:$QA$40,0)))</f>
        <v/>
      </c>
      <c r="QC41">
        <f>IF(COUNTIF('Buyer Groups'!DG41:EL41,0)+COUNTIF('Buyer Groups'!EN41:EN41,0)&gt;0,0,1)</f>
        <v/>
      </c>
      <c r="QF41">
        <f>IF(ROW()-3&gt;MAX($QE$4:$QE$40),"",INDEX($FN$4:$FN$40,MATCH(ROW()-3,$QE$4:$QE$40,0)))</f>
        <v/>
      </c>
      <c r="QG41">
        <f>IF(COUNTIF('Buyer Groups'!DG41:EM41,0)&gt;0,0,1)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Groups'!DH42:EN42,0)&gt;0,0,1)</f>
        <v/>
      </c>
      <c r="LH42">
        <f>IF(ROW()-3&gt;MAX($LG$4:$LG$40),"",INDEX($O$4:$O$40,MATCH(ROW()-3,$LG$4:$LG$40,0)))</f>
        <v/>
      </c>
      <c r="LI42">
        <f>IF(COUNTIF('Buyer Groups'!DG42:DG42,0)+COUNTIF('Buyer Groups'!DI42:EN42,0)&gt;0,0,1)</f>
        <v/>
      </c>
      <c r="LL42">
        <f>IF(ROW()-3&gt;MAX($LK$4:$LK$40),"",INDEX($T$4:$T$40,MATCH(ROW()-3,$LK$4:$LK$40,0)))</f>
        <v/>
      </c>
      <c r="LM42">
        <f>IF(COUNTIF('Buyer Groups'!DG42:DH42,0)+COUNTIF('Buyer Groups'!DJ42:EN42,0)&gt;0,0,1)</f>
        <v/>
      </c>
      <c r="LP42">
        <f>IF(ROW()-3&gt;MAX($LO$4:$LO$40),"",INDEX($Y$4:$Y$40,MATCH(ROW()-3,$LO$4:$LO$40,0)))</f>
        <v/>
      </c>
      <c r="LQ42">
        <f>IF(COUNTIF('Buyer Groups'!DG42:DI42,0)+COUNTIF('Buyer Groups'!DK42:EN42,0)&gt;0,0,1)</f>
        <v/>
      </c>
      <c r="LT42">
        <f>IF(ROW()-3&gt;MAX($LS$4:$LS$40),"",INDEX($AD$4:$AD$40,MATCH(ROW()-3,$LS$4:$LS$40,0)))</f>
        <v/>
      </c>
      <c r="LU42">
        <f>IF(COUNTIF('Buyer Groups'!DG42:DJ42,0)+COUNTIF('Buyer Groups'!DL42:EN42,0)&gt;0,0,1)</f>
        <v/>
      </c>
      <c r="LX42">
        <f>IF(ROW()-3&gt;MAX($LW$4:$LW$40),"",INDEX($AI$4:$AI$40,MATCH(ROW()-3,$LW$4:$LW$40,0)))</f>
        <v/>
      </c>
      <c r="LY42">
        <f>IF(COUNTIF('Buyer Groups'!DG42:DK42,0)+COUNTIF('Buyer Groups'!DM42:EN42,0)&gt;0,0,1)</f>
        <v/>
      </c>
      <c r="MB42">
        <f>IF(ROW()-3&gt;MAX($MA$4:$MA$40),"",INDEX($AN$4:$AN$40,MATCH(ROW()-3,$MA$4:$MA$40,0)))</f>
        <v/>
      </c>
      <c r="MC42">
        <f>IF(COUNTIF('Buyer Groups'!DG42:DL42,0)+COUNTIF('Buyer Groups'!DN42:EN42,0)&gt;0,0,1)</f>
        <v/>
      </c>
      <c r="MF42">
        <f>IF(ROW()-3&gt;MAX($ME$4:$ME$40),"",INDEX($AS$4:$AS$40,MATCH(ROW()-3,$ME$4:$ME$40,0)))</f>
        <v/>
      </c>
      <c r="MG42">
        <f>IF(COUNTIF('Buyer Groups'!DG42:DM42,0)+COUNTIF('Buyer Groups'!DO42:EN42,0)&gt;0,0,1)</f>
        <v/>
      </c>
      <c r="MJ42">
        <f>IF(ROW()-3&gt;MAX($MI$4:$MI$40),"",INDEX($AX$4:$AX$40,MATCH(ROW()-3,$MI$4:$MI$40,0)))</f>
        <v/>
      </c>
      <c r="MK42">
        <f>IF(COUNTIF('Buyer Groups'!DG42:DN42,0)+COUNTIF('Buyer Groups'!DP42:EN42,0)&gt;0,0,1)</f>
        <v/>
      </c>
      <c r="MN42">
        <f>IF(ROW()-3&gt;MAX($MM$4:$MM$40),"",INDEX($BC$4:$BC$40,MATCH(ROW()-3,$MM$4:$MM$40,0)))</f>
        <v/>
      </c>
      <c r="MO42">
        <f>IF(COUNTIF('Buyer Groups'!DG42:DO42,0)+COUNTIF('Buyer Groups'!DQ42:EN42,0)&gt;0,0,1)</f>
        <v/>
      </c>
      <c r="MR42">
        <f>IF(ROW()-3&gt;MAX($MQ$4:$MQ$40),"",INDEX($BH$4:$BH$40,MATCH(ROW()-3,$MQ$4:$MQ$40,0)))</f>
        <v/>
      </c>
      <c r="MS42">
        <f>IF(COUNTIF('Buyer Groups'!DG42:DP42,0)+COUNTIF('Buyer Groups'!DR42:EN42,0)&gt;0,0,1)</f>
        <v/>
      </c>
      <c r="MV42">
        <f>IF(ROW()-3&gt;MAX($MU$4:$MU$40),"",INDEX($BM$4:$BM$40,MATCH(ROW()-3,$MU$4:$MU$40,0)))</f>
        <v/>
      </c>
      <c r="MW42">
        <f>IF(COUNTIF('Buyer Groups'!DG42:DQ42,0)+COUNTIF('Buyer Groups'!DS42:EN42,0)&gt;0,0,1)</f>
        <v/>
      </c>
      <c r="MZ42">
        <f>IF(ROW()-3&gt;MAX($MY$4:$MY$40),"",INDEX($BR$4:$BR$40,MATCH(ROW()-3,$MY$4:$MY$40,0)))</f>
        <v/>
      </c>
      <c r="NA42">
        <f>IF(COUNTIF('Buyer Groups'!DG42:DR42,0)+COUNTIF('Buyer Groups'!DT42:EN42,0)&gt;0,0,1)</f>
        <v/>
      </c>
      <c r="ND42">
        <f>IF(ROW()-3&gt;MAX($NC$4:$NC$40),"",INDEX($BW$4:$BW$40,MATCH(ROW()-3,$NC$4:$NC$40,0)))</f>
        <v/>
      </c>
      <c r="NE42">
        <f>IF(COUNTIF('Buyer Groups'!DG42:DS42,0)+COUNTIF('Buyer Groups'!DU42:EN42,0)&gt;0,0,1)</f>
        <v/>
      </c>
      <c r="NH42">
        <f>IF(ROW()-3&gt;MAX($NG$4:$NG$40),"",INDEX($CB$4:$CB$40,MATCH(ROW()-3,$NG$4:$NG$40,0)))</f>
        <v/>
      </c>
      <c r="NI42">
        <f>IF(COUNTIF('Buyer Groups'!DG42:DT42,0)+COUNTIF('Buyer Groups'!DV42:EN42,0)&gt;0,0,1)</f>
        <v/>
      </c>
      <c r="NL42">
        <f>IF(ROW()-3&gt;MAX($NK$4:$NK$40),"",INDEX($CG$4:$CG$40,MATCH(ROW()-3,$NK$4:$NK$40,0)))</f>
        <v/>
      </c>
      <c r="NM42">
        <f>IF(COUNTIF('Buyer Groups'!DG42:DU42,0)+COUNTIF('Buyer Groups'!DW42:EN42,0)&gt;0,0,1)</f>
        <v/>
      </c>
      <c r="NP42">
        <f>IF(ROW()-3&gt;MAX($NO$4:$NO$40),"",INDEX($CL$4:$CL$40,MATCH(ROW()-3,$NO$4:$NO$40,0)))</f>
        <v/>
      </c>
      <c r="NQ42">
        <f>IF(COUNTIF('Buyer Groups'!DG42:DV42,0)+COUNTIF('Buyer Groups'!DX42:EN42,0)&gt;0,0,1)</f>
        <v/>
      </c>
      <c r="NT42">
        <f>IF(ROW()-3&gt;MAX($NS$4:$NS$40),"",INDEX($CQ$4:$CQ$40,MATCH(ROW()-3,$NS$4:$NS$40,0)))</f>
        <v/>
      </c>
      <c r="NU42">
        <f>IF(COUNTIF('Buyer Groups'!DG42:DW42,0)+COUNTIF('Buyer Groups'!DY42:EN42,0)&gt;0,0,1)</f>
        <v/>
      </c>
      <c r="NX42">
        <f>IF(ROW()-3&gt;MAX($NW$4:$NW$40),"",INDEX($CV$4:$CV$40,MATCH(ROW()-3,$NW$4:$NW$40,0)))</f>
        <v/>
      </c>
      <c r="NY42">
        <f>IF(COUNTIF('Buyer Groups'!DG42:DX42,0)+COUNTIF('Buyer Groups'!DZ42:EN42,0)&gt;0,0,1)</f>
        <v/>
      </c>
      <c r="OB42">
        <f>IF(ROW()-3&gt;MAX($OA$4:$OA$40),"",INDEX($DA$4:$DA$40,MATCH(ROW()-3,$OA$4:$OA$40,0)))</f>
        <v/>
      </c>
      <c r="OC42">
        <f>IF(COUNTIF('Buyer Groups'!DG42:DY42,0)+COUNTIF('Buyer Groups'!EA42:EN42,0)&gt;0,0,1)</f>
        <v/>
      </c>
      <c r="OF42">
        <f>IF(ROW()-3&gt;MAX($OE$4:$OE$40),"",INDEX($DF$4:$DF$40,MATCH(ROW()-3,$OE$4:$OE$40,0)))</f>
        <v/>
      </c>
      <c r="OG42">
        <f>IF(COUNTIF('Buyer Groups'!DG42:DZ42,0)+COUNTIF('Buyer Groups'!EB42:EN42,0)&gt;0,0,1)</f>
        <v/>
      </c>
      <c r="OJ42">
        <f>IF(ROW()-3&gt;MAX($OI$4:$OI$40),"",INDEX($DK$4:$DK$40,MATCH(ROW()-3,$OI$4:$OI$40,0)))</f>
        <v/>
      </c>
      <c r="OK42">
        <f>IF(COUNTIF('Buyer Groups'!DG42:EA42,0)+COUNTIF('Buyer Groups'!EC42:EN42,0)&gt;0,0,1)</f>
        <v/>
      </c>
      <c r="ON42">
        <f>IF(ROW()-3&gt;MAX($OM$4:$OM$40),"",INDEX($DP$4:$DP$40,MATCH(ROW()-3,$OM$4:$OM$40,0)))</f>
        <v/>
      </c>
      <c r="OO42">
        <f>IF(COUNTIF('Buyer Groups'!DG42:EB42,0)+COUNTIF('Buyer Groups'!ED42:EN42,0)&gt;0,0,1)</f>
        <v/>
      </c>
      <c r="OR42">
        <f>IF(ROW()-3&gt;MAX($OQ$4:$OQ$40),"",INDEX($DU$4:$DU$40,MATCH(ROW()-3,$OQ$4:$OQ$40,0)))</f>
        <v/>
      </c>
      <c r="OS42">
        <f>IF(COUNTIF('Buyer Groups'!DG42:EC42,0)+COUNTIF('Buyer Groups'!EE42:EN42,0)&gt;0,0,1)</f>
        <v/>
      </c>
      <c r="OV42">
        <f>IF(ROW()-3&gt;MAX($OU$4:$OU$40),"",INDEX($DZ$4:$DZ$40,MATCH(ROW()-3,$OU$4:$OU$40,0)))</f>
        <v/>
      </c>
      <c r="OW42">
        <f>IF(COUNTIF('Buyer Groups'!DG42:ED42,0)+COUNTIF('Buyer Groups'!EF42:EN42,0)&gt;0,0,1)</f>
        <v/>
      </c>
      <c r="OZ42">
        <f>IF(ROW()-3&gt;MAX($OY$4:$OY$40),"",INDEX($EE$4:$EE$40,MATCH(ROW()-3,$OY$4:$OY$40,0)))</f>
        <v/>
      </c>
      <c r="PA42">
        <f>IF(COUNTIF('Buyer Groups'!DG42:EE42,0)+COUNTIF('Buyer Groups'!EG42:EN42,0)&gt;0,0,1)</f>
        <v/>
      </c>
      <c r="PD42">
        <f>IF(ROW()-3&gt;MAX($PC$4:$PC$40),"",INDEX($EJ$4:$EJ$40,MATCH(ROW()-3,$PC$4:$PC$40,0)))</f>
        <v/>
      </c>
      <c r="PE42">
        <f>IF(COUNTIF('Buyer Groups'!DG42:EF42,0)+COUNTIF('Buyer Groups'!EH42:EN42,0)&gt;0,0,1)</f>
        <v/>
      </c>
      <c r="PH42">
        <f>IF(ROW()-3&gt;MAX($PG$4:$PG$40),"",INDEX($EO$4:$EO$40,MATCH(ROW()-3,$PG$4:$PG$40,0)))</f>
        <v/>
      </c>
      <c r="PI42">
        <f>IF(COUNTIF('Buyer Groups'!DG42:EG42,0)+COUNTIF('Buyer Groups'!EI42:EN42,0)&gt;0,0,1)</f>
        <v/>
      </c>
      <c r="PL42">
        <f>IF(ROW()-3&gt;MAX($PK$4:$PK$40),"",INDEX($ET$4:$ET$40,MATCH(ROW()-3,$PK$4:$PK$40,0)))</f>
        <v/>
      </c>
      <c r="PM42">
        <f>IF(COUNTIF('Buyer Groups'!DG42:EH42,0)+COUNTIF('Buyer Groups'!EJ42:EN42,0)&gt;0,0,1)</f>
        <v/>
      </c>
      <c r="PP42">
        <f>IF(ROW()-3&gt;MAX($PO$4:$PO$40),"",INDEX($EY$4:$EY$40,MATCH(ROW()-3,$PO$4:$PO$40,0)))</f>
        <v/>
      </c>
      <c r="PQ42">
        <f>IF(COUNTIF('Buyer Groups'!DG42:EI42,0)+COUNTIF('Buyer Groups'!EK42:EN42,0)&gt;0,0,1)</f>
        <v/>
      </c>
      <c r="PT42">
        <f>IF(ROW()-3&gt;MAX($PS$4:$PS$40),"",INDEX($FD$4:$FD$40,MATCH(ROW()-3,$PS$4:$PS$40,0)))</f>
        <v/>
      </c>
      <c r="PU42">
        <f>IF(COUNTIF('Buyer Groups'!DG42:EJ42,0)+COUNTIF('Buyer Groups'!EL42:EN42,0)&gt;0,0,1)</f>
        <v/>
      </c>
      <c r="PX42">
        <f>IF(ROW()-3&gt;MAX($PW$4:$PW$40),"",INDEX($FX$4:$FX$40,MATCH(ROW()-3,$PW$4:$PW$40,0)))</f>
        <v/>
      </c>
      <c r="PY42">
        <f>IF(COUNTIF('Buyer Groups'!DG42:EK42,0)+COUNTIF('Buyer Groups'!EM42:EN42,0)&gt;0,0,1)</f>
        <v/>
      </c>
      <c r="QB42">
        <f>IF(ROW()-3&gt;MAX($QA$4:$QA$40),"",INDEX($FI$4:$FI$40,MATCH(ROW()-3,$QA$4:$QA$40,0)))</f>
        <v/>
      </c>
      <c r="QC42">
        <f>IF(COUNTIF('Buyer Groups'!DG42:EL42,0)+COUNTIF('Buyer Groups'!EN42:EN42,0)&gt;0,0,1)</f>
        <v/>
      </c>
      <c r="QF42">
        <f>IF(ROW()-3&gt;MAX($QE$4:$QE$40),"",INDEX($FN$4:$FN$40,MATCH(ROW()-3,$QE$4:$QE$40,0)))</f>
        <v/>
      </c>
      <c r="QG42">
        <f>IF(COUNTIF('Buyer Groups'!DG42:EM42,0)&gt;0,0,1)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